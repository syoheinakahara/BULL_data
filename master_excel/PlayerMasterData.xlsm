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106"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m-katou/Documents/github/BULL_data/master_excel/"/>
    </mc:Choice>
  </mc:AlternateContent>
  <bookViews>
    <workbookView xWindow="460" yWindow="460" windowWidth="25140" windowHeight="15540" tabRatio="721"/>
  </bookViews>
  <sheets>
    <sheet name="output" sheetId="9" r:id="rId1"/>
    <sheet name="ユーザー基礎設計" sheetId="4" r:id="rId2"/>
    <sheet name="参考" sheetId="2" r:id="rId3"/>
    <sheet name="player_ranks_uprev1609_2" sheetId="16" r:id="rId4"/>
    <sheet name="player_ranks_uprev1609" sheetId="15" r:id="rId5"/>
    <sheet name="player_ranks_uprev" sheetId="14" r:id="rId6"/>
    <sheet name="player_ranks_old" sheetId="3" r:id="rId7"/>
  </sheets>
  <definedNames>
    <definedName name="_xlnm._FilterDatabase" localSheetId="6" hidden="1">player_ranks_old!$A$1:$I$201</definedName>
    <definedName name="_xlnm._FilterDatabase" localSheetId="5" hidden="1">player_ranks_uprev!$A$1:$I$201</definedName>
    <definedName name="_xlnm._FilterDatabase" localSheetId="4" hidden="1">player_ranks_uprev1609!$A$1:$I$201</definedName>
    <definedName name="_xlnm._FilterDatabase" localSheetId="3" hidden="1">player_ranks_uprev1609_2!$A$1:$I$201</definedName>
    <definedName name="bonus" localSheetId="5">player_ranks_uprev!$P$37</definedName>
    <definedName name="bonus" localSheetId="4">player_ranks_uprev1609!$P$37</definedName>
    <definedName name="bonus" localSheetId="3">player_ranks_uprev1609_2!$P$37</definedName>
    <definedName name="bonus">#REF!</definedName>
    <definedName name="fast" localSheetId="5">player_ranks_uprev!$K$40</definedName>
    <definedName name="fast" localSheetId="4">player_ranks_uprev1609!$K$40</definedName>
    <definedName name="fast" localSheetId="3">player_ranks_uprev1609_2!$K$40</definedName>
    <definedName name="fast">#REF!</definedName>
    <definedName name="fast_bonus" localSheetId="5">player_ranks_uprev!$P$40</definedName>
    <definedName name="fast_bonus" localSheetId="4">player_ranks_uprev1609!$P$40</definedName>
    <definedName name="fast_bonus" localSheetId="3">player_ranks_uprev1609_2!$P$40</definedName>
    <definedName name="fast_bonus">#REF!</definedName>
    <definedName name="fast_up" localSheetId="5">player_ranks_uprev!$M$40</definedName>
    <definedName name="fast_up" localSheetId="4">player_ranks_uprev1609!$M$40</definedName>
    <definedName name="fast_up" localSheetId="3">player_ranks_uprev1609_2!$M$40</definedName>
    <definedName name="fast_up">#REF!</definedName>
    <definedName name="fast_upper" localSheetId="5">player_ranks_uprev!$O$40</definedName>
    <definedName name="fast_upper" localSheetId="4">player_ranks_uprev1609!$O$40</definedName>
    <definedName name="fast_upper" localSheetId="3">player_ranks_uprev1609_2!$O$40</definedName>
    <definedName name="fast_upper">#REF!</definedName>
    <definedName name="medium" localSheetId="5">player_ranks_uprev!$K$39</definedName>
    <definedName name="medium" localSheetId="4">player_ranks_uprev1609!$K$39</definedName>
    <definedName name="medium" localSheetId="3">player_ranks_uprev1609_2!$K$39</definedName>
    <definedName name="medium">#REF!</definedName>
    <definedName name="medium_bonus" localSheetId="5">player_ranks_uprev!$P$39</definedName>
    <definedName name="medium_bonus" localSheetId="4">player_ranks_uprev1609!$P$39</definedName>
    <definedName name="medium_bonus" localSheetId="3">player_ranks_uprev1609_2!$P$39</definedName>
    <definedName name="medium_bonus">#REF!</definedName>
    <definedName name="medium_up" localSheetId="5">player_ranks_uprev!$M$39</definedName>
    <definedName name="medium_up" localSheetId="4">player_ranks_uprev1609!$M$39</definedName>
    <definedName name="medium_up" localSheetId="3">player_ranks_uprev1609_2!$M$39</definedName>
    <definedName name="medium_up">#REF!</definedName>
    <definedName name="medium_upper" localSheetId="5">player_ranks_uprev!$O$39</definedName>
    <definedName name="medium_upper" localSheetId="4">player_ranks_uprev1609!$O$39</definedName>
    <definedName name="medium_upper" localSheetId="3">player_ranks_uprev1609_2!$O$39</definedName>
    <definedName name="medium_upper">#REF!</definedName>
    <definedName name="none" localSheetId="5">player_ranks_uprev!$L$37</definedName>
    <definedName name="none" localSheetId="4">player_ranks_uprev1609!$L$37</definedName>
    <definedName name="none" localSheetId="3">player_ranks_uprev1609_2!$L$37</definedName>
    <definedName name="none">#REF!</definedName>
    <definedName name="slow" localSheetId="5">player_ranks_uprev!$K$38</definedName>
    <definedName name="slow" localSheetId="4">player_ranks_uprev1609!$K$38</definedName>
    <definedName name="slow" localSheetId="3">player_ranks_uprev1609_2!$K$38</definedName>
    <definedName name="slow">#REF!</definedName>
    <definedName name="slow_upper" localSheetId="5">player_ranks_uprev!$O$38</definedName>
    <definedName name="slow_upper" localSheetId="4">player_ranks_uprev1609!$O$38</definedName>
    <definedName name="slow_upper" localSheetId="3">player_ranks_uprev1609_2!$O$38</definedName>
    <definedName name="slow_upper">#REF!</definedName>
    <definedName name="up" localSheetId="5">player_ranks_uprev!$M$37</definedName>
    <definedName name="up" localSheetId="4">player_ranks_uprev1609!$M$37</definedName>
    <definedName name="up" localSheetId="3">player_ranks_uprev1609_2!$M$37</definedName>
    <definedName name="up">#REF!</definedName>
    <definedName name="upper" localSheetId="5">player_ranks_uprev!$O$37</definedName>
    <definedName name="upper" localSheetId="4">player_ranks_uprev1609!$O$37</definedName>
    <definedName name="upper" localSheetId="3">player_ranks_uprev1609_2!$O$37</definedName>
    <definedName name="upper">#REF!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53" i="16" l="1"/>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58" i="16"/>
  <c r="H52" i="16"/>
  <c r="H53" i="16"/>
  <c r="H54" i="16"/>
  <c r="J99" i="16"/>
  <c r="C33" i="16"/>
  <c r="C34" i="16"/>
  <c r="C35" i="16"/>
  <c r="C36" i="16"/>
  <c r="C37" i="16"/>
  <c r="C38" i="16"/>
  <c r="C39" i="16"/>
  <c r="C40" i="16"/>
  <c r="C41" i="16"/>
  <c r="C42" i="16"/>
  <c r="C43" i="16"/>
  <c r="C44" i="16"/>
  <c r="C45" i="16"/>
  <c r="C46" i="16"/>
  <c r="C47" i="16"/>
  <c r="C48" i="16"/>
  <c r="C49" i="16"/>
  <c r="C50" i="16"/>
  <c r="C51" i="16"/>
  <c r="C52" i="16"/>
  <c r="C32" i="16"/>
  <c r="I401" i="16"/>
  <c r="G401" i="16"/>
  <c r="F401" i="16"/>
  <c r="I3" i="16"/>
  <c r="E3" i="16"/>
  <c r="I4" i="16"/>
  <c r="E4" i="16"/>
  <c r="I5" i="16"/>
  <c r="E5" i="16"/>
  <c r="I6" i="16"/>
  <c r="E6" i="16"/>
  <c r="I7" i="16"/>
  <c r="E7" i="16"/>
  <c r="I8" i="16"/>
  <c r="E8" i="16"/>
  <c r="I9" i="16"/>
  <c r="E9" i="16"/>
  <c r="I10" i="16"/>
  <c r="E10" i="16"/>
  <c r="I11" i="16"/>
  <c r="E11" i="16"/>
  <c r="I12" i="16"/>
  <c r="E12" i="16"/>
  <c r="I13" i="16"/>
  <c r="E13" i="16"/>
  <c r="I14" i="16"/>
  <c r="E14" i="16"/>
  <c r="I15" i="16"/>
  <c r="E15" i="16"/>
  <c r="I16" i="16"/>
  <c r="E16" i="16"/>
  <c r="I17" i="16"/>
  <c r="E17" i="16"/>
  <c r="I18" i="16"/>
  <c r="E18" i="16"/>
  <c r="I19" i="16"/>
  <c r="E19" i="16"/>
  <c r="I20" i="16"/>
  <c r="E20" i="16"/>
  <c r="I21" i="16"/>
  <c r="E21" i="16"/>
  <c r="I22" i="16"/>
  <c r="E22" i="16"/>
  <c r="I23" i="16"/>
  <c r="E23" i="16"/>
  <c r="I24" i="16"/>
  <c r="E24" i="16"/>
  <c r="I25" i="16"/>
  <c r="E25" i="16"/>
  <c r="I26" i="16"/>
  <c r="E26" i="16"/>
  <c r="I27" i="16"/>
  <c r="E27" i="16"/>
  <c r="I28" i="16"/>
  <c r="E28" i="16"/>
  <c r="I29" i="16"/>
  <c r="E29" i="16"/>
  <c r="I30" i="16"/>
  <c r="E30" i="16"/>
  <c r="I31" i="16"/>
  <c r="E31" i="16"/>
  <c r="I32" i="16"/>
  <c r="E32" i="16"/>
  <c r="I33" i="16"/>
  <c r="E33" i="16"/>
  <c r="I34" i="16"/>
  <c r="E34" i="16"/>
  <c r="I35" i="16"/>
  <c r="E35" i="16"/>
  <c r="I36" i="16"/>
  <c r="E36" i="16"/>
  <c r="I37" i="16"/>
  <c r="E37" i="16"/>
  <c r="I38" i="16"/>
  <c r="E38" i="16"/>
  <c r="I39" i="16"/>
  <c r="E39" i="16"/>
  <c r="I40" i="16"/>
  <c r="E40" i="16"/>
  <c r="I41" i="16"/>
  <c r="E41" i="16"/>
  <c r="I42" i="16"/>
  <c r="E42" i="16"/>
  <c r="I43" i="16"/>
  <c r="E43" i="16"/>
  <c r="I44" i="16"/>
  <c r="E44" i="16"/>
  <c r="I45" i="16"/>
  <c r="E45" i="16"/>
  <c r="I46" i="16"/>
  <c r="E46" i="16"/>
  <c r="I47" i="16"/>
  <c r="E47" i="16"/>
  <c r="I48" i="16"/>
  <c r="E48" i="16"/>
  <c r="I49" i="16"/>
  <c r="E49" i="16"/>
  <c r="I50" i="16"/>
  <c r="E50" i="16"/>
  <c r="I51" i="16"/>
  <c r="E51" i="16"/>
  <c r="I52" i="16"/>
  <c r="E52" i="16"/>
  <c r="I53" i="16"/>
  <c r="E53" i="16"/>
  <c r="I54" i="16"/>
  <c r="E54" i="16"/>
  <c r="I55" i="16"/>
  <c r="E55" i="16"/>
  <c r="I56" i="16"/>
  <c r="E56" i="16"/>
  <c r="I57" i="16"/>
  <c r="E57" i="16"/>
  <c r="I58" i="16"/>
  <c r="E58" i="16"/>
  <c r="I59" i="16"/>
  <c r="E59" i="16"/>
  <c r="I60" i="16"/>
  <c r="E60" i="16"/>
  <c r="I61" i="16"/>
  <c r="E61" i="16"/>
  <c r="I62" i="16"/>
  <c r="E62" i="16"/>
  <c r="I63" i="16"/>
  <c r="E63" i="16"/>
  <c r="I64" i="16"/>
  <c r="E64" i="16"/>
  <c r="I65" i="16"/>
  <c r="E65" i="16"/>
  <c r="I66" i="16"/>
  <c r="E66" i="16"/>
  <c r="I67" i="16"/>
  <c r="E67" i="16"/>
  <c r="I68" i="16"/>
  <c r="E68" i="16"/>
  <c r="I69" i="16"/>
  <c r="E69" i="16"/>
  <c r="I70" i="16"/>
  <c r="E70" i="16"/>
  <c r="I71" i="16"/>
  <c r="E71" i="16"/>
  <c r="I72" i="16"/>
  <c r="E72" i="16"/>
  <c r="I73" i="16"/>
  <c r="E73" i="16"/>
  <c r="I74" i="16"/>
  <c r="E74" i="16"/>
  <c r="I75" i="16"/>
  <c r="E75" i="16"/>
  <c r="I76" i="16"/>
  <c r="E76" i="16"/>
  <c r="I77" i="16"/>
  <c r="E77" i="16"/>
  <c r="I78" i="16"/>
  <c r="E78" i="16"/>
  <c r="I79" i="16"/>
  <c r="E79" i="16"/>
  <c r="I80" i="16"/>
  <c r="E80" i="16"/>
  <c r="I81" i="16"/>
  <c r="E81" i="16"/>
  <c r="I82" i="16"/>
  <c r="E82" i="16"/>
  <c r="I83" i="16"/>
  <c r="E83" i="16"/>
  <c r="I84" i="16"/>
  <c r="E84" i="16"/>
  <c r="I85" i="16"/>
  <c r="E85" i="16"/>
  <c r="I86" i="16"/>
  <c r="E86" i="16"/>
  <c r="I87" i="16"/>
  <c r="E87" i="16"/>
  <c r="I88" i="16"/>
  <c r="E88" i="16"/>
  <c r="I89" i="16"/>
  <c r="E89" i="16"/>
  <c r="I90" i="16"/>
  <c r="E90" i="16"/>
  <c r="I91" i="16"/>
  <c r="E91" i="16"/>
  <c r="I92" i="16"/>
  <c r="E92" i="16"/>
  <c r="I93" i="16"/>
  <c r="E93" i="16"/>
  <c r="I94" i="16"/>
  <c r="E94" i="16"/>
  <c r="I95" i="16"/>
  <c r="E95" i="16"/>
  <c r="I96" i="16"/>
  <c r="E96" i="16"/>
  <c r="I97" i="16"/>
  <c r="E97" i="16"/>
  <c r="I98" i="16"/>
  <c r="E98" i="16"/>
  <c r="I99" i="16"/>
  <c r="E99" i="16"/>
  <c r="I100" i="16"/>
  <c r="E100" i="16"/>
  <c r="I101" i="16"/>
  <c r="E101" i="16"/>
  <c r="I102" i="16"/>
  <c r="E102" i="16"/>
  <c r="I103" i="16"/>
  <c r="E103" i="16"/>
  <c r="I104" i="16"/>
  <c r="E104" i="16"/>
  <c r="I105" i="16"/>
  <c r="E105" i="16"/>
  <c r="I106" i="16"/>
  <c r="E106" i="16"/>
  <c r="I107" i="16"/>
  <c r="E107" i="16"/>
  <c r="I108" i="16"/>
  <c r="E108" i="16"/>
  <c r="I109" i="16"/>
  <c r="E109" i="16"/>
  <c r="I110" i="16"/>
  <c r="E110" i="16"/>
  <c r="I111" i="16"/>
  <c r="E111" i="16"/>
  <c r="I112" i="16"/>
  <c r="E112" i="16"/>
  <c r="I113" i="16"/>
  <c r="E113" i="16"/>
  <c r="I114" i="16"/>
  <c r="E114" i="16"/>
  <c r="I115" i="16"/>
  <c r="E115" i="16"/>
  <c r="I116" i="16"/>
  <c r="E116" i="16"/>
  <c r="I117" i="16"/>
  <c r="E117" i="16"/>
  <c r="I118" i="16"/>
  <c r="E118" i="16"/>
  <c r="I119" i="16"/>
  <c r="E119" i="16"/>
  <c r="I120" i="16"/>
  <c r="E120" i="16"/>
  <c r="I121" i="16"/>
  <c r="E121" i="16"/>
  <c r="I122" i="16"/>
  <c r="E122" i="16"/>
  <c r="I123" i="16"/>
  <c r="E123" i="16"/>
  <c r="I124" i="16"/>
  <c r="E124" i="16"/>
  <c r="I125" i="16"/>
  <c r="E125" i="16"/>
  <c r="I126" i="16"/>
  <c r="E126" i="16"/>
  <c r="I127" i="16"/>
  <c r="E127" i="16"/>
  <c r="I128" i="16"/>
  <c r="E128" i="16"/>
  <c r="I129" i="16"/>
  <c r="E129" i="16"/>
  <c r="I130" i="16"/>
  <c r="E130" i="16"/>
  <c r="I131" i="16"/>
  <c r="E131" i="16"/>
  <c r="I132" i="16"/>
  <c r="E132" i="16"/>
  <c r="I133" i="16"/>
  <c r="E133" i="16"/>
  <c r="I134" i="16"/>
  <c r="E134" i="16"/>
  <c r="I135" i="16"/>
  <c r="E135" i="16"/>
  <c r="I136" i="16"/>
  <c r="E136" i="16"/>
  <c r="I137" i="16"/>
  <c r="E137" i="16"/>
  <c r="I138" i="16"/>
  <c r="E138" i="16"/>
  <c r="I139" i="16"/>
  <c r="E139" i="16"/>
  <c r="I140" i="16"/>
  <c r="E140" i="16"/>
  <c r="I141" i="16"/>
  <c r="E141" i="16"/>
  <c r="I142" i="16"/>
  <c r="E142" i="16"/>
  <c r="I143" i="16"/>
  <c r="E143" i="16"/>
  <c r="I144" i="16"/>
  <c r="E144" i="16"/>
  <c r="I145" i="16"/>
  <c r="E145" i="16"/>
  <c r="I146" i="16"/>
  <c r="E146" i="16"/>
  <c r="I147" i="16"/>
  <c r="E147" i="16"/>
  <c r="I148" i="16"/>
  <c r="E148" i="16"/>
  <c r="I149" i="16"/>
  <c r="E149" i="16"/>
  <c r="I150" i="16"/>
  <c r="E150" i="16"/>
  <c r="I151" i="16"/>
  <c r="E151" i="16"/>
  <c r="I152" i="16"/>
  <c r="E152" i="16"/>
  <c r="I153" i="16"/>
  <c r="E153" i="16"/>
  <c r="I154" i="16"/>
  <c r="E154" i="16"/>
  <c r="I155" i="16"/>
  <c r="E155" i="16"/>
  <c r="I156" i="16"/>
  <c r="E156" i="16"/>
  <c r="I157" i="16"/>
  <c r="E157" i="16"/>
  <c r="I158" i="16"/>
  <c r="E158" i="16"/>
  <c r="I159" i="16"/>
  <c r="E159" i="16"/>
  <c r="I160" i="16"/>
  <c r="E160" i="16"/>
  <c r="I161" i="16"/>
  <c r="E161" i="16"/>
  <c r="I162" i="16"/>
  <c r="E162" i="16"/>
  <c r="I163" i="16"/>
  <c r="E163" i="16"/>
  <c r="I164" i="16"/>
  <c r="E164" i="16"/>
  <c r="I165" i="16"/>
  <c r="E165" i="16"/>
  <c r="I166" i="16"/>
  <c r="E166" i="16"/>
  <c r="I167" i="16"/>
  <c r="E167" i="16"/>
  <c r="I168" i="16"/>
  <c r="E168" i="16"/>
  <c r="I169" i="16"/>
  <c r="E169" i="16"/>
  <c r="I170" i="16"/>
  <c r="E170" i="16"/>
  <c r="I171" i="16"/>
  <c r="E171" i="16"/>
  <c r="I172" i="16"/>
  <c r="E172" i="16"/>
  <c r="I173" i="16"/>
  <c r="E173" i="16"/>
  <c r="I174" i="16"/>
  <c r="E174" i="16"/>
  <c r="I175" i="16"/>
  <c r="E175" i="16"/>
  <c r="I176" i="16"/>
  <c r="E176" i="16"/>
  <c r="I177" i="16"/>
  <c r="E177" i="16"/>
  <c r="I178" i="16"/>
  <c r="E178" i="16"/>
  <c r="I179" i="16"/>
  <c r="E179" i="16"/>
  <c r="I180" i="16"/>
  <c r="E180" i="16"/>
  <c r="I181" i="16"/>
  <c r="E181" i="16"/>
  <c r="I182" i="16"/>
  <c r="E182" i="16"/>
  <c r="I183" i="16"/>
  <c r="E183" i="16"/>
  <c r="I184" i="16"/>
  <c r="E184" i="16"/>
  <c r="I185" i="16"/>
  <c r="E185" i="16"/>
  <c r="I186" i="16"/>
  <c r="E186" i="16"/>
  <c r="I187" i="16"/>
  <c r="E187" i="16"/>
  <c r="I188" i="16"/>
  <c r="E188" i="16"/>
  <c r="I189" i="16"/>
  <c r="E189" i="16"/>
  <c r="I190" i="16"/>
  <c r="E190" i="16"/>
  <c r="I191" i="16"/>
  <c r="E191" i="16"/>
  <c r="I192" i="16"/>
  <c r="E192" i="16"/>
  <c r="I193" i="16"/>
  <c r="E193" i="16"/>
  <c r="I194" i="16"/>
  <c r="E194" i="16"/>
  <c r="I195" i="16"/>
  <c r="E195" i="16"/>
  <c r="I196" i="16"/>
  <c r="E196" i="16"/>
  <c r="I197" i="16"/>
  <c r="E197" i="16"/>
  <c r="I198" i="16"/>
  <c r="E198" i="16"/>
  <c r="I199" i="16"/>
  <c r="E199" i="16"/>
  <c r="I200" i="16"/>
  <c r="E200" i="16"/>
  <c r="I201" i="16"/>
  <c r="E201" i="16"/>
  <c r="I202" i="16"/>
  <c r="E202" i="16"/>
  <c r="I203" i="16"/>
  <c r="E203" i="16"/>
  <c r="I204" i="16"/>
  <c r="E204" i="16"/>
  <c r="I205" i="16"/>
  <c r="E205" i="16"/>
  <c r="I206" i="16"/>
  <c r="E206" i="16"/>
  <c r="I207" i="16"/>
  <c r="E207" i="16"/>
  <c r="I208" i="16"/>
  <c r="E208" i="16"/>
  <c r="I209" i="16"/>
  <c r="E209" i="16"/>
  <c r="I210" i="16"/>
  <c r="E210" i="16"/>
  <c r="I211" i="16"/>
  <c r="E211" i="16"/>
  <c r="I212" i="16"/>
  <c r="E212" i="16"/>
  <c r="I213" i="16"/>
  <c r="E213" i="16"/>
  <c r="I214" i="16"/>
  <c r="E214" i="16"/>
  <c r="I215" i="16"/>
  <c r="E215" i="16"/>
  <c r="I216" i="16"/>
  <c r="E216" i="16"/>
  <c r="I217" i="16"/>
  <c r="E217" i="16"/>
  <c r="I218" i="16"/>
  <c r="E218" i="16"/>
  <c r="I219" i="16"/>
  <c r="E219" i="16"/>
  <c r="I220" i="16"/>
  <c r="E220" i="16"/>
  <c r="I221" i="16"/>
  <c r="E221" i="16"/>
  <c r="I222" i="16"/>
  <c r="E222" i="16"/>
  <c r="I223" i="16"/>
  <c r="E223" i="16"/>
  <c r="I224" i="16"/>
  <c r="E224" i="16"/>
  <c r="I225" i="16"/>
  <c r="E225" i="16"/>
  <c r="I226" i="16"/>
  <c r="E226" i="16"/>
  <c r="I227" i="16"/>
  <c r="E227" i="16"/>
  <c r="I228" i="16"/>
  <c r="E228" i="16"/>
  <c r="I229" i="16"/>
  <c r="E229" i="16"/>
  <c r="I230" i="16"/>
  <c r="E230" i="16"/>
  <c r="I231" i="16"/>
  <c r="E231" i="16"/>
  <c r="I232" i="16"/>
  <c r="E232" i="16"/>
  <c r="I233" i="16"/>
  <c r="E233" i="16"/>
  <c r="I234" i="16"/>
  <c r="E234" i="16"/>
  <c r="I235" i="16"/>
  <c r="E235" i="16"/>
  <c r="I236" i="16"/>
  <c r="E236" i="16"/>
  <c r="I237" i="16"/>
  <c r="E237" i="16"/>
  <c r="I238" i="16"/>
  <c r="E238" i="16"/>
  <c r="I239" i="16"/>
  <c r="E239" i="16"/>
  <c r="I240" i="16"/>
  <c r="E240" i="16"/>
  <c r="I241" i="16"/>
  <c r="E241" i="16"/>
  <c r="I242" i="16"/>
  <c r="E242" i="16"/>
  <c r="I243" i="16"/>
  <c r="E243" i="16"/>
  <c r="I244" i="16"/>
  <c r="E244" i="16"/>
  <c r="I245" i="16"/>
  <c r="E245" i="16"/>
  <c r="I246" i="16"/>
  <c r="E246" i="16"/>
  <c r="I247" i="16"/>
  <c r="E247" i="16"/>
  <c r="I248" i="16"/>
  <c r="E248" i="16"/>
  <c r="I249" i="16"/>
  <c r="E249" i="16"/>
  <c r="I250" i="16"/>
  <c r="E250" i="16"/>
  <c r="I251" i="16"/>
  <c r="E251" i="16"/>
  <c r="I252" i="16"/>
  <c r="E252" i="16"/>
  <c r="I253" i="16"/>
  <c r="E253" i="16"/>
  <c r="I254" i="16"/>
  <c r="E254" i="16"/>
  <c r="I255" i="16"/>
  <c r="E255" i="16"/>
  <c r="I256" i="16"/>
  <c r="E256" i="16"/>
  <c r="I257" i="16"/>
  <c r="E257" i="16"/>
  <c r="I258" i="16"/>
  <c r="E258" i="16"/>
  <c r="I259" i="16"/>
  <c r="E259" i="16"/>
  <c r="I260" i="16"/>
  <c r="E260" i="16"/>
  <c r="I261" i="16"/>
  <c r="E261" i="16"/>
  <c r="I262" i="16"/>
  <c r="E262" i="16"/>
  <c r="I263" i="16"/>
  <c r="E263" i="16"/>
  <c r="I264" i="16"/>
  <c r="E264" i="16"/>
  <c r="I265" i="16"/>
  <c r="E265" i="16"/>
  <c r="I266" i="16"/>
  <c r="E266" i="16"/>
  <c r="I267" i="16"/>
  <c r="E267" i="16"/>
  <c r="I268" i="16"/>
  <c r="E268" i="16"/>
  <c r="I269" i="16"/>
  <c r="E269" i="16"/>
  <c r="I270" i="16"/>
  <c r="E270" i="16"/>
  <c r="I271" i="16"/>
  <c r="E271" i="16"/>
  <c r="I272" i="16"/>
  <c r="E272" i="16"/>
  <c r="I273" i="16"/>
  <c r="E273" i="16"/>
  <c r="I274" i="16"/>
  <c r="E274" i="16"/>
  <c r="I275" i="16"/>
  <c r="E275" i="16"/>
  <c r="I276" i="16"/>
  <c r="E276" i="16"/>
  <c r="I277" i="16"/>
  <c r="E277" i="16"/>
  <c r="I278" i="16"/>
  <c r="E278" i="16"/>
  <c r="I279" i="16"/>
  <c r="E279" i="16"/>
  <c r="I280" i="16"/>
  <c r="E280" i="16"/>
  <c r="I281" i="16"/>
  <c r="E281" i="16"/>
  <c r="I282" i="16"/>
  <c r="E282" i="16"/>
  <c r="I283" i="16"/>
  <c r="E283" i="16"/>
  <c r="I284" i="16"/>
  <c r="E284" i="16"/>
  <c r="I285" i="16"/>
  <c r="E285" i="16"/>
  <c r="I286" i="16"/>
  <c r="E286" i="16"/>
  <c r="I287" i="16"/>
  <c r="E287" i="16"/>
  <c r="I288" i="16"/>
  <c r="E288" i="16"/>
  <c r="I289" i="16"/>
  <c r="E289" i="16"/>
  <c r="I290" i="16"/>
  <c r="E290" i="16"/>
  <c r="I291" i="16"/>
  <c r="E291" i="16"/>
  <c r="I292" i="16"/>
  <c r="E292" i="16"/>
  <c r="I293" i="16"/>
  <c r="E293" i="16"/>
  <c r="I294" i="16"/>
  <c r="E294" i="16"/>
  <c r="I295" i="16"/>
  <c r="E295" i="16"/>
  <c r="I296" i="16"/>
  <c r="E296" i="16"/>
  <c r="I297" i="16"/>
  <c r="E297" i="16"/>
  <c r="I298" i="16"/>
  <c r="E298" i="16"/>
  <c r="I299" i="16"/>
  <c r="E299" i="16"/>
  <c r="I300" i="16"/>
  <c r="E300" i="16"/>
  <c r="I301" i="16"/>
  <c r="E301" i="16"/>
  <c r="I302" i="16"/>
  <c r="E302" i="16"/>
  <c r="I303" i="16"/>
  <c r="E303" i="16"/>
  <c r="I304" i="16"/>
  <c r="E304" i="16"/>
  <c r="I305" i="16"/>
  <c r="E305" i="16"/>
  <c r="I306" i="16"/>
  <c r="E306" i="16"/>
  <c r="I307" i="16"/>
  <c r="E307" i="16"/>
  <c r="I308" i="16"/>
  <c r="E308" i="16"/>
  <c r="I309" i="16"/>
  <c r="E309" i="16"/>
  <c r="I310" i="16"/>
  <c r="E310" i="16"/>
  <c r="I311" i="16"/>
  <c r="E311" i="16"/>
  <c r="I312" i="16"/>
  <c r="E312" i="16"/>
  <c r="I313" i="16"/>
  <c r="E313" i="16"/>
  <c r="I314" i="16"/>
  <c r="E314" i="16"/>
  <c r="I315" i="16"/>
  <c r="E315" i="16"/>
  <c r="I316" i="16"/>
  <c r="E316" i="16"/>
  <c r="I317" i="16"/>
  <c r="E317" i="16"/>
  <c r="I318" i="16"/>
  <c r="E318" i="16"/>
  <c r="I319" i="16"/>
  <c r="E319" i="16"/>
  <c r="I320" i="16"/>
  <c r="E320" i="16"/>
  <c r="I321" i="16"/>
  <c r="E321" i="16"/>
  <c r="I322" i="16"/>
  <c r="E322" i="16"/>
  <c r="I323" i="16"/>
  <c r="E323" i="16"/>
  <c r="I324" i="16"/>
  <c r="E324" i="16"/>
  <c r="I325" i="16"/>
  <c r="E325" i="16"/>
  <c r="I326" i="16"/>
  <c r="E326" i="16"/>
  <c r="I327" i="16"/>
  <c r="E327" i="16"/>
  <c r="I328" i="16"/>
  <c r="E328" i="16"/>
  <c r="I329" i="16"/>
  <c r="E329" i="16"/>
  <c r="I330" i="16"/>
  <c r="E330" i="16"/>
  <c r="I331" i="16"/>
  <c r="E331" i="16"/>
  <c r="I332" i="16"/>
  <c r="E332" i="16"/>
  <c r="I333" i="16"/>
  <c r="E333" i="16"/>
  <c r="I334" i="16"/>
  <c r="E334" i="16"/>
  <c r="I335" i="16"/>
  <c r="E335" i="16"/>
  <c r="I336" i="16"/>
  <c r="E336" i="16"/>
  <c r="I337" i="16"/>
  <c r="E337" i="16"/>
  <c r="I338" i="16"/>
  <c r="E338" i="16"/>
  <c r="I339" i="16"/>
  <c r="E339" i="16"/>
  <c r="I340" i="16"/>
  <c r="E340" i="16"/>
  <c r="I341" i="16"/>
  <c r="E341" i="16"/>
  <c r="I342" i="16"/>
  <c r="E342" i="16"/>
  <c r="I343" i="16"/>
  <c r="E343" i="16"/>
  <c r="I344" i="16"/>
  <c r="E344" i="16"/>
  <c r="I345" i="16"/>
  <c r="E345" i="16"/>
  <c r="I346" i="16"/>
  <c r="E346" i="16"/>
  <c r="I347" i="16"/>
  <c r="E347" i="16"/>
  <c r="I348" i="16"/>
  <c r="E348" i="16"/>
  <c r="I349" i="16"/>
  <c r="E349" i="16"/>
  <c r="I350" i="16"/>
  <c r="E350" i="16"/>
  <c r="I351" i="16"/>
  <c r="E351" i="16"/>
  <c r="I352" i="16"/>
  <c r="E352" i="16"/>
  <c r="I353" i="16"/>
  <c r="E353" i="16"/>
  <c r="I354" i="16"/>
  <c r="E354" i="16"/>
  <c r="I355" i="16"/>
  <c r="E355" i="16"/>
  <c r="I356" i="16"/>
  <c r="E356" i="16"/>
  <c r="I357" i="16"/>
  <c r="E357" i="16"/>
  <c r="I358" i="16"/>
  <c r="E358" i="16"/>
  <c r="I359" i="16"/>
  <c r="E359" i="16"/>
  <c r="I360" i="16"/>
  <c r="E360" i="16"/>
  <c r="I361" i="16"/>
  <c r="E361" i="16"/>
  <c r="I362" i="16"/>
  <c r="E362" i="16"/>
  <c r="I363" i="16"/>
  <c r="E363" i="16"/>
  <c r="I364" i="16"/>
  <c r="E364" i="16"/>
  <c r="I365" i="16"/>
  <c r="E365" i="16"/>
  <c r="I366" i="16"/>
  <c r="E366" i="16"/>
  <c r="I367" i="16"/>
  <c r="E367" i="16"/>
  <c r="I368" i="16"/>
  <c r="E368" i="16"/>
  <c r="I369" i="16"/>
  <c r="E369" i="16"/>
  <c r="I370" i="16"/>
  <c r="E370" i="16"/>
  <c r="I371" i="16"/>
  <c r="E371" i="16"/>
  <c r="I372" i="16"/>
  <c r="E372" i="16"/>
  <c r="I373" i="16"/>
  <c r="E373" i="16"/>
  <c r="I374" i="16"/>
  <c r="E374" i="16"/>
  <c r="I375" i="16"/>
  <c r="E375" i="16"/>
  <c r="I376" i="16"/>
  <c r="E376" i="16"/>
  <c r="I377" i="16"/>
  <c r="E377" i="16"/>
  <c r="I378" i="16"/>
  <c r="E378" i="16"/>
  <c r="I379" i="16"/>
  <c r="E379" i="16"/>
  <c r="I380" i="16"/>
  <c r="E380" i="16"/>
  <c r="I381" i="16"/>
  <c r="E381" i="16"/>
  <c r="I382" i="16"/>
  <c r="E382" i="16"/>
  <c r="I383" i="16"/>
  <c r="E383" i="16"/>
  <c r="I384" i="16"/>
  <c r="E384" i="16"/>
  <c r="I385" i="16"/>
  <c r="E385" i="16"/>
  <c r="I386" i="16"/>
  <c r="E386" i="16"/>
  <c r="I387" i="16"/>
  <c r="E387" i="16"/>
  <c r="I388" i="16"/>
  <c r="E388" i="16"/>
  <c r="I389" i="16"/>
  <c r="E389" i="16"/>
  <c r="I390" i="16"/>
  <c r="E390" i="16"/>
  <c r="I391" i="16"/>
  <c r="E391" i="16"/>
  <c r="I392" i="16"/>
  <c r="E392" i="16"/>
  <c r="I393" i="16"/>
  <c r="E393" i="16"/>
  <c r="I394" i="16"/>
  <c r="E394" i="16"/>
  <c r="I395" i="16"/>
  <c r="E395" i="16"/>
  <c r="I396" i="16"/>
  <c r="E396" i="16"/>
  <c r="I397" i="16"/>
  <c r="E397" i="16"/>
  <c r="I398" i="16"/>
  <c r="E398" i="16"/>
  <c r="I399" i="16"/>
  <c r="E399" i="16"/>
  <c r="I400" i="16"/>
  <c r="E400" i="16"/>
  <c r="E401" i="16"/>
  <c r="G3" i="16"/>
  <c r="B3" i="16"/>
  <c r="G4" i="16"/>
  <c r="B4" i="16"/>
  <c r="G5" i="16"/>
  <c r="B5" i="16"/>
  <c r="G6" i="16"/>
  <c r="B6" i="16"/>
  <c r="G7" i="16"/>
  <c r="B7" i="16"/>
  <c r="G8" i="16"/>
  <c r="B8" i="16"/>
  <c r="G9" i="16"/>
  <c r="B9" i="16"/>
  <c r="G10" i="16"/>
  <c r="B10" i="16"/>
  <c r="G11" i="16"/>
  <c r="B11" i="16"/>
  <c r="G12" i="16"/>
  <c r="B12" i="16"/>
  <c r="G13" i="16"/>
  <c r="B13" i="16"/>
  <c r="G14" i="16"/>
  <c r="B14" i="16"/>
  <c r="G15" i="16"/>
  <c r="B15" i="16"/>
  <c r="G16" i="16"/>
  <c r="B16" i="16"/>
  <c r="G17" i="16"/>
  <c r="B17" i="16"/>
  <c r="G18" i="16"/>
  <c r="B18" i="16"/>
  <c r="G19" i="16"/>
  <c r="B19" i="16"/>
  <c r="G20" i="16"/>
  <c r="B20" i="16"/>
  <c r="G21" i="16"/>
  <c r="B21" i="16"/>
  <c r="G22" i="16"/>
  <c r="B22" i="16"/>
  <c r="G23" i="16"/>
  <c r="B23" i="16"/>
  <c r="G24" i="16"/>
  <c r="B24" i="16"/>
  <c r="G25" i="16"/>
  <c r="B25" i="16"/>
  <c r="G26" i="16"/>
  <c r="B26" i="16"/>
  <c r="G27" i="16"/>
  <c r="B27" i="16"/>
  <c r="G28" i="16"/>
  <c r="B28" i="16"/>
  <c r="G29" i="16"/>
  <c r="B29" i="16"/>
  <c r="G30" i="16"/>
  <c r="B30" i="16"/>
  <c r="G31" i="16"/>
  <c r="B31" i="16"/>
  <c r="G32" i="16"/>
  <c r="B32" i="16"/>
  <c r="G33" i="16"/>
  <c r="B33" i="16"/>
  <c r="G34" i="16"/>
  <c r="B34" i="16"/>
  <c r="G35" i="16"/>
  <c r="B35" i="16"/>
  <c r="G36" i="16"/>
  <c r="B36" i="16"/>
  <c r="G37" i="16"/>
  <c r="B37" i="16"/>
  <c r="G38" i="16"/>
  <c r="B38" i="16"/>
  <c r="G39" i="16"/>
  <c r="B39" i="16"/>
  <c r="G40" i="16"/>
  <c r="B40" i="16"/>
  <c r="G41" i="16"/>
  <c r="B41" i="16"/>
  <c r="G42" i="16"/>
  <c r="B42" i="16"/>
  <c r="G43" i="16"/>
  <c r="B43" i="16"/>
  <c r="G44" i="16"/>
  <c r="B44" i="16"/>
  <c r="G45" i="16"/>
  <c r="B45" i="16"/>
  <c r="G46" i="16"/>
  <c r="B46" i="16"/>
  <c r="G47" i="16"/>
  <c r="B47" i="16"/>
  <c r="G48" i="16"/>
  <c r="B48" i="16"/>
  <c r="G49" i="16"/>
  <c r="B49" i="16"/>
  <c r="G50" i="16"/>
  <c r="B50" i="16"/>
  <c r="G51" i="16"/>
  <c r="B51" i="16"/>
  <c r="G52" i="16"/>
  <c r="B52" i="16"/>
  <c r="G53" i="16"/>
  <c r="B53" i="16"/>
  <c r="G54" i="16"/>
  <c r="B54" i="16"/>
  <c r="G55" i="16"/>
  <c r="B55" i="16"/>
  <c r="G56" i="16"/>
  <c r="B56" i="16"/>
  <c r="G57" i="16"/>
  <c r="B57" i="16"/>
  <c r="G58" i="16"/>
  <c r="B58" i="16"/>
  <c r="G59" i="16"/>
  <c r="B59" i="16"/>
  <c r="G60" i="16"/>
  <c r="B60" i="16"/>
  <c r="G61" i="16"/>
  <c r="B61" i="16"/>
  <c r="G62" i="16"/>
  <c r="B62" i="16"/>
  <c r="G63" i="16"/>
  <c r="B63" i="16"/>
  <c r="G64" i="16"/>
  <c r="B64" i="16"/>
  <c r="G65" i="16"/>
  <c r="B65" i="16"/>
  <c r="G66" i="16"/>
  <c r="B66" i="16"/>
  <c r="G67" i="16"/>
  <c r="B67" i="16"/>
  <c r="G68" i="16"/>
  <c r="B68" i="16"/>
  <c r="G69" i="16"/>
  <c r="B69" i="16"/>
  <c r="G70" i="16"/>
  <c r="B70" i="16"/>
  <c r="G71" i="16"/>
  <c r="B71" i="16"/>
  <c r="G72" i="16"/>
  <c r="B72" i="16"/>
  <c r="G73" i="16"/>
  <c r="B73" i="16"/>
  <c r="G74" i="16"/>
  <c r="B74" i="16"/>
  <c r="G75" i="16"/>
  <c r="B75" i="16"/>
  <c r="G76" i="16"/>
  <c r="B76" i="16"/>
  <c r="G77" i="16"/>
  <c r="B77" i="16"/>
  <c r="G78" i="16"/>
  <c r="B78" i="16"/>
  <c r="G79" i="16"/>
  <c r="B79" i="16"/>
  <c r="G80" i="16"/>
  <c r="B80" i="16"/>
  <c r="G81" i="16"/>
  <c r="B81" i="16"/>
  <c r="G82" i="16"/>
  <c r="B82" i="16"/>
  <c r="G83" i="16"/>
  <c r="B83" i="16"/>
  <c r="G84" i="16"/>
  <c r="B84" i="16"/>
  <c r="G85" i="16"/>
  <c r="B85" i="16"/>
  <c r="G86" i="16"/>
  <c r="B86" i="16"/>
  <c r="G87" i="16"/>
  <c r="B87" i="16"/>
  <c r="G88" i="16"/>
  <c r="B88" i="16"/>
  <c r="G89" i="16"/>
  <c r="B89" i="16"/>
  <c r="G90" i="16"/>
  <c r="B90" i="16"/>
  <c r="G91" i="16"/>
  <c r="B91" i="16"/>
  <c r="G92" i="16"/>
  <c r="B92" i="16"/>
  <c r="G93" i="16"/>
  <c r="B93" i="16"/>
  <c r="G94" i="16"/>
  <c r="B94" i="16"/>
  <c r="G95" i="16"/>
  <c r="B95" i="16"/>
  <c r="G96" i="16"/>
  <c r="B96" i="16"/>
  <c r="G97" i="16"/>
  <c r="B97" i="16"/>
  <c r="G98" i="16"/>
  <c r="B98" i="16"/>
  <c r="G99" i="16"/>
  <c r="B99" i="16"/>
  <c r="G100" i="16"/>
  <c r="B100" i="16"/>
  <c r="G101" i="16"/>
  <c r="B101" i="16"/>
  <c r="G102" i="16"/>
  <c r="B102" i="16"/>
  <c r="G103" i="16"/>
  <c r="B103" i="16"/>
  <c r="G104" i="16"/>
  <c r="B104" i="16"/>
  <c r="G105" i="16"/>
  <c r="B105" i="16"/>
  <c r="G106" i="16"/>
  <c r="B106" i="16"/>
  <c r="G107" i="16"/>
  <c r="B107" i="16"/>
  <c r="G108" i="16"/>
  <c r="B108" i="16"/>
  <c r="G109" i="16"/>
  <c r="B109" i="16"/>
  <c r="G110" i="16"/>
  <c r="B110" i="16"/>
  <c r="G111" i="16"/>
  <c r="B111" i="16"/>
  <c r="G112" i="16"/>
  <c r="B112" i="16"/>
  <c r="G113" i="16"/>
  <c r="B113" i="16"/>
  <c r="G114" i="16"/>
  <c r="B114" i="16"/>
  <c r="G115" i="16"/>
  <c r="B115" i="16"/>
  <c r="G116" i="16"/>
  <c r="B116" i="16"/>
  <c r="G117" i="16"/>
  <c r="B117" i="16"/>
  <c r="G118" i="16"/>
  <c r="B118" i="16"/>
  <c r="G119" i="16"/>
  <c r="B119" i="16"/>
  <c r="G120" i="16"/>
  <c r="B120" i="16"/>
  <c r="G121" i="16"/>
  <c r="B121" i="16"/>
  <c r="G122" i="16"/>
  <c r="B122" i="16"/>
  <c r="G123" i="16"/>
  <c r="B123" i="16"/>
  <c r="G124" i="16"/>
  <c r="B124" i="16"/>
  <c r="G125" i="16"/>
  <c r="B125" i="16"/>
  <c r="G126" i="16"/>
  <c r="B126" i="16"/>
  <c r="G127" i="16"/>
  <c r="B127" i="16"/>
  <c r="G128" i="16"/>
  <c r="B128" i="16"/>
  <c r="G129" i="16"/>
  <c r="B129" i="16"/>
  <c r="G130" i="16"/>
  <c r="B130" i="16"/>
  <c r="G131" i="16"/>
  <c r="B131" i="16"/>
  <c r="G132" i="16"/>
  <c r="B132" i="16"/>
  <c r="G133" i="16"/>
  <c r="B133" i="16"/>
  <c r="G134" i="16"/>
  <c r="B134" i="16"/>
  <c r="G135" i="16"/>
  <c r="B135" i="16"/>
  <c r="G136" i="16"/>
  <c r="B136" i="16"/>
  <c r="G137" i="16"/>
  <c r="B137" i="16"/>
  <c r="G138" i="16"/>
  <c r="B138" i="16"/>
  <c r="G139" i="16"/>
  <c r="B139" i="16"/>
  <c r="G140" i="16"/>
  <c r="B140" i="16"/>
  <c r="G141" i="16"/>
  <c r="B141" i="16"/>
  <c r="G142" i="16"/>
  <c r="B142" i="16"/>
  <c r="G143" i="16"/>
  <c r="B143" i="16"/>
  <c r="G144" i="16"/>
  <c r="B144" i="16"/>
  <c r="G145" i="16"/>
  <c r="B145" i="16"/>
  <c r="G146" i="16"/>
  <c r="B146" i="16"/>
  <c r="G147" i="16"/>
  <c r="B147" i="16"/>
  <c r="G148" i="16"/>
  <c r="B148" i="16"/>
  <c r="G149" i="16"/>
  <c r="B149" i="16"/>
  <c r="G150" i="16"/>
  <c r="B150" i="16"/>
  <c r="G151" i="16"/>
  <c r="B151" i="16"/>
  <c r="G152" i="16"/>
  <c r="B152" i="16"/>
  <c r="G153" i="16"/>
  <c r="B153" i="16"/>
  <c r="G154" i="16"/>
  <c r="B154" i="16"/>
  <c r="G155" i="16"/>
  <c r="B155" i="16"/>
  <c r="G156" i="16"/>
  <c r="B156" i="16"/>
  <c r="G157" i="16"/>
  <c r="B157" i="16"/>
  <c r="G158" i="16"/>
  <c r="B158" i="16"/>
  <c r="G159" i="16"/>
  <c r="B159" i="16"/>
  <c r="G160" i="16"/>
  <c r="B160" i="16"/>
  <c r="G161" i="16"/>
  <c r="B161" i="16"/>
  <c r="G162" i="16"/>
  <c r="B162" i="16"/>
  <c r="G163" i="16"/>
  <c r="B163" i="16"/>
  <c r="G164" i="16"/>
  <c r="B164" i="16"/>
  <c r="G165" i="16"/>
  <c r="B165" i="16"/>
  <c r="G166" i="16"/>
  <c r="B166" i="16"/>
  <c r="G167" i="16"/>
  <c r="B167" i="16"/>
  <c r="G168" i="16"/>
  <c r="B168" i="16"/>
  <c r="G169" i="16"/>
  <c r="B169" i="16"/>
  <c r="G170" i="16"/>
  <c r="B170" i="16"/>
  <c r="G171" i="16"/>
  <c r="B171" i="16"/>
  <c r="G172" i="16"/>
  <c r="B172" i="16"/>
  <c r="G173" i="16"/>
  <c r="B173" i="16"/>
  <c r="G174" i="16"/>
  <c r="B174" i="16"/>
  <c r="G175" i="16"/>
  <c r="B175" i="16"/>
  <c r="G176" i="16"/>
  <c r="B176" i="16"/>
  <c r="G177" i="16"/>
  <c r="B177" i="16"/>
  <c r="G178" i="16"/>
  <c r="B178" i="16"/>
  <c r="G179" i="16"/>
  <c r="B179" i="16"/>
  <c r="G180" i="16"/>
  <c r="B180" i="16"/>
  <c r="G181" i="16"/>
  <c r="B181" i="16"/>
  <c r="G182" i="16"/>
  <c r="B182" i="16"/>
  <c r="G183" i="16"/>
  <c r="B183" i="16"/>
  <c r="G184" i="16"/>
  <c r="B184" i="16"/>
  <c r="G185" i="16"/>
  <c r="B185" i="16"/>
  <c r="G186" i="16"/>
  <c r="B186" i="16"/>
  <c r="G187" i="16"/>
  <c r="B187" i="16"/>
  <c r="G188" i="16"/>
  <c r="B188" i="16"/>
  <c r="G189" i="16"/>
  <c r="B189" i="16"/>
  <c r="G190" i="16"/>
  <c r="B190" i="16"/>
  <c r="G191" i="16"/>
  <c r="B191" i="16"/>
  <c r="G192" i="16"/>
  <c r="B192" i="16"/>
  <c r="G193" i="16"/>
  <c r="B193" i="16"/>
  <c r="G194" i="16"/>
  <c r="B194" i="16"/>
  <c r="G195" i="16"/>
  <c r="B195" i="16"/>
  <c r="G196" i="16"/>
  <c r="B196" i="16"/>
  <c r="G197" i="16"/>
  <c r="B197" i="16"/>
  <c r="G198" i="16"/>
  <c r="B198" i="16"/>
  <c r="G199" i="16"/>
  <c r="B199" i="16"/>
  <c r="G200" i="16"/>
  <c r="B200" i="16"/>
  <c r="G201" i="16"/>
  <c r="B201" i="16"/>
  <c r="G202" i="16"/>
  <c r="B202" i="16"/>
  <c r="G203" i="16"/>
  <c r="B203" i="16"/>
  <c r="G204" i="16"/>
  <c r="B204" i="16"/>
  <c r="G205" i="16"/>
  <c r="B205" i="16"/>
  <c r="G206" i="16"/>
  <c r="B206" i="16"/>
  <c r="G207" i="16"/>
  <c r="B207" i="16"/>
  <c r="G208" i="16"/>
  <c r="B208" i="16"/>
  <c r="G209" i="16"/>
  <c r="B209" i="16"/>
  <c r="G210" i="16"/>
  <c r="B210" i="16"/>
  <c r="G211" i="16"/>
  <c r="B211" i="16"/>
  <c r="G212" i="16"/>
  <c r="B212" i="16"/>
  <c r="G213" i="16"/>
  <c r="B213" i="16"/>
  <c r="G214" i="16"/>
  <c r="B214" i="16"/>
  <c r="G215" i="16"/>
  <c r="B215" i="16"/>
  <c r="G216" i="16"/>
  <c r="B216" i="16"/>
  <c r="G217" i="16"/>
  <c r="B217" i="16"/>
  <c r="G218" i="16"/>
  <c r="B218" i="16"/>
  <c r="G219" i="16"/>
  <c r="B219" i="16"/>
  <c r="G220" i="16"/>
  <c r="B220" i="16"/>
  <c r="G221" i="16"/>
  <c r="B221" i="16"/>
  <c r="G222" i="16"/>
  <c r="B222" i="16"/>
  <c r="G223" i="16"/>
  <c r="B223" i="16"/>
  <c r="G224" i="16"/>
  <c r="B224" i="16"/>
  <c r="G225" i="16"/>
  <c r="B225" i="16"/>
  <c r="G226" i="16"/>
  <c r="B226" i="16"/>
  <c r="G227" i="16"/>
  <c r="B227" i="16"/>
  <c r="G228" i="16"/>
  <c r="B228" i="16"/>
  <c r="G229" i="16"/>
  <c r="B229" i="16"/>
  <c r="G230" i="16"/>
  <c r="B230" i="16"/>
  <c r="G231" i="16"/>
  <c r="B231" i="16"/>
  <c r="G232" i="16"/>
  <c r="B232" i="16"/>
  <c r="G233" i="16"/>
  <c r="B233" i="16"/>
  <c r="G234" i="16"/>
  <c r="B234" i="16"/>
  <c r="G235" i="16"/>
  <c r="B235" i="16"/>
  <c r="G236" i="16"/>
  <c r="B236" i="16"/>
  <c r="G237" i="16"/>
  <c r="B237" i="16"/>
  <c r="G238" i="16"/>
  <c r="B238" i="16"/>
  <c r="G239" i="16"/>
  <c r="B239" i="16"/>
  <c r="G240" i="16"/>
  <c r="B240" i="16"/>
  <c r="G241" i="16"/>
  <c r="B241" i="16"/>
  <c r="G242" i="16"/>
  <c r="B242" i="16"/>
  <c r="G243" i="16"/>
  <c r="B243" i="16"/>
  <c r="G244" i="16"/>
  <c r="B244" i="16"/>
  <c r="G245" i="16"/>
  <c r="B245" i="16"/>
  <c r="G246" i="16"/>
  <c r="B246" i="16"/>
  <c r="G247" i="16"/>
  <c r="B247" i="16"/>
  <c r="G248" i="16"/>
  <c r="B248" i="16"/>
  <c r="G249" i="16"/>
  <c r="B249" i="16"/>
  <c r="G250" i="16"/>
  <c r="B250" i="16"/>
  <c r="G251" i="16"/>
  <c r="B251" i="16"/>
  <c r="G252" i="16"/>
  <c r="B252" i="16"/>
  <c r="G253" i="16"/>
  <c r="B253" i="16"/>
  <c r="G254" i="16"/>
  <c r="B254" i="16"/>
  <c r="G255" i="16"/>
  <c r="B255" i="16"/>
  <c r="G256" i="16"/>
  <c r="B256" i="16"/>
  <c r="G257" i="16"/>
  <c r="B257" i="16"/>
  <c r="G258" i="16"/>
  <c r="B258" i="16"/>
  <c r="G259" i="16"/>
  <c r="B259" i="16"/>
  <c r="G260" i="16"/>
  <c r="B260" i="16"/>
  <c r="G261" i="16"/>
  <c r="B261" i="16"/>
  <c r="G262" i="16"/>
  <c r="B262" i="16"/>
  <c r="G263" i="16"/>
  <c r="B263" i="16"/>
  <c r="G264" i="16"/>
  <c r="B264" i="16"/>
  <c r="G265" i="16"/>
  <c r="B265" i="16"/>
  <c r="G266" i="16"/>
  <c r="B266" i="16"/>
  <c r="G267" i="16"/>
  <c r="B267" i="16"/>
  <c r="G268" i="16"/>
  <c r="B268" i="16"/>
  <c r="G269" i="16"/>
  <c r="B269" i="16"/>
  <c r="G270" i="16"/>
  <c r="B270" i="16"/>
  <c r="G271" i="16"/>
  <c r="B271" i="16"/>
  <c r="G272" i="16"/>
  <c r="B272" i="16"/>
  <c r="G273" i="16"/>
  <c r="B273" i="16"/>
  <c r="G274" i="16"/>
  <c r="B274" i="16"/>
  <c r="G275" i="16"/>
  <c r="B275" i="16"/>
  <c r="G276" i="16"/>
  <c r="B276" i="16"/>
  <c r="G277" i="16"/>
  <c r="B277" i="16"/>
  <c r="G278" i="16"/>
  <c r="B278" i="16"/>
  <c r="G279" i="16"/>
  <c r="B279" i="16"/>
  <c r="G280" i="16"/>
  <c r="B280" i="16"/>
  <c r="G281" i="16"/>
  <c r="B281" i="16"/>
  <c r="G282" i="16"/>
  <c r="B282" i="16"/>
  <c r="G283" i="16"/>
  <c r="B283" i="16"/>
  <c r="G284" i="16"/>
  <c r="B284" i="16"/>
  <c r="G285" i="16"/>
  <c r="B285" i="16"/>
  <c r="G286" i="16"/>
  <c r="B286" i="16"/>
  <c r="G287" i="16"/>
  <c r="B287" i="16"/>
  <c r="G288" i="16"/>
  <c r="B288" i="16"/>
  <c r="G289" i="16"/>
  <c r="B289" i="16"/>
  <c r="G290" i="16"/>
  <c r="B290" i="16"/>
  <c r="G291" i="16"/>
  <c r="B291" i="16"/>
  <c r="G292" i="16"/>
  <c r="B292" i="16"/>
  <c r="G293" i="16"/>
  <c r="B293" i="16"/>
  <c r="G294" i="16"/>
  <c r="B294" i="16"/>
  <c r="G295" i="16"/>
  <c r="B295" i="16"/>
  <c r="G296" i="16"/>
  <c r="B296" i="16"/>
  <c r="G297" i="16"/>
  <c r="B297" i="16"/>
  <c r="G298" i="16"/>
  <c r="B298" i="16"/>
  <c r="G299" i="16"/>
  <c r="B299" i="16"/>
  <c r="G300" i="16"/>
  <c r="B300" i="16"/>
  <c r="G301" i="16"/>
  <c r="B301" i="16"/>
  <c r="G302" i="16"/>
  <c r="B302" i="16"/>
  <c r="G303" i="16"/>
  <c r="B303" i="16"/>
  <c r="G304" i="16"/>
  <c r="B304" i="16"/>
  <c r="G305" i="16"/>
  <c r="B305" i="16"/>
  <c r="G306" i="16"/>
  <c r="B306" i="16"/>
  <c r="G307" i="16"/>
  <c r="B307" i="16"/>
  <c r="G308" i="16"/>
  <c r="B308" i="16"/>
  <c r="G309" i="16"/>
  <c r="B309" i="16"/>
  <c r="G310" i="16"/>
  <c r="B310" i="16"/>
  <c r="G311" i="16"/>
  <c r="B311" i="16"/>
  <c r="G312" i="16"/>
  <c r="B312" i="16"/>
  <c r="G313" i="16"/>
  <c r="B313" i="16"/>
  <c r="G314" i="16"/>
  <c r="B314" i="16"/>
  <c r="G315" i="16"/>
  <c r="B315" i="16"/>
  <c r="G316" i="16"/>
  <c r="B316" i="16"/>
  <c r="G317" i="16"/>
  <c r="B317" i="16"/>
  <c r="G318" i="16"/>
  <c r="B318" i="16"/>
  <c r="G319" i="16"/>
  <c r="B319" i="16"/>
  <c r="G320" i="16"/>
  <c r="B320" i="16"/>
  <c r="G321" i="16"/>
  <c r="B321" i="16"/>
  <c r="G322" i="16"/>
  <c r="B322" i="16"/>
  <c r="G323" i="16"/>
  <c r="B323" i="16"/>
  <c r="G324" i="16"/>
  <c r="B324" i="16"/>
  <c r="G325" i="16"/>
  <c r="B325" i="16"/>
  <c r="G326" i="16"/>
  <c r="B326" i="16"/>
  <c r="G327" i="16"/>
  <c r="B327" i="16"/>
  <c r="G328" i="16"/>
  <c r="B328" i="16"/>
  <c r="G329" i="16"/>
  <c r="B329" i="16"/>
  <c r="G330" i="16"/>
  <c r="B330" i="16"/>
  <c r="G331" i="16"/>
  <c r="B331" i="16"/>
  <c r="G332" i="16"/>
  <c r="B332" i="16"/>
  <c r="G333" i="16"/>
  <c r="B333" i="16"/>
  <c r="G334" i="16"/>
  <c r="B334" i="16"/>
  <c r="G335" i="16"/>
  <c r="B335" i="16"/>
  <c r="G336" i="16"/>
  <c r="B336" i="16"/>
  <c r="G337" i="16"/>
  <c r="B337" i="16"/>
  <c r="G338" i="16"/>
  <c r="B338" i="16"/>
  <c r="G339" i="16"/>
  <c r="B339" i="16"/>
  <c r="G340" i="16"/>
  <c r="B340" i="16"/>
  <c r="G341" i="16"/>
  <c r="B341" i="16"/>
  <c r="G342" i="16"/>
  <c r="B342" i="16"/>
  <c r="G343" i="16"/>
  <c r="B343" i="16"/>
  <c r="G344" i="16"/>
  <c r="B344" i="16"/>
  <c r="G345" i="16"/>
  <c r="B345" i="16"/>
  <c r="G346" i="16"/>
  <c r="B346" i="16"/>
  <c r="G347" i="16"/>
  <c r="B347" i="16"/>
  <c r="G348" i="16"/>
  <c r="B348" i="16"/>
  <c r="G349" i="16"/>
  <c r="B349" i="16"/>
  <c r="G350" i="16"/>
  <c r="B350" i="16"/>
  <c r="G351" i="16"/>
  <c r="B351" i="16"/>
  <c r="G352" i="16"/>
  <c r="B352" i="16"/>
  <c r="G353" i="16"/>
  <c r="B353" i="16"/>
  <c r="G354" i="16"/>
  <c r="B354" i="16"/>
  <c r="G355" i="16"/>
  <c r="B355" i="16"/>
  <c r="G356" i="16"/>
  <c r="B356" i="16"/>
  <c r="G357" i="16"/>
  <c r="B357" i="16"/>
  <c r="G358" i="16"/>
  <c r="B358" i="16"/>
  <c r="G359" i="16"/>
  <c r="B359" i="16"/>
  <c r="G360" i="16"/>
  <c r="B360" i="16"/>
  <c r="G361" i="16"/>
  <c r="B361" i="16"/>
  <c r="G362" i="16"/>
  <c r="B362" i="16"/>
  <c r="G363" i="16"/>
  <c r="B363" i="16"/>
  <c r="G364" i="16"/>
  <c r="B364" i="16"/>
  <c r="G365" i="16"/>
  <c r="B365" i="16"/>
  <c r="G366" i="16"/>
  <c r="B366" i="16"/>
  <c r="G367" i="16"/>
  <c r="B367" i="16"/>
  <c r="G368" i="16"/>
  <c r="B368" i="16"/>
  <c r="G369" i="16"/>
  <c r="B369" i="16"/>
  <c r="G370" i="16"/>
  <c r="B370" i="16"/>
  <c r="G371" i="16"/>
  <c r="B371" i="16"/>
  <c r="G372" i="16"/>
  <c r="B372" i="16"/>
  <c r="G373" i="16"/>
  <c r="B373" i="16"/>
  <c r="G374" i="16"/>
  <c r="B374" i="16"/>
  <c r="G375" i="16"/>
  <c r="B375" i="16"/>
  <c r="G376" i="16"/>
  <c r="B376" i="16"/>
  <c r="G377" i="16"/>
  <c r="B377" i="16"/>
  <c r="G378" i="16"/>
  <c r="B378" i="16"/>
  <c r="G379" i="16"/>
  <c r="B379" i="16"/>
  <c r="G380" i="16"/>
  <c r="B380" i="16"/>
  <c r="G381" i="16"/>
  <c r="B381" i="16"/>
  <c r="G382" i="16"/>
  <c r="B382" i="16"/>
  <c r="G383" i="16"/>
  <c r="B383" i="16"/>
  <c r="G384" i="16"/>
  <c r="B384" i="16"/>
  <c r="G385" i="16"/>
  <c r="B385" i="16"/>
  <c r="G386" i="16"/>
  <c r="B386" i="16"/>
  <c r="G387" i="16"/>
  <c r="B387" i="16"/>
  <c r="G388" i="16"/>
  <c r="B388" i="16"/>
  <c r="G389" i="16"/>
  <c r="B389" i="16"/>
  <c r="G390" i="16"/>
  <c r="B390" i="16"/>
  <c r="G391" i="16"/>
  <c r="B391" i="16"/>
  <c r="G392" i="16"/>
  <c r="B392" i="16"/>
  <c r="G393" i="16"/>
  <c r="B393" i="16"/>
  <c r="G394" i="16"/>
  <c r="B394" i="16"/>
  <c r="G395" i="16"/>
  <c r="B395" i="16"/>
  <c r="G396" i="16"/>
  <c r="B396" i="16"/>
  <c r="G397" i="16"/>
  <c r="B397" i="16"/>
  <c r="G398" i="16"/>
  <c r="B398" i="16"/>
  <c r="G399" i="16"/>
  <c r="B399" i="16"/>
  <c r="G400" i="16"/>
  <c r="B400" i="16"/>
  <c r="B401" i="16"/>
  <c r="F400" i="16"/>
  <c r="F399" i="16"/>
  <c r="F398" i="16"/>
  <c r="F397" i="16"/>
  <c r="F396" i="16"/>
  <c r="F395" i="16"/>
  <c r="F394" i="16"/>
  <c r="F393" i="16"/>
  <c r="F392" i="16"/>
  <c r="F391" i="16"/>
  <c r="F390" i="16"/>
  <c r="F389" i="16"/>
  <c r="F388" i="16"/>
  <c r="F387" i="16"/>
  <c r="F386" i="16"/>
  <c r="F385" i="16"/>
  <c r="F384" i="16"/>
  <c r="F383" i="16"/>
  <c r="F382" i="16"/>
  <c r="F381" i="16"/>
  <c r="F380" i="16"/>
  <c r="F379" i="16"/>
  <c r="F378" i="16"/>
  <c r="F377" i="16"/>
  <c r="F376" i="16"/>
  <c r="F375" i="16"/>
  <c r="F374" i="16"/>
  <c r="F373" i="16"/>
  <c r="F372" i="16"/>
  <c r="F371" i="16"/>
  <c r="F370" i="16"/>
  <c r="F369" i="16"/>
  <c r="F368" i="16"/>
  <c r="F367" i="16"/>
  <c r="F366" i="16"/>
  <c r="F365" i="16"/>
  <c r="F364" i="16"/>
  <c r="F363" i="16"/>
  <c r="F362" i="16"/>
  <c r="F361" i="16"/>
  <c r="F360" i="16"/>
  <c r="F359" i="16"/>
  <c r="F358" i="16"/>
  <c r="F357" i="16"/>
  <c r="F356" i="16"/>
  <c r="F355" i="16"/>
  <c r="F354" i="16"/>
  <c r="F353" i="16"/>
  <c r="F352" i="16"/>
  <c r="F351" i="16"/>
  <c r="F350" i="16"/>
  <c r="F349" i="16"/>
  <c r="F348" i="16"/>
  <c r="F347" i="16"/>
  <c r="F346" i="16"/>
  <c r="F345" i="16"/>
  <c r="F344" i="16"/>
  <c r="F343" i="16"/>
  <c r="F342" i="16"/>
  <c r="F341" i="16"/>
  <c r="F340" i="16"/>
  <c r="F339" i="16"/>
  <c r="F338" i="16"/>
  <c r="F337" i="16"/>
  <c r="F336" i="16"/>
  <c r="F335" i="16"/>
  <c r="F334" i="16"/>
  <c r="F333" i="16"/>
  <c r="F332" i="16"/>
  <c r="F331" i="16"/>
  <c r="F330" i="16"/>
  <c r="F329" i="16"/>
  <c r="F328" i="16"/>
  <c r="F327" i="16"/>
  <c r="F326" i="16"/>
  <c r="F325" i="16"/>
  <c r="F324" i="16"/>
  <c r="F323" i="16"/>
  <c r="F322" i="16"/>
  <c r="F321" i="16"/>
  <c r="F320" i="16"/>
  <c r="F319" i="16"/>
  <c r="F318" i="16"/>
  <c r="F317" i="16"/>
  <c r="F316" i="16"/>
  <c r="F315" i="16"/>
  <c r="F314" i="16"/>
  <c r="F313" i="16"/>
  <c r="F312" i="16"/>
  <c r="F311" i="16"/>
  <c r="F310" i="16"/>
  <c r="F309" i="16"/>
  <c r="F308" i="16"/>
  <c r="F307" i="16"/>
  <c r="F306" i="16"/>
  <c r="F305" i="16"/>
  <c r="F304" i="16"/>
  <c r="F303" i="16"/>
  <c r="F302" i="16"/>
  <c r="F301" i="16"/>
  <c r="F300" i="16"/>
  <c r="F299" i="16"/>
  <c r="F298" i="16"/>
  <c r="F297" i="16"/>
  <c r="F296" i="16"/>
  <c r="F295" i="16"/>
  <c r="F294" i="16"/>
  <c r="F293" i="16"/>
  <c r="F292" i="16"/>
  <c r="F291" i="16"/>
  <c r="F290" i="16"/>
  <c r="F289" i="16"/>
  <c r="F288" i="16"/>
  <c r="F287" i="16"/>
  <c r="F286" i="16"/>
  <c r="F285" i="16"/>
  <c r="F284" i="16"/>
  <c r="F283" i="16"/>
  <c r="F282" i="16"/>
  <c r="F281" i="16"/>
  <c r="F280" i="16"/>
  <c r="F279" i="16"/>
  <c r="F278" i="16"/>
  <c r="F277" i="16"/>
  <c r="F276" i="16"/>
  <c r="F275" i="16"/>
  <c r="F274" i="16"/>
  <c r="F273" i="16"/>
  <c r="F272" i="16"/>
  <c r="F271" i="16"/>
  <c r="F270" i="16"/>
  <c r="F269" i="16"/>
  <c r="F268" i="16"/>
  <c r="F267" i="16"/>
  <c r="F266" i="16"/>
  <c r="F265" i="16"/>
  <c r="F264" i="16"/>
  <c r="F263" i="16"/>
  <c r="F262" i="16"/>
  <c r="F261" i="16"/>
  <c r="F260" i="16"/>
  <c r="F259" i="16"/>
  <c r="F258" i="16"/>
  <c r="F257" i="16"/>
  <c r="F256" i="16"/>
  <c r="F255" i="16"/>
  <c r="F254" i="16"/>
  <c r="F253" i="16"/>
  <c r="F252" i="16"/>
  <c r="F251" i="16"/>
  <c r="F250" i="16"/>
  <c r="F249" i="16"/>
  <c r="F248" i="16"/>
  <c r="F247" i="16"/>
  <c r="F246" i="16"/>
  <c r="F245" i="16"/>
  <c r="F244" i="16"/>
  <c r="F243" i="16"/>
  <c r="F242" i="16"/>
  <c r="F241" i="16"/>
  <c r="F240" i="16"/>
  <c r="F239" i="16"/>
  <c r="F238" i="16"/>
  <c r="F237" i="16"/>
  <c r="F236" i="16"/>
  <c r="F235" i="16"/>
  <c r="F234" i="16"/>
  <c r="F233" i="16"/>
  <c r="F232" i="16"/>
  <c r="F231" i="16"/>
  <c r="F230" i="16"/>
  <c r="F229" i="16"/>
  <c r="F228" i="16"/>
  <c r="F227" i="16"/>
  <c r="F226" i="16"/>
  <c r="F225" i="16"/>
  <c r="F224" i="16"/>
  <c r="F223" i="16"/>
  <c r="F222" i="16"/>
  <c r="F221" i="16"/>
  <c r="F220" i="16"/>
  <c r="F219" i="16"/>
  <c r="F218" i="16"/>
  <c r="F217" i="16"/>
  <c r="F216" i="16"/>
  <c r="F215" i="16"/>
  <c r="F214" i="16"/>
  <c r="F213" i="16"/>
  <c r="F212" i="16"/>
  <c r="F211" i="16"/>
  <c r="F210" i="16"/>
  <c r="F209" i="16"/>
  <c r="F208" i="16"/>
  <c r="F207" i="16"/>
  <c r="F206" i="16"/>
  <c r="F205" i="16"/>
  <c r="F204" i="16"/>
  <c r="F203" i="16"/>
  <c r="F202" i="16"/>
  <c r="F201" i="16"/>
  <c r="F200" i="16"/>
  <c r="F199" i="16"/>
  <c r="F198" i="16"/>
  <c r="F197" i="16"/>
  <c r="F196" i="16"/>
  <c r="F195" i="16"/>
  <c r="F194" i="16"/>
  <c r="F193" i="16"/>
  <c r="F192" i="16"/>
  <c r="F191" i="16"/>
  <c r="F190" i="16"/>
  <c r="F189" i="16"/>
  <c r="F188" i="16"/>
  <c r="F187" i="16"/>
  <c r="F186" i="16"/>
  <c r="F185" i="16"/>
  <c r="F184" i="16"/>
  <c r="F183" i="16"/>
  <c r="F182" i="16"/>
  <c r="F181" i="16"/>
  <c r="F180" i="16"/>
  <c r="F179" i="16"/>
  <c r="F178" i="16"/>
  <c r="F177" i="16"/>
  <c r="F176" i="16"/>
  <c r="F175" i="16"/>
  <c r="F174" i="16"/>
  <c r="F173" i="16"/>
  <c r="F172" i="16"/>
  <c r="F171" i="16"/>
  <c r="F170" i="16"/>
  <c r="F169" i="16"/>
  <c r="F168" i="16"/>
  <c r="F167" i="16"/>
  <c r="F166" i="16"/>
  <c r="F165" i="16"/>
  <c r="F164" i="16"/>
  <c r="F163" i="16"/>
  <c r="F162" i="16"/>
  <c r="F161" i="16"/>
  <c r="F160" i="16"/>
  <c r="F159" i="16"/>
  <c r="F158" i="16"/>
  <c r="F157" i="16"/>
  <c r="F156" i="16"/>
  <c r="F155" i="16"/>
  <c r="F154" i="16"/>
  <c r="F153" i="16"/>
  <c r="F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F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F62" i="16"/>
  <c r="F61" i="16"/>
  <c r="F60" i="16"/>
  <c r="F59" i="16"/>
  <c r="F58" i="16"/>
  <c r="F57" i="16"/>
  <c r="F56" i="16"/>
  <c r="F55" i="16"/>
  <c r="F54" i="16"/>
  <c r="F53" i="16"/>
  <c r="F52" i="16"/>
  <c r="F51" i="16"/>
  <c r="F50" i="16"/>
  <c r="F49"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C4" i="16"/>
  <c r="C3" i="16"/>
  <c r="C2" i="16"/>
  <c r="K48" i="16"/>
  <c r="F48" i="16"/>
  <c r="K47" i="16"/>
  <c r="F47" i="16"/>
  <c r="K46" i="16"/>
  <c r="F46" i="16"/>
  <c r="F31" i="16"/>
  <c r="K45" i="16"/>
  <c r="F45" i="16"/>
  <c r="F16" i="16"/>
  <c r="K44" i="16"/>
  <c r="F44" i="16"/>
  <c r="F11" i="16"/>
  <c r="K43" i="16"/>
  <c r="F43" i="16"/>
  <c r="F42" i="16"/>
  <c r="F41" i="16"/>
  <c r="F40" i="16"/>
  <c r="F39" i="16"/>
  <c r="F38" i="16"/>
  <c r="F37" i="16"/>
  <c r="F36" i="16"/>
  <c r="F35" i="16"/>
  <c r="F34" i="16"/>
  <c r="F33" i="16"/>
  <c r="F32" i="16"/>
  <c r="F30" i="16"/>
  <c r="F29" i="16"/>
  <c r="F28" i="16"/>
  <c r="F27" i="16"/>
  <c r="F26" i="16"/>
  <c r="F25" i="16"/>
  <c r="F24" i="16"/>
  <c r="F23" i="16"/>
  <c r="F22" i="16"/>
  <c r="F21" i="16"/>
  <c r="F20" i="16"/>
  <c r="F19" i="16"/>
  <c r="F18" i="16"/>
  <c r="F17" i="16"/>
  <c r="F15" i="16"/>
  <c r="F14" i="16"/>
  <c r="F13" i="16"/>
  <c r="F12" i="16"/>
  <c r="F10" i="16"/>
  <c r="F9" i="16"/>
  <c r="F8" i="16"/>
  <c r="F7" i="16"/>
  <c r="F6" i="16"/>
  <c r="F5" i="16"/>
  <c r="F4" i="16"/>
  <c r="F3" i="16"/>
  <c r="I2" i="16"/>
  <c r="F2" i="16"/>
  <c r="H92" i="15"/>
  <c r="H128"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H11" i="15"/>
  <c r="C10" i="15"/>
  <c r="H10" i="15"/>
  <c r="C9" i="15"/>
  <c r="H9" i="15"/>
  <c r="C8" i="15"/>
  <c r="H8" i="15"/>
  <c r="C7" i="15"/>
  <c r="H7" i="15"/>
  <c r="C6" i="15"/>
  <c r="H6" i="15"/>
  <c r="C5" i="15"/>
  <c r="H5" i="15"/>
  <c r="C4" i="15"/>
  <c r="H4" i="15"/>
  <c r="C3" i="15"/>
  <c r="H3" i="15"/>
  <c r="C2" i="15"/>
  <c r="I401" i="15"/>
  <c r="H401" i="15"/>
  <c r="G401" i="15"/>
  <c r="F401" i="15"/>
  <c r="I3" i="15"/>
  <c r="E3" i="15"/>
  <c r="I4" i="15"/>
  <c r="E4" i="15"/>
  <c r="I5" i="15"/>
  <c r="E5" i="15"/>
  <c r="I6" i="15"/>
  <c r="E6" i="15"/>
  <c r="I7" i="15"/>
  <c r="E7" i="15"/>
  <c r="I8" i="15"/>
  <c r="E8" i="15"/>
  <c r="I9" i="15"/>
  <c r="E9" i="15"/>
  <c r="I10" i="15"/>
  <c r="E10" i="15"/>
  <c r="I11" i="15"/>
  <c r="E11" i="15"/>
  <c r="I12" i="15"/>
  <c r="E12" i="15"/>
  <c r="I13" i="15"/>
  <c r="E13" i="15"/>
  <c r="I14" i="15"/>
  <c r="E14" i="15"/>
  <c r="I15" i="15"/>
  <c r="E15" i="15"/>
  <c r="I16" i="15"/>
  <c r="E16" i="15"/>
  <c r="I17" i="15"/>
  <c r="E17" i="15"/>
  <c r="I18" i="15"/>
  <c r="E18" i="15"/>
  <c r="I19" i="15"/>
  <c r="E19" i="15"/>
  <c r="I20" i="15"/>
  <c r="E20" i="15"/>
  <c r="I21" i="15"/>
  <c r="E21" i="15"/>
  <c r="I22" i="15"/>
  <c r="E22" i="15"/>
  <c r="I23" i="15"/>
  <c r="E23" i="15"/>
  <c r="I24" i="15"/>
  <c r="E24" i="15"/>
  <c r="I25" i="15"/>
  <c r="E25" i="15"/>
  <c r="I26" i="15"/>
  <c r="E26" i="15"/>
  <c r="I27" i="15"/>
  <c r="E27" i="15"/>
  <c r="I28" i="15"/>
  <c r="E28" i="15"/>
  <c r="I29" i="15"/>
  <c r="E29" i="15"/>
  <c r="I30" i="15"/>
  <c r="E30" i="15"/>
  <c r="I31" i="15"/>
  <c r="E31" i="15"/>
  <c r="I32" i="15"/>
  <c r="E32" i="15"/>
  <c r="I33" i="15"/>
  <c r="E33" i="15"/>
  <c r="I34" i="15"/>
  <c r="E34" i="15"/>
  <c r="I35" i="15"/>
  <c r="E35" i="15"/>
  <c r="I36" i="15"/>
  <c r="E36" i="15"/>
  <c r="I37" i="15"/>
  <c r="E37" i="15"/>
  <c r="I38" i="15"/>
  <c r="E38" i="15"/>
  <c r="I39" i="15"/>
  <c r="E39" i="15"/>
  <c r="I40" i="15"/>
  <c r="E40" i="15"/>
  <c r="I41" i="15"/>
  <c r="E41" i="15"/>
  <c r="I42" i="15"/>
  <c r="E42" i="15"/>
  <c r="I43" i="15"/>
  <c r="E43" i="15"/>
  <c r="I44" i="15"/>
  <c r="E44" i="15"/>
  <c r="I45" i="15"/>
  <c r="E45" i="15"/>
  <c r="I46" i="15"/>
  <c r="E46" i="15"/>
  <c r="I47" i="15"/>
  <c r="E47" i="15"/>
  <c r="I48" i="15"/>
  <c r="E48" i="15"/>
  <c r="I49" i="15"/>
  <c r="E49" i="15"/>
  <c r="I50" i="15"/>
  <c r="E50" i="15"/>
  <c r="I51" i="15"/>
  <c r="E51" i="15"/>
  <c r="I52" i="15"/>
  <c r="E52" i="15"/>
  <c r="I53" i="15"/>
  <c r="E53" i="15"/>
  <c r="I54" i="15"/>
  <c r="E54" i="15"/>
  <c r="I55" i="15"/>
  <c r="E55" i="15"/>
  <c r="I56" i="15"/>
  <c r="E56" i="15"/>
  <c r="I57" i="15"/>
  <c r="E57" i="15"/>
  <c r="I58" i="15"/>
  <c r="E58" i="15"/>
  <c r="I59" i="15"/>
  <c r="E59" i="15"/>
  <c r="I60" i="15"/>
  <c r="E60" i="15"/>
  <c r="I61" i="15"/>
  <c r="E61" i="15"/>
  <c r="I62" i="15"/>
  <c r="E62" i="15"/>
  <c r="I63" i="15"/>
  <c r="E63" i="15"/>
  <c r="I64" i="15"/>
  <c r="E64" i="15"/>
  <c r="I65" i="15"/>
  <c r="E65" i="15"/>
  <c r="I66" i="15"/>
  <c r="E66" i="15"/>
  <c r="I67" i="15"/>
  <c r="E67" i="15"/>
  <c r="I68" i="15"/>
  <c r="E68" i="15"/>
  <c r="I69" i="15"/>
  <c r="E69" i="15"/>
  <c r="I70" i="15"/>
  <c r="E70" i="15"/>
  <c r="I71" i="15"/>
  <c r="E71" i="15"/>
  <c r="I72" i="15"/>
  <c r="E72" i="15"/>
  <c r="I73" i="15"/>
  <c r="E73" i="15"/>
  <c r="I74" i="15"/>
  <c r="E74" i="15"/>
  <c r="I75" i="15"/>
  <c r="E75" i="15"/>
  <c r="I76" i="15"/>
  <c r="E76" i="15"/>
  <c r="I77" i="15"/>
  <c r="E77" i="15"/>
  <c r="I78" i="15"/>
  <c r="E78" i="15"/>
  <c r="I79" i="15"/>
  <c r="E79" i="15"/>
  <c r="I80" i="15"/>
  <c r="E80" i="15"/>
  <c r="I81" i="15"/>
  <c r="E81" i="15"/>
  <c r="I82" i="15"/>
  <c r="E82" i="15"/>
  <c r="I83" i="15"/>
  <c r="E83" i="15"/>
  <c r="I84" i="15"/>
  <c r="E84" i="15"/>
  <c r="I85" i="15"/>
  <c r="E85" i="15"/>
  <c r="I86" i="15"/>
  <c r="E86" i="15"/>
  <c r="I87" i="15"/>
  <c r="E87" i="15"/>
  <c r="I88" i="15"/>
  <c r="E88" i="15"/>
  <c r="I89" i="15"/>
  <c r="E89" i="15"/>
  <c r="I90" i="15"/>
  <c r="E90" i="15"/>
  <c r="I91" i="15"/>
  <c r="E91" i="15"/>
  <c r="I92" i="15"/>
  <c r="E92" i="15"/>
  <c r="I93" i="15"/>
  <c r="E93" i="15"/>
  <c r="I94" i="15"/>
  <c r="E94" i="15"/>
  <c r="I95" i="15"/>
  <c r="E95" i="15"/>
  <c r="I96" i="15"/>
  <c r="E96" i="15"/>
  <c r="I97" i="15"/>
  <c r="E97" i="15"/>
  <c r="I98" i="15"/>
  <c r="E98" i="15"/>
  <c r="I99" i="15"/>
  <c r="E99" i="15"/>
  <c r="I100" i="15"/>
  <c r="E100" i="15"/>
  <c r="I101" i="15"/>
  <c r="E101" i="15"/>
  <c r="I102" i="15"/>
  <c r="E102" i="15"/>
  <c r="I103" i="15"/>
  <c r="E103" i="15"/>
  <c r="I104" i="15"/>
  <c r="E104" i="15"/>
  <c r="I105" i="15"/>
  <c r="E105" i="15"/>
  <c r="I106" i="15"/>
  <c r="E106" i="15"/>
  <c r="I107" i="15"/>
  <c r="E107" i="15"/>
  <c r="I108" i="15"/>
  <c r="E108" i="15"/>
  <c r="I109" i="15"/>
  <c r="E109" i="15"/>
  <c r="I110" i="15"/>
  <c r="E110" i="15"/>
  <c r="I111" i="15"/>
  <c r="E111" i="15"/>
  <c r="I112" i="15"/>
  <c r="E112" i="15"/>
  <c r="I113" i="15"/>
  <c r="E113" i="15"/>
  <c r="I114" i="15"/>
  <c r="E114" i="15"/>
  <c r="I115" i="15"/>
  <c r="E115" i="15"/>
  <c r="I116" i="15"/>
  <c r="E116" i="15"/>
  <c r="I117" i="15"/>
  <c r="E117" i="15"/>
  <c r="I118" i="15"/>
  <c r="E118" i="15"/>
  <c r="I119" i="15"/>
  <c r="E119" i="15"/>
  <c r="I120" i="15"/>
  <c r="E120" i="15"/>
  <c r="I121" i="15"/>
  <c r="E121" i="15"/>
  <c r="I122" i="15"/>
  <c r="E122" i="15"/>
  <c r="I123" i="15"/>
  <c r="E123" i="15"/>
  <c r="I124" i="15"/>
  <c r="E124" i="15"/>
  <c r="I125" i="15"/>
  <c r="E125" i="15"/>
  <c r="I126" i="15"/>
  <c r="E126" i="15"/>
  <c r="I127" i="15"/>
  <c r="E127" i="15"/>
  <c r="I128" i="15"/>
  <c r="E128" i="15"/>
  <c r="I129" i="15"/>
  <c r="E129" i="15"/>
  <c r="I130" i="15"/>
  <c r="E130" i="15"/>
  <c r="I131" i="15"/>
  <c r="E131" i="15"/>
  <c r="I132" i="15"/>
  <c r="E132" i="15"/>
  <c r="I133" i="15"/>
  <c r="E133" i="15"/>
  <c r="I134" i="15"/>
  <c r="E134" i="15"/>
  <c r="I135" i="15"/>
  <c r="E135" i="15"/>
  <c r="I136" i="15"/>
  <c r="E136" i="15"/>
  <c r="I137" i="15"/>
  <c r="E137" i="15"/>
  <c r="I138" i="15"/>
  <c r="E138" i="15"/>
  <c r="I139" i="15"/>
  <c r="E139" i="15"/>
  <c r="I140" i="15"/>
  <c r="E140" i="15"/>
  <c r="I141" i="15"/>
  <c r="E141" i="15"/>
  <c r="I142" i="15"/>
  <c r="E142" i="15"/>
  <c r="I143" i="15"/>
  <c r="E143" i="15"/>
  <c r="I144" i="15"/>
  <c r="E144" i="15"/>
  <c r="I145" i="15"/>
  <c r="E145" i="15"/>
  <c r="I146" i="15"/>
  <c r="E146" i="15"/>
  <c r="I147" i="15"/>
  <c r="E147" i="15"/>
  <c r="I148" i="15"/>
  <c r="E148" i="15"/>
  <c r="I149" i="15"/>
  <c r="E149" i="15"/>
  <c r="I150" i="15"/>
  <c r="E150" i="15"/>
  <c r="I151" i="15"/>
  <c r="E151" i="15"/>
  <c r="I152" i="15"/>
  <c r="E152" i="15"/>
  <c r="I153" i="15"/>
  <c r="E153" i="15"/>
  <c r="I154" i="15"/>
  <c r="E154" i="15"/>
  <c r="I155" i="15"/>
  <c r="E155" i="15"/>
  <c r="I156" i="15"/>
  <c r="E156" i="15"/>
  <c r="I157" i="15"/>
  <c r="E157" i="15"/>
  <c r="I158" i="15"/>
  <c r="E158" i="15"/>
  <c r="I159" i="15"/>
  <c r="E159" i="15"/>
  <c r="I160" i="15"/>
  <c r="E160" i="15"/>
  <c r="I161" i="15"/>
  <c r="E161" i="15"/>
  <c r="I162" i="15"/>
  <c r="E162" i="15"/>
  <c r="I163" i="15"/>
  <c r="E163" i="15"/>
  <c r="I164" i="15"/>
  <c r="E164" i="15"/>
  <c r="I165" i="15"/>
  <c r="E165" i="15"/>
  <c r="I166" i="15"/>
  <c r="E166" i="15"/>
  <c r="I167" i="15"/>
  <c r="E167" i="15"/>
  <c r="I168" i="15"/>
  <c r="E168" i="15"/>
  <c r="I169" i="15"/>
  <c r="E169" i="15"/>
  <c r="I170" i="15"/>
  <c r="E170" i="15"/>
  <c r="I171" i="15"/>
  <c r="E171" i="15"/>
  <c r="I172" i="15"/>
  <c r="E172" i="15"/>
  <c r="I173" i="15"/>
  <c r="E173" i="15"/>
  <c r="I174" i="15"/>
  <c r="E174" i="15"/>
  <c r="I175" i="15"/>
  <c r="E175" i="15"/>
  <c r="I176" i="15"/>
  <c r="E176" i="15"/>
  <c r="I177" i="15"/>
  <c r="E177" i="15"/>
  <c r="I178" i="15"/>
  <c r="E178" i="15"/>
  <c r="I179" i="15"/>
  <c r="E179" i="15"/>
  <c r="I180" i="15"/>
  <c r="E180" i="15"/>
  <c r="I181" i="15"/>
  <c r="E181" i="15"/>
  <c r="I182" i="15"/>
  <c r="E182" i="15"/>
  <c r="I183" i="15"/>
  <c r="E183" i="15"/>
  <c r="I184" i="15"/>
  <c r="E184" i="15"/>
  <c r="I185" i="15"/>
  <c r="E185" i="15"/>
  <c r="I186" i="15"/>
  <c r="E186" i="15"/>
  <c r="I187" i="15"/>
  <c r="E187" i="15"/>
  <c r="I188" i="15"/>
  <c r="E188" i="15"/>
  <c r="I189" i="15"/>
  <c r="E189" i="15"/>
  <c r="I190" i="15"/>
  <c r="E190" i="15"/>
  <c r="I191" i="15"/>
  <c r="E191" i="15"/>
  <c r="I192" i="15"/>
  <c r="E192" i="15"/>
  <c r="I193" i="15"/>
  <c r="E193" i="15"/>
  <c r="I194" i="15"/>
  <c r="E194" i="15"/>
  <c r="I195" i="15"/>
  <c r="E195" i="15"/>
  <c r="I196" i="15"/>
  <c r="E196" i="15"/>
  <c r="I197" i="15"/>
  <c r="E197" i="15"/>
  <c r="I198" i="15"/>
  <c r="E198" i="15"/>
  <c r="I199" i="15"/>
  <c r="E199" i="15"/>
  <c r="I200" i="15"/>
  <c r="E200" i="15"/>
  <c r="I201" i="15"/>
  <c r="E201" i="15"/>
  <c r="I202" i="15"/>
  <c r="E202" i="15"/>
  <c r="I203" i="15"/>
  <c r="E203" i="15"/>
  <c r="I204" i="15"/>
  <c r="E204" i="15"/>
  <c r="I205" i="15"/>
  <c r="E205" i="15"/>
  <c r="I206" i="15"/>
  <c r="E206" i="15"/>
  <c r="I207" i="15"/>
  <c r="E207" i="15"/>
  <c r="I208" i="15"/>
  <c r="E208" i="15"/>
  <c r="I209" i="15"/>
  <c r="E209" i="15"/>
  <c r="I210" i="15"/>
  <c r="E210" i="15"/>
  <c r="I211" i="15"/>
  <c r="E211" i="15"/>
  <c r="I212" i="15"/>
  <c r="E212" i="15"/>
  <c r="I213" i="15"/>
  <c r="E213" i="15"/>
  <c r="I214" i="15"/>
  <c r="E214" i="15"/>
  <c r="I215" i="15"/>
  <c r="E215" i="15"/>
  <c r="I216" i="15"/>
  <c r="E216" i="15"/>
  <c r="I217" i="15"/>
  <c r="E217" i="15"/>
  <c r="I218" i="15"/>
  <c r="E218" i="15"/>
  <c r="I219" i="15"/>
  <c r="E219" i="15"/>
  <c r="I220" i="15"/>
  <c r="E220" i="15"/>
  <c r="I221" i="15"/>
  <c r="E221" i="15"/>
  <c r="I222" i="15"/>
  <c r="E222" i="15"/>
  <c r="I223" i="15"/>
  <c r="E223" i="15"/>
  <c r="I224" i="15"/>
  <c r="E224" i="15"/>
  <c r="I225" i="15"/>
  <c r="E225" i="15"/>
  <c r="I226" i="15"/>
  <c r="E226" i="15"/>
  <c r="I227" i="15"/>
  <c r="E227" i="15"/>
  <c r="I228" i="15"/>
  <c r="E228" i="15"/>
  <c r="I229" i="15"/>
  <c r="E229" i="15"/>
  <c r="I230" i="15"/>
  <c r="E230" i="15"/>
  <c r="I231" i="15"/>
  <c r="E231" i="15"/>
  <c r="I232" i="15"/>
  <c r="E232" i="15"/>
  <c r="I233" i="15"/>
  <c r="E233" i="15"/>
  <c r="I234" i="15"/>
  <c r="E234" i="15"/>
  <c r="I235" i="15"/>
  <c r="E235" i="15"/>
  <c r="I236" i="15"/>
  <c r="E236" i="15"/>
  <c r="I237" i="15"/>
  <c r="E237" i="15"/>
  <c r="I238" i="15"/>
  <c r="E238" i="15"/>
  <c r="I239" i="15"/>
  <c r="E239" i="15"/>
  <c r="I240" i="15"/>
  <c r="E240" i="15"/>
  <c r="I241" i="15"/>
  <c r="E241" i="15"/>
  <c r="I242" i="15"/>
  <c r="E242" i="15"/>
  <c r="I243" i="15"/>
  <c r="E243" i="15"/>
  <c r="I244" i="15"/>
  <c r="E244" i="15"/>
  <c r="I245" i="15"/>
  <c r="E245" i="15"/>
  <c r="I246" i="15"/>
  <c r="E246" i="15"/>
  <c r="I247" i="15"/>
  <c r="E247" i="15"/>
  <c r="I248" i="15"/>
  <c r="E248" i="15"/>
  <c r="I249" i="15"/>
  <c r="E249" i="15"/>
  <c r="I250" i="15"/>
  <c r="E250" i="15"/>
  <c r="I251" i="15"/>
  <c r="E251" i="15"/>
  <c r="I252" i="15"/>
  <c r="E252" i="15"/>
  <c r="I253" i="15"/>
  <c r="E253" i="15"/>
  <c r="I254" i="15"/>
  <c r="E254" i="15"/>
  <c r="I255" i="15"/>
  <c r="E255" i="15"/>
  <c r="I256" i="15"/>
  <c r="E256" i="15"/>
  <c r="I257" i="15"/>
  <c r="E257" i="15"/>
  <c r="I258" i="15"/>
  <c r="E258" i="15"/>
  <c r="I259" i="15"/>
  <c r="E259" i="15"/>
  <c r="I260" i="15"/>
  <c r="E260" i="15"/>
  <c r="I261" i="15"/>
  <c r="E261" i="15"/>
  <c r="I262" i="15"/>
  <c r="E262" i="15"/>
  <c r="I263" i="15"/>
  <c r="E263" i="15"/>
  <c r="I264" i="15"/>
  <c r="E264" i="15"/>
  <c r="I265" i="15"/>
  <c r="E265" i="15"/>
  <c r="I266" i="15"/>
  <c r="E266" i="15"/>
  <c r="I267" i="15"/>
  <c r="E267" i="15"/>
  <c r="I268" i="15"/>
  <c r="E268" i="15"/>
  <c r="I269" i="15"/>
  <c r="E269" i="15"/>
  <c r="I270" i="15"/>
  <c r="E270" i="15"/>
  <c r="I271" i="15"/>
  <c r="E271" i="15"/>
  <c r="I272" i="15"/>
  <c r="E272" i="15"/>
  <c r="I273" i="15"/>
  <c r="E273" i="15"/>
  <c r="I274" i="15"/>
  <c r="E274" i="15"/>
  <c r="I275" i="15"/>
  <c r="E275" i="15"/>
  <c r="I276" i="15"/>
  <c r="E276" i="15"/>
  <c r="I277" i="15"/>
  <c r="E277" i="15"/>
  <c r="I278" i="15"/>
  <c r="E278" i="15"/>
  <c r="I279" i="15"/>
  <c r="E279" i="15"/>
  <c r="I280" i="15"/>
  <c r="E280" i="15"/>
  <c r="I281" i="15"/>
  <c r="E281" i="15"/>
  <c r="I282" i="15"/>
  <c r="E282" i="15"/>
  <c r="I283" i="15"/>
  <c r="E283" i="15"/>
  <c r="I284" i="15"/>
  <c r="E284" i="15"/>
  <c r="I285" i="15"/>
  <c r="E285" i="15"/>
  <c r="I286" i="15"/>
  <c r="E286" i="15"/>
  <c r="I287" i="15"/>
  <c r="E287" i="15"/>
  <c r="I288" i="15"/>
  <c r="E288" i="15"/>
  <c r="I289" i="15"/>
  <c r="E289" i="15"/>
  <c r="I290" i="15"/>
  <c r="E290" i="15"/>
  <c r="I291" i="15"/>
  <c r="E291" i="15"/>
  <c r="I292" i="15"/>
  <c r="E292" i="15"/>
  <c r="I293" i="15"/>
  <c r="E293" i="15"/>
  <c r="I294" i="15"/>
  <c r="E294" i="15"/>
  <c r="I295" i="15"/>
  <c r="E295" i="15"/>
  <c r="I296" i="15"/>
  <c r="E296" i="15"/>
  <c r="I297" i="15"/>
  <c r="E297" i="15"/>
  <c r="I298" i="15"/>
  <c r="E298" i="15"/>
  <c r="I299" i="15"/>
  <c r="E299" i="15"/>
  <c r="I300" i="15"/>
  <c r="E300" i="15"/>
  <c r="I301" i="15"/>
  <c r="E301" i="15"/>
  <c r="I302" i="15"/>
  <c r="E302" i="15"/>
  <c r="I303" i="15"/>
  <c r="E303" i="15"/>
  <c r="I304" i="15"/>
  <c r="E304" i="15"/>
  <c r="I305" i="15"/>
  <c r="E305" i="15"/>
  <c r="I306" i="15"/>
  <c r="E306" i="15"/>
  <c r="I307" i="15"/>
  <c r="E307" i="15"/>
  <c r="I308" i="15"/>
  <c r="E308" i="15"/>
  <c r="I309" i="15"/>
  <c r="E309" i="15"/>
  <c r="I310" i="15"/>
  <c r="E310" i="15"/>
  <c r="I311" i="15"/>
  <c r="E311" i="15"/>
  <c r="I312" i="15"/>
  <c r="E312" i="15"/>
  <c r="I313" i="15"/>
  <c r="E313" i="15"/>
  <c r="I314" i="15"/>
  <c r="E314" i="15"/>
  <c r="I315" i="15"/>
  <c r="E315" i="15"/>
  <c r="I316" i="15"/>
  <c r="E316" i="15"/>
  <c r="I317" i="15"/>
  <c r="E317" i="15"/>
  <c r="I318" i="15"/>
  <c r="E318" i="15"/>
  <c r="I319" i="15"/>
  <c r="E319" i="15"/>
  <c r="I320" i="15"/>
  <c r="E320" i="15"/>
  <c r="I321" i="15"/>
  <c r="E321" i="15"/>
  <c r="I322" i="15"/>
  <c r="E322" i="15"/>
  <c r="I323" i="15"/>
  <c r="E323" i="15"/>
  <c r="I324" i="15"/>
  <c r="E324" i="15"/>
  <c r="I325" i="15"/>
  <c r="E325" i="15"/>
  <c r="I326" i="15"/>
  <c r="E326" i="15"/>
  <c r="I327" i="15"/>
  <c r="E327" i="15"/>
  <c r="I328" i="15"/>
  <c r="E328" i="15"/>
  <c r="I329" i="15"/>
  <c r="E329" i="15"/>
  <c r="I330" i="15"/>
  <c r="E330" i="15"/>
  <c r="I331" i="15"/>
  <c r="E331" i="15"/>
  <c r="I332" i="15"/>
  <c r="E332" i="15"/>
  <c r="I333" i="15"/>
  <c r="E333" i="15"/>
  <c r="I334" i="15"/>
  <c r="E334" i="15"/>
  <c r="I335" i="15"/>
  <c r="E335" i="15"/>
  <c r="I336" i="15"/>
  <c r="E336" i="15"/>
  <c r="I337" i="15"/>
  <c r="E337" i="15"/>
  <c r="I338" i="15"/>
  <c r="E338" i="15"/>
  <c r="I339" i="15"/>
  <c r="E339" i="15"/>
  <c r="I340" i="15"/>
  <c r="E340" i="15"/>
  <c r="I341" i="15"/>
  <c r="E341" i="15"/>
  <c r="I342" i="15"/>
  <c r="E342" i="15"/>
  <c r="I343" i="15"/>
  <c r="E343" i="15"/>
  <c r="I344" i="15"/>
  <c r="E344" i="15"/>
  <c r="I345" i="15"/>
  <c r="E345" i="15"/>
  <c r="I346" i="15"/>
  <c r="E346" i="15"/>
  <c r="I347" i="15"/>
  <c r="E347" i="15"/>
  <c r="I348" i="15"/>
  <c r="E348" i="15"/>
  <c r="I349" i="15"/>
  <c r="E349" i="15"/>
  <c r="I350" i="15"/>
  <c r="E350" i="15"/>
  <c r="I351" i="15"/>
  <c r="E351" i="15"/>
  <c r="I352" i="15"/>
  <c r="E352" i="15"/>
  <c r="I353" i="15"/>
  <c r="E353" i="15"/>
  <c r="I354" i="15"/>
  <c r="E354" i="15"/>
  <c r="I355" i="15"/>
  <c r="E355" i="15"/>
  <c r="I356" i="15"/>
  <c r="E356" i="15"/>
  <c r="I357" i="15"/>
  <c r="E357" i="15"/>
  <c r="I358" i="15"/>
  <c r="E358" i="15"/>
  <c r="I359" i="15"/>
  <c r="E359" i="15"/>
  <c r="I360" i="15"/>
  <c r="E360" i="15"/>
  <c r="I361" i="15"/>
  <c r="E361" i="15"/>
  <c r="I362" i="15"/>
  <c r="E362" i="15"/>
  <c r="I363" i="15"/>
  <c r="E363" i="15"/>
  <c r="I364" i="15"/>
  <c r="E364" i="15"/>
  <c r="I365" i="15"/>
  <c r="E365" i="15"/>
  <c r="I366" i="15"/>
  <c r="E366" i="15"/>
  <c r="I367" i="15"/>
  <c r="E367" i="15"/>
  <c r="I368" i="15"/>
  <c r="E368" i="15"/>
  <c r="I369" i="15"/>
  <c r="E369" i="15"/>
  <c r="I370" i="15"/>
  <c r="E370" i="15"/>
  <c r="I371" i="15"/>
  <c r="E371" i="15"/>
  <c r="I372" i="15"/>
  <c r="E372" i="15"/>
  <c r="I373" i="15"/>
  <c r="E373" i="15"/>
  <c r="I374" i="15"/>
  <c r="E374" i="15"/>
  <c r="I375" i="15"/>
  <c r="E375" i="15"/>
  <c r="I376" i="15"/>
  <c r="E376" i="15"/>
  <c r="I377" i="15"/>
  <c r="E377" i="15"/>
  <c r="I378" i="15"/>
  <c r="E378" i="15"/>
  <c r="I379" i="15"/>
  <c r="E379" i="15"/>
  <c r="I380" i="15"/>
  <c r="E380" i="15"/>
  <c r="I381" i="15"/>
  <c r="E381" i="15"/>
  <c r="I382" i="15"/>
  <c r="E382" i="15"/>
  <c r="I383" i="15"/>
  <c r="E383" i="15"/>
  <c r="I384" i="15"/>
  <c r="E384" i="15"/>
  <c r="I385" i="15"/>
  <c r="E385" i="15"/>
  <c r="I386" i="15"/>
  <c r="E386" i="15"/>
  <c r="I387" i="15"/>
  <c r="E387" i="15"/>
  <c r="I388" i="15"/>
  <c r="E388" i="15"/>
  <c r="I389" i="15"/>
  <c r="E389" i="15"/>
  <c r="I390" i="15"/>
  <c r="E390" i="15"/>
  <c r="I391" i="15"/>
  <c r="E391" i="15"/>
  <c r="I392" i="15"/>
  <c r="E392" i="15"/>
  <c r="I393" i="15"/>
  <c r="E393" i="15"/>
  <c r="I394" i="15"/>
  <c r="E394" i="15"/>
  <c r="I395" i="15"/>
  <c r="E395" i="15"/>
  <c r="I396" i="15"/>
  <c r="E396" i="15"/>
  <c r="I397" i="15"/>
  <c r="E397" i="15"/>
  <c r="I398" i="15"/>
  <c r="E398" i="15"/>
  <c r="I399" i="15"/>
  <c r="E399" i="15"/>
  <c r="I400" i="15"/>
  <c r="E400" i="15"/>
  <c r="E401" i="15"/>
  <c r="C92" i="15"/>
  <c r="H93" i="15"/>
  <c r="C93" i="15"/>
  <c r="H94" i="15"/>
  <c r="C94" i="15"/>
  <c r="H95" i="15"/>
  <c r="C95" i="15"/>
  <c r="H96" i="15"/>
  <c r="C96" i="15"/>
  <c r="H97" i="15"/>
  <c r="C97" i="15"/>
  <c r="H98" i="15"/>
  <c r="C98" i="15"/>
  <c r="H99" i="15"/>
  <c r="C99" i="15"/>
  <c r="H100" i="15"/>
  <c r="C100" i="15"/>
  <c r="H101" i="15"/>
  <c r="C101" i="15"/>
  <c r="H102" i="15"/>
  <c r="C102" i="15"/>
  <c r="H103" i="15"/>
  <c r="C103" i="15"/>
  <c r="H104" i="15"/>
  <c r="C104" i="15"/>
  <c r="H105" i="15"/>
  <c r="C105" i="15"/>
  <c r="H106" i="15"/>
  <c r="C106" i="15"/>
  <c r="H107" i="15"/>
  <c r="C107" i="15"/>
  <c r="H108" i="15"/>
  <c r="C108" i="15"/>
  <c r="H109" i="15"/>
  <c r="C109" i="15"/>
  <c r="H110" i="15"/>
  <c r="C110" i="15"/>
  <c r="H111" i="15"/>
  <c r="C111" i="15"/>
  <c r="H112" i="15"/>
  <c r="C112" i="15"/>
  <c r="H113" i="15"/>
  <c r="C113" i="15"/>
  <c r="H114" i="15"/>
  <c r="C114" i="15"/>
  <c r="H115" i="15"/>
  <c r="C115" i="15"/>
  <c r="H116" i="15"/>
  <c r="C116" i="15"/>
  <c r="H117" i="15"/>
  <c r="C117" i="15"/>
  <c r="H118" i="15"/>
  <c r="C118" i="15"/>
  <c r="H119" i="15"/>
  <c r="C119" i="15"/>
  <c r="H120" i="15"/>
  <c r="C120" i="15"/>
  <c r="H121" i="15"/>
  <c r="C121" i="15"/>
  <c r="H122" i="15"/>
  <c r="C122" i="15"/>
  <c r="H123" i="15"/>
  <c r="C123" i="15"/>
  <c r="H124" i="15"/>
  <c r="C124" i="15"/>
  <c r="H125" i="15"/>
  <c r="C125" i="15"/>
  <c r="H126" i="15"/>
  <c r="C126" i="15"/>
  <c r="H127" i="15"/>
  <c r="C127" i="15"/>
  <c r="C128" i="15"/>
  <c r="H129" i="15"/>
  <c r="C129" i="15"/>
  <c r="H130" i="15"/>
  <c r="C130" i="15"/>
  <c r="H131" i="15"/>
  <c r="C131" i="15"/>
  <c r="H132" i="15"/>
  <c r="C132" i="15"/>
  <c r="H133" i="15"/>
  <c r="C133" i="15"/>
  <c r="H134" i="15"/>
  <c r="C134" i="15"/>
  <c r="H135" i="15"/>
  <c r="C135" i="15"/>
  <c r="H136" i="15"/>
  <c r="C136" i="15"/>
  <c r="H137" i="15"/>
  <c r="C137" i="15"/>
  <c r="H138" i="15"/>
  <c r="C138" i="15"/>
  <c r="H139" i="15"/>
  <c r="C139" i="15"/>
  <c r="H140" i="15"/>
  <c r="C140" i="15"/>
  <c r="H141" i="15"/>
  <c r="C141" i="15"/>
  <c r="H142" i="15"/>
  <c r="C142" i="15"/>
  <c r="H143" i="15"/>
  <c r="C143" i="15"/>
  <c r="H144" i="15"/>
  <c r="C144" i="15"/>
  <c r="H145" i="15"/>
  <c r="C145" i="15"/>
  <c r="H146" i="15"/>
  <c r="C146" i="15"/>
  <c r="H147" i="15"/>
  <c r="C147" i="15"/>
  <c r="H148" i="15"/>
  <c r="C148" i="15"/>
  <c r="H149" i="15"/>
  <c r="C149" i="15"/>
  <c r="H150" i="15"/>
  <c r="C150" i="15"/>
  <c r="H151" i="15"/>
  <c r="C151" i="15"/>
  <c r="H152" i="15"/>
  <c r="C152" i="15"/>
  <c r="H153" i="15"/>
  <c r="C153" i="15"/>
  <c r="H154" i="15"/>
  <c r="C154" i="15"/>
  <c r="H155" i="15"/>
  <c r="C155" i="15"/>
  <c r="H156" i="15"/>
  <c r="C156" i="15"/>
  <c r="H157" i="15"/>
  <c r="C157" i="15"/>
  <c r="H158" i="15"/>
  <c r="C158" i="15"/>
  <c r="H159" i="15"/>
  <c r="C159" i="15"/>
  <c r="H160" i="15"/>
  <c r="C160" i="15"/>
  <c r="H161" i="15"/>
  <c r="C161" i="15"/>
  <c r="H162" i="15"/>
  <c r="C162" i="15"/>
  <c r="H163" i="15"/>
  <c r="C163" i="15"/>
  <c r="H164" i="15"/>
  <c r="C164" i="15"/>
  <c r="H165" i="15"/>
  <c r="C165" i="15"/>
  <c r="H166" i="15"/>
  <c r="C166" i="15"/>
  <c r="H167" i="15"/>
  <c r="C167" i="15"/>
  <c r="H168" i="15"/>
  <c r="C168" i="15"/>
  <c r="H169" i="15"/>
  <c r="C169" i="15"/>
  <c r="H170" i="15"/>
  <c r="C170" i="15"/>
  <c r="H171" i="15"/>
  <c r="C171" i="15"/>
  <c r="H172" i="15"/>
  <c r="C172" i="15"/>
  <c r="H173" i="15"/>
  <c r="C173" i="15"/>
  <c r="H174" i="15"/>
  <c r="C174" i="15"/>
  <c r="H175" i="15"/>
  <c r="C175" i="15"/>
  <c r="H176" i="15"/>
  <c r="C176" i="15"/>
  <c r="H177" i="15"/>
  <c r="C177" i="15"/>
  <c r="H178" i="15"/>
  <c r="C178" i="15"/>
  <c r="H179" i="15"/>
  <c r="C179" i="15"/>
  <c r="H180" i="15"/>
  <c r="C180" i="15"/>
  <c r="H181" i="15"/>
  <c r="C181" i="15"/>
  <c r="H182" i="15"/>
  <c r="C182" i="15"/>
  <c r="H183" i="15"/>
  <c r="C183" i="15"/>
  <c r="H184" i="15"/>
  <c r="C184" i="15"/>
  <c r="H185" i="15"/>
  <c r="C185" i="15"/>
  <c r="H186" i="15"/>
  <c r="C186" i="15"/>
  <c r="H187" i="15"/>
  <c r="C187" i="15"/>
  <c r="H188" i="15"/>
  <c r="C188" i="15"/>
  <c r="H189" i="15"/>
  <c r="C189" i="15"/>
  <c r="H190" i="15"/>
  <c r="C190" i="15"/>
  <c r="H191" i="15"/>
  <c r="C191" i="15"/>
  <c r="H192" i="15"/>
  <c r="C192" i="15"/>
  <c r="H193" i="15"/>
  <c r="C193" i="15"/>
  <c r="H194" i="15"/>
  <c r="C194" i="15"/>
  <c r="H195" i="15"/>
  <c r="C195" i="15"/>
  <c r="H196" i="15"/>
  <c r="C196" i="15"/>
  <c r="H197" i="15"/>
  <c r="C197" i="15"/>
  <c r="H198" i="15"/>
  <c r="C198" i="15"/>
  <c r="H199" i="15"/>
  <c r="C199" i="15"/>
  <c r="H200" i="15"/>
  <c r="C200" i="15"/>
  <c r="H201" i="15"/>
  <c r="C201" i="15"/>
  <c r="H202" i="15"/>
  <c r="C202" i="15"/>
  <c r="H203" i="15"/>
  <c r="C203" i="15"/>
  <c r="H204" i="15"/>
  <c r="C204" i="15"/>
  <c r="H205" i="15"/>
  <c r="C205" i="15"/>
  <c r="H206" i="15"/>
  <c r="C206" i="15"/>
  <c r="H207" i="15"/>
  <c r="C207" i="15"/>
  <c r="H208" i="15"/>
  <c r="C208" i="15"/>
  <c r="H209" i="15"/>
  <c r="C209" i="15"/>
  <c r="H210" i="15"/>
  <c r="C210" i="15"/>
  <c r="H211" i="15"/>
  <c r="C211" i="15"/>
  <c r="H212" i="15"/>
  <c r="C212" i="15"/>
  <c r="H213" i="15"/>
  <c r="C213" i="15"/>
  <c r="H214" i="15"/>
  <c r="C214" i="15"/>
  <c r="H215" i="15"/>
  <c r="C215" i="15"/>
  <c r="H216" i="15"/>
  <c r="C216" i="15"/>
  <c r="H217" i="15"/>
  <c r="C217" i="15"/>
  <c r="H218" i="15"/>
  <c r="C218" i="15"/>
  <c r="H219" i="15"/>
  <c r="C219" i="15"/>
  <c r="H220" i="15"/>
  <c r="C220" i="15"/>
  <c r="H221" i="15"/>
  <c r="C221" i="15"/>
  <c r="H222" i="15"/>
  <c r="C222" i="15"/>
  <c r="H223" i="15"/>
  <c r="C223" i="15"/>
  <c r="H224" i="15"/>
  <c r="C224" i="15"/>
  <c r="H225" i="15"/>
  <c r="C225" i="15"/>
  <c r="H226" i="15"/>
  <c r="C226" i="15"/>
  <c r="H227" i="15"/>
  <c r="C227" i="15"/>
  <c r="H228" i="15"/>
  <c r="C228" i="15"/>
  <c r="H229" i="15"/>
  <c r="C229" i="15"/>
  <c r="H230" i="15"/>
  <c r="C230" i="15"/>
  <c r="H231" i="15"/>
  <c r="C231" i="15"/>
  <c r="H232" i="15"/>
  <c r="C232" i="15"/>
  <c r="H233" i="15"/>
  <c r="C233" i="15"/>
  <c r="H234" i="15"/>
  <c r="C234" i="15"/>
  <c r="H235" i="15"/>
  <c r="C235" i="15"/>
  <c r="H236" i="15"/>
  <c r="C236" i="15"/>
  <c r="H237" i="15"/>
  <c r="C237" i="15"/>
  <c r="H238" i="15"/>
  <c r="C238" i="15"/>
  <c r="H239" i="15"/>
  <c r="C239" i="15"/>
  <c r="H240" i="15"/>
  <c r="C240" i="15"/>
  <c r="H241" i="15"/>
  <c r="C241" i="15"/>
  <c r="H242" i="15"/>
  <c r="C242" i="15"/>
  <c r="H243" i="15"/>
  <c r="C243" i="15"/>
  <c r="H244" i="15"/>
  <c r="C244" i="15"/>
  <c r="H245" i="15"/>
  <c r="C245" i="15"/>
  <c r="H246" i="15"/>
  <c r="C246" i="15"/>
  <c r="H247" i="15"/>
  <c r="C247" i="15"/>
  <c r="H248" i="15"/>
  <c r="C248" i="15"/>
  <c r="H249" i="15"/>
  <c r="C249" i="15"/>
  <c r="H250" i="15"/>
  <c r="C250" i="15"/>
  <c r="H251" i="15"/>
  <c r="C251" i="15"/>
  <c r="H252" i="15"/>
  <c r="C252" i="15"/>
  <c r="H253" i="15"/>
  <c r="C253" i="15"/>
  <c r="H254" i="15"/>
  <c r="C254" i="15"/>
  <c r="H255" i="15"/>
  <c r="C255" i="15"/>
  <c r="H256" i="15"/>
  <c r="C256" i="15"/>
  <c r="H257" i="15"/>
  <c r="C257" i="15"/>
  <c r="H258" i="15"/>
  <c r="C258" i="15"/>
  <c r="H259" i="15"/>
  <c r="C259" i="15"/>
  <c r="H260" i="15"/>
  <c r="C260" i="15"/>
  <c r="H261" i="15"/>
  <c r="C261" i="15"/>
  <c r="H262" i="15"/>
  <c r="C262" i="15"/>
  <c r="H263" i="15"/>
  <c r="C263" i="15"/>
  <c r="H264" i="15"/>
  <c r="C264" i="15"/>
  <c r="H265" i="15"/>
  <c r="C265" i="15"/>
  <c r="H266" i="15"/>
  <c r="C266" i="15"/>
  <c r="H267" i="15"/>
  <c r="C267" i="15"/>
  <c r="H268" i="15"/>
  <c r="C268" i="15"/>
  <c r="H269" i="15"/>
  <c r="C269" i="15"/>
  <c r="H270" i="15"/>
  <c r="C270" i="15"/>
  <c r="H271" i="15"/>
  <c r="C271" i="15"/>
  <c r="H272" i="15"/>
  <c r="C272" i="15"/>
  <c r="H273" i="15"/>
  <c r="C273" i="15"/>
  <c r="H274" i="15"/>
  <c r="C274" i="15"/>
  <c r="H275" i="15"/>
  <c r="C275" i="15"/>
  <c r="H276" i="15"/>
  <c r="C276" i="15"/>
  <c r="H277" i="15"/>
  <c r="C277" i="15"/>
  <c r="H278" i="15"/>
  <c r="C278" i="15"/>
  <c r="H279" i="15"/>
  <c r="C279" i="15"/>
  <c r="H280" i="15"/>
  <c r="C280" i="15"/>
  <c r="H281" i="15"/>
  <c r="C281" i="15"/>
  <c r="H282" i="15"/>
  <c r="C282" i="15"/>
  <c r="H283" i="15"/>
  <c r="C283" i="15"/>
  <c r="H284" i="15"/>
  <c r="C284" i="15"/>
  <c r="H285" i="15"/>
  <c r="C285" i="15"/>
  <c r="H286" i="15"/>
  <c r="C286" i="15"/>
  <c r="H287" i="15"/>
  <c r="C287" i="15"/>
  <c r="H288" i="15"/>
  <c r="C288" i="15"/>
  <c r="H289" i="15"/>
  <c r="C289" i="15"/>
  <c r="H290" i="15"/>
  <c r="C290" i="15"/>
  <c r="H291" i="15"/>
  <c r="C291" i="15"/>
  <c r="H292" i="15"/>
  <c r="C292" i="15"/>
  <c r="H293" i="15"/>
  <c r="C293" i="15"/>
  <c r="H294" i="15"/>
  <c r="C294" i="15"/>
  <c r="H295" i="15"/>
  <c r="C295" i="15"/>
  <c r="H296" i="15"/>
  <c r="C296" i="15"/>
  <c r="H297" i="15"/>
  <c r="C297" i="15"/>
  <c r="H298" i="15"/>
  <c r="C298" i="15"/>
  <c r="H299" i="15"/>
  <c r="C299" i="15"/>
  <c r="H300" i="15"/>
  <c r="C300" i="15"/>
  <c r="H301" i="15"/>
  <c r="C301" i="15"/>
  <c r="H302" i="15"/>
  <c r="C302" i="15"/>
  <c r="H303" i="15"/>
  <c r="C303" i="15"/>
  <c r="H304" i="15"/>
  <c r="C304" i="15"/>
  <c r="H305" i="15"/>
  <c r="C305" i="15"/>
  <c r="H306" i="15"/>
  <c r="C306" i="15"/>
  <c r="H307" i="15"/>
  <c r="C307" i="15"/>
  <c r="H308" i="15"/>
  <c r="C308" i="15"/>
  <c r="H309" i="15"/>
  <c r="C309" i="15"/>
  <c r="H310" i="15"/>
  <c r="C310" i="15"/>
  <c r="H311" i="15"/>
  <c r="C311" i="15"/>
  <c r="H312" i="15"/>
  <c r="C312" i="15"/>
  <c r="H313" i="15"/>
  <c r="C313" i="15"/>
  <c r="H314" i="15"/>
  <c r="C314" i="15"/>
  <c r="H315" i="15"/>
  <c r="C315" i="15"/>
  <c r="H316" i="15"/>
  <c r="C316" i="15"/>
  <c r="H317" i="15"/>
  <c r="C317" i="15"/>
  <c r="H318" i="15"/>
  <c r="C318" i="15"/>
  <c r="H319" i="15"/>
  <c r="C319" i="15"/>
  <c r="H320" i="15"/>
  <c r="C320" i="15"/>
  <c r="H321" i="15"/>
  <c r="C321" i="15"/>
  <c r="H322" i="15"/>
  <c r="C322" i="15"/>
  <c r="H323" i="15"/>
  <c r="C323" i="15"/>
  <c r="H324" i="15"/>
  <c r="C324" i="15"/>
  <c r="H325" i="15"/>
  <c r="C325" i="15"/>
  <c r="H326" i="15"/>
  <c r="C326" i="15"/>
  <c r="H327" i="15"/>
  <c r="C327" i="15"/>
  <c r="H328" i="15"/>
  <c r="C328" i="15"/>
  <c r="H329" i="15"/>
  <c r="C329" i="15"/>
  <c r="H330" i="15"/>
  <c r="C330" i="15"/>
  <c r="H331" i="15"/>
  <c r="C331" i="15"/>
  <c r="H332" i="15"/>
  <c r="C332" i="15"/>
  <c r="H333" i="15"/>
  <c r="C333" i="15"/>
  <c r="H334" i="15"/>
  <c r="C334" i="15"/>
  <c r="H335" i="15"/>
  <c r="C335" i="15"/>
  <c r="H336" i="15"/>
  <c r="C336" i="15"/>
  <c r="H337" i="15"/>
  <c r="C337" i="15"/>
  <c r="H338" i="15"/>
  <c r="C338" i="15"/>
  <c r="H339" i="15"/>
  <c r="C339" i="15"/>
  <c r="H340" i="15"/>
  <c r="C340" i="15"/>
  <c r="H341" i="15"/>
  <c r="C341" i="15"/>
  <c r="H342" i="15"/>
  <c r="C342" i="15"/>
  <c r="H343" i="15"/>
  <c r="C343" i="15"/>
  <c r="H344" i="15"/>
  <c r="C344" i="15"/>
  <c r="H345" i="15"/>
  <c r="C345" i="15"/>
  <c r="H346" i="15"/>
  <c r="C346" i="15"/>
  <c r="H347" i="15"/>
  <c r="C347" i="15"/>
  <c r="H348" i="15"/>
  <c r="C348" i="15"/>
  <c r="H349" i="15"/>
  <c r="C349" i="15"/>
  <c r="H350" i="15"/>
  <c r="C350" i="15"/>
  <c r="H351" i="15"/>
  <c r="C351" i="15"/>
  <c r="H352" i="15"/>
  <c r="C352" i="15"/>
  <c r="H353" i="15"/>
  <c r="C353" i="15"/>
  <c r="H354" i="15"/>
  <c r="C354" i="15"/>
  <c r="H355" i="15"/>
  <c r="C355" i="15"/>
  <c r="H356" i="15"/>
  <c r="C356" i="15"/>
  <c r="H357" i="15"/>
  <c r="C357" i="15"/>
  <c r="H358" i="15"/>
  <c r="C358" i="15"/>
  <c r="H359" i="15"/>
  <c r="C359" i="15"/>
  <c r="H360" i="15"/>
  <c r="C360" i="15"/>
  <c r="H361" i="15"/>
  <c r="C361" i="15"/>
  <c r="H362" i="15"/>
  <c r="C362" i="15"/>
  <c r="H363" i="15"/>
  <c r="C363" i="15"/>
  <c r="H364" i="15"/>
  <c r="C364" i="15"/>
  <c r="H365" i="15"/>
  <c r="C365" i="15"/>
  <c r="H366" i="15"/>
  <c r="C366" i="15"/>
  <c r="H367" i="15"/>
  <c r="C367" i="15"/>
  <c r="H368" i="15"/>
  <c r="C368" i="15"/>
  <c r="H369" i="15"/>
  <c r="C369" i="15"/>
  <c r="H370" i="15"/>
  <c r="C370" i="15"/>
  <c r="H371" i="15"/>
  <c r="C371" i="15"/>
  <c r="H372" i="15"/>
  <c r="C372" i="15"/>
  <c r="H373" i="15"/>
  <c r="C373" i="15"/>
  <c r="H374" i="15"/>
  <c r="C374" i="15"/>
  <c r="H375" i="15"/>
  <c r="C375" i="15"/>
  <c r="H376" i="15"/>
  <c r="C376" i="15"/>
  <c r="H377" i="15"/>
  <c r="C377" i="15"/>
  <c r="H378" i="15"/>
  <c r="C378" i="15"/>
  <c r="H379" i="15"/>
  <c r="C379" i="15"/>
  <c r="H380" i="15"/>
  <c r="C380" i="15"/>
  <c r="H381" i="15"/>
  <c r="C381" i="15"/>
  <c r="H382" i="15"/>
  <c r="C382" i="15"/>
  <c r="H383" i="15"/>
  <c r="C383" i="15"/>
  <c r="H384" i="15"/>
  <c r="C384" i="15"/>
  <c r="H385" i="15"/>
  <c r="C385" i="15"/>
  <c r="H386" i="15"/>
  <c r="C386" i="15"/>
  <c r="H387" i="15"/>
  <c r="C387" i="15"/>
  <c r="H388" i="15"/>
  <c r="C388" i="15"/>
  <c r="H389" i="15"/>
  <c r="C389" i="15"/>
  <c r="H390" i="15"/>
  <c r="C390" i="15"/>
  <c r="H391" i="15"/>
  <c r="C391" i="15"/>
  <c r="H392" i="15"/>
  <c r="C392" i="15"/>
  <c r="H393" i="15"/>
  <c r="C393" i="15"/>
  <c r="H394" i="15"/>
  <c r="C394" i="15"/>
  <c r="H395" i="15"/>
  <c r="C395" i="15"/>
  <c r="H396" i="15"/>
  <c r="C396" i="15"/>
  <c r="H397" i="15"/>
  <c r="C397" i="15"/>
  <c r="H398" i="15"/>
  <c r="C398" i="15"/>
  <c r="H399" i="15"/>
  <c r="C399" i="15"/>
  <c r="H400" i="15"/>
  <c r="C400" i="15"/>
  <c r="C401" i="15"/>
  <c r="G3" i="15"/>
  <c r="B3" i="15"/>
  <c r="G4" i="15"/>
  <c r="B4" i="15"/>
  <c r="G5" i="15"/>
  <c r="B5" i="15"/>
  <c r="G6" i="15"/>
  <c r="B6" i="15"/>
  <c r="G7" i="15"/>
  <c r="B7" i="15"/>
  <c r="G8" i="15"/>
  <c r="B8" i="15"/>
  <c r="G9" i="15"/>
  <c r="B9" i="15"/>
  <c r="G10" i="15"/>
  <c r="B10" i="15"/>
  <c r="G11" i="15"/>
  <c r="B11" i="15"/>
  <c r="G12" i="15"/>
  <c r="B12" i="15"/>
  <c r="G13" i="15"/>
  <c r="B13" i="15"/>
  <c r="G14" i="15"/>
  <c r="B14" i="15"/>
  <c r="G15" i="15"/>
  <c r="B15" i="15"/>
  <c r="G16" i="15"/>
  <c r="B16" i="15"/>
  <c r="G17" i="15"/>
  <c r="B17" i="15"/>
  <c r="G18" i="15"/>
  <c r="B18" i="15"/>
  <c r="G19" i="15"/>
  <c r="B19" i="15"/>
  <c r="G20" i="15"/>
  <c r="B20" i="15"/>
  <c r="G21" i="15"/>
  <c r="B21" i="15"/>
  <c r="G22" i="15"/>
  <c r="B22" i="15"/>
  <c r="G23" i="15"/>
  <c r="B23" i="15"/>
  <c r="G24" i="15"/>
  <c r="B24" i="15"/>
  <c r="G25" i="15"/>
  <c r="B25" i="15"/>
  <c r="G26" i="15"/>
  <c r="B26" i="15"/>
  <c r="G27" i="15"/>
  <c r="B27" i="15"/>
  <c r="G28" i="15"/>
  <c r="B28" i="15"/>
  <c r="G29" i="15"/>
  <c r="B29" i="15"/>
  <c r="G30" i="15"/>
  <c r="B30" i="15"/>
  <c r="G31" i="15"/>
  <c r="B31" i="15"/>
  <c r="G32" i="15"/>
  <c r="B32" i="15"/>
  <c r="G33" i="15"/>
  <c r="B33" i="15"/>
  <c r="G34" i="15"/>
  <c r="B34" i="15"/>
  <c r="G35" i="15"/>
  <c r="B35" i="15"/>
  <c r="G36" i="15"/>
  <c r="B36" i="15"/>
  <c r="G37" i="15"/>
  <c r="B37" i="15"/>
  <c r="G38" i="15"/>
  <c r="B38" i="15"/>
  <c r="G39" i="15"/>
  <c r="B39" i="15"/>
  <c r="G40" i="15"/>
  <c r="B40" i="15"/>
  <c r="G41" i="15"/>
  <c r="B41" i="15"/>
  <c r="G42" i="15"/>
  <c r="B42" i="15"/>
  <c r="G43" i="15"/>
  <c r="B43" i="15"/>
  <c r="G44" i="15"/>
  <c r="B44" i="15"/>
  <c r="G45" i="15"/>
  <c r="B45" i="15"/>
  <c r="G46" i="15"/>
  <c r="B46" i="15"/>
  <c r="G47" i="15"/>
  <c r="B47" i="15"/>
  <c r="G48" i="15"/>
  <c r="B48" i="15"/>
  <c r="G49" i="15"/>
  <c r="B49" i="15"/>
  <c r="G50" i="15"/>
  <c r="B50" i="15"/>
  <c r="G51" i="15"/>
  <c r="B51" i="15"/>
  <c r="G52" i="15"/>
  <c r="B52" i="15"/>
  <c r="G53" i="15"/>
  <c r="B53" i="15"/>
  <c r="G54" i="15"/>
  <c r="B54" i="15"/>
  <c r="G55" i="15"/>
  <c r="B55" i="15"/>
  <c r="G56" i="15"/>
  <c r="B56" i="15"/>
  <c r="G57" i="15"/>
  <c r="B57" i="15"/>
  <c r="G58" i="15"/>
  <c r="B58" i="15"/>
  <c r="G59" i="15"/>
  <c r="B59" i="15"/>
  <c r="G60" i="15"/>
  <c r="B60" i="15"/>
  <c r="G61" i="15"/>
  <c r="B61" i="15"/>
  <c r="G62" i="15"/>
  <c r="B62" i="15"/>
  <c r="G63" i="15"/>
  <c r="B63" i="15"/>
  <c r="G64" i="15"/>
  <c r="B64" i="15"/>
  <c r="G65" i="15"/>
  <c r="B65" i="15"/>
  <c r="G66" i="15"/>
  <c r="B66" i="15"/>
  <c r="G67" i="15"/>
  <c r="B67" i="15"/>
  <c r="G68" i="15"/>
  <c r="B68" i="15"/>
  <c r="G69" i="15"/>
  <c r="B69" i="15"/>
  <c r="G70" i="15"/>
  <c r="B70" i="15"/>
  <c r="G71" i="15"/>
  <c r="B71" i="15"/>
  <c r="G72" i="15"/>
  <c r="B72" i="15"/>
  <c r="G73" i="15"/>
  <c r="B73" i="15"/>
  <c r="G74" i="15"/>
  <c r="B74" i="15"/>
  <c r="G75" i="15"/>
  <c r="B75" i="15"/>
  <c r="G76" i="15"/>
  <c r="B76" i="15"/>
  <c r="G77" i="15"/>
  <c r="B77" i="15"/>
  <c r="G78" i="15"/>
  <c r="B78" i="15"/>
  <c r="G79" i="15"/>
  <c r="B79" i="15"/>
  <c r="G80" i="15"/>
  <c r="B80" i="15"/>
  <c r="G81" i="15"/>
  <c r="B81" i="15"/>
  <c r="G82" i="15"/>
  <c r="B82" i="15"/>
  <c r="G83" i="15"/>
  <c r="B83" i="15"/>
  <c r="G84" i="15"/>
  <c r="B84" i="15"/>
  <c r="G85" i="15"/>
  <c r="B85" i="15"/>
  <c r="G86" i="15"/>
  <c r="B86" i="15"/>
  <c r="G87" i="15"/>
  <c r="B87" i="15"/>
  <c r="G88" i="15"/>
  <c r="B88" i="15"/>
  <c r="G89" i="15"/>
  <c r="B89" i="15"/>
  <c r="G90" i="15"/>
  <c r="B90" i="15"/>
  <c r="G91" i="15"/>
  <c r="B91" i="15"/>
  <c r="G92" i="15"/>
  <c r="B92" i="15"/>
  <c r="G93" i="15"/>
  <c r="B93" i="15"/>
  <c r="G94" i="15"/>
  <c r="B94" i="15"/>
  <c r="G95" i="15"/>
  <c r="B95" i="15"/>
  <c r="G96" i="15"/>
  <c r="B96" i="15"/>
  <c r="G97" i="15"/>
  <c r="B97" i="15"/>
  <c r="G98" i="15"/>
  <c r="B98" i="15"/>
  <c r="G99" i="15"/>
  <c r="B99" i="15"/>
  <c r="G100" i="15"/>
  <c r="B100" i="15"/>
  <c r="G101" i="15"/>
  <c r="B101" i="15"/>
  <c r="G102" i="15"/>
  <c r="B102" i="15"/>
  <c r="G103" i="15"/>
  <c r="B103" i="15"/>
  <c r="G104" i="15"/>
  <c r="B104" i="15"/>
  <c r="G105" i="15"/>
  <c r="B105" i="15"/>
  <c r="G106" i="15"/>
  <c r="B106" i="15"/>
  <c r="G107" i="15"/>
  <c r="B107" i="15"/>
  <c r="G108" i="15"/>
  <c r="B108" i="15"/>
  <c r="G109" i="15"/>
  <c r="B109" i="15"/>
  <c r="G110" i="15"/>
  <c r="B110" i="15"/>
  <c r="G111" i="15"/>
  <c r="B111" i="15"/>
  <c r="G112" i="15"/>
  <c r="B112" i="15"/>
  <c r="G113" i="15"/>
  <c r="B113" i="15"/>
  <c r="G114" i="15"/>
  <c r="B114" i="15"/>
  <c r="G115" i="15"/>
  <c r="B115" i="15"/>
  <c r="G116" i="15"/>
  <c r="B116" i="15"/>
  <c r="G117" i="15"/>
  <c r="B117" i="15"/>
  <c r="G118" i="15"/>
  <c r="B118" i="15"/>
  <c r="G119" i="15"/>
  <c r="B119" i="15"/>
  <c r="G120" i="15"/>
  <c r="B120" i="15"/>
  <c r="G121" i="15"/>
  <c r="B121" i="15"/>
  <c r="G122" i="15"/>
  <c r="B122" i="15"/>
  <c r="G123" i="15"/>
  <c r="B123" i="15"/>
  <c r="G124" i="15"/>
  <c r="B124" i="15"/>
  <c r="G125" i="15"/>
  <c r="B125" i="15"/>
  <c r="G126" i="15"/>
  <c r="B126" i="15"/>
  <c r="G127" i="15"/>
  <c r="B127" i="15"/>
  <c r="G128" i="15"/>
  <c r="B128" i="15"/>
  <c r="G129" i="15"/>
  <c r="B129" i="15"/>
  <c r="G130" i="15"/>
  <c r="B130" i="15"/>
  <c r="G131" i="15"/>
  <c r="B131" i="15"/>
  <c r="G132" i="15"/>
  <c r="B132" i="15"/>
  <c r="G133" i="15"/>
  <c r="B133" i="15"/>
  <c r="G134" i="15"/>
  <c r="B134" i="15"/>
  <c r="G135" i="15"/>
  <c r="B135" i="15"/>
  <c r="G136" i="15"/>
  <c r="B136" i="15"/>
  <c r="G137" i="15"/>
  <c r="B137" i="15"/>
  <c r="G138" i="15"/>
  <c r="B138" i="15"/>
  <c r="G139" i="15"/>
  <c r="B139" i="15"/>
  <c r="G140" i="15"/>
  <c r="B140" i="15"/>
  <c r="G141" i="15"/>
  <c r="B141" i="15"/>
  <c r="G142" i="15"/>
  <c r="B142" i="15"/>
  <c r="G143" i="15"/>
  <c r="B143" i="15"/>
  <c r="G144" i="15"/>
  <c r="B144" i="15"/>
  <c r="G145" i="15"/>
  <c r="B145" i="15"/>
  <c r="G146" i="15"/>
  <c r="B146" i="15"/>
  <c r="G147" i="15"/>
  <c r="B147" i="15"/>
  <c r="G148" i="15"/>
  <c r="B148" i="15"/>
  <c r="G149" i="15"/>
  <c r="B149" i="15"/>
  <c r="G150" i="15"/>
  <c r="B150" i="15"/>
  <c r="G151" i="15"/>
  <c r="B151" i="15"/>
  <c r="G152" i="15"/>
  <c r="B152" i="15"/>
  <c r="G153" i="15"/>
  <c r="B153" i="15"/>
  <c r="G154" i="15"/>
  <c r="B154" i="15"/>
  <c r="G155" i="15"/>
  <c r="B155" i="15"/>
  <c r="G156" i="15"/>
  <c r="B156" i="15"/>
  <c r="G157" i="15"/>
  <c r="B157" i="15"/>
  <c r="G158" i="15"/>
  <c r="B158" i="15"/>
  <c r="G159" i="15"/>
  <c r="B159" i="15"/>
  <c r="G160" i="15"/>
  <c r="B160" i="15"/>
  <c r="G161" i="15"/>
  <c r="B161" i="15"/>
  <c r="G162" i="15"/>
  <c r="B162" i="15"/>
  <c r="G163" i="15"/>
  <c r="B163" i="15"/>
  <c r="G164" i="15"/>
  <c r="B164" i="15"/>
  <c r="G165" i="15"/>
  <c r="B165" i="15"/>
  <c r="G166" i="15"/>
  <c r="B166" i="15"/>
  <c r="G167" i="15"/>
  <c r="B167" i="15"/>
  <c r="G168" i="15"/>
  <c r="B168" i="15"/>
  <c r="G169" i="15"/>
  <c r="B169" i="15"/>
  <c r="G170" i="15"/>
  <c r="B170" i="15"/>
  <c r="G171" i="15"/>
  <c r="B171" i="15"/>
  <c r="G172" i="15"/>
  <c r="B172" i="15"/>
  <c r="G173" i="15"/>
  <c r="B173" i="15"/>
  <c r="G174" i="15"/>
  <c r="B174" i="15"/>
  <c r="G175" i="15"/>
  <c r="B175" i="15"/>
  <c r="G176" i="15"/>
  <c r="B176" i="15"/>
  <c r="G177" i="15"/>
  <c r="B177" i="15"/>
  <c r="G178" i="15"/>
  <c r="B178" i="15"/>
  <c r="G179" i="15"/>
  <c r="B179" i="15"/>
  <c r="G180" i="15"/>
  <c r="B180" i="15"/>
  <c r="G181" i="15"/>
  <c r="B181" i="15"/>
  <c r="G182" i="15"/>
  <c r="B182" i="15"/>
  <c r="G183" i="15"/>
  <c r="B183" i="15"/>
  <c r="G184" i="15"/>
  <c r="B184" i="15"/>
  <c r="G185" i="15"/>
  <c r="B185" i="15"/>
  <c r="G186" i="15"/>
  <c r="B186" i="15"/>
  <c r="G187" i="15"/>
  <c r="B187" i="15"/>
  <c r="G188" i="15"/>
  <c r="B188" i="15"/>
  <c r="G189" i="15"/>
  <c r="B189" i="15"/>
  <c r="G190" i="15"/>
  <c r="B190" i="15"/>
  <c r="G191" i="15"/>
  <c r="B191" i="15"/>
  <c r="G192" i="15"/>
  <c r="B192" i="15"/>
  <c r="G193" i="15"/>
  <c r="B193" i="15"/>
  <c r="G194" i="15"/>
  <c r="B194" i="15"/>
  <c r="G195" i="15"/>
  <c r="B195" i="15"/>
  <c r="G196" i="15"/>
  <c r="B196" i="15"/>
  <c r="G197" i="15"/>
  <c r="B197" i="15"/>
  <c r="G198" i="15"/>
  <c r="B198" i="15"/>
  <c r="G199" i="15"/>
  <c r="B199" i="15"/>
  <c r="G200" i="15"/>
  <c r="B200" i="15"/>
  <c r="G201" i="15"/>
  <c r="B201" i="15"/>
  <c r="G202" i="15"/>
  <c r="B202" i="15"/>
  <c r="G203" i="15"/>
  <c r="B203" i="15"/>
  <c r="G204" i="15"/>
  <c r="B204" i="15"/>
  <c r="G205" i="15"/>
  <c r="B205" i="15"/>
  <c r="G206" i="15"/>
  <c r="B206" i="15"/>
  <c r="G207" i="15"/>
  <c r="B207" i="15"/>
  <c r="G208" i="15"/>
  <c r="B208" i="15"/>
  <c r="G209" i="15"/>
  <c r="B209" i="15"/>
  <c r="G210" i="15"/>
  <c r="B210" i="15"/>
  <c r="G211" i="15"/>
  <c r="B211" i="15"/>
  <c r="G212" i="15"/>
  <c r="B212" i="15"/>
  <c r="G213" i="15"/>
  <c r="B213" i="15"/>
  <c r="G214" i="15"/>
  <c r="B214" i="15"/>
  <c r="G215" i="15"/>
  <c r="B215" i="15"/>
  <c r="G216" i="15"/>
  <c r="B216" i="15"/>
  <c r="G217" i="15"/>
  <c r="B217" i="15"/>
  <c r="G218" i="15"/>
  <c r="B218" i="15"/>
  <c r="G219" i="15"/>
  <c r="B219" i="15"/>
  <c r="G220" i="15"/>
  <c r="B220" i="15"/>
  <c r="G221" i="15"/>
  <c r="B221" i="15"/>
  <c r="G222" i="15"/>
  <c r="B222" i="15"/>
  <c r="G223" i="15"/>
  <c r="B223" i="15"/>
  <c r="G224" i="15"/>
  <c r="B224" i="15"/>
  <c r="G225" i="15"/>
  <c r="B225" i="15"/>
  <c r="G226" i="15"/>
  <c r="B226" i="15"/>
  <c r="G227" i="15"/>
  <c r="B227" i="15"/>
  <c r="G228" i="15"/>
  <c r="B228" i="15"/>
  <c r="G229" i="15"/>
  <c r="B229" i="15"/>
  <c r="G230" i="15"/>
  <c r="B230" i="15"/>
  <c r="G231" i="15"/>
  <c r="B231" i="15"/>
  <c r="G232" i="15"/>
  <c r="B232" i="15"/>
  <c r="G233" i="15"/>
  <c r="B233" i="15"/>
  <c r="G234" i="15"/>
  <c r="B234" i="15"/>
  <c r="G235" i="15"/>
  <c r="B235" i="15"/>
  <c r="G236" i="15"/>
  <c r="B236" i="15"/>
  <c r="G237" i="15"/>
  <c r="B237" i="15"/>
  <c r="G238" i="15"/>
  <c r="B238" i="15"/>
  <c r="G239" i="15"/>
  <c r="B239" i="15"/>
  <c r="G240" i="15"/>
  <c r="B240" i="15"/>
  <c r="G241" i="15"/>
  <c r="B241" i="15"/>
  <c r="G242" i="15"/>
  <c r="B242" i="15"/>
  <c r="G243" i="15"/>
  <c r="B243" i="15"/>
  <c r="G244" i="15"/>
  <c r="B244" i="15"/>
  <c r="G245" i="15"/>
  <c r="B245" i="15"/>
  <c r="G246" i="15"/>
  <c r="B246" i="15"/>
  <c r="G247" i="15"/>
  <c r="B247" i="15"/>
  <c r="G248" i="15"/>
  <c r="B248" i="15"/>
  <c r="G249" i="15"/>
  <c r="B249" i="15"/>
  <c r="G250" i="15"/>
  <c r="B250" i="15"/>
  <c r="G251" i="15"/>
  <c r="B251" i="15"/>
  <c r="G252" i="15"/>
  <c r="B252" i="15"/>
  <c r="G253" i="15"/>
  <c r="B253" i="15"/>
  <c r="G254" i="15"/>
  <c r="B254" i="15"/>
  <c r="G255" i="15"/>
  <c r="B255" i="15"/>
  <c r="G256" i="15"/>
  <c r="B256" i="15"/>
  <c r="G257" i="15"/>
  <c r="B257" i="15"/>
  <c r="G258" i="15"/>
  <c r="B258" i="15"/>
  <c r="G259" i="15"/>
  <c r="B259" i="15"/>
  <c r="G260" i="15"/>
  <c r="B260" i="15"/>
  <c r="G261" i="15"/>
  <c r="B261" i="15"/>
  <c r="G262" i="15"/>
  <c r="B262" i="15"/>
  <c r="G263" i="15"/>
  <c r="B263" i="15"/>
  <c r="G264" i="15"/>
  <c r="B264" i="15"/>
  <c r="G265" i="15"/>
  <c r="B265" i="15"/>
  <c r="G266" i="15"/>
  <c r="B266" i="15"/>
  <c r="G267" i="15"/>
  <c r="B267" i="15"/>
  <c r="G268" i="15"/>
  <c r="B268" i="15"/>
  <c r="G269" i="15"/>
  <c r="B269" i="15"/>
  <c r="G270" i="15"/>
  <c r="B270" i="15"/>
  <c r="G271" i="15"/>
  <c r="B271" i="15"/>
  <c r="G272" i="15"/>
  <c r="B272" i="15"/>
  <c r="G273" i="15"/>
  <c r="B273" i="15"/>
  <c r="G274" i="15"/>
  <c r="B274" i="15"/>
  <c r="G275" i="15"/>
  <c r="B275" i="15"/>
  <c r="G276" i="15"/>
  <c r="B276" i="15"/>
  <c r="G277" i="15"/>
  <c r="B277" i="15"/>
  <c r="G278" i="15"/>
  <c r="B278" i="15"/>
  <c r="G279" i="15"/>
  <c r="B279" i="15"/>
  <c r="G280" i="15"/>
  <c r="B280" i="15"/>
  <c r="G281" i="15"/>
  <c r="B281" i="15"/>
  <c r="G282" i="15"/>
  <c r="B282" i="15"/>
  <c r="G283" i="15"/>
  <c r="B283" i="15"/>
  <c r="G284" i="15"/>
  <c r="B284" i="15"/>
  <c r="G285" i="15"/>
  <c r="B285" i="15"/>
  <c r="G286" i="15"/>
  <c r="B286" i="15"/>
  <c r="G287" i="15"/>
  <c r="B287" i="15"/>
  <c r="G288" i="15"/>
  <c r="B288" i="15"/>
  <c r="G289" i="15"/>
  <c r="B289" i="15"/>
  <c r="G290" i="15"/>
  <c r="B290" i="15"/>
  <c r="G291" i="15"/>
  <c r="B291" i="15"/>
  <c r="G292" i="15"/>
  <c r="B292" i="15"/>
  <c r="G293" i="15"/>
  <c r="B293" i="15"/>
  <c r="G294" i="15"/>
  <c r="B294" i="15"/>
  <c r="G295" i="15"/>
  <c r="B295" i="15"/>
  <c r="G296" i="15"/>
  <c r="B296" i="15"/>
  <c r="G297" i="15"/>
  <c r="B297" i="15"/>
  <c r="G298" i="15"/>
  <c r="B298" i="15"/>
  <c r="G299" i="15"/>
  <c r="B299" i="15"/>
  <c r="G300" i="15"/>
  <c r="B300" i="15"/>
  <c r="G301" i="15"/>
  <c r="B301" i="15"/>
  <c r="G302" i="15"/>
  <c r="B302" i="15"/>
  <c r="G303" i="15"/>
  <c r="B303" i="15"/>
  <c r="G304" i="15"/>
  <c r="B304" i="15"/>
  <c r="G305" i="15"/>
  <c r="B305" i="15"/>
  <c r="G306" i="15"/>
  <c r="B306" i="15"/>
  <c r="G307" i="15"/>
  <c r="B307" i="15"/>
  <c r="G308" i="15"/>
  <c r="B308" i="15"/>
  <c r="G309" i="15"/>
  <c r="B309" i="15"/>
  <c r="G310" i="15"/>
  <c r="B310" i="15"/>
  <c r="G311" i="15"/>
  <c r="B311" i="15"/>
  <c r="G312" i="15"/>
  <c r="B312" i="15"/>
  <c r="G313" i="15"/>
  <c r="B313" i="15"/>
  <c r="G314" i="15"/>
  <c r="B314" i="15"/>
  <c r="G315" i="15"/>
  <c r="B315" i="15"/>
  <c r="G316" i="15"/>
  <c r="B316" i="15"/>
  <c r="G317" i="15"/>
  <c r="B317" i="15"/>
  <c r="G318" i="15"/>
  <c r="B318" i="15"/>
  <c r="G319" i="15"/>
  <c r="B319" i="15"/>
  <c r="G320" i="15"/>
  <c r="B320" i="15"/>
  <c r="G321" i="15"/>
  <c r="B321" i="15"/>
  <c r="G322" i="15"/>
  <c r="B322" i="15"/>
  <c r="G323" i="15"/>
  <c r="B323" i="15"/>
  <c r="G324" i="15"/>
  <c r="B324" i="15"/>
  <c r="G325" i="15"/>
  <c r="B325" i="15"/>
  <c r="G326" i="15"/>
  <c r="B326" i="15"/>
  <c r="G327" i="15"/>
  <c r="B327" i="15"/>
  <c r="G328" i="15"/>
  <c r="B328" i="15"/>
  <c r="G329" i="15"/>
  <c r="B329" i="15"/>
  <c r="G330" i="15"/>
  <c r="B330" i="15"/>
  <c r="G331" i="15"/>
  <c r="B331" i="15"/>
  <c r="G332" i="15"/>
  <c r="B332" i="15"/>
  <c r="G333" i="15"/>
  <c r="B333" i="15"/>
  <c r="G334" i="15"/>
  <c r="B334" i="15"/>
  <c r="G335" i="15"/>
  <c r="B335" i="15"/>
  <c r="G336" i="15"/>
  <c r="B336" i="15"/>
  <c r="G337" i="15"/>
  <c r="B337" i="15"/>
  <c r="G338" i="15"/>
  <c r="B338" i="15"/>
  <c r="G339" i="15"/>
  <c r="B339" i="15"/>
  <c r="G340" i="15"/>
  <c r="B340" i="15"/>
  <c r="G341" i="15"/>
  <c r="B341" i="15"/>
  <c r="G342" i="15"/>
  <c r="B342" i="15"/>
  <c r="G343" i="15"/>
  <c r="B343" i="15"/>
  <c r="G344" i="15"/>
  <c r="B344" i="15"/>
  <c r="G345" i="15"/>
  <c r="B345" i="15"/>
  <c r="G346" i="15"/>
  <c r="B346" i="15"/>
  <c r="G347" i="15"/>
  <c r="B347" i="15"/>
  <c r="G348" i="15"/>
  <c r="B348" i="15"/>
  <c r="G349" i="15"/>
  <c r="B349" i="15"/>
  <c r="G350" i="15"/>
  <c r="B350" i="15"/>
  <c r="G351" i="15"/>
  <c r="B351" i="15"/>
  <c r="G352" i="15"/>
  <c r="B352" i="15"/>
  <c r="G353" i="15"/>
  <c r="B353" i="15"/>
  <c r="G354" i="15"/>
  <c r="B354" i="15"/>
  <c r="G355" i="15"/>
  <c r="B355" i="15"/>
  <c r="G356" i="15"/>
  <c r="B356" i="15"/>
  <c r="G357" i="15"/>
  <c r="B357" i="15"/>
  <c r="G358" i="15"/>
  <c r="B358" i="15"/>
  <c r="G359" i="15"/>
  <c r="B359" i="15"/>
  <c r="G360" i="15"/>
  <c r="B360" i="15"/>
  <c r="G361" i="15"/>
  <c r="B361" i="15"/>
  <c r="G362" i="15"/>
  <c r="B362" i="15"/>
  <c r="G363" i="15"/>
  <c r="B363" i="15"/>
  <c r="G364" i="15"/>
  <c r="B364" i="15"/>
  <c r="G365" i="15"/>
  <c r="B365" i="15"/>
  <c r="G366" i="15"/>
  <c r="B366" i="15"/>
  <c r="G367" i="15"/>
  <c r="B367" i="15"/>
  <c r="G368" i="15"/>
  <c r="B368" i="15"/>
  <c r="G369" i="15"/>
  <c r="B369" i="15"/>
  <c r="G370" i="15"/>
  <c r="B370" i="15"/>
  <c r="G371" i="15"/>
  <c r="B371" i="15"/>
  <c r="G372" i="15"/>
  <c r="B372" i="15"/>
  <c r="G373" i="15"/>
  <c r="B373" i="15"/>
  <c r="G374" i="15"/>
  <c r="B374" i="15"/>
  <c r="G375" i="15"/>
  <c r="B375" i="15"/>
  <c r="G376" i="15"/>
  <c r="B376" i="15"/>
  <c r="G377" i="15"/>
  <c r="B377" i="15"/>
  <c r="G378" i="15"/>
  <c r="B378" i="15"/>
  <c r="G379" i="15"/>
  <c r="B379" i="15"/>
  <c r="G380" i="15"/>
  <c r="B380" i="15"/>
  <c r="G381" i="15"/>
  <c r="B381" i="15"/>
  <c r="G382" i="15"/>
  <c r="B382" i="15"/>
  <c r="G383" i="15"/>
  <c r="B383" i="15"/>
  <c r="G384" i="15"/>
  <c r="B384" i="15"/>
  <c r="G385" i="15"/>
  <c r="B385" i="15"/>
  <c r="G386" i="15"/>
  <c r="B386" i="15"/>
  <c r="G387" i="15"/>
  <c r="B387" i="15"/>
  <c r="G388" i="15"/>
  <c r="B388" i="15"/>
  <c r="G389" i="15"/>
  <c r="B389" i="15"/>
  <c r="G390" i="15"/>
  <c r="B390" i="15"/>
  <c r="G391" i="15"/>
  <c r="B391" i="15"/>
  <c r="G392" i="15"/>
  <c r="B392" i="15"/>
  <c r="G393" i="15"/>
  <c r="B393" i="15"/>
  <c r="G394" i="15"/>
  <c r="B394" i="15"/>
  <c r="G395" i="15"/>
  <c r="B395" i="15"/>
  <c r="G396" i="15"/>
  <c r="B396" i="15"/>
  <c r="G397" i="15"/>
  <c r="B397" i="15"/>
  <c r="G398" i="15"/>
  <c r="B398" i="15"/>
  <c r="G399" i="15"/>
  <c r="B399" i="15"/>
  <c r="G400" i="15"/>
  <c r="B400" i="15"/>
  <c r="B401" i="15"/>
  <c r="F400" i="15"/>
  <c r="F399" i="15"/>
  <c r="F398" i="15"/>
  <c r="F397" i="15"/>
  <c r="F396" i="15"/>
  <c r="F395" i="15"/>
  <c r="F394" i="15"/>
  <c r="F393" i="15"/>
  <c r="F392" i="15"/>
  <c r="F391" i="15"/>
  <c r="F390" i="15"/>
  <c r="F389" i="15"/>
  <c r="F388" i="15"/>
  <c r="F387" i="15"/>
  <c r="F386" i="15"/>
  <c r="F385" i="15"/>
  <c r="F384" i="15"/>
  <c r="F383" i="15"/>
  <c r="F382" i="15"/>
  <c r="F381" i="15"/>
  <c r="F380" i="15"/>
  <c r="F379" i="15"/>
  <c r="F378" i="15"/>
  <c r="F377" i="15"/>
  <c r="F376" i="15"/>
  <c r="F375" i="15"/>
  <c r="F374" i="15"/>
  <c r="F373" i="15"/>
  <c r="F372" i="15"/>
  <c r="F371" i="15"/>
  <c r="F370" i="15"/>
  <c r="F369" i="15"/>
  <c r="F368" i="15"/>
  <c r="F367" i="15"/>
  <c r="F366" i="15"/>
  <c r="F365" i="15"/>
  <c r="F364" i="15"/>
  <c r="F363" i="15"/>
  <c r="F362" i="15"/>
  <c r="F361" i="15"/>
  <c r="F360" i="15"/>
  <c r="F359" i="15"/>
  <c r="F358" i="15"/>
  <c r="F357" i="15"/>
  <c r="F356" i="15"/>
  <c r="F355" i="15"/>
  <c r="F354" i="15"/>
  <c r="F353" i="15"/>
  <c r="F352" i="15"/>
  <c r="F351" i="15"/>
  <c r="F350" i="15"/>
  <c r="F349" i="15"/>
  <c r="F348" i="15"/>
  <c r="F347" i="15"/>
  <c r="F346" i="15"/>
  <c r="F345" i="15"/>
  <c r="F344" i="15"/>
  <c r="F343" i="15"/>
  <c r="F342" i="15"/>
  <c r="F341" i="15"/>
  <c r="F340" i="15"/>
  <c r="F339" i="15"/>
  <c r="F338" i="15"/>
  <c r="F337" i="15"/>
  <c r="F336" i="15"/>
  <c r="F335" i="15"/>
  <c r="F334" i="15"/>
  <c r="F333" i="15"/>
  <c r="F332" i="15"/>
  <c r="F331" i="15"/>
  <c r="F330" i="15"/>
  <c r="F329" i="15"/>
  <c r="F328" i="15"/>
  <c r="F327" i="15"/>
  <c r="F326" i="15"/>
  <c r="F325" i="15"/>
  <c r="F324" i="15"/>
  <c r="F323" i="15"/>
  <c r="F322" i="15"/>
  <c r="F321" i="15"/>
  <c r="F320" i="15"/>
  <c r="F319" i="15"/>
  <c r="F318" i="15"/>
  <c r="F317" i="15"/>
  <c r="F316" i="15"/>
  <c r="F315" i="15"/>
  <c r="F314" i="15"/>
  <c r="F313" i="15"/>
  <c r="F312" i="15"/>
  <c r="F311" i="15"/>
  <c r="F310" i="15"/>
  <c r="F309" i="15"/>
  <c r="F308" i="15"/>
  <c r="F307" i="15"/>
  <c r="F306" i="15"/>
  <c r="F305" i="15"/>
  <c r="F304" i="15"/>
  <c r="F303" i="15"/>
  <c r="F302" i="15"/>
  <c r="F301" i="15"/>
  <c r="F300" i="15"/>
  <c r="F299" i="15"/>
  <c r="F298" i="15"/>
  <c r="F297" i="15"/>
  <c r="F296" i="15"/>
  <c r="F295" i="15"/>
  <c r="F294" i="15"/>
  <c r="F293" i="15"/>
  <c r="F292" i="15"/>
  <c r="F291" i="15"/>
  <c r="F290" i="15"/>
  <c r="F289" i="15"/>
  <c r="F288" i="15"/>
  <c r="F287" i="15"/>
  <c r="F286" i="15"/>
  <c r="F285" i="15"/>
  <c r="F284" i="15"/>
  <c r="F283" i="15"/>
  <c r="F282" i="15"/>
  <c r="F281" i="15"/>
  <c r="F280" i="15"/>
  <c r="F279" i="15"/>
  <c r="F278" i="15"/>
  <c r="F277" i="15"/>
  <c r="F276" i="15"/>
  <c r="F275" i="15"/>
  <c r="F274" i="15"/>
  <c r="F273" i="15"/>
  <c r="F272" i="15"/>
  <c r="F271" i="15"/>
  <c r="F270" i="15"/>
  <c r="F269" i="15"/>
  <c r="F268" i="15"/>
  <c r="F267" i="15"/>
  <c r="F266" i="15"/>
  <c r="F265" i="15"/>
  <c r="F264" i="15"/>
  <c r="F263" i="15"/>
  <c r="F262" i="15"/>
  <c r="F261" i="15"/>
  <c r="F260" i="15"/>
  <c r="F259" i="15"/>
  <c r="F258" i="15"/>
  <c r="F257" i="15"/>
  <c r="F256" i="15"/>
  <c r="F255" i="15"/>
  <c r="F254" i="15"/>
  <c r="F253" i="15"/>
  <c r="F252" i="15"/>
  <c r="F251" i="15"/>
  <c r="F250" i="15"/>
  <c r="F249" i="15"/>
  <c r="F248" i="15"/>
  <c r="F247" i="15"/>
  <c r="F246" i="15"/>
  <c r="F245" i="15"/>
  <c r="F244" i="15"/>
  <c r="F243" i="15"/>
  <c r="F242" i="15"/>
  <c r="F241" i="15"/>
  <c r="F240" i="15"/>
  <c r="F239" i="15"/>
  <c r="F238" i="15"/>
  <c r="F237" i="15"/>
  <c r="F236" i="15"/>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K48" i="15"/>
  <c r="F48" i="15"/>
  <c r="K47" i="15"/>
  <c r="F47" i="15"/>
  <c r="K46" i="15"/>
  <c r="F46" i="15"/>
  <c r="K45" i="15"/>
  <c r="F45" i="15"/>
  <c r="F35" i="15"/>
  <c r="K44" i="15"/>
  <c r="F44" i="15"/>
  <c r="F30" i="15"/>
  <c r="K43" i="15"/>
  <c r="F43" i="15"/>
  <c r="F42" i="15"/>
  <c r="F41" i="15"/>
  <c r="F40" i="15"/>
  <c r="F39" i="15"/>
  <c r="F38" i="15"/>
  <c r="F37" i="15"/>
  <c r="F36" i="15"/>
  <c r="F34" i="15"/>
  <c r="F33" i="15"/>
  <c r="F32" i="15"/>
  <c r="F31" i="15"/>
  <c r="F29" i="15"/>
  <c r="F28" i="15"/>
  <c r="F27" i="15"/>
  <c r="F26" i="15"/>
  <c r="F25" i="15"/>
  <c r="F24" i="15"/>
  <c r="F23" i="15"/>
  <c r="F22" i="15"/>
  <c r="F21" i="15"/>
  <c r="F20" i="15"/>
  <c r="F19" i="15"/>
  <c r="F18" i="15"/>
  <c r="F17" i="15"/>
  <c r="F16" i="15"/>
  <c r="F15" i="15"/>
  <c r="F14" i="15"/>
  <c r="F13" i="15"/>
  <c r="F12" i="15"/>
  <c r="F11" i="15"/>
  <c r="F10" i="15"/>
  <c r="F9" i="15"/>
  <c r="F8" i="15"/>
  <c r="F7" i="15"/>
  <c r="F6" i="15"/>
  <c r="F5" i="15"/>
  <c r="F4" i="15"/>
  <c r="F3" i="15"/>
  <c r="I2" i="15"/>
  <c r="H2" i="15"/>
  <c r="F2" i="15"/>
  <c r="H3" i="14"/>
  <c r="C3" i="14"/>
  <c r="H4" i="14"/>
  <c r="C4" i="14"/>
  <c r="H5" i="14"/>
  <c r="C5" i="14"/>
  <c r="H6" i="14"/>
  <c r="C6" i="14"/>
  <c r="H7" i="14"/>
  <c r="C7" i="14"/>
  <c r="H8" i="14"/>
  <c r="C8" i="14"/>
  <c r="H9" i="14"/>
  <c r="C9" i="14"/>
  <c r="H10" i="14"/>
  <c r="C10" i="14"/>
  <c r="H11" i="14"/>
  <c r="C11" i="14"/>
  <c r="H12" i="14"/>
  <c r="C12" i="14"/>
  <c r="H13" i="14"/>
  <c r="C13" i="14"/>
  <c r="H14" i="14"/>
  <c r="C14" i="14"/>
  <c r="H15" i="14"/>
  <c r="C15" i="14"/>
  <c r="H16" i="14"/>
  <c r="C16" i="14"/>
  <c r="H17" i="14"/>
  <c r="C17" i="14"/>
  <c r="H18" i="14"/>
  <c r="C18" i="14"/>
  <c r="H19" i="14"/>
  <c r="C19" i="14"/>
  <c r="H20" i="14"/>
  <c r="C20" i="14"/>
  <c r="H21" i="14"/>
  <c r="C21" i="14"/>
  <c r="H22" i="14"/>
  <c r="C22" i="14"/>
  <c r="H23" i="14"/>
  <c r="C23" i="14"/>
  <c r="H24" i="14"/>
  <c r="C24" i="14"/>
  <c r="H25" i="14"/>
  <c r="C25" i="14"/>
  <c r="H26" i="14"/>
  <c r="C26" i="14"/>
  <c r="H27" i="14"/>
  <c r="C27" i="14"/>
  <c r="H28" i="14"/>
  <c r="C28" i="14"/>
  <c r="H29" i="14"/>
  <c r="C29" i="14"/>
  <c r="H30" i="14"/>
  <c r="C30" i="14"/>
  <c r="H31" i="14"/>
  <c r="C31" i="14"/>
  <c r="H32" i="14"/>
  <c r="C32" i="14"/>
  <c r="H33" i="14"/>
  <c r="C33" i="14"/>
  <c r="H34" i="14"/>
  <c r="C34" i="14"/>
  <c r="H35" i="14"/>
  <c r="C35" i="14"/>
  <c r="H36" i="14"/>
  <c r="C36" i="14"/>
  <c r="H37" i="14"/>
  <c r="C37" i="14"/>
  <c r="H38" i="14"/>
  <c r="C38" i="14"/>
  <c r="H39" i="14"/>
  <c r="C39" i="14"/>
  <c r="H40" i="14"/>
  <c r="C40" i="14"/>
  <c r="H41" i="14"/>
  <c r="C41" i="14"/>
  <c r="H42" i="14"/>
  <c r="C42" i="14"/>
  <c r="H43" i="14"/>
  <c r="C43" i="14"/>
  <c r="H44" i="14"/>
  <c r="C44" i="14"/>
  <c r="H45" i="14"/>
  <c r="C45" i="14"/>
  <c r="H46" i="14"/>
  <c r="C46" i="14"/>
  <c r="H47" i="14"/>
  <c r="C47" i="14"/>
  <c r="H48" i="14"/>
  <c r="C48" i="14"/>
  <c r="H49" i="14"/>
  <c r="C49" i="14"/>
  <c r="H50" i="14"/>
  <c r="C50" i="14"/>
  <c r="H51" i="14"/>
  <c r="C51" i="14"/>
  <c r="H52" i="14"/>
  <c r="C52" i="14"/>
  <c r="H53" i="14"/>
  <c r="C53" i="14"/>
  <c r="H54" i="14"/>
  <c r="C54" i="14"/>
  <c r="H55" i="14"/>
  <c r="C55" i="14"/>
  <c r="H56" i="14"/>
  <c r="C56" i="14"/>
  <c r="H57" i="14"/>
  <c r="C57" i="14"/>
  <c r="H58" i="14"/>
  <c r="C58" i="14"/>
  <c r="H59" i="14"/>
  <c r="C59" i="14"/>
  <c r="H60" i="14"/>
  <c r="C60" i="14"/>
  <c r="H61" i="14"/>
  <c r="C61" i="14"/>
  <c r="H62" i="14"/>
  <c r="C62" i="14"/>
  <c r="H63" i="14"/>
  <c r="C63" i="14"/>
  <c r="H64" i="14"/>
  <c r="C64" i="14"/>
  <c r="H65" i="14"/>
  <c r="C65" i="14"/>
  <c r="H66" i="14"/>
  <c r="C66" i="14"/>
  <c r="H67" i="14"/>
  <c r="C67" i="14"/>
  <c r="H68" i="14"/>
  <c r="C68" i="14"/>
  <c r="H69" i="14"/>
  <c r="C69" i="14"/>
  <c r="H70" i="14"/>
  <c r="C70" i="14"/>
  <c r="H71" i="14"/>
  <c r="C71" i="14"/>
  <c r="H72" i="14"/>
  <c r="C72" i="14"/>
  <c r="H73" i="14"/>
  <c r="C73" i="14"/>
  <c r="H74" i="14"/>
  <c r="C74" i="14"/>
  <c r="H75" i="14"/>
  <c r="C75" i="14"/>
  <c r="H76" i="14"/>
  <c r="C76" i="14"/>
  <c r="H77" i="14"/>
  <c r="C77" i="14"/>
  <c r="H78" i="14"/>
  <c r="C78" i="14"/>
  <c r="H79" i="14"/>
  <c r="C79" i="14"/>
  <c r="H80" i="14"/>
  <c r="C80" i="14"/>
  <c r="H81" i="14"/>
  <c r="C81" i="14"/>
  <c r="H82" i="14"/>
  <c r="C82" i="14"/>
  <c r="H83" i="14"/>
  <c r="C83" i="14"/>
  <c r="H84" i="14"/>
  <c r="C84" i="14"/>
  <c r="H85" i="14"/>
  <c r="C85" i="14"/>
  <c r="H86" i="14"/>
  <c r="C86" i="14"/>
  <c r="H87" i="14"/>
  <c r="C87" i="14"/>
  <c r="H88" i="14"/>
  <c r="C88" i="14"/>
  <c r="H89" i="14"/>
  <c r="C89" i="14"/>
  <c r="H90" i="14"/>
  <c r="C90" i="14"/>
  <c r="H91" i="14"/>
  <c r="C91" i="14"/>
  <c r="H92" i="14"/>
  <c r="C92" i="14"/>
  <c r="H93" i="14"/>
  <c r="C93" i="14"/>
  <c r="H94" i="14"/>
  <c r="C94" i="14"/>
  <c r="H95" i="14"/>
  <c r="C95" i="14"/>
  <c r="H96" i="14"/>
  <c r="C96" i="14"/>
  <c r="H97" i="14"/>
  <c r="C97" i="14"/>
  <c r="H98" i="14"/>
  <c r="C98" i="14"/>
  <c r="H99" i="14"/>
  <c r="C99" i="14"/>
  <c r="H100" i="14"/>
  <c r="C100" i="14"/>
  <c r="H101" i="14"/>
  <c r="C101" i="14"/>
  <c r="H102" i="14"/>
  <c r="C102" i="14"/>
  <c r="H103" i="14"/>
  <c r="C103" i="14"/>
  <c r="H104" i="14"/>
  <c r="C104" i="14"/>
  <c r="H105" i="14"/>
  <c r="C105" i="14"/>
  <c r="H106" i="14"/>
  <c r="C106" i="14"/>
  <c r="H107" i="14"/>
  <c r="C107" i="14"/>
  <c r="H108" i="14"/>
  <c r="C108" i="14"/>
  <c r="H109" i="14"/>
  <c r="C109" i="14"/>
  <c r="H110" i="14"/>
  <c r="C110" i="14"/>
  <c r="H111" i="14"/>
  <c r="C111" i="14"/>
  <c r="H112" i="14"/>
  <c r="C112" i="14"/>
  <c r="H113" i="14"/>
  <c r="C113" i="14"/>
  <c r="H114" i="14"/>
  <c r="C114" i="14"/>
  <c r="H115" i="14"/>
  <c r="C115" i="14"/>
  <c r="H116" i="14"/>
  <c r="C116" i="14"/>
  <c r="H117" i="14"/>
  <c r="C117" i="14"/>
  <c r="H118" i="14"/>
  <c r="C118" i="14"/>
  <c r="H119" i="14"/>
  <c r="C119" i="14"/>
  <c r="H120" i="14"/>
  <c r="C120" i="14"/>
  <c r="H121" i="14"/>
  <c r="C121" i="14"/>
  <c r="H122" i="14"/>
  <c r="C122" i="14"/>
  <c r="H123" i="14"/>
  <c r="C123" i="14"/>
  <c r="H124" i="14"/>
  <c r="C124" i="14"/>
  <c r="H125" i="14"/>
  <c r="C125" i="14"/>
  <c r="H126" i="14"/>
  <c r="C126" i="14"/>
  <c r="H127" i="14"/>
  <c r="C127" i="14"/>
  <c r="H128" i="14"/>
  <c r="C128" i="14"/>
  <c r="H129" i="14"/>
  <c r="C129" i="14"/>
  <c r="H130" i="14"/>
  <c r="C130" i="14"/>
  <c r="H131" i="14"/>
  <c r="C131" i="14"/>
  <c r="H132" i="14"/>
  <c r="C132" i="14"/>
  <c r="H133" i="14"/>
  <c r="C133" i="14"/>
  <c r="H134" i="14"/>
  <c r="C134" i="14"/>
  <c r="H135" i="14"/>
  <c r="C135" i="14"/>
  <c r="H136" i="14"/>
  <c r="C136" i="14"/>
  <c r="H137" i="14"/>
  <c r="C137" i="14"/>
  <c r="H138" i="14"/>
  <c r="C138" i="14"/>
  <c r="H139" i="14"/>
  <c r="C139" i="14"/>
  <c r="H140" i="14"/>
  <c r="C140" i="14"/>
  <c r="H141" i="14"/>
  <c r="C141" i="14"/>
  <c r="H142" i="14"/>
  <c r="C142" i="14"/>
  <c r="H143" i="14"/>
  <c r="C143" i="14"/>
  <c r="H144" i="14"/>
  <c r="C144" i="14"/>
  <c r="H145" i="14"/>
  <c r="C145" i="14"/>
  <c r="H146" i="14"/>
  <c r="C146" i="14"/>
  <c r="H147" i="14"/>
  <c r="C147" i="14"/>
  <c r="H148" i="14"/>
  <c r="C148" i="14"/>
  <c r="H149" i="14"/>
  <c r="C149" i="14"/>
  <c r="H150" i="14"/>
  <c r="C150" i="14"/>
  <c r="H151" i="14"/>
  <c r="C151" i="14"/>
  <c r="H152" i="14"/>
  <c r="C152" i="14"/>
  <c r="H153" i="14"/>
  <c r="C153" i="14"/>
  <c r="H154" i="14"/>
  <c r="C154" i="14"/>
  <c r="H155" i="14"/>
  <c r="C155" i="14"/>
  <c r="H156" i="14"/>
  <c r="C156" i="14"/>
  <c r="H157" i="14"/>
  <c r="C157" i="14"/>
  <c r="H158" i="14"/>
  <c r="C158" i="14"/>
  <c r="H159" i="14"/>
  <c r="C159" i="14"/>
  <c r="H160" i="14"/>
  <c r="C160" i="14"/>
  <c r="H161" i="14"/>
  <c r="C161" i="14"/>
  <c r="H162" i="14"/>
  <c r="C162" i="14"/>
  <c r="H163" i="14"/>
  <c r="C163" i="14"/>
  <c r="H164" i="14"/>
  <c r="C164" i="14"/>
  <c r="H165" i="14"/>
  <c r="C165" i="14"/>
  <c r="H166" i="14"/>
  <c r="C166" i="14"/>
  <c r="H167" i="14"/>
  <c r="C167" i="14"/>
  <c r="H168" i="14"/>
  <c r="C168" i="14"/>
  <c r="H169" i="14"/>
  <c r="C169" i="14"/>
  <c r="H170" i="14"/>
  <c r="C170" i="14"/>
  <c r="H171" i="14"/>
  <c r="C171" i="14"/>
  <c r="H172" i="14"/>
  <c r="C172" i="14"/>
  <c r="H173" i="14"/>
  <c r="C173" i="14"/>
  <c r="H174" i="14"/>
  <c r="C174" i="14"/>
  <c r="H175" i="14"/>
  <c r="C175" i="14"/>
  <c r="H176" i="14"/>
  <c r="C176" i="14"/>
  <c r="H177" i="14"/>
  <c r="C177" i="14"/>
  <c r="H178" i="14"/>
  <c r="C178" i="14"/>
  <c r="H179" i="14"/>
  <c r="C179" i="14"/>
  <c r="H180" i="14"/>
  <c r="C180" i="14"/>
  <c r="H181" i="14"/>
  <c r="C181" i="14"/>
  <c r="H182" i="14"/>
  <c r="C182" i="14"/>
  <c r="H183" i="14"/>
  <c r="C183" i="14"/>
  <c r="H184" i="14"/>
  <c r="C184" i="14"/>
  <c r="H185" i="14"/>
  <c r="C185" i="14"/>
  <c r="H186" i="14"/>
  <c r="C186" i="14"/>
  <c r="H187" i="14"/>
  <c r="C187" i="14"/>
  <c r="H188" i="14"/>
  <c r="C188" i="14"/>
  <c r="H189" i="14"/>
  <c r="C189" i="14"/>
  <c r="H190" i="14"/>
  <c r="C190" i="14"/>
  <c r="H191" i="14"/>
  <c r="C191" i="14"/>
  <c r="H192" i="14"/>
  <c r="C192" i="14"/>
  <c r="H193" i="14"/>
  <c r="C193" i="14"/>
  <c r="H194" i="14"/>
  <c r="C194" i="14"/>
  <c r="H195" i="14"/>
  <c r="C195" i="14"/>
  <c r="H196" i="14"/>
  <c r="C196" i="14"/>
  <c r="H197" i="14"/>
  <c r="C197" i="14"/>
  <c r="H198" i="14"/>
  <c r="C198" i="14"/>
  <c r="H199" i="14"/>
  <c r="C199" i="14"/>
  <c r="H200" i="14"/>
  <c r="C200" i="14"/>
  <c r="H201" i="14"/>
  <c r="C201" i="14"/>
  <c r="H202" i="14"/>
  <c r="C202" i="14"/>
  <c r="H203" i="14"/>
  <c r="C203" i="14"/>
  <c r="H204" i="14"/>
  <c r="C204" i="14"/>
  <c r="H205" i="14"/>
  <c r="C205" i="14"/>
  <c r="H206" i="14"/>
  <c r="C206" i="14"/>
  <c r="H207" i="14"/>
  <c r="C207" i="14"/>
  <c r="H208" i="14"/>
  <c r="C208" i="14"/>
  <c r="H209" i="14"/>
  <c r="C209" i="14"/>
  <c r="H210" i="14"/>
  <c r="C210" i="14"/>
  <c r="H211" i="14"/>
  <c r="C211" i="14"/>
  <c r="H212" i="14"/>
  <c r="C212" i="14"/>
  <c r="H213" i="14"/>
  <c r="C213" i="14"/>
  <c r="H214" i="14"/>
  <c r="C214" i="14"/>
  <c r="H215" i="14"/>
  <c r="C215" i="14"/>
  <c r="H216" i="14"/>
  <c r="C216" i="14"/>
  <c r="H217" i="14"/>
  <c r="C217" i="14"/>
  <c r="H218" i="14"/>
  <c r="C218" i="14"/>
  <c r="H219" i="14"/>
  <c r="C219" i="14"/>
  <c r="H220" i="14"/>
  <c r="C220" i="14"/>
  <c r="H221" i="14"/>
  <c r="C221" i="14"/>
  <c r="H222" i="14"/>
  <c r="C222" i="14"/>
  <c r="H223" i="14"/>
  <c r="C223" i="14"/>
  <c r="H224" i="14"/>
  <c r="C224" i="14"/>
  <c r="H225" i="14"/>
  <c r="C225" i="14"/>
  <c r="H226" i="14"/>
  <c r="C226" i="14"/>
  <c r="H227" i="14"/>
  <c r="C227" i="14"/>
  <c r="H228" i="14"/>
  <c r="C228" i="14"/>
  <c r="H229" i="14"/>
  <c r="C229" i="14"/>
  <c r="H230" i="14"/>
  <c r="C230" i="14"/>
  <c r="H231" i="14"/>
  <c r="C231" i="14"/>
  <c r="H232" i="14"/>
  <c r="C232" i="14"/>
  <c r="H233" i="14"/>
  <c r="C233" i="14"/>
  <c r="H234" i="14"/>
  <c r="C234" i="14"/>
  <c r="H235" i="14"/>
  <c r="C235" i="14"/>
  <c r="H236" i="14"/>
  <c r="C236" i="14"/>
  <c r="H237" i="14"/>
  <c r="C237" i="14"/>
  <c r="H238" i="14"/>
  <c r="C238" i="14"/>
  <c r="H239" i="14"/>
  <c r="C239" i="14"/>
  <c r="H240" i="14"/>
  <c r="C240" i="14"/>
  <c r="H241" i="14"/>
  <c r="C241" i="14"/>
  <c r="H242" i="14"/>
  <c r="C242" i="14"/>
  <c r="H243" i="14"/>
  <c r="C243" i="14"/>
  <c r="H244" i="14"/>
  <c r="C244" i="14"/>
  <c r="H245" i="14"/>
  <c r="C245" i="14"/>
  <c r="H246" i="14"/>
  <c r="C246" i="14"/>
  <c r="H247" i="14"/>
  <c r="C247" i="14"/>
  <c r="H248" i="14"/>
  <c r="C248" i="14"/>
  <c r="H249" i="14"/>
  <c r="C249" i="14"/>
  <c r="H250" i="14"/>
  <c r="C250" i="14"/>
  <c r="H251" i="14"/>
  <c r="C251" i="14"/>
  <c r="H252" i="14"/>
  <c r="C252" i="14"/>
  <c r="H253" i="14"/>
  <c r="C253" i="14"/>
  <c r="H254" i="14"/>
  <c r="C254" i="14"/>
  <c r="H255" i="14"/>
  <c r="C255" i="14"/>
  <c r="H256" i="14"/>
  <c r="C256" i="14"/>
  <c r="H257" i="14"/>
  <c r="C257" i="14"/>
  <c r="H258" i="14"/>
  <c r="C258" i="14"/>
  <c r="H259" i="14"/>
  <c r="C259" i="14"/>
  <c r="H260" i="14"/>
  <c r="C260" i="14"/>
  <c r="H261" i="14"/>
  <c r="C261" i="14"/>
  <c r="H262" i="14"/>
  <c r="C262" i="14"/>
  <c r="H263" i="14"/>
  <c r="C263" i="14"/>
  <c r="H264" i="14"/>
  <c r="C264" i="14"/>
  <c r="H265" i="14"/>
  <c r="C265" i="14"/>
  <c r="H266" i="14"/>
  <c r="C266" i="14"/>
  <c r="H267" i="14"/>
  <c r="C267" i="14"/>
  <c r="H268" i="14"/>
  <c r="C268" i="14"/>
  <c r="H269" i="14"/>
  <c r="C269" i="14"/>
  <c r="H270" i="14"/>
  <c r="C270" i="14"/>
  <c r="H271" i="14"/>
  <c r="C271" i="14"/>
  <c r="H272" i="14"/>
  <c r="C272" i="14"/>
  <c r="H273" i="14"/>
  <c r="C273" i="14"/>
  <c r="H274" i="14"/>
  <c r="C274" i="14"/>
  <c r="H275" i="14"/>
  <c r="C275" i="14"/>
  <c r="H276" i="14"/>
  <c r="C276" i="14"/>
  <c r="H277" i="14"/>
  <c r="C277" i="14"/>
  <c r="H278" i="14"/>
  <c r="C278" i="14"/>
  <c r="H279" i="14"/>
  <c r="C279" i="14"/>
  <c r="H280" i="14"/>
  <c r="C280" i="14"/>
  <c r="H281" i="14"/>
  <c r="C281" i="14"/>
  <c r="H282" i="14"/>
  <c r="C282" i="14"/>
  <c r="H283" i="14"/>
  <c r="C283" i="14"/>
  <c r="H284" i="14"/>
  <c r="C284" i="14"/>
  <c r="H285" i="14"/>
  <c r="C285" i="14"/>
  <c r="H286" i="14"/>
  <c r="C286" i="14"/>
  <c r="H287" i="14"/>
  <c r="C287" i="14"/>
  <c r="H288" i="14"/>
  <c r="C288" i="14"/>
  <c r="H289" i="14"/>
  <c r="C289" i="14"/>
  <c r="H290" i="14"/>
  <c r="C290" i="14"/>
  <c r="H291" i="14"/>
  <c r="C291" i="14"/>
  <c r="H292" i="14"/>
  <c r="C292" i="14"/>
  <c r="H293" i="14"/>
  <c r="C293" i="14"/>
  <c r="H294" i="14"/>
  <c r="C294" i="14"/>
  <c r="H295" i="14"/>
  <c r="C295" i="14"/>
  <c r="H296" i="14"/>
  <c r="C296" i="14"/>
  <c r="H297" i="14"/>
  <c r="C297" i="14"/>
  <c r="H298" i="14"/>
  <c r="C298" i="14"/>
  <c r="H299" i="14"/>
  <c r="C299" i="14"/>
  <c r="H300" i="14"/>
  <c r="C300" i="14"/>
  <c r="H301" i="14"/>
  <c r="C301" i="14"/>
  <c r="H302" i="14"/>
  <c r="C302" i="14"/>
  <c r="H303" i="14"/>
  <c r="C303" i="14"/>
  <c r="H304" i="14"/>
  <c r="C304" i="14"/>
  <c r="H305" i="14"/>
  <c r="C305" i="14"/>
  <c r="H306" i="14"/>
  <c r="C306" i="14"/>
  <c r="H307" i="14"/>
  <c r="C307" i="14"/>
  <c r="H308" i="14"/>
  <c r="C308" i="14"/>
  <c r="H309" i="14"/>
  <c r="C309" i="14"/>
  <c r="H310" i="14"/>
  <c r="C310" i="14"/>
  <c r="H311" i="14"/>
  <c r="C311" i="14"/>
  <c r="H312" i="14"/>
  <c r="C312" i="14"/>
  <c r="H313" i="14"/>
  <c r="C313" i="14"/>
  <c r="H314" i="14"/>
  <c r="C314" i="14"/>
  <c r="H315" i="14"/>
  <c r="C315" i="14"/>
  <c r="H316" i="14"/>
  <c r="C316" i="14"/>
  <c r="H317" i="14"/>
  <c r="C317" i="14"/>
  <c r="H318" i="14"/>
  <c r="C318" i="14"/>
  <c r="H319" i="14"/>
  <c r="C319" i="14"/>
  <c r="H320" i="14"/>
  <c r="C320" i="14"/>
  <c r="H321" i="14"/>
  <c r="C321" i="14"/>
  <c r="H322" i="14"/>
  <c r="C322" i="14"/>
  <c r="H323" i="14"/>
  <c r="C323" i="14"/>
  <c r="H324" i="14"/>
  <c r="C324" i="14"/>
  <c r="H325" i="14"/>
  <c r="C325" i="14"/>
  <c r="H326" i="14"/>
  <c r="C326" i="14"/>
  <c r="H327" i="14"/>
  <c r="C327" i="14"/>
  <c r="H328" i="14"/>
  <c r="C328" i="14"/>
  <c r="H329" i="14"/>
  <c r="C329" i="14"/>
  <c r="H330" i="14"/>
  <c r="C330" i="14"/>
  <c r="H331" i="14"/>
  <c r="C331" i="14"/>
  <c r="H332" i="14"/>
  <c r="C332" i="14"/>
  <c r="H333" i="14"/>
  <c r="C333" i="14"/>
  <c r="H334" i="14"/>
  <c r="C334" i="14"/>
  <c r="H335" i="14"/>
  <c r="C335" i="14"/>
  <c r="H336" i="14"/>
  <c r="C336" i="14"/>
  <c r="H337" i="14"/>
  <c r="C337" i="14"/>
  <c r="H338" i="14"/>
  <c r="C338" i="14"/>
  <c r="H339" i="14"/>
  <c r="C339" i="14"/>
  <c r="H340" i="14"/>
  <c r="C340" i="14"/>
  <c r="H341" i="14"/>
  <c r="C341" i="14"/>
  <c r="H342" i="14"/>
  <c r="C342" i="14"/>
  <c r="H343" i="14"/>
  <c r="C343" i="14"/>
  <c r="H344" i="14"/>
  <c r="C344" i="14"/>
  <c r="H345" i="14"/>
  <c r="C345" i="14"/>
  <c r="H346" i="14"/>
  <c r="C346" i="14"/>
  <c r="H347" i="14"/>
  <c r="C347" i="14"/>
  <c r="H348" i="14"/>
  <c r="C348" i="14"/>
  <c r="H349" i="14"/>
  <c r="C349" i="14"/>
  <c r="H350" i="14"/>
  <c r="C350" i="14"/>
  <c r="H351" i="14"/>
  <c r="C351" i="14"/>
  <c r="H352" i="14"/>
  <c r="C352" i="14"/>
  <c r="H353" i="14"/>
  <c r="C353" i="14"/>
  <c r="H354" i="14"/>
  <c r="C354" i="14"/>
  <c r="H355" i="14"/>
  <c r="C355" i="14"/>
  <c r="H356" i="14"/>
  <c r="C356" i="14"/>
  <c r="H357" i="14"/>
  <c r="C357" i="14"/>
  <c r="H358" i="14"/>
  <c r="C358" i="14"/>
  <c r="H359" i="14"/>
  <c r="C359" i="14"/>
  <c r="H360" i="14"/>
  <c r="C360" i="14"/>
  <c r="H361" i="14"/>
  <c r="C361" i="14"/>
  <c r="H362" i="14"/>
  <c r="C362" i="14"/>
  <c r="H363" i="14"/>
  <c r="C363" i="14"/>
  <c r="H364" i="14"/>
  <c r="C364" i="14"/>
  <c r="H365" i="14"/>
  <c r="C365" i="14"/>
  <c r="H366" i="14"/>
  <c r="C366" i="14"/>
  <c r="H367" i="14"/>
  <c r="C367" i="14"/>
  <c r="H368" i="14"/>
  <c r="C368" i="14"/>
  <c r="H369" i="14"/>
  <c r="C369" i="14"/>
  <c r="H370" i="14"/>
  <c r="C370" i="14"/>
  <c r="H371" i="14"/>
  <c r="C371" i="14"/>
  <c r="H372" i="14"/>
  <c r="C372" i="14"/>
  <c r="H373" i="14"/>
  <c r="C373" i="14"/>
  <c r="H374" i="14"/>
  <c r="C374" i="14"/>
  <c r="H375" i="14"/>
  <c r="C375" i="14"/>
  <c r="H376" i="14"/>
  <c r="C376" i="14"/>
  <c r="H377" i="14"/>
  <c r="C377" i="14"/>
  <c r="H378" i="14"/>
  <c r="C378" i="14"/>
  <c r="H379" i="14"/>
  <c r="C379" i="14"/>
  <c r="H380" i="14"/>
  <c r="C380" i="14"/>
  <c r="H381" i="14"/>
  <c r="C381" i="14"/>
  <c r="H382" i="14"/>
  <c r="C382" i="14"/>
  <c r="H383" i="14"/>
  <c r="C383" i="14"/>
  <c r="H384" i="14"/>
  <c r="C384" i="14"/>
  <c r="H385" i="14"/>
  <c r="C385" i="14"/>
  <c r="H386" i="14"/>
  <c r="C386" i="14"/>
  <c r="H387" i="14"/>
  <c r="C387" i="14"/>
  <c r="H388" i="14"/>
  <c r="C388" i="14"/>
  <c r="H389" i="14"/>
  <c r="C389" i="14"/>
  <c r="H390" i="14"/>
  <c r="C390" i="14"/>
  <c r="H391" i="14"/>
  <c r="C391" i="14"/>
  <c r="H392" i="14"/>
  <c r="C392" i="14"/>
  <c r="H393" i="14"/>
  <c r="C393" i="14"/>
  <c r="H394" i="14"/>
  <c r="C394" i="14"/>
  <c r="H395" i="14"/>
  <c r="C395" i="14"/>
  <c r="H396" i="14"/>
  <c r="C396" i="14"/>
  <c r="H397" i="14"/>
  <c r="C397" i="14"/>
  <c r="H398" i="14"/>
  <c r="C398" i="14"/>
  <c r="H399" i="14"/>
  <c r="C399" i="14"/>
  <c r="H400" i="14"/>
  <c r="C400" i="14"/>
  <c r="H401" i="14"/>
  <c r="C401" i="14"/>
  <c r="K48" i="14"/>
  <c r="K47" i="14"/>
  <c r="K46" i="14"/>
  <c r="K45" i="14"/>
  <c r="K44" i="14"/>
  <c r="K43" i="14"/>
  <c r="F129" i="14"/>
  <c r="F91" i="14"/>
  <c r="F73" i="14"/>
  <c r="F55" i="14"/>
  <c r="F35" i="14"/>
  <c r="F30" i="14"/>
  <c r="F401" i="14"/>
  <c r="F400" i="14"/>
  <c r="F399" i="14"/>
  <c r="F398" i="14"/>
  <c r="F397" i="14"/>
  <c r="F396" i="14"/>
  <c r="F395" i="14"/>
  <c r="F394" i="14"/>
  <c r="F393" i="14"/>
  <c r="F392" i="14"/>
  <c r="F391" i="14"/>
  <c r="F390" i="14"/>
  <c r="F389" i="14"/>
  <c r="F388" i="14"/>
  <c r="F387" i="14"/>
  <c r="F386" i="14"/>
  <c r="F385" i="14"/>
  <c r="F384" i="14"/>
  <c r="F383" i="14"/>
  <c r="F382" i="14"/>
  <c r="F381" i="14"/>
  <c r="F380" i="14"/>
  <c r="F379" i="14"/>
  <c r="F378" i="14"/>
  <c r="F377" i="14"/>
  <c r="F376" i="14"/>
  <c r="F375" i="14"/>
  <c r="F374" i="14"/>
  <c r="F373" i="14"/>
  <c r="F372" i="14"/>
  <c r="F371" i="14"/>
  <c r="F370" i="14"/>
  <c r="F369" i="14"/>
  <c r="F368" i="14"/>
  <c r="F367" i="14"/>
  <c r="F366" i="14"/>
  <c r="F365" i="14"/>
  <c r="F364" i="14"/>
  <c r="F363" i="14"/>
  <c r="F362" i="14"/>
  <c r="F361" i="14"/>
  <c r="F360" i="14"/>
  <c r="F359" i="14"/>
  <c r="F358" i="14"/>
  <c r="F357" i="14"/>
  <c r="F356" i="14"/>
  <c r="F355" i="14"/>
  <c r="F354" i="14"/>
  <c r="F353" i="14"/>
  <c r="F352" i="14"/>
  <c r="F351" i="14"/>
  <c r="F350" i="14"/>
  <c r="F349" i="14"/>
  <c r="F348" i="14"/>
  <c r="F347" i="14"/>
  <c r="F346" i="14"/>
  <c r="F345" i="14"/>
  <c r="F344" i="14"/>
  <c r="F343" i="14"/>
  <c r="F342" i="14"/>
  <c r="F341" i="14"/>
  <c r="F340" i="14"/>
  <c r="F339" i="14"/>
  <c r="F338" i="14"/>
  <c r="F337" i="14"/>
  <c r="F336" i="14"/>
  <c r="F335" i="14"/>
  <c r="F334" i="14"/>
  <c r="F333" i="14"/>
  <c r="F332" i="14"/>
  <c r="F331" i="14"/>
  <c r="F330" i="14"/>
  <c r="F329" i="14"/>
  <c r="F328" i="14"/>
  <c r="F327" i="14"/>
  <c r="F326" i="14"/>
  <c r="F325" i="14"/>
  <c r="F324" i="14"/>
  <c r="F32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F224" i="14"/>
  <c r="F223" i="14"/>
  <c r="F222" i="14"/>
  <c r="F221" i="14"/>
  <c r="F220" i="14"/>
  <c r="F219" i="14"/>
  <c r="F218" i="14"/>
  <c r="F217" i="14"/>
  <c r="F216" i="14"/>
  <c r="F215" i="14"/>
  <c r="F214" i="14"/>
  <c r="F213" i="14"/>
  <c r="F212" i="14"/>
  <c r="F211" i="14"/>
  <c r="F210" i="14"/>
  <c r="F209" i="14"/>
  <c r="F208" i="14"/>
  <c r="F207" i="14"/>
  <c r="F206" i="14"/>
  <c r="F205" i="14"/>
  <c r="F204" i="14"/>
  <c r="F203" i="14"/>
  <c r="F202" i="14"/>
  <c r="F201" i="14"/>
  <c r="F200" i="14"/>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0" i="14"/>
  <c r="F89" i="14"/>
  <c r="F88" i="14"/>
  <c r="F87" i="14"/>
  <c r="F86" i="14"/>
  <c r="F85" i="14"/>
  <c r="F84" i="14"/>
  <c r="F83" i="14"/>
  <c r="F82" i="14"/>
  <c r="F81" i="14"/>
  <c r="F80" i="14"/>
  <c r="F79" i="14"/>
  <c r="F78" i="14"/>
  <c r="F77" i="14"/>
  <c r="F76" i="14"/>
  <c r="F75" i="14"/>
  <c r="F74" i="14"/>
  <c r="F72" i="14"/>
  <c r="F71" i="14"/>
  <c r="F70" i="14"/>
  <c r="F69" i="14"/>
  <c r="F68" i="14"/>
  <c r="F67" i="14"/>
  <c r="F66" i="14"/>
  <c r="F65" i="14"/>
  <c r="F64" i="14"/>
  <c r="F63" i="14"/>
  <c r="F62" i="14"/>
  <c r="F61" i="14"/>
  <c r="F60" i="14"/>
  <c r="F59" i="14"/>
  <c r="F58" i="14"/>
  <c r="F57" i="14"/>
  <c r="F56" i="14"/>
  <c r="F54" i="14"/>
  <c r="F53" i="14"/>
  <c r="F52" i="14"/>
  <c r="F51" i="14"/>
  <c r="F50" i="14"/>
  <c r="F49" i="14"/>
  <c r="F48" i="14"/>
  <c r="F47" i="14"/>
  <c r="F46" i="14"/>
  <c r="F45" i="14"/>
  <c r="F44" i="14"/>
  <c r="F43" i="14"/>
  <c r="F42" i="14"/>
  <c r="F41" i="14"/>
  <c r="F40" i="14"/>
  <c r="F39" i="14"/>
  <c r="F38" i="14"/>
  <c r="F37" i="14"/>
  <c r="F36" i="14"/>
  <c r="F34" i="14"/>
  <c r="F33" i="14"/>
  <c r="F32" i="14"/>
  <c r="F31" i="14"/>
  <c r="F29" i="14"/>
  <c r="F28" i="14"/>
  <c r="F27" i="14"/>
  <c r="F26" i="14"/>
  <c r="F25" i="14"/>
  <c r="F24" i="14"/>
  <c r="F23" i="14"/>
  <c r="F22" i="14"/>
  <c r="F21" i="14"/>
  <c r="F20" i="14"/>
  <c r="F19" i="14"/>
  <c r="F18" i="14"/>
  <c r="F17" i="14"/>
  <c r="F16" i="14"/>
  <c r="F15" i="14"/>
  <c r="F14" i="14"/>
  <c r="F13" i="14"/>
  <c r="F12" i="14"/>
  <c r="F11" i="14"/>
  <c r="F10" i="14"/>
  <c r="F9" i="14"/>
  <c r="F8" i="14"/>
  <c r="F7" i="14"/>
  <c r="F6" i="14"/>
  <c r="F5" i="14"/>
  <c r="F4" i="14"/>
  <c r="F2" i="14"/>
  <c r="F3" i="14"/>
  <c r="I401" i="14"/>
  <c r="G401" i="14"/>
  <c r="I3" i="14"/>
  <c r="E3" i="14"/>
  <c r="I4" i="14"/>
  <c r="E4" i="14"/>
  <c r="I5" i="14"/>
  <c r="E5" i="14"/>
  <c r="I6" i="14"/>
  <c r="E6" i="14"/>
  <c r="I7" i="14"/>
  <c r="E7" i="14"/>
  <c r="I8" i="14"/>
  <c r="E8" i="14"/>
  <c r="I9" i="14"/>
  <c r="E9" i="14"/>
  <c r="I10" i="14"/>
  <c r="E10" i="14"/>
  <c r="I11" i="14"/>
  <c r="E11" i="14"/>
  <c r="I12" i="14"/>
  <c r="E12" i="14"/>
  <c r="I13" i="14"/>
  <c r="E13" i="14"/>
  <c r="I14" i="14"/>
  <c r="E14" i="14"/>
  <c r="I15" i="14"/>
  <c r="E15" i="14"/>
  <c r="I16" i="14"/>
  <c r="E16" i="14"/>
  <c r="I17" i="14"/>
  <c r="E17" i="14"/>
  <c r="I18" i="14"/>
  <c r="E18" i="14"/>
  <c r="I19" i="14"/>
  <c r="E19" i="14"/>
  <c r="I20" i="14"/>
  <c r="E20" i="14"/>
  <c r="I21" i="14"/>
  <c r="E21" i="14"/>
  <c r="I22" i="14"/>
  <c r="E22" i="14"/>
  <c r="I23" i="14"/>
  <c r="E23" i="14"/>
  <c r="I24" i="14"/>
  <c r="E24" i="14"/>
  <c r="I25" i="14"/>
  <c r="E25" i="14"/>
  <c r="I26" i="14"/>
  <c r="E26" i="14"/>
  <c r="I27" i="14"/>
  <c r="E27" i="14"/>
  <c r="I28" i="14"/>
  <c r="E28" i="14"/>
  <c r="I29" i="14"/>
  <c r="E29" i="14"/>
  <c r="I30" i="14"/>
  <c r="E30" i="14"/>
  <c r="I31" i="14"/>
  <c r="E31" i="14"/>
  <c r="I32" i="14"/>
  <c r="E32" i="14"/>
  <c r="I33" i="14"/>
  <c r="E33" i="14"/>
  <c r="I34" i="14"/>
  <c r="E34" i="14"/>
  <c r="I35" i="14"/>
  <c r="E35" i="14"/>
  <c r="I36" i="14"/>
  <c r="E36" i="14"/>
  <c r="I37" i="14"/>
  <c r="E37" i="14"/>
  <c r="I38" i="14"/>
  <c r="E38" i="14"/>
  <c r="I39" i="14"/>
  <c r="E39" i="14"/>
  <c r="I40" i="14"/>
  <c r="E40" i="14"/>
  <c r="I41" i="14"/>
  <c r="E41" i="14"/>
  <c r="I42" i="14"/>
  <c r="E42" i="14"/>
  <c r="I43" i="14"/>
  <c r="E43" i="14"/>
  <c r="I44" i="14"/>
  <c r="E44" i="14"/>
  <c r="I45" i="14"/>
  <c r="E45" i="14"/>
  <c r="I46" i="14"/>
  <c r="E46" i="14"/>
  <c r="I47" i="14"/>
  <c r="E47" i="14"/>
  <c r="I48" i="14"/>
  <c r="E48" i="14"/>
  <c r="I49" i="14"/>
  <c r="E49" i="14"/>
  <c r="I50" i="14"/>
  <c r="E50" i="14"/>
  <c r="I51" i="14"/>
  <c r="E51" i="14"/>
  <c r="I52" i="14"/>
  <c r="E52" i="14"/>
  <c r="I53" i="14"/>
  <c r="E53" i="14"/>
  <c r="I54" i="14"/>
  <c r="E54" i="14"/>
  <c r="I55" i="14"/>
  <c r="E55" i="14"/>
  <c r="I56" i="14"/>
  <c r="E56" i="14"/>
  <c r="I57" i="14"/>
  <c r="E57" i="14"/>
  <c r="I58" i="14"/>
  <c r="E58" i="14"/>
  <c r="I59" i="14"/>
  <c r="E59" i="14"/>
  <c r="I60" i="14"/>
  <c r="E60" i="14"/>
  <c r="I61" i="14"/>
  <c r="E61" i="14"/>
  <c r="I62" i="14"/>
  <c r="E62" i="14"/>
  <c r="I63" i="14"/>
  <c r="E63" i="14"/>
  <c r="I64" i="14"/>
  <c r="E64" i="14"/>
  <c r="I65" i="14"/>
  <c r="E65" i="14"/>
  <c r="I66" i="14"/>
  <c r="E66" i="14"/>
  <c r="I67" i="14"/>
  <c r="E67" i="14"/>
  <c r="I68" i="14"/>
  <c r="E68" i="14"/>
  <c r="I69" i="14"/>
  <c r="E69" i="14"/>
  <c r="I70" i="14"/>
  <c r="E70" i="14"/>
  <c r="I71" i="14"/>
  <c r="E71" i="14"/>
  <c r="I72" i="14"/>
  <c r="E72" i="14"/>
  <c r="I73" i="14"/>
  <c r="E73" i="14"/>
  <c r="I74" i="14"/>
  <c r="E74" i="14"/>
  <c r="I75" i="14"/>
  <c r="E75" i="14"/>
  <c r="I76" i="14"/>
  <c r="E76" i="14"/>
  <c r="I77" i="14"/>
  <c r="E77" i="14"/>
  <c r="I78" i="14"/>
  <c r="E78" i="14"/>
  <c r="I79" i="14"/>
  <c r="E79" i="14"/>
  <c r="I80" i="14"/>
  <c r="E80" i="14"/>
  <c r="I81" i="14"/>
  <c r="E81" i="14"/>
  <c r="I82" i="14"/>
  <c r="E82" i="14"/>
  <c r="I83" i="14"/>
  <c r="E83" i="14"/>
  <c r="I84" i="14"/>
  <c r="E84" i="14"/>
  <c r="I85" i="14"/>
  <c r="E85" i="14"/>
  <c r="I86" i="14"/>
  <c r="E86" i="14"/>
  <c r="I87" i="14"/>
  <c r="E87" i="14"/>
  <c r="I88" i="14"/>
  <c r="E88" i="14"/>
  <c r="I89" i="14"/>
  <c r="E89" i="14"/>
  <c r="I90" i="14"/>
  <c r="E90" i="14"/>
  <c r="I91" i="14"/>
  <c r="E91" i="14"/>
  <c r="I92" i="14"/>
  <c r="E92" i="14"/>
  <c r="I93" i="14"/>
  <c r="E93" i="14"/>
  <c r="I94" i="14"/>
  <c r="E94" i="14"/>
  <c r="I95" i="14"/>
  <c r="E95" i="14"/>
  <c r="I96" i="14"/>
  <c r="E96" i="14"/>
  <c r="I97" i="14"/>
  <c r="E97" i="14"/>
  <c r="I98" i="14"/>
  <c r="E98" i="14"/>
  <c r="I99" i="14"/>
  <c r="E99" i="14"/>
  <c r="I100" i="14"/>
  <c r="E100" i="14"/>
  <c r="I101" i="14"/>
  <c r="E101" i="14"/>
  <c r="I102" i="14"/>
  <c r="E102" i="14"/>
  <c r="I103" i="14"/>
  <c r="E103" i="14"/>
  <c r="I104" i="14"/>
  <c r="E104" i="14"/>
  <c r="I105" i="14"/>
  <c r="E105" i="14"/>
  <c r="I106" i="14"/>
  <c r="E106" i="14"/>
  <c r="I107" i="14"/>
  <c r="E107" i="14"/>
  <c r="I108" i="14"/>
  <c r="E108" i="14"/>
  <c r="I109" i="14"/>
  <c r="E109" i="14"/>
  <c r="I110" i="14"/>
  <c r="E110" i="14"/>
  <c r="I111" i="14"/>
  <c r="E111" i="14"/>
  <c r="I112" i="14"/>
  <c r="E112" i="14"/>
  <c r="I113" i="14"/>
  <c r="E113" i="14"/>
  <c r="I114" i="14"/>
  <c r="E114" i="14"/>
  <c r="I115" i="14"/>
  <c r="E115" i="14"/>
  <c r="I116" i="14"/>
  <c r="E116" i="14"/>
  <c r="I117" i="14"/>
  <c r="E117" i="14"/>
  <c r="I118" i="14"/>
  <c r="E118" i="14"/>
  <c r="I119" i="14"/>
  <c r="E119" i="14"/>
  <c r="I120" i="14"/>
  <c r="E120" i="14"/>
  <c r="I121" i="14"/>
  <c r="E121" i="14"/>
  <c r="I122" i="14"/>
  <c r="E122" i="14"/>
  <c r="I123" i="14"/>
  <c r="E123" i="14"/>
  <c r="I124" i="14"/>
  <c r="E124" i="14"/>
  <c r="I125" i="14"/>
  <c r="E125" i="14"/>
  <c r="I126" i="14"/>
  <c r="E126" i="14"/>
  <c r="I127" i="14"/>
  <c r="E127" i="14"/>
  <c r="I128" i="14"/>
  <c r="E128" i="14"/>
  <c r="I129" i="14"/>
  <c r="E129" i="14"/>
  <c r="I130" i="14"/>
  <c r="E130" i="14"/>
  <c r="I131" i="14"/>
  <c r="E131" i="14"/>
  <c r="I132" i="14"/>
  <c r="E132" i="14"/>
  <c r="I133" i="14"/>
  <c r="E133" i="14"/>
  <c r="I134" i="14"/>
  <c r="E134" i="14"/>
  <c r="I135" i="14"/>
  <c r="E135" i="14"/>
  <c r="I136" i="14"/>
  <c r="E136" i="14"/>
  <c r="I137" i="14"/>
  <c r="E137" i="14"/>
  <c r="I138" i="14"/>
  <c r="E138" i="14"/>
  <c r="I139" i="14"/>
  <c r="E139" i="14"/>
  <c r="I140" i="14"/>
  <c r="E140" i="14"/>
  <c r="I141" i="14"/>
  <c r="E141" i="14"/>
  <c r="I142" i="14"/>
  <c r="E142" i="14"/>
  <c r="I143" i="14"/>
  <c r="E143" i="14"/>
  <c r="I144" i="14"/>
  <c r="E144" i="14"/>
  <c r="I145" i="14"/>
  <c r="E145" i="14"/>
  <c r="I146" i="14"/>
  <c r="E146" i="14"/>
  <c r="I147" i="14"/>
  <c r="E147" i="14"/>
  <c r="I148" i="14"/>
  <c r="E148" i="14"/>
  <c r="I149" i="14"/>
  <c r="E149" i="14"/>
  <c r="I150" i="14"/>
  <c r="E150" i="14"/>
  <c r="I151" i="14"/>
  <c r="E151" i="14"/>
  <c r="I152" i="14"/>
  <c r="E152" i="14"/>
  <c r="I153" i="14"/>
  <c r="E153" i="14"/>
  <c r="I154" i="14"/>
  <c r="E154" i="14"/>
  <c r="I155" i="14"/>
  <c r="E155" i="14"/>
  <c r="I156" i="14"/>
  <c r="E156" i="14"/>
  <c r="I157" i="14"/>
  <c r="E157" i="14"/>
  <c r="I158" i="14"/>
  <c r="E158" i="14"/>
  <c r="I159" i="14"/>
  <c r="E159" i="14"/>
  <c r="I160" i="14"/>
  <c r="E160" i="14"/>
  <c r="I161" i="14"/>
  <c r="E161" i="14"/>
  <c r="I162" i="14"/>
  <c r="E162" i="14"/>
  <c r="I163" i="14"/>
  <c r="E163" i="14"/>
  <c r="I164" i="14"/>
  <c r="E164" i="14"/>
  <c r="I165" i="14"/>
  <c r="E165" i="14"/>
  <c r="I166" i="14"/>
  <c r="E166" i="14"/>
  <c r="I167" i="14"/>
  <c r="E167" i="14"/>
  <c r="I168" i="14"/>
  <c r="E168" i="14"/>
  <c r="I169" i="14"/>
  <c r="E169" i="14"/>
  <c r="I170" i="14"/>
  <c r="E170" i="14"/>
  <c r="I171" i="14"/>
  <c r="E171" i="14"/>
  <c r="I172" i="14"/>
  <c r="E172" i="14"/>
  <c r="I173" i="14"/>
  <c r="E173" i="14"/>
  <c r="I174" i="14"/>
  <c r="E174" i="14"/>
  <c r="I175" i="14"/>
  <c r="E175" i="14"/>
  <c r="I176" i="14"/>
  <c r="E176" i="14"/>
  <c r="I177" i="14"/>
  <c r="E177" i="14"/>
  <c r="I178" i="14"/>
  <c r="E178" i="14"/>
  <c r="I179" i="14"/>
  <c r="E179" i="14"/>
  <c r="I180" i="14"/>
  <c r="E180" i="14"/>
  <c r="I181" i="14"/>
  <c r="E181" i="14"/>
  <c r="I182" i="14"/>
  <c r="E182" i="14"/>
  <c r="I183" i="14"/>
  <c r="E183" i="14"/>
  <c r="I184" i="14"/>
  <c r="E184" i="14"/>
  <c r="I185" i="14"/>
  <c r="E185" i="14"/>
  <c r="I186" i="14"/>
  <c r="E186" i="14"/>
  <c r="I187" i="14"/>
  <c r="E187" i="14"/>
  <c r="I188" i="14"/>
  <c r="E188" i="14"/>
  <c r="I189" i="14"/>
  <c r="E189" i="14"/>
  <c r="I190" i="14"/>
  <c r="E190" i="14"/>
  <c r="I191" i="14"/>
  <c r="E191" i="14"/>
  <c r="I192" i="14"/>
  <c r="E192" i="14"/>
  <c r="I193" i="14"/>
  <c r="E193" i="14"/>
  <c r="I194" i="14"/>
  <c r="E194" i="14"/>
  <c r="I195" i="14"/>
  <c r="E195" i="14"/>
  <c r="I196" i="14"/>
  <c r="E196" i="14"/>
  <c r="I197" i="14"/>
  <c r="E197" i="14"/>
  <c r="I198" i="14"/>
  <c r="E198" i="14"/>
  <c r="I199" i="14"/>
  <c r="E199" i="14"/>
  <c r="I200" i="14"/>
  <c r="E200" i="14"/>
  <c r="I201" i="14"/>
  <c r="E201" i="14"/>
  <c r="I202" i="14"/>
  <c r="E202" i="14"/>
  <c r="I203" i="14"/>
  <c r="E203" i="14"/>
  <c r="I204" i="14"/>
  <c r="E204" i="14"/>
  <c r="I205" i="14"/>
  <c r="E205" i="14"/>
  <c r="I206" i="14"/>
  <c r="E206" i="14"/>
  <c r="I207" i="14"/>
  <c r="E207" i="14"/>
  <c r="I208" i="14"/>
  <c r="E208" i="14"/>
  <c r="I209" i="14"/>
  <c r="E209" i="14"/>
  <c r="I210" i="14"/>
  <c r="E210" i="14"/>
  <c r="I211" i="14"/>
  <c r="E211" i="14"/>
  <c r="I212" i="14"/>
  <c r="E212" i="14"/>
  <c r="I213" i="14"/>
  <c r="E213" i="14"/>
  <c r="I214" i="14"/>
  <c r="E214" i="14"/>
  <c r="I215" i="14"/>
  <c r="E215" i="14"/>
  <c r="I216" i="14"/>
  <c r="E216" i="14"/>
  <c r="I217" i="14"/>
  <c r="E217" i="14"/>
  <c r="I218" i="14"/>
  <c r="E218" i="14"/>
  <c r="I219" i="14"/>
  <c r="E219" i="14"/>
  <c r="I220" i="14"/>
  <c r="E220" i="14"/>
  <c r="I221" i="14"/>
  <c r="E221" i="14"/>
  <c r="I222" i="14"/>
  <c r="E222" i="14"/>
  <c r="I223" i="14"/>
  <c r="E223" i="14"/>
  <c r="I224" i="14"/>
  <c r="E224" i="14"/>
  <c r="I225" i="14"/>
  <c r="E225" i="14"/>
  <c r="I226" i="14"/>
  <c r="E226" i="14"/>
  <c r="I227" i="14"/>
  <c r="E227" i="14"/>
  <c r="I228" i="14"/>
  <c r="E228" i="14"/>
  <c r="I229" i="14"/>
  <c r="E229" i="14"/>
  <c r="I230" i="14"/>
  <c r="E230" i="14"/>
  <c r="I231" i="14"/>
  <c r="E231" i="14"/>
  <c r="I232" i="14"/>
  <c r="E232" i="14"/>
  <c r="I233" i="14"/>
  <c r="E233" i="14"/>
  <c r="I234" i="14"/>
  <c r="E234" i="14"/>
  <c r="I235" i="14"/>
  <c r="E235" i="14"/>
  <c r="I236" i="14"/>
  <c r="E236" i="14"/>
  <c r="I237" i="14"/>
  <c r="E237" i="14"/>
  <c r="I238" i="14"/>
  <c r="E238" i="14"/>
  <c r="I239" i="14"/>
  <c r="E239" i="14"/>
  <c r="I240" i="14"/>
  <c r="E240" i="14"/>
  <c r="I241" i="14"/>
  <c r="E241" i="14"/>
  <c r="I242" i="14"/>
  <c r="E242" i="14"/>
  <c r="I243" i="14"/>
  <c r="E243" i="14"/>
  <c r="I244" i="14"/>
  <c r="E244" i="14"/>
  <c r="I245" i="14"/>
  <c r="E245" i="14"/>
  <c r="I246" i="14"/>
  <c r="E246" i="14"/>
  <c r="I247" i="14"/>
  <c r="E247" i="14"/>
  <c r="I248" i="14"/>
  <c r="E248" i="14"/>
  <c r="I249" i="14"/>
  <c r="E249" i="14"/>
  <c r="I250" i="14"/>
  <c r="E250" i="14"/>
  <c r="I251" i="14"/>
  <c r="E251" i="14"/>
  <c r="I252" i="14"/>
  <c r="E252" i="14"/>
  <c r="I253" i="14"/>
  <c r="E253" i="14"/>
  <c r="I254" i="14"/>
  <c r="E254" i="14"/>
  <c r="I255" i="14"/>
  <c r="E255" i="14"/>
  <c r="I256" i="14"/>
  <c r="E256" i="14"/>
  <c r="I257" i="14"/>
  <c r="E257" i="14"/>
  <c r="I258" i="14"/>
  <c r="E258" i="14"/>
  <c r="I259" i="14"/>
  <c r="E259" i="14"/>
  <c r="I260" i="14"/>
  <c r="E260" i="14"/>
  <c r="I261" i="14"/>
  <c r="E261" i="14"/>
  <c r="I262" i="14"/>
  <c r="E262" i="14"/>
  <c r="I263" i="14"/>
  <c r="E263" i="14"/>
  <c r="I264" i="14"/>
  <c r="E264" i="14"/>
  <c r="I265" i="14"/>
  <c r="E265" i="14"/>
  <c r="I266" i="14"/>
  <c r="E266" i="14"/>
  <c r="I267" i="14"/>
  <c r="E267" i="14"/>
  <c r="I268" i="14"/>
  <c r="E268" i="14"/>
  <c r="I269" i="14"/>
  <c r="E269" i="14"/>
  <c r="I270" i="14"/>
  <c r="E270" i="14"/>
  <c r="I271" i="14"/>
  <c r="E271" i="14"/>
  <c r="I272" i="14"/>
  <c r="E272" i="14"/>
  <c r="I273" i="14"/>
  <c r="E273" i="14"/>
  <c r="I274" i="14"/>
  <c r="E274" i="14"/>
  <c r="I275" i="14"/>
  <c r="E275" i="14"/>
  <c r="I276" i="14"/>
  <c r="E276" i="14"/>
  <c r="I277" i="14"/>
  <c r="E277" i="14"/>
  <c r="I278" i="14"/>
  <c r="E278" i="14"/>
  <c r="I279" i="14"/>
  <c r="E279" i="14"/>
  <c r="I280" i="14"/>
  <c r="E280" i="14"/>
  <c r="I281" i="14"/>
  <c r="E281" i="14"/>
  <c r="I282" i="14"/>
  <c r="E282" i="14"/>
  <c r="I283" i="14"/>
  <c r="E283" i="14"/>
  <c r="I284" i="14"/>
  <c r="E284" i="14"/>
  <c r="I285" i="14"/>
  <c r="E285" i="14"/>
  <c r="I286" i="14"/>
  <c r="E286" i="14"/>
  <c r="I287" i="14"/>
  <c r="E287" i="14"/>
  <c r="I288" i="14"/>
  <c r="E288" i="14"/>
  <c r="I289" i="14"/>
  <c r="E289" i="14"/>
  <c r="I290" i="14"/>
  <c r="E290" i="14"/>
  <c r="I291" i="14"/>
  <c r="E291" i="14"/>
  <c r="I292" i="14"/>
  <c r="E292" i="14"/>
  <c r="I293" i="14"/>
  <c r="E293" i="14"/>
  <c r="I294" i="14"/>
  <c r="E294" i="14"/>
  <c r="I295" i="14"/>
  <c r="E295" i="14"/>
  <c r="I296" i="14"/>
  <c r="E296" i="14"/>
  <c r="I297" i="14"/>
  <c r="E297" i="14"/>
  <c r="I298" i="14"/>
  <c r="E298" i="14"/>
  <c r="I299" i="14"/>
  <c r="E299" i="14"/>
  <c r="I300" i="14"/>
  <c r="E300" i="14"/>
  <c r="I301" i="14"/>
  <c r="E301" i="14"/>
  <c r="I302" i="14"/>
  <c r="E302" i="14"/>
  <c r="I303" i="14"/>
  <c r="E303" i="14"/>
  <c r="I304" i="14"/>
  <c r="E304" i="14"/>
  <c r="I305" i="14"/>
  <c r="E305" i="14"/>
  <c r="I306" i="14"/>
  <c r="E306" i="14"/>
  <c r="I307" i="14"/>
  <c r="E307" i="14"/>
  <c r="I308" i="14"/>
  <c r="E308" i="14"/>
  <c r="I309" i="14"/>
  <c r="E309" i="14"/>
  <c r="I310" i="14"/>
  <c r="E310" i="14"/>
  <c r="I311" i="14"/>
  <c r="E311" i="14"/>
  <c r="I312" i="14"/>
  <c r="E312" i="14"/>
  <c r="I313" i="14"/>
  <c r="E313" i="14"/>
  <c r="I314" i="14"/>
  <c r="E314" i="14"/>
  <c r="I315" i="14"/>
  <c r="E315" i="14"/>
  <c r="I316" i="14"/>
  <c r="E316" i="14"/>
  <c r="I317" i="14"/>
  <c r="E317" i="14"/>
  <c r="I318" i="14"/>
  <c r="E318" i="14"/>
  <c r="I319" i="14"/>
  <c r="E319" i="14"/>
  <c r="I320" i="14"/>
  <c r="E320" i="14"/>
  <c r="I321" i="14"/>
  <c r="E321" i="14"/>
  <c r="I322" i="14"/>
  <c r="E322" i="14"/>
  <c r="I323" i="14"/>
  <c r="E323" i="14"/>
  <c r="I324" i="14"/>
  <c r="E324" i="14"/>
  <c r="I325" i="14"/>
  <c r="E325" i="14"/>
  <c r="I326" i="14"/>
  <c r="E326" i="14"/>
  <c r="I327" i="14"/>
  <c r="E327" i="14"/>
  <c r="I328" i="14"/>
  <c r="E328" i="14"/>
  <c r="I329" i="14"/>
  <c r="E329" i="14"/>
  <c r="I330" i="14"/>
  <c r="E330" i="14"/>
  <c r="I331" i="14"/>
  <c r="E331" i="14"/>
  <c r="I332" i="14"/>
  <c r="E332" i="14"/>
  <c r="I333" i="14"/>
  <c r="E333" i="14"/>
  <c r="I334" i="14"/>
  <c r="E334" i="14"/>
  <c r="I335" i="14"/>
  <c r="E335" i="14"/>
  <c r="I336" i="14"/>
  <c r="E336" i="14"/>
  <c r="I337" i="14"/>
  <c r="E337" i="14"/>
  <c r="I338" i="14"/>
  <c r="E338" i="14"/>
  <c r="I339" i="14"/>
  <c r="E339" i="14"/>
  <c r="I340" i="14"/>
  <c r="E340" i="14"/>
  <c r="I341" i="14"/>
  <c r="E341" i="14"/>
  <c r="I342" i="14"/>
  <c r="E342" i="14"/>
  <c r="I343" i="14"/>
  <c r="E343" i="14"/>
  <c r="I344" i="14"/>
  <c r="E344" i="14"/>
  <c r="I345" i="14"/>
  <c r="E345" i="14"/>
  <c r="I346" i="14"/>
  <c r="E346" i="14"/>
  <c r="I347" i="14"/>
  <c r="E347" i="14"/>
  <c r="I348" i="14"/>
  <c r="E348" i="14"/>
  <c r="I349" i="14"/>
  <c r="E349" i="14"/>
  <c r="I350" i="14"/>
  <c r="E350" i="14"/>
  <c r="I351" i="14"/>
  <c r="E351" i="14"/>
  <c r="I352" i="14"/>
  <c r="E352" i="14"/>
  <c r="I353" i="14"/>
  <c r="E353" i="14"/>
  <c r="I354" i="14"/>
  <c r="E354" i="14"/>
  <c r="I355" i="14"/>
  <c r="E355" i="14"/>
  <c r="I356" i="14"/>
  <c r="E356" i="14"/>
  <c r="I357" i="14"/>
  <c r="E357" i="14"/>
  <c r="I358" i="14"/>
  <c r="E358" i="14"/>
  <c r="I359" i="14"/>
  <c r="E359" i="14"/>
  <c r="I360" i="14"/>
  <c r="E360" i="14"/>
  <c r="I361" i="14"/>
  <c r="E361" i="14"/>
  <c r="I362" i="14"/>
  <c r="E362" i="14"/>
  <c r="I363" i="14"/>
  <c r="E363" i="14"/>
  <c r="I364" i="14"/>
  <c r="E364" i="14"/>
  <c r="I365" i="14"/>
  <c r="E365" i="14"/>
  <c r="I366" i="14"/>
  <c r="E366" i="14"/>
  <c r="I367" i="14"/>
  <c r="E367" i="14"/>
  <c r="I368" i="14"/>
  <c r="E368" i="14"/>
  <c r="I369" i="14"/>
  <c r="E369" i="14"/>
  <c r="I370" i="14"/>
  <c r="E370" i="14"/>
  <c r="I371" i="14"/>
  <c r="E371" i="14"/>
  <c r="I372" i="14"/>
  <c r="E372" i="14"/>
  <c r="I373" i="14"/>
  <c r="E373" i="14"/>
  <c r="I374" i="14"/>
  <c r="E374" i="14"/>
  <c r="I375" i="14"/>
  <c r="E375" i="14"/>
  <c r="I376" i="14"/>
  <c r="E376" i="14"/>
  <c r="I377" i="14"/>
  <c r="E377" i="14"/>
  <c r="I378" i="14"/>
  <c r="E378" i="14"/>
  <c r="I379" i="14"/>
  <c r="E379" i="14"/>
  <c r="I380" i="14"/>
  <c r="E380" i="14"/>
  <c r="I381" i="14"/>
  <c r="E381" i="14"/>
  <c r="I382" i="14"/>
  <c r="E382" i="14"/>
  <c r="I383" i="14"/>
  <c r="E383" i="14"/>
  <c r="I384" i="14"/>
  <c r="E384" i="14"/>
  <c r="I385" i="14"/>
  <c r="E385" i="14"/>
  <c r="I386" i="14"/>
  <c r="E386" i="14"/>
  <c r="I387" i="14"/>
  <c r="E387" i="14"/>
  <c r="I388" i="14"/>
  <c r="E388" i="14"/>
  <c r="I389" i="14"/>
  <c r="E389" i="14"/>
  <c r="I390" i="14"/>
  <c r="E390" i="14"/>
  <c r="I391" i="14"/>
  <c r="E391" i="14"/>
  <c r="I392" i="14"/>
  <c r="E392" i="14"/>
  <c r="I393" i="14"/>
  <c r="E393" i="14"/>
  <c r="I394" i="14"/>
  <c r="E394" i="14"/>
  <c r="I395" i="14"/>
  <c r="E395" i="14"/>
  <c r="I396" i="14"/>
  <c r="E396" i="14"/>
  <c r="I397" i="14"/>
  <c r="E397" i="14"/>
  <c r="I398" i="14"/>
  <c r="E398" i="14"/>
  <c r="I399" i="14"/>
  <c r="E399" i="14"/>
  <c r="I400" i="14"/>
  <c r="E400" i="14"/>
  <c r="E401" i="14"/>
  <c r="G3" i="14"/>
  <c r="B3" i="14"/>
  <c r="G4" i="14"/>
  <c r="B4" i="14"/>
  <c r="G5" i="14"/>
  <c r="B5" i="14"/>
  <c r="G6" i="14"/>
  <c r="B6" i="14"/>
  <c r="G7" i="14"/>
  <c r="B7" i="14"/>
  <c r="G8" i="14"/>
  <c r="B8" i="14"/>
  <c r="G9" i="14"/>
  <c r="B9" i="14"/>
  <c r="G10" i="14"/>
  <c r="B10" i="14"/>
  <c r="G11" i="14"/>
  <c r="B11" i="14"/>
  <c r="G12" i="14"/>
  <c r="B12" i="14"/>
  <c r="G13" i="14"/>
  <c r="B13" i="14"/>
  <c r="G14" i="14"/>
  <c r="B14" i="14"/>
  <c r="G15" i="14"/>
  <c r="B15" i="14"/>
  <c r="G16" i="14"/>
  <c r="B16" i="14"/>
  <c r="G17" i="14"/>
  <c r="B17" i="14"/>
  <c r="G18" i="14"/>
  <c r="B18" i="14"/>
  <c r="G19" i="14"/>
  <c r="B19" i="14"/>
  <c r="G20" i="14"/>
  <c r="B20" i="14"/>
  <c r="G21" i="14"/>
  <c r="B21" i="14"/>
  <c r="G22" i="14"/>
  <c r="B22" i="14"/>
  <c r="G23" i="14"/>
  <c r="B23" i="14"/>
  <c r="G24" i="14"/>
  <c r="B24" i="14"/>
  <c r="G25" i="14"/>
  <c r="B25" i="14"/>
  <c r="G26" i="14"/>
  <c r="B26" i="14"/>
  <c r="G27" i="14"/>
  <c r="B27" i="14"/>
  <c r="G28" i="14"/>
  <c r="B28" i="14"/>
  <c r="G29" i="14"/>
  <c r="B29" i="14"/>
  <c r="G30" i="14"/>
  <c r="B30" i="14"/>
  <c r="G31" i="14"/>
  <c r="B31" i="14"/>
  <c r="G32" i="14"/>
  <c r="B32" i="14"/>
  <c r="G33" i="14"/>
  <c r="B33" i="14"/>
  <c r="G34" i="14"/>
  <c r="B34" i="14"/>
  <c r="G35" i="14"/>
  <c r="B35" i="14"/>
  <c r="G36" i="14"/>
  <c r="B36" i="14"/>
  <c r="G37" i="14"/>
  <c r="B37" i="14"/>
  <c r="G38" i="14"/>
  <c r="B38" i="14"/>
  <c r="G39" i="14"/>
  <c r="B39" i="14"/>
  <c r="G40" i="14"/>
  <c r="B40" i="14"/>
  <c r="G41" i="14"/>
  <c r="B41" i="14"/>
  <c r="G42" i="14"/>
  <c r="B42" i="14"/>
  <c r="G43" i="14"/>
  <c r="B43" i="14"/>
  <c r="G44" i="14"/>
  <c r="B44" i="14"/>
  <c r="G45" i="14"/>
  <c r="B45" i="14"/>
  <c r="G46" i="14"/>
  <c r="B46" i="14"/>
  <c r="G47" i="14"/>
  <c r="B47" i="14"/>
  <c r="G48" i="14"/>
  <c r="B48" i="14"/>
  <c r="G49" i="14"/>
  <c r="B49" i="14"/>
  <c r="G50" i="14"/>
  <c r="B50" i="14"/>
  <c r="G51" i="14"/>
  <c r="B51" i="14"/>
  <c r="G52" i="14"/>
  <c r="B52" i="14"/>
  <c r="G53" i="14"/>
  <c r="B53" i="14"/>
  <c r="G54" i="14"/>
  <c r="B54" i="14"/>
  <c r="G55" i="14"/>
  <c r="B55" i="14"/>
  <c r="G56" i="14"/>
  <c r="B56" i="14"/>
  <c r="G57" i="14"/>
  <c r="B57" i="14"/>
  <c r="G58" i="14"/>
  <c r="B58" i="14"/>
  <c r="G59" i="14"/>
  <c r="B59" i="14"/>
  <c r="G60" i="14"/>
  <c r="B60" i="14"/>
  <c r="G61" i="14"/>
  <c r="B61" i="14"/>
  <c r="G62" i="14"/>
  <c r="B62" i="14"/>
  <c r="G63" i="14"/>
  <c r="B63" i="14"/>
  <c r="G64" i="14"/>
  <c r="B64" i="14"/>
  <c r="G65" i="14"/>
  <c r="B65" i="14"/>
  <c r="G66" i="14"/>
  <c r="B66" i="14"/>
  <c r="G67" i="14"/>
  <c r="B67" i="14"/>
  <c r="G68" i="14"/>
  <c r="B68" i="14"/>
  <c r="G69" i="14"/>
  <c r="B69" i="14"/>
  <c r="G70" i="14"/>
  <c r="B70" i="14"/>
  <c r="G71" i="14"/>
  <c r="B71" i="14"/>
  <c r="G72" i="14"/>
  <c r="B72" i="14"/>
  <c r="G73" i="14"/>
  <c r="B73" i="14"/>
  <c r="G74" i="14"/>
  <c r="B74" i="14"/>
  <c r="G75" i="14"/>
  <c r="B75" i="14"/>
  <c r="G76" i="14"/>
  <c r="B76" i="14"/>
  <c r="G77" i="14"/>
  <c r="B77" i="14"/>
  <c r="G78" i="14"/>
  <c r="B78" i="14"/>
  <c r="G79" i="14"/>
  <c r="B79" i="14"/>
  <c r="G80" i="14"/>
  <c r="B80" i="14"/>
  <c r="G81" i="14"/>
  <c r="B81" i="14"/>
  <c r="G82" i="14"/>
  <c r="B82" i="14"/>
  <c r="G83" i="14"/>
  <c r="B83" i="14"/>
  <c r="G84" i="14"/>
  <c r="B84" i="14"/>
  <c r="G85" i="14"/>
  <c r="B85" i="14"/>
  <c r="G86" i="14"/>
  <c r="B86" i="14"/>
  <c r="G87" i="14"/>
  <c r="B87" i="14"/>
  <c r="G88" i="14"/>
  <c r="B88" i="14"/>
  <c r="G89" i="14"/>
  <c r="B89" i="14"/>
  <c r="G90" i="14"/>
  <c r="B90" i="14"/>
  <c r="G91" i="14"/>
  <c r="B91" i="14"/>
  <c r="G92" i="14"/>
  <c r="B92" i="14"/>
  <c r="G93" i="14"/>
  <c r="B93" i="14"/>
  <c r="G94" i="14"/>
  <c r="B94" i="14"/>
  <c r="G95" i="14"/>
  <c r="B95" i="14"/>
  <c r="G96" i="14"/>
  <c r="B96" i="14"/>
  <c r="G97" i="14"/>
  <c r="B97" i="14"/>
  <c r="G98" i="14"/>
  <c r="B98" i="14"/>
  <c r="G99" i="14"/>
  <c r="B99" i="14"/>
  <c r="G100" i="14"/>
  <c r="B100" i="14"/>
  <c r="G101" i="14"/>
  <c r="B101" i="14"/>
  <c r="G102" i="14"/>
  <c r="B102" i="14"/>
  <c r="G103" i="14"/>
  <c r="B103" i="14"/>
  <c r="G104" i="14"/>
  <c r="B104" i="14"/>
  <c r="G105" i="14"/>
  <c r="B105" i="14"/>
  <c r="G106" i="14"/>
  <c r="B106" i="14"/>
  <c r="G107" i="14"/>
  <c r="B107" i="14"/>
  <c r="G108" i="14"/>
  <c r="B108" i="14"/>
  <c r="G109" i="14"/>
  <c r="B109" i="14"/>
  <c r="G110" i="14"/>
  <c r="B110" i="14"/>
  <c r="G111" i="14"/>
  <c r="B111" i="14"/>
  <c r="G112" i="14"/>
  <c r="B112" i="14"/>
  <c r="G113" i="14"/>
  <c r="B113" i="14"/>
  <c r="G114" i="14"/>
  <c r="B114" i="14"/>
  <c r="G115" i="14"/>
  <c r="B115" i="14"/>
  <c r="G116" i="14"/>
  <c r="B116" i="14"/>
  <c r="G117" i="14"/>
  <c r="B117" i="14"/>
  <c r="G118" i="14"/>
  <c r="B118" i="14"/>
  <c r="G119" i="14"/>
  <c r="B119" i="14"/>
  <c r="G120" i="14"/>
  <c r="B120" i="14"/>
  <c r="G121" i="14"/>
  <c r="B121" i="14"/>
  <c r="G122" i="14"/>
  <c r="B122" i="14"/>
  <c r="G123" i="14"/>
  <c r="B123" i="14"/>
  <c r="G124" i="14"/>
  <c r="B124" i="14"/>
  <c r="G125" i="14"/>
  <c r="B125" i="14"/>
  <c r="G126" i="14"/>
  <c r="B126" i="14"/>
  <c r="G127" i="14"/>
  <c r="B127" i="14"/>
  <c r="G128" i="14"/>
  <c r="B128" i="14"/>
  <c r="G129" i="14"/>
  <c r="B129" i="14"/>
  <c r="G130" i="14"/>
  <c r="B130" i="14"/>
  <c r="G131" i="14"/>
  <c r="B131" i="14"/>
  <c r="G132" i="14"/>
  <c r="B132" i="14"/>
  <c r="G133" i="14"/>
  <c r="B133" i="14"/>
  <c r="G134" i="14"/>
  <c r="B134" i="14"/>
  <c r="G135" i="14"/>
  <c r="B135" i="14"/>
  <c r="G136" i="14"/>
  <c r="B136" i="14"/>
  <c r="G137" i="14"/>
  <c r="B137" i="14"/>
  <c r="G138" i="14"/>
  <c r="B138" i="14"/>
  <c r="G139" i="14"/>
  <c r="B139" i="14"/>
  <c r="G140" i="14"/>
  <c r="B140" i="14"/>
  <c r="G141" i="14"/>
  <c r="B141" i="14"/>
  <c r="G142" i="14"/>
  <c r="B142" i="14"/>
  <c r="G143" i="14"/>
  <c r="B143" i="14"/>
  <c r="G144" i="14"/>
  <c r="B144" i="14"/>
  <c r="G145" i="14"/>
  <c r="B145" i="14"/>
  <c r="G146" i="14"/>
  <c r="B146" i="14"/>
  <c r="G147" i="14"/>
  <c r="B147" i="14"/>
  <c r="G148" i="14"/>
  <c r="B148" i="14"/>
  <c r="G149" i="14"/>
  <c r="B149" i="14"/>
  <c r="G150" i="14"/>
  <c r="B150" i="14"/>
  <c r="G151" i="14"/>
  <c r="B151" i="14"/>
  <c r="G152" i="14"/>
  <c r="B152" i="14"/>
  <c r="G153" i="14"/>
  <c r="B153" i="14"/>
  <c r="G154" i="14"/>
  <c r="B154" i="14"/>
  <c r="G155" i="14"/>
  <c r="B155" i="14"/>
  <c r="G156" i="14"/>
  <c r="B156" i="14"/>
  <c r="G157" i="14"/>
  <c r="B157" i="14"/>
  <c r="G158" i="14"/>
  <c r="B158" i="14"/>
  <c r="G159" i="14"/>
  <c r="B159" i="14"/>
  <c r="G160" i="14"/>
  <c r="B160" i="14"/>
  <c r="G161" i="14"/>
  <c r="B161" i="14"/>
  <c r="G162" i="14"/>
  <c r="B162" i="14"/>
  <c r="G163" i="14"/>
  <c r="B163" i="14"/>
  <c r="G164" i="14"/>
  <c r="B164" i="14"/>
  <c r="G165" i="14"/>
  <c r="B165" i="14"/>
  <c r="G166" i="14"/>
  <c r="B166" i="14"/>
  <c r="G167" i="14"/>
  <c r="B167" i="14"/>
  <c r="G168" i="14"/>
  <c r="B168" i="14"/>
  <c r="G169" i="14"/>
  <c r="B169" i="14"/>
  <c r="G170" i="14"/>
  <c r="B170" i="14"/>
  <c r="G171" i="14"/>
  <c r="B171" i="14"/>
  <c r="G172" i="14"/>
  <c r="B172" i="14"/>
  <c r="G173" i="14"/>
  <c r="B173" i="14"/>
  <c r="G174" i="14"/>
  <c r="B174" i="14"/>
  <c r="G175" i="14"/>
  <c r="B175" i="14"/>
  <c r="G176" i="14"/>
  <c r="B176" i="14"/>
  <c r="G177" i="14"/>
  <c r="B177" i="14"/>
  <c r="G178" i="14"/>
  <c r="B178" i="14"/>
  <c r="G179" i="14"/>
  <c r="B179" i="14"/>
  <c r="G180" i="14"/>
  <c r="B180" i="14"/>
  <c r="G181" i="14"/>
  <c r="B181" i="14"/>
  <c r="G182" i="14"/>
  <c r="B182" i="14"/>
  <c r="G183" i="14"/>
  <c r="B183" i="14"/>
  <c r="G184" i="14"/>
  <c r="B184" i="14"/>
  <c r="G185" i="14"/>
  <c r="B185" i="14"/>
  <c r="G186" i="14"/>
  <c r="B186" i="14"/>
  <c r="G187" i="14"/>
  <c r="B187" i="14"/>
  <c r="G188" i="14"/>
  <c r="B188" i="14"/>
  <c r="G189" i="14"/>
  <c r="B189" i="14"/>
  <c r="G190" i="14"/>
  <c r="B190" i="14"/>
  <c r="G191" i="14"/>
  <c r="B191" i="14"/>
  <c r="G192" i="14"/>
  <c r="B192" i="14"/>
  <c r="G193" i="14"/>
  <c r="B193" i="14"/>
  <c r="G194" i="14"/>
  <c r="B194" i="14"/>
  <c r="G195" i="14"/>
  <c r="B195" i="14"/>
  <c r="G196" i="14"/>
  <c r="B196" i="14"/>
  <c r="G197" i="14"/>
  <c r="B197" i="14"/>
  <c r="G198" i="14"/>
  <c r="B198" i="14"/>
  <c r="G199" i="14"/>
  <c r="B199" i="14"/>
  <c r="G200" i="14"/>
  <c r="B200" i="14"/>
  <c r="G201" i="14"/>
  <c r="B201" i="14"/>
  <c r="G202" i="14"/>
  <c r="B202" i="14"/>
  <c r="G203" i="14"/>
  <c r="B203" i="14"/>
  <c r="G204" i="14"/>
  <c r="B204" i="14"/>
  <c r="G205" i="14"/>
  <c r="B205" i="14"/>
  <c r="G206" i="14"/>
  <c r="B206" i="14"/>
  <c r="G207" i="14"/>
  <c r="B207" i="14"/>
  <c r="G208" i="14"/>
  <c r="B208" i="14"/>
  <c r="G209" i="14"/>
  <c r="B209" i="14"/>
  <c r="G210" i="14"/>
  <c r="B210" i="14"/>
  <c r="G211" i="14"/>
  <c r="B211" i="14"/>
  <c r="G212" i="14"/>
  <c r="B212" i="14"/>
  <c r="G213" i="14"/>
  <c r="B213" i="14"/>
  <c r="G214" i="14"/>
  <c r="B214" i="14"/>
  <c r="G215" i="14"/>
  <c r="B215" i="14"/>
  <c r="G216" i="14"/>
  <c r="B216" i="14"/>
  <c r="G217" i="14"/>
  <c r="B217" i="14"/>
  <c r="G218" i="14"/>
  <c r="B218" i="14"/>
  <c r="G219" i="14"/>
  <c r="B219" i="14"/>
  <c r="G220" i="14"/>
  <c r="B220" i="14"/>
  <c r="G221" i="14"/>
  <c r="B221" i="14"/>
  <c r="G222" i="14"/>
  <c r="B222" i="14"/>
  <c r="G223" i="14"/>
  <c r="B223" i="14"/>
  <c r="G224" i="14"/>
  <c r="B224" i="14"/>
  <c r="G225" i="14"/>
  <c r="B225" i="14"/>
  <c r="G226" i="14"/>
  <c r="B226" i="14"/>
  <c r="G227" i="14"/>
  <c r="B227" i="14"/>
  <c r="G228" i="14"/>
  <c r="B228" i="14"/>
  <c r="G229" i="14"/>
  <c r="B229" i="14"/>
  <c r="G230" i="14"/>
  <c r="B230" i="14"/>
  <c r="G231" i="14"/>
  <c r="B231" i="14"/>
  <c r="G232" i="14"/>
  <c r="B232" i="14"/>
  <c r="G233" i="14"/>
  <c r="B233" i="14"/>
  <c r="G234" i="14"/>
  <c r="B234" i="14"/>
  <c r="G235" i="14"/>
  <c r="B235" i="14"/>
  <c r="G236" i="14"/>
  <c r="B236" i="14"/>
  <c r="G237" i="14"/>
  <c r="B237" i="14"/>
  <c r="G238" i="14"/>
  <c r="B238" i="14"/>
  <c r="G239" i="14"/>
  <c r="B239" i="14"/>
  <c r="G240" i="14"/>
  <c r="B240" i="14"/>
  <c r="G241" i="14"/>
  <c r="B241" i="14"/>
  <c r="G242" i="14"/>
  <c r="B242" i="14"/>
  <c r="G243" i="14"/>
  <c r="B243" i="14"/>
  <c r="G244" i="14"/>
  <c r="B244" i="14"/>
  <c r="G245" i="14"/>
  <c r="B245" i="14"/>
  <c r="G246" i="14"/>
  <c r="B246" i="14"/>
  <c r="G247" i="14"/>
  <c r="B247" i="14"/>
  <c r="G248" i="14"/>
  <c r="B248" i="14"/>
  <c r="G249" i="14"/>
  <c r="B249" i="14"/>
  <c r="G250" i="14"/>
  <c r="B250" i="14"/>
  <c r="G251" i="14"/>
  <c r="B251" i="14"/>
  <c r="G252" i="14"/>
  <c r="B252" i="14"/>
  <c r="G253" i="14"/>
  <c r="B253" i="14"/>
  <c r="G254" i="14"/>
  <c r="B254" i="14"/>
  <c r="G255" i="14"/>
  <c r="B255" i="14"/>
  <c r="G256" i="14"/>
  <c r="B256" i="14"/>
  <c r="G257" i="14"/>
  <c r="B257" i="14"/>
  <c r="G258" i="14"/>
  <c r="B258" i="14"/>
  <c r="G259" i="14"/>
  <c r="B259" i="14"/>
  <c r="G260" i="14"/>
  <c r="B260" i="14"/>
  <c r="G261" i="14"/>
  <c r="B261" i="14"/>
  <c r="G262" i="14"/>
  <c r="B262" i="14"/>
  <c r="G263" i="14"/>
  <c r="B263" i="14"/>
  <c r="G264" i="14"/>
  <c r="B264" i="14"/>
  <c r="G265" i="14"/>
  <c r="B265" i="14"/>
  <c r="G266" i="14"/>
  <c r="B266" i="14"/>
  <c r="G267" i="14"/>
  <c r="B267" i="14"/>
  <c r="G268" i="14"/>
  <c r="B268" i="14"/>
  <c r="G269" i="14"/>
  <c r="B269" i="14"/>
  <c r="G270" i="14"/>
  <c r="B270" i="14"/>
  <c r="G271" i="14"/>
  <c r="B271" i="14"/>
  <c r="G272" i="14"/>
  <c r="B272" i="14"/>
  <c r="G273" i="14"/>
  <c r="B273" i="14"/>
  <c r="G274" i="14"/>
  <c r="B274" i="14"/>
  <c r="G275" i="14"/>
  <c r="B275" i="14"/>
  <c r="G276" i="14"/>
  <c r="B276" i="14"/>
  <c r="G277" i="14"/>
  <c r="B277" i="14"/>
  <c r="G278" i="14"/>
  <c r="B278" i="14"/>
  <c r="G279" i="14"/>
  <c r="B279" i="14"/>
  <c r="G280" i="14"/>
  <c r="B280" i="14"/>
  <c r="G281" i="14"/>
  <c r="B281" i="14"/>
  <c r="G282" i="14"/>
  <c r="B282" i="14"/>
  <c r="G283" i="14"/>
  <c r="B283" i="14"/>
  <c r="G284" i="14"/>
  <c r="B284" i="14"/>
  <c r="G285" i="14"/>
  <c r="B285" i="14"/>
  <c r="G286" i="14"/>
  <c r="B286" i="14"/>
  <c r="G287" i="14"/>
  <c r="B287" i="14"/>
  <c r="G288" i="14"/>
  <c r="B288" i="14"/>
  <c r="G289" i="14"/>
  <c r="B289" i="14"/>
  <c r="G290" i="14"/>
  <c r="B290" i="14"/>
  <c r="G291" i="14"/>
  <c r="B291" i="14"/>
  <c r="G292" i="14"/>
  <c r="B292" i="14"/>
  <c r="G293" i="14"/>
  <c r="B293" i="14"/>
  <c r="G294" i="14"/>
  <c r="B294" i="14"/>
  <c r="G295" i="14"/>
  <c r="B295" i="14"/>
  <c r="G296" i="14"/>
  <c r="B296" i="14"/>
  <c r="G297" i="14"/>
  <c r="B297" i="14"/>
  <c r="G298" i="14"/>
  <c r="B298" i="14"/>
  <c r="G299" i="14"/>
  <c r="B299" i="14"/>
  <c r="G300" i="14"/>
  <c r="B300" i="14"/>
  <c r="G301" i="14"/>
  <c r="B301" i="14"/>
  <c r="G302" i="14"/>
  <c r="B302" i="14"/>
  <c r="G303" i="14"/>
  <c r="B303" i="14"/>
  <c r="G304" i="14"/>
  <c r="B304" i="14"/>
  <c r="G305" i="14"/>
  <c r="B305" i="14"/>
  <c r="G306" i="14"/>
  <c r="B306" i="14"/>
  <c r="G307" i="14"/>
  <c r="B307" i="14"/>
  <c r="G308" i="14"/>
  <c r="B308" i="14"/>
  <c r="G309" i="14"/>
  <c r="B309" i="14"/>
  <c r="G310" i="14"/>
  <c r="B310" i="14"/>
  <c r="G311" i="14"/>
  <c r="B311" i="14"/>
  <c r="G312" i="14"/>
  <c r="B312" i="14"/>
  <c r="G313" i="14"/>
  <c r="B313" i="14"/>
  <c r="G314" i="14"/>
  <c r="B314" i="14"/>
  <c r="G315" i="14"/>
  <c r="B315" i="14"/>
  <c r="G316" i="14"/>
  <c r="B316" i="14"/>
  <c r="G317" i="14"/>
  <c r="B317" i="14"/>
  <c r="G318" i="14"/>
  <c r="B318" i="14"/>
  <c r="G319" i="14"/>
  <c r="B319" i="14"/>
  <c r="G320" i="14"/>
  <c r="B320" i="14"/>
  <c r="G321" i="14"/>
  <c r="B321" i="14"/>
  <c r="G322" i="14"/>
  <c r="B322" i="14"/>
  <c r="G323" i="14"/>
  <c r="B323" i="14"/>
  <c r="G324" i="14"/>
  <c r="B324" i="14"/>
  <c r="G325" i="14"/>
  <c r="B325" i="14"/>
  <c r="G326" i="14"/>
  <c r="B326" i="14"/>
  <c r="G327" i="14"/>
  <c r="B327" i="14"/>
  <c r="G328" i="14"/>
  <c r="B328" i="14"/>
  <c r="G329" i="14"/>
  <c r="B329" i="14"/>
  <c r="G330" i="14"/>
  <c r="B330" i="14"/>
  <c r="G331" i="14"/>
  <c r="B331" i="14"/>
  <c r="G332" i="14"/>
  <c r="B332" i="14"/>
  <c r="G333" i="14"/>
  <c r="B333" i="14"/>
  <c r="G334" i="14"/>
  <c r="B334" i="14"/>
  <c r="G335" i="14"/>
  <c r="B335" i="14"/>
  <c r="G336" i="14"/>
  <c r="B336" i="14"/>
  <c r="G337" i="14"/>
  <c r="B337" i="14"/>
  <c r="G338" i="14"/>
  <c r="B338" i="14"/>
  <c r="G339" i="14"/>
  <c r="B339" i="14"/>
  <c r="G340" i="14"/>
  <c r="B340" i="14"/>
  <c r="G341" i="14"/>
  <c r="B341" i="14"/>
  <c r="G342" i="14"/>
  <c r="B342" i="14"/>
  <c r="G343" i="14"/>
  <c r="B343" i="14"/>
  <c r="G344" i="14"/>
  <c r="B344" i="14"/>
  <c r="G345" i="14"/>
  <c r="B345" i="14"/>
  <c r="G346" i="14"/>
  <c r="B346" i="14"/>
  <c r="G347" i="14"/>
  <c r="B347" i="14"/>
  <c r="G348" i="14"/>
  <c r="B348" i="14"/>
  <c r="G349" i="14"/>
  <c r="B349" i="14"/>
  <c r="G350" i="14"/>
  <c r="B350" i="14"/>
  <c r="G351" i="14"/>
  <c r="B351" i="14"/>
  <c r="G352" i="14"/>
  <c r="B352" i="14"/>
  <c r="G353" i="14"/>
  <c r="B353" i="14"/>
  <c r="G354" i="14"/>
  <c r="B354" i="14"/>
  <c r="G355" i="14"/>
  <c r="B355" i="14"/>
  <c r="G356" i="14"/>
  <c r="B356" i="14"/>
  <c r="G357" i="14"/>
  <c r="B357" i="14"/>
  <c r="G358" i="14"/>
  <c r="B358" i="14"/>
  <c r="G359" i="14"/>
  <c r="B359" i="14"/>
  <c r="G360" i="14"/>
  <c r="B360" i="14"/>
  <c r="G361" i="14"/>
  <c r="B361" i="14"/>
  <c r="G362" i="14"/>
  <c r="B362" i="14"/>
  <c r="G363" i="14"/>
  <c r="B363" i="14"/>
  <c r="G364" i="14"/>
  <c r="B364" i="14"/>
  <c r="G365" i="14"/>
  <c r="B365" i="14"/>
  <c r="G366" i="14"/>
  <c r="B366" i="14"/>
  <c r="G367" i="14"/>
  <c r="B367" i="14"/>
  <c r="G368" i="14"/>
  <c r="B368" i="14"/>
  <c r="G369" i="14"/>
  <c r="B369" i="14"/>
  <c r="G370" i="14"/>
  <c r="B370" i="14"/>
  <c r="G371" i="14"/>
  <c r="B371" i="14"/>
  <c r="G372" i="14"/>
  <c r="B372" i="14"/>
  <c r="G373" i="14"/>
  <c r="B373" i="14"/>
  <c r="G374" i="14"/>
  <c r="B374" i="14"/>
  <c r="G375" i="14"/>
  <c r="B375" i="14"/>
  <c r="G376" i="14"/>
  <c r="B376" i="14"/>
  <c r="G377" i="14"/>
  <c r="B377" i="14"/>
  <c r="G378" i="14"/>
  <c r="B378" i="14"/>
  <c r="G379" i="14"/>
  <c r="B379" i="14"/>
  <c r="G380" i="14"/>
  <c r="B380" i="14"/>
  <c r="G381" i="14"/>
  <c r="B381" i="14"/>
  <c r="G382" i="14"/>
  <c r="B382" i="14"/>
  <c r="G383" i="14"/>
  <c r="B383" i="14"/>
  <c r="G384" i="14"/>
  <c r="B384" i="14"/>
  <c r="G385" i="14"/>
  <c r="B385" i="14"/>
  <c r="G386" i="14"/>
  <c r="B386" i="14"/>
  <c r="G387" i="14"/>
  <c r="B387" i="14"/>
  <c r="G388" i="14"/>
  <c r="B388" i="14"/>
  <c r="G389" i="14"/>
  <c r="B389" i="14"/>
  <c r="G390" i="14"/>
  <c r="B390" i="14"/>
  <c r="G391" i="14"/>
  <c r="B391" i="14"/>
  <c r="G392" i="14"/>
  <c r="B392" i="14"/>
  <c r="G393" i="14"/>
  <c r="B393" i="14"/>
  <c r="G394" i="14"/>
  <c r="B394" i="14"/>
  <c r="G395" i="14"/>
  <c r="B395" i="14"/>
  <c r="G396" i="14"/>
  <c r="B396" i="14"/>
  <c r="G397" i="14"/>
  <c r="B397" i="14"/>
  <c r="G398" i="14"/>
  <c r="B398" i="14"/>
  <c r="G399" i="14"/>
  <c r="B399" i="14"/>
  <c r="G400" i="14"/>
  <c r="B400" i="14"/>
  <c r="B401" i="14"/>
  <c r="I2" i="14"/>
  <c r="H2" i="14"/>
  <c r="F302" i="3"/>
  <c r="F3" i="3"/>
  <c r="B3" i="3"/>
  <c r="F4" i="3"/>
  <c r="B4" i="3"/>
  <c r="F5" i="3"/>
  <c r="B5" i="3"/>
  <c r="F6" i="3"/>
  <c r="B6" i="3"/>
  <c r="F7" i="3"/>
  <c r="B7" i="3"/>
  <c r="F8" i="3"/>
  <c r="B8" i="3"/>
  <c r="F9" i="3"/>
  <c r="B9" i="3"/>
  <c r="F10" i="3"/>
  <c r="B10" i="3"/>
  <c r="F11" i="3"/>
  <c r="B11" i="3"/>
  <c r="F12" i="3"/>
  <c r="B12" i="3"/>
  <c r="F13" i="3"/>
  <c r="B13" i="3"/>
  <c r="F14" i="3"/>
  <c r="B14" i="3"/>
  <c r="F15" i="3"/>
  <c r="B15" i="3"/>
  <c r="F16" i="3"/>
  <c r="B16" i="3"/>
  <c r="F17" i="3"/>
  <c r="B17" i="3"/>
  <c r="F18" i="3"/>
  <c r="B18" i="3"/>
  <c r="F19" i="3"/>
  <c r="B19" i="3"/>
  <c r="F20" i="3"/>
  <c r="B20" i="3"/>
  <c r="F21" i="3"/>
  <c r="B21" i="3"/>
  <c r="F22" i="3"/>
  <c r="B22" i="3"/>
  <c r="F23" i="3"/>
  <c r="B23" i="3"/>
  <c r="F24" i="3"/>
  <c r="B24" i="3"/>
  <c r="F25" i="3"/>
  <c r="B25" i="3"/>
  <c r="F26" i="3"/>
  <c r="B26" i="3"/>
  <c r="F27" i="3"/>
  <c r="B27" i="3"/>
  <c r="F28" i="3"/>
  <c r="B28" i="3"/>
  <c r="F29" i="3"/>
  <c r="B29" i="3"/>
  <c r="F30" i="3"/>
  <c r="B30" i="3"/>
  <c r="F31" i="3"/>
  <c r="B31" i="3"/>
  <c r="F32" i="3"/>
  <c r="B32" i="3"/>
  <c r="F33" i="3"/>
  <c r="B33" i="3"/>
  <c r="F34" i="3"/>
  <c r="B34" i="3"/>
  <c r="F35" i="3"/>
  <c r="B35" i="3"/>
  <c r="F36" i="3"/>
  <c r="B36" i="3"/>
  <c r="F37" i="3"/>
  <c r="B37" i="3"/>
  <c r="F38" i="3"/>
  <c r="B38" i="3"/>
  <c r="F39" i="3"/>
  <c r="B39" i="3"/>
  <c r="F40" i="3"/>
  <c r="B40" i="3"/>
  <c r="F41" i="3"/>
  <c r="B41" i="3"/>
  <c r="F42" i="3"/>
  <c r="B42" i="3"/>
  <c r="F43" i="3"/>
  <c r="B43" i="3"/>
  <c r="F44" i="3"/>
  <c r="B44" i="3"/>
  <c r="F45" i="3"/>
  <c r="B45" i="3"/>
  <c r="F46" i="3"/>
  <c r="B46" i="3"/>
  <c r="F47" i="3"/>
  <c r="B47" i="3"/>
  <c r="F48" i="3"/>
  <c r="B48" i="3"/>
  <c r="F49" i="3"/>
  <c r="B49" i="3"/>
  <c r="F50" i="3"/>
  <c r="B50" i="3"/>
  <c r="F51" i="3"/>
  <c r="B51" i="3"/>
  <c r="F52" i="3"/>
  <c r="B52" i="3"/>
  <c r="F53" i="3"/>
  <c r="B53" i="3"/>
  <c r="F54" i="3"/>
  <c r="B54" i="3"/>
  <c r="F55" i="3"/>
  <c r="B55" i="3"/>
  <c r="F56" i="3"/>
  <c r="B56" i="3"/>
  <c r="F57" i="3"/>
  <c r="B57" i="3"/>
  <c r="F58" i="3"/>
  <c r="B58" i="3"/>
  <c r="F59" i="3"/>
  <c r="B59" i="3"/>
  <c r="F60" i="3"/>
  <c r="B60" i="3"/>
  <c r="F61" i="3"/>
  <c r="B61" i="3"/>
  <c r="F62" i="3"/>
  <c r="B62" i="3"/>
  <c r="F63" i="3"/>
  <c r="B63" i="3"/>
  <c r="F64" i="3"/>
  <c r="B64" i="3"/>
  <c r="F65" i="3"/>
  <c r="B65" i="3"/>
  <c r="F66" i="3"/>
  <c r="B66" i="3"/>
  <c r="F67" i="3"/>
  <c r="B67" i="3"/>
  <c r="F68" i="3"/>
  <c r="B68" i="3"/>
  <c r="F69" i="3"/>
  <c r="B69" i="3"/>
  <c r="F70" i="3"/>
  <c r="B70" i="3"/>
  <c r="F71" i="3"/>
  <c r="B71" i="3"/>
  <c r="F72" i="3"/>
  <c r="B72" i="3"/>
  <c r="F73" i="3"/>
  <c r="B73" i="3"/>
  <c r="F74" i="3"/>
  <c r="B74" i="3"/>
  <c r="F75" i="3"/>
  <c r="B75" i="3"/>
  <c r="F76" i="3"/>
  <c r="B76" i="3"/>
  <c r="F77" i="3"/>
  <c r="B77" i="3"/>
  <c r="F78" i="3"/>
  <c r="B78" i="3"/>
  <c r="F79" i="3"/>
  <c r="B79" i="3"/>
  <c r="F80" i="3"/>
  <c r="B80" i="3"/>
  <c r="F81" i="3"/>
  <c r="B81" i="3"/>
  <c r="F82" i="3"/>
  <c r="B82" i="3"/>
  <c r="F83" i="3"/>
  <c r="B83" i="3"/>
  <c r="F84" i="3"/>
  <c r="B84" i="3"/>
  <c r="F85" i="3"/>
  <c r="B85" i="3"/>
  <c r="F86" i="3"/>
  <c r="B86" i="3"/>
  <c r="F87" i="3"/>
  <c r="B87" i="3"/>
  <c r="F88" i="3"/>
  <c r="B88" i="3"/>
  <c r="F89" i="3"/>
  <c r="B89" i="3"/>
  <c r="F90" i="3"/>
  <c r="B90" i="3"/>
  <c r="F91" i="3"/>
  <c r="B91" i="3"/>
  <c r="F92" i="3"/>
  <c r="B92" i="3"/>
  <c r="F93" i="3"/>
  <c r="B93" i="3"/>
  <c r="F94" i="3"/>
  <c r="B94" i="3"/>
  <c r="F95" i="3"/>
  <c r="B95" i="3"/>
  <c r="F96" i="3"/>
  <c r="B96" i="3"/>
  <c r="F97" i="3"/>
  <c r="B97" i="3"/>
  <c r="F98" i="3"/>
  <c r="B98" i="3"/>
  <c r="F99" i="3"/>
  <c r="B99" i="3"/>
  <c r="F100" i="3"/>
  <c r="B100" i="3"/>
  <c r="F101" i="3"/>
  <c r="B101" i="3"/>
  <c r="F102" i="3"/>
  <c r="B102" i="3"/>
  <c r="F103" i="3"/>
  <c r="B103" i="3"/>
  <c r="F104" i="3"/>
  <c r="B104" i="3"/>
  <c r="F105" i="3"/>
  <c r="B105" i="3"/>
  <c r="F106" i="3"/>
  <c r="B106" i="3"/>
  <c r="F107" i="3"/>
  <c r="B107" i="3"/>
  <c r="F108" i="3"/>
  <c r="B108" i="3"/>
  <c r="F109" i="3"/>
  <c r="B109" i="3"/>
  <c r="F110" i="3"/>
  <c r="B110" i="3"/>
  <c r="F111" i="3"/>
  <c r="B111" i="3"/>
  <c r="F112" i="3"/>
  <c r="B112" i="3"/>
  <c r="F113" i="3"/>
  <c r="B113" i="3"/>
  <c r="F114" i="3"/>
  <c r="B114" i="3"/>
  <c r="F115" i="3"/>
  <c r="B115" i="3"/>
  <c r="F116" i="3"/>
  <c r="B116" i="3"/>
  <c r="F117" i="3"/>
  <c r="B117" i="3"/>
  <c r="F118" i="3"/>
  <c r="B118" i="3"/>
  <c r="F119" i="3"/>
  <c r="B119" i="3"/>
  <c r="F120" i="3"/>
  <c r="B120" i="3"/>
  <c r="F121" i="3"/>
  <c r="B121" i="3"/>
  <c r="F122" i="3"/>
  <c r="B122" i="3"/>
  <c r="F123" i="3"/>
  <c r="B123" i="3"/>
  <c r="F124" i="3"/>
  <c r="B124" i="3"/>
  <c r="F125" i="3"/>
  <c r="B125" i="3"/>
  <c r="F126" i="3"/>
  <c r="B126" i="3"/>
  <c r="F127" i="3"/>
  <c r="B127" i="3"/>
  <c r="F128" i="3"/>
  <c r="B128" i="3"/>
  <c r="F129" i="3"/>
  <c r="B129" i="3"/>
  <c r="F130" i="3"/>
  <c r="B130" i="3"/>
  <c r="F131" i="3"/>
  <c r="B131" i="3"/>
  <c r="F132" i="3"/>
  <c r="B132" i="3"/>
  <c r="F133" i="3"/>
  <c r="B133" i="3"/>
  <c r="F134" i="3"/>
  <c r="B134" i="3"/>
  <c r="F135" i="3"/>
  <c r="B135" i="3"/>
  <c r="F136" i="3"/>
  <c r="B136" i="3"/>
  <c r="F137" i="3"/>
  <c r="B137" i="3"/>
  <c r="F138" i="3"/>
  <c r="B138" i="3"/>
  <c r="F139" i="3"/>
  <c r="B139" i="3"/>
  <c r="F140" i="3"/>
  <c r="B140" i="3"/>
  <c r="F141" i="3"/>
  <c r="B141" i="3"/>
  <c r="F142" i="3"/>
  <c r="B142" i="3"/>
  <c r="F143" i="3"/>
  <c r="B143" i="3"/>
  <c r="F144" i="3"/>
  <c r="B144" i="3"/>
  <c r="F145" i="3"/>
  <c r="B145" i="3"/>
  <c r="F146" i="3"/>
  <c r="B146" i="3"/>
  <c r="F147" i="3"/>
  <c r="B147" i="3"/>
  <c r="F148" i="3"/>
  <c r="B148" i="3"/>
  <c r="F149" i="3"/>
  <c r="B149" i="3"/>
  <c r="F150" i="3"/>
  <c r="B150" i="3"/>
  <c r="F151" i="3"/>
  <c r="B151" i="3"/>
  <c r="F152" i="3"/>
  <c r="B152" i="3"/>
  <c r="F153" i="3"/>
  <c r="B153" i="3"/>
  <c r="F154" i="3"/>
  <c r="B154" i="3"/>
  <c r="F155" i="3"/>
  <c r="B155" i="3"/>
  <c r="F156" i="3"/>
  <c r="B156" i="3"/>
  <c r="F157" i="3"/>
  <c r="B157" i="3"/>
  <c r="F158" i="3"/>
  <c r="B158" i="3"/>
  <c r="F159" i="3"/>
  <c r="B159" i="3"/>
  <c r="F160" i="3"/>
  <c r="B160" i="3"/>
  <c r="F161" i="3"/>
  <c r="B161" i="3"/>
  <c r="F162" i="3"/>
  <c r="B162" i="3"/>
  <c r="F163" i="3"/>
  <c r="B163" i="3"/>
  <c r="F164" i="3"/>
  <c r="B164" i="3"/>
  <c r="F165" i="3"/>
  <c r="B165" i="3"/>
  <c r="F166" i="3"/>
  <c r="B166" i="3"/>
  <c r="F167" i="3"/>
  <c r="B167" i="3"/>
  <c r="F168" i="3"/>
  <c r="B168" i="3"/>
  <c r="F169" i="3"/>
  <c r="B169" i="3"/>
  <c r="F170" i="3"/>
  <c r="B170" i="3"/>
  <c r="F171" i="3"/>
  <c r="B171" i="3"/>
  <c r="F172" i="3"/>
  <c r="B172" i="3"/>
  <c r="F173" i="3"/>
  <c r="B173" i="3"/>
  <c r="F174" i="3"/>
  <c r="B174" i="3"/>
  <c r="F175" i="3"/>
  <c r="B175" i="3"/>
  <c r="F176" i="3"/>
  <c r="B176" i="3"/>
  <c r="F177" i="3"/>
  <c r="B177" i="3"/>
  <c r="F178" i="3"/>
  <c r="B178" i="3"/>
  <c r="F179" i="3"/>
  <c r="B179" i="3"/>
  <c r="F180" i="3"/>
  <c r="B180" i="3"/>
  <c r="F181" i="3"/>
  <c r="B181" i="3"/>
  <c r="F182" i="3"/>
  <c r="B182" i="3"/>
  <c r="F183" i="3"/>
  <c r="B183" i="3"/>
  <c r="F184" i="3"/>
  <c r="B184" i="3"/>
  <c r="F185" i="3"/>
  <c r="B185" i="3"/>
  <c r="F186" i="3"/>
  <c r="B186" i="3"/>
  <c r="F187" i="3"/>
  <c r="B187" i="3"/>
  <c r="F188" i="3"/>
  <c r="B188" i="3"/>
  <c r="F189" i="3"/>
  <c r="B189" i="3"/>
  <c r="F190" i="3"/>
  <c r="B190" i="3"/>
  <c r="F191" i="3"/>
  <c r="B191" i="3"/>
  <c r="F192" i="3"/>
  <c r="B192" i="3"/>
  <c r="F193" i="3"/>
  <c r="B193" i="3"/>
  <c r="F194" i="3"/>
  <c r="B194" i="3"/>
  <c r="F195" i="3"/>
  <c r="B195" i="3"/>
  <c r="F196" i="3"/>
  <c r="B196" i="3"/>
  <c r="F197" i="3"/>
  <c r="B197" i="3"/>
  <c r="F198" i="3"/>
  <c r="B198" i="3"/>
  <c r="F199" i="3"/>
  <c r="B199" i="3"/>
  <c r="F200" i="3"/>
  <c r="B200" i="3"/>
  <c r="F201" i="3"/>
  <c r="B201" i="3"/>
  <c r="F202" i="3"/>
  <c r="B202" i="3"/>
  <c r="F203" i="3"/>
  <c r="B203" i="3"/>
  <c r="F204" i="3"/>
  <c r="B204" i="3"/>
  <c r="F205" i="3"/>
  <c r="B205" i="3"/>
  <c r="F206" i="3"/>
  <c r="B206" i="3"/>
  <c r="F207" i="3"/>
  <c r="B207" i="3"/>
  <c r="F208" i="3"/>
  <c r="B208" i="3"/>
  <c r="F209" i="3"/>
  <c r="B209" i="3"/>
  <c r="F210" i="3"/>
  <c r="B210" i="3"/>
  <c r="F211" i="3"/>
  <c r="B211" i="3"/>
  <c r="F212" i="3"/>
  <c r="B212" i="3"/>
  <c r="F213" i="3"/>
  <c r="B213" i="3"/>
  <c r="F214" i="3"/>
  <c r="B214" i="3"/>
  <c r="F215" i="3"/>
  <c r="B215" i="3"/>
  <c r="F216" i="3"/>
  <c r="B216" i="3"/>
  <c r="F217" i="3"/>
  <c r="B217" i="3"/>
  <c r="F218" i="3"/>
  <c r="B218" i="3"/>
  <c r="F219" i="3"/>
  <c r="B219" i="3"/>
  <c r="F220" i="3"/>
  <c r="B220" i="3"/>
  <c r="F221" i="3"/>
  <c r="B221" i="3"/>
  <c r="F222" i="3"/>
  <c r="B222" i="3"/>
  <c r="F223" i="3"/>
  <c r="B223" i="3"/>
  <c r="F224" i="3"/>
  <c r="B224" i="3"/>
  <c r="F225" i="3"/>
  <c r="B225" i="3"/>
  <c r="F226" i="3"/>
  <c r="B226" i="3"/>
  <c r="F227" i="3"/>
  <c r="B227" i="3"/>
  <c r="F228" i="3"/>
  <c r="B228" i="3"/>
  <c r="F229" i="3"/>
  <c r="B229" i="3"/>
  <c r="F230" i="3"/>
  <c r="B230" i="3"/>
  <c r="F231" i="3"/>
  <c r="B231" i="3"/>
  <c r="F232" i="3"/>
  <c r="B232" i="3"/>
  <c r="F233" i="3"/>
  <c r="B233" i="3"/>
  <c r="F234" i="3"/>
  <c r="B234" i="3"/>
  <c r="F235" i="3"/>
  <c r="B235" i="3"/>
  <c r="F236" i="3"/>
  <c r="B236" i="3"/>
  <c r="F237" i="3"/>
  <c r="B237" i="3"/>
  <c r="F238" i="3"/>
  <c r="B238" i="3"/>
  <c r="F239" i="3"/>
  <c r="B239" i="3"/>
  <c r="F240" i="3"/>
  <c r="B240" i="3"/>
  <c r="F241" i="3"/>
  <c r="B241" i="3"/>
  <c r="F242" i="3"/>
  <c r="B242" i="3"/>
  <c r="F243" i="3"/>
  <c r="B243" i="3"/>
  <c r="F244" i="3"/>
  <c r="B244" i="3"/>
  <c r="F245" i="3"/>
  <c r="B245" i="3"/>
  <c r="F246" i="3"/>
  <c r="B246" i="3"/>
  <c r="F247" i="3"/>
  <c r="B247" i="3"/>
  <c r="F248" i="3"/>
  <c r="B248" i="3"/>
  <c r="F249" i="3"/>
  <c r="B249" i="3"/>
  <c r="F250" i="3"/>
  <c r="B250" i="3"/>
  <c r="F251" i="3"/>
  <c r="B251" i="3"/>
  <c r="F252" i="3"/>
  <c r="B252" i="3"/>
  <c r="F253" i="3"/>
  <c r="B253" i="3"/>
  <c r="F254" i="3"/>
  <c r="B254" i="3"/>
  <c r="F255" i="3"/>
  <c r="B255" i="3"/>
  <c r="F256" i="3"/>
  <c r="B256" i="3"/>
  <c r="F257" i="3"/>
  <c r="B257" i="3"/>
  <c r="F258" i="3"/>
  <c r="B258" i="3"/>
  <c r="F259" i="3"/>
  <c r="B259" i="3"/>
  <c r="F260" i="3"/>
  <c r="B260" i="3"/>
  <c r="F261" i="3"/>
  <c r="B261" i="3"/>
  <c r="F262" i="3"/>
  <c r="B262" i="3"/>
  <c r="F263" i="3"/>
  <c r="B263" i="3"/>
  <c r="F264" i="3"/>
  <c r="B264" i="3"/>
  <c r="F265" i="3"/>
  <c r="B265" i="3"/>
  <c r="F266" i="3"/>
  <c r="B266" i="3"/>
  <c r="F267" i="3"/>
  <c r="B267" i="3"/>
  <c r="F268" i="3"/>
  <c r="B268" i="3"/>
  <c r="F269" i="3"/>
  <c r="B269" i="3"/>
  <c r="F270" i="3"/>
  <c r="B270" i="3"/>
  <c r="F271" i="3"/>
  <c r="B271" i="3"/>
  <c r="F272" i="3"/>
  <c r="B272" i="3"/>
  <c r="F273" i="3"/>
  <c r="B273" i="3"/>
  <c r="F274" i="3"/>
  <c r="B274" i="3"/>
  <c r="F275" i="3"/>
  <c r="B275" i="3"/>
  <c r="F276" i="3"/>
  <c r="B276" i="3"/>
  <c r="F277" i="3"/>
  <c r="B277" i="3"/>
  <c r="F278" i="3"/>
  <c r="B278" i="3"/>
  <c r="F279" i="3"/>
  <c r="B279" i="3"/>
  <c r="F280" i="3"/>
  <c r="B280" i="3"/>
  <c r="F281" i="3"/>
  <c r="B281" i="3"/>
  <c r="F282" i="3"/>
  <c r="B282" i="3"/>
  <c r="F283" i="3"/>
  <c r="B283" i="3"/>
  <c r="F284" i="3"/>
  <c r="B284" i="3"/>
  <c r="F285" i="3"/>
  <c r="B285" i="3"/>
  <c r="F286" i="3"/>
  <c r="B286" i="3"/>
  <c r="F287" i="3"/>
  <c r="B287" i="3"/>
  <c r="F288" i="3"/>
  <c r="B288" i="3"/>
  <c r="F289" i="3"/>
  <c r="B289" i="3"/>
  <c r="F290" i="3"/>
  <c r="B290" i="3"/>
  <c r="F291" i="3"/>
  <c r="B291" i="3"/>
  <c r="F292" i="3"/>
  <c r="B292" i="3"/>
  <c r="F293" i="3"/>
  <c r="B293" i="3"/>
  <c r="F294" i="3"/>
  <c r="B294" i="3"/>
  <c r="F295" i="3"/>
  <c r="B295" i="3"/>
  <c r="F296" i="3"/>
  <c r="B296" i="3"/>
  <c r="F297" i="3"/>
  <c r="B297" i="3"/>
  <c r="F298" i="3"/>
  <c r="B298" i="3"/>
  <c r="F299" i="3"/>
  <c r="B299" i="3"/>
  <c r="F300" i="3"/>
  <c r="B300" i="3"/>
  <c r="F301" i="3"/>
  <c r="B301" i="3"/>
  <c r="B302" i="3"/>
  <c r="G302" i="3"/>
  <c r="G3" i="3"/>
  <c r="C3" i="3"/>
  <c r="G4" i="3"/>
  <c r="C4" i="3"/>
  <c r="G5" i="3"/>
  <c r="C5" i="3"/>
  <c r="C6" i="3"/>
  <c r="G7" i="3"/>
  <c r="C7" i="3"/>
  <c r="G8" i="3"/>
  <c r="C8" i="3"/>
  <c r="G9" i="3"/>
  <c r="C9" i="3"/>
  <c r="G10" i="3"/>
  <c r="C10" i="3"/>
  <c r="C11" i="3"/>
  <c r="G12" i="3"/>
  <c r="C12" i="3"/>
  <c r="G13" i="3"/>
  <c r="C13" i="3"/>
  <c r="G14" i="3"/>
  <c r="C14" i="3"/>
  <c r="G15" i="3"/>
  <c r="C15" i="3"/>
  <c r="C16" i="3"/>
  <c r="G17" i="3"/>
  <c r="C17" i="3"/>
  <c r="G18" i="3"/>
  <c r="C18" i="3"/>
  <c r="G19" i="3"/>
  <c r="C19" i="3"/>
  <c r="G20" i="3"/>
  <c r="C20" i="3"/>
  <c r="C21" i="3"/>
  <c r="G22" i="3"/>
  <c r="C22" i="3"/>
  <c r="G23" i="3"/>
  <c r="C23" i="3"/>
  <c r="G24" i="3"/>
  <c r="C24" i="3"/>
  <c r="G25" i="3"/>
  <c r="C25" i="3"/>
  <c r="C26" i="3"/>
  <c r="G27" i="3"/>
  <c r="C27" i="3"/>
  <c r="G28" i="3"/>
  <c r="C28" i="3"/>
  <c r="G29" i="3"/>
  <c r="C29" i="3"/>
  <c r="G30" i="3"/>
  <c r="C30" i="3"/>
  <c r="G31" i="3"/>
  <c r="C31" i="3"/>
  <c r="G32" i="3"/>
  <c r="C32" i="3"/>
  <c r="G33" i="3"/>
  <c r="C33" i="3"/>
  <c r="G34" i="3"/>
  <c r="C34" i="3"/>
  <c r="G35" i="3"/>
  <c r="C35" i="3"/>
  <c r="G36" i="3"/>
  <c r="C36" i="3"/>
  <c r="G37" i="3"/>
  <c r="C37" i="3"/>
  <c r="G38" i="3"/>
  <c r="C38" i="3"/>
  <c r="G39" i="3"/>
  <c r="C39" i="3"/>
  <c r="G40" i="3"/>
  <c r="C40" i="3"/>
  <c r="G41" i="3"/>
  <c r="C41" i="3"/>
  <c r="G42" i="3"/>
  <c r="C42" i="3"/>
  <c r="G43" i="3"/>
  <c r="C43" i="3"/>
  <c r="G44" i="3"/>
  <c r="C44" i="3"/>
  <c r="G45" i="3"/>
  <c r="C45" i="3"/>
  <c r="G46" i="3"/>
  <c r="C46" i="3"/>
  <c r="G47" i="3"/>
  <c r="C47" i="3"/>
  <c r="G48" i="3"/>
  <c r="C48" i="3"/>
  <c r="G49" i="3"/>
  <c r="C49" i="3"/>
  <c r="G50" i="3"/>
  <c r="C50" i="3"/>
  <c r="G51" i="3"/>
  <c r="C51" i="3"/>
  <c r="G52" i="3"/>
  <c r="C52" i="3"/>
  <c r="G53" i="3"/>
  <c r="C53" i="3"/>
  <c r="G54" i="3"/>
  <c r="C54" i="3"/>
  <c r="G55" i="3"/>
  <c r="C55" i="3"/>
  <c r="G56" i="3"/>
  <c r="C56" i="3"/>
  <c r="G57" i="3"/>
  <c r="C57" i="3"/>
  <c r="G58" i="3"/>
  <c r="C58" i="3"/>
  <c r="G59" i="3"/>
  <c r="C59" i="3"/>
  <c r="G60" i="3"/>
  <c r="C60" i="3"/>
  <c r="G61" i="3"/>
  <c r="C61" i="3"/>
  <c r="G62" i="3"/>
  <c r="C62" i="3"/>
  <c r="G63" i="3"/>
  <c r="C63" i="3"/>
  <c r="G64" i="3"/>
  <c r="C64" i="3"/>
  <c r="G65" i="3"/>
  <c r="C65" i="3"/>
  <c r="G66" i="3"/>
  <c r="C66" i="3"/>
  <c r="G67" i="3"/>
  <c r="C67" i="3"/>
  <c r="G68" i="3"/>
  <c r="C68" i="3"/>
  <c r="G69" i="3"/>
  <c r="C69" i="3"/>
  <c r="G70" i="3"/>
  <c r="C70" i="3"/>
  <c r="G71" i="3"/>
  <c r="C71" i="3"/>
  <c r="G72" i="3"/>
  <c r="C72" i="3"/>
  <c r="G73" i="3"/>
  <c r="C73" i="3"/>
  <c r="G74" i="3"/>
  <c r="C74" i="3"/>
  <c r="G75" i="3"/>
  <c r="C75" i="3"/>
  <c r="G76" i="3"/>
  <c r="C76" i="3"/>
  <c r="G77" i="3"/>
  <c r="C77" i="3"/>
  <c r="G78" i="3"/>
  <c r="C78" i="3"/>
  <c r="G79" i="3"/>
  <c r="C79" i="3"/>
  <c r="G80" i="3"/>
  <c r="C80" i="3"/>
  <c r="G81" i="3"/>
  <c r="C81" i="3"/>
  <c r="G82" i="3"/>
  <c r="C82" i="3"/>
  <c r="G83" i="3"/>
  <c r="C83" i="3"/>
  <c r="G84" i="3"/>
  <c r="C84" i="3"/>
  <c r="G85" i="3"/>
  <c r="C85" i="3"/>
  <c r="G86" i="3"/>
  <c r="C86" i="3"/>
  <c r="G87" i="3"/>
  <c r="C87" i="3"/>
  <c r="G88" i="3"/>
  <c r="C88" i="3"/>
  <c r="G89" i="3"/>
  <c r="C89" i="3"/>
  <c r="G90" i="3"/>
  <c r="C90" i="3"/>
  <c r="G91" i="3"/>
  <c r="C91" i="3"/>
  <c r="G92" i="3"/>
  <c r="C92" i="3"/>
  <c r="G93" i="3"/>
  <c r="C93" i="3"/>
  <c r="G94" i="3"/>
  <c r="C94" i="3"/>
  <c r="G95" i="3"/>
  <c r="C95" i="3"/>
  <c r="G96" i="3"/>
  <c r="C96" i="3"/>
  <c r="G97" i="3"/>
  <c r="C97" i="3"/>
  <c r="G98" i="3"/>
  <c r="C98" i="3"/>
  <c r="G99" i="3"/>
  <c r="C99" i="3"/>
  <c r="G100" i="3"/>
  <c r="C100" i="3"/>
  <c r="G101" i="3"/>
  <c r="C101" i="3"/>
  <c r="G102" i="3"/>
  <c r="C102" i="3"/>
  <c r="G103" i="3"/>
  <c r="C103" i="3"/>
  <c r="G104" i="3"/>
  <c r="C104" i="3"/>
  <c r="G105" i="3"/>
  <c r="C105" i="3"/>
  <c r="G106" i="3"/>
  <c r="C106" i="3"/>
  <c r="G107" i="3"/>
  <c r="C107" i="3"/>
  <c r="G108" i="3"/>
  <c r="C108" i="3"/>
  <c r="G109" i="3"/>
  <c r="C109" i="3"/>
  <c r="G110" i="3"/>
  <c r="C110" i="3"/>
  <c r="G111" i="3"/>
  <c r="C111" i="3"/>
  <c r="G112" i="3"/>
  <c r="C112" i="3"/>
  <c r="G113" i="3"/>
  <c r="C113" i="3"/>
  <c r="G114" i="3"/>
  <c r="C114" i="3"/>
  <c r="G115" i="3"/>
  <c r="C115" i="3"/>
  <c r="G116" i="3"/>
  <c r="C116" i="3"/>
  <c r="G117" i="3"/>
  <c r="C117" i="3"/>
  <c r="G118" i="3"/>
  <c r="C118" i="3"/>
  <c r="G119" i="3"/>
  <c r="C119" i="3"/>
  <c r="G120" i="3"/>
  <c r="C120" i="3"/>
  <c r="G121" i="3"/>
  <c r="C121" i="3"/>
  <c r="G122" i="3"/>
  <c r="C122" i="3"/>
  <c r="G123" i="3"/>
  <c r="C123" i="3"/>
  <c r="G124" i="3"/>
  <c r="C124" i="3"/>
  <c r="G125" i="3"/>
  <c r="C125" i="3"/>
  <c r="G126" i="3"/>
  <c r="C126" i="3"/>
  <c r="G127" i="3"/>
  <c r="C127" i="3"/>
  <c r="G128" i="3"/>
  <c r="C128" i="3"/>
  <c r="G129" i="3"/>
  <c r="C129" i="3"/>
  <c r="G130" i="3"/>
  <c r="C130" i="3"/>
  <c r="G131" i="3"/>
  <c r="C131" i="3"/>
  <c r="G132" i="3"/>
  <c r="C132" i="3"/>
  <c r="G133" i="3"/>
  <c r="C133" i="3"/>
  <c r="G134" i="3"/>
  <c r="C134" i="3"/>
  <c r="G135" i="3"/>
  <c r="C135" i="3"/>
  <c r="G136" i="3"/>
  <c r="C136" i="3"/>
  <c r="G137" i="3"/>
  <c r="C137" i="3"/>
  <c r="G138" i="3"/>
  <c r="C138" i="3"/>
  <c r="G139" i="3"/>
  <c r="C139" i="3"/>
  <c r="G140" i="3"/>
  <c r="C140" i="3"/>
  <c r="G141" i="3"/>
  <c r="C141" i="3"/>
  <c r="G142" i="3"/>
  <c r="C142" i="3"/>
  <c r="G143" i="3"/>
  <c r="C143" i="3"/>
  <c r="G144" i="3"/>
  <c r="C144" i="3"/>
  <c r="G145" i="3"/>
  <c r="C145" i="3"/>
  <c r="G146" i="3"/>
  <c r="C146" i="3"/>
  <c r="G147" i="3"/>
  <c r="C147" i="3"/>
  <c r="G148" i="3"/>
  <c r="C148" i="3"/>
  <c r="G149" i="3"/>
  <c r="C149" i="3"/>
  <c r="G150" i="3"/>
  <c r="C150" i="3"/>
  <c r="G151" i="3"/>
  <c r="C151" i="3"/>
  <c r="G152" i="3"/>
  <c r="C152" i="3"/>
  <c r="G153" i="3"/>
  <c r="C153" i="3"/>
  <c r="G154" i="3"/>
  <c r="C154" i="3"/>
  <c r="G155" i="3"/>
  <c r="C155" i="3"/>
  <c r="G156" i="3"/>
  <c r="C156" i="3"/>
  <c r="G157" i="3"/>
  <c r="C157" i="3"/>
  <c r="G158" i="3"/>
  <c r="C158" i="3"/>
  <c r="G159" i="3"/>
  <c r="C159" i="3"/>
  <c r="G160" i="3"/>
  <c r="C160" i="3"/>
  <c r="G161" i="3"/>
  <c r="C161" i="3"/>
  <c r="G162" i="3"/>
  <c r="C162" i="3"/>
  <c r="G163" i="3"/>
  <c r="C163" i="3"/>
  <c r="G164" i="3"/>
  <c r="C164" i="3"/>
  <c r="G165" i="3"/>
  <c r="C165" i="3"/>
  <c r="G166" i="3"/>
  <c r="C166" i="3"/>
  <c r="G167" i="3"/>
  <c r="C167" i="3"/>
  <c r="G168" i="3"/>
  <c r="C168" i="3"/>
  <c r="G169" i="3"/>
  <c r="C169" i="3"/>
  <c r="G170" i="3"/>
  <c r="C170" i="3"/>
  <c r="G171" i="3"/>
  <c r="C171" i="3"/>
  <c r="G172" i="3"/>
  <c r="C172" i="3"/>
  <c r="G173" i="3"/>
  <c r="C173" i="3"/>
  <c r="G174" i="3"/>
  <c r="C174" i="3"/>
  <c r="G175" i="3"/>
  <c r="C175" i="3"/>
  <c r="G176" i="3"/>
  <c r="C176" i="3"/>
  <c r="G177" i="3"/>
  <c r="C177" i="3"/>
  <c r="G178" i="3"/>
  <c r="C178" i="3"/>
  <c r="G179" i="3"/>
  <c r="C179" i="3"/>
  <c r="G180" i="3"/>
  <c r="C180" i="3"/>
  <c r="G181" i="3"/>
  <c r="C181" i="3"/>
  <c r="G182" i="3"/>
  <c r="C182" i="3"/>
  <c r="G183" i="3"/>
  <c r="C183" i="3"/>
  <c r="G184" i="3"/>
  <c r="C184" i="3"/>
  <c r="G185" i="3"/>
  <c r="C185" i="3"/>
  <c r="G186" i="3"/>
  <c r="C186" i="3"/>
  <c r="G187" i="3"/>
  <c r="C187" i="3"/>
  <c r="G188" i="3"/>
  <c r="C188" i="3"/>
  <c r="G189" i="3"/>
  <c r="C189" i="3"/>
  <c r="G190" i="3"/>
  <c r="C190" i="3"/>
  <c r="G191" i="3"/>
  <c r="C191" i="3"/>
  <c r="G192" i="3"/>
  <c r="C192" i="3"/>
  <c r="G193" i="3"/>
  <c r="C193" i="3"/>
  <c r="G194" i="3"/>
  <c r="C194" i="3"/>
  <c r="G195" i="3"/>
  <c r="C195" i="3"/>
  <c r="G196" i="3"/>
  <c r="C196" i="3"/>
  <c r="G197" i="3"/>
  <c r="C197" i="3"/>
  <c r="G198" i="3"/>
  <c r="C198" i="3"/>
  <c r="G199" i="3"/>
  <c r="C199" i="3"/>
  <c r="G200" i="3"/>
  <c r="C200" i="3"/>
  <c r="G201" i="3"/>
  <c r="C201" i="3"/>
  <c r="G202" i="3"/>
  <c r="C202" i="3"/>
  <c r="G203" i="3"/>
  <c r="C203" i="3"/>
  <c r="G204" i="3"/>
  <c r="C204" i="3"/>
  <c r="G205" i="3"/>
  <c r="C205" i="3"/>
  <c r="G206" i="3"/>
  <c r="C206" i="3"/>
  <c r="G207" i="3"/>
  <c r="C207" i="3"/>
  <c r="G208" i="3"/>
  <c r="C208" i="3"/>
  <c r="G209" i="3"/>
  <c r="C209" i="3"/>
  <c r="G210" i="3"/>
  <c r="C210" i="3"/>
  <c r="G211" i="3"/>
  <c r="C211" i="3"/>
  <c r="G212" i="3"/>
  <c r="C212" i="3"/>
  <c r="G213" i="3"/>
  <c r="C213" i="3"/>
  <c r="G214" i="3"/>
  <c r="C214" i="3"/>
  <c r="G215" i="3"/>
  <c r="C215" i="3"/>
  <c r="G216" i="3"/>
  <c r="C216" i="3"/>
  <c r="G217" i="3"/>
  <c r="C217" i="3"/>
  <c r="G218" i="3"/>
  <c r="C218" i="3"/>
  <c r="G219" i="3"/>
  <c r="C219" i="3"/>
  <c r="G220" i="3"/>
  <c r="C220" i="3"/>
  <c r="G221" i="3"/>
  <c r="C221" i="3"/>
  <c r="G222" i="3"/>
  <c r="C222" i="3"/>
  <c r="G223" i="3"/>
  <c r="C223" i="3"/>
  <c r="G224" i="3"/>
  <c r="C224" i="3"/>
  <c r="G225" i="3"/>
  <c r="C225" i="3"/>
  <c r="G226" i="3"/>
  <c r="C226" i="3"/>
  <c r="G227" i="3"/>
  <c r="C227" i="3"/>
  <c r="G228" i="3"/>
  <c r="C228" i="3"/>
  <c r="G229" i="3"/>
  <c r="C229" i="3"/>
  <c r="G230" i="3"/>
  <c r="C230" i="3"/>
  <c r="G231" i="3"/>
  <c r="C231" i="3"/>
  <c r="G232" i="3"/>
  <c r="C232" i="3"/>
  <c r="G233" i="3"/>
  <c r="C233" i="3"/>
  <c r="G234" i="3"/>
  <c r="C234" i="3"/>
  <c r="G235" i="3"/>
  <c r="C235" i="3"/>
  <c r="G236" i="3"/>
  <c r="C236" i="3"/>
  <c r="G237" i="3"/>
  <c r="C237" i="3"/>
  <c r="G238" i="3"/>
  <c r="C238" i="3"/>
  <c r="G239" i="3"/>
  <c r="C239" i="3"/>
  <c r="G240" i="3"/>
  <c r="C240" i="3"/>
  <c r="G241" i="3"/>
  <c r="C241" i="3"/>
  <c r="G242" i="3"/>
  <c r="C242" i="3"/>
  <c r="G243" i="3"/>
  <c r="C243" i="3"/>
  <c r="G244" i="3"/>
  <c r="C244" i="3"/>
  <c r="G245" i="3"/>
  <c r="C245" i="3"/>
  <c r="G246" i="3"/>
  <c r="C246" i="3"/>
  <c r="G247" i="3"/>
  <c r="C247" i="3"/>
  <c r="G248" i="3"/>
  <c r="C248" i="3"/>
  <c r="G249" i="3"/>
  <c r="C249" i="3"/>
  <c r="G250" i="3"/>
  <c r="C250" i="3"/>
  <c r="G251" i="3"/>
  <c r="C251" i="3"/>
  <c r="G252" i="3"/>
  <c r="C252" i="3"/>
  <c r="G253" i="3"/>
  <c r="C253" i="3"/>
  <c r="G254" i="3"/>
  <c r="C254" i="3"/>
  <c r="G255" i="3"/>
  <c r="C255" i="3"/>
  <c r="G256" i="3"/>
  <c r="C256" i="3"/>
  <c r="G257" i="3"/>
  <c r="C257" i="3"/>
  <c r="G258" i="3"/>
  <c r="C258" i="3"/>
  <c r="G259" i="3"/>
  <c r="C259" i="3"/>
  <c r="G260" i="3"/>
  <c r="C260" i="3"/>
  <c r="G261" i="3"/>
  <c r="C261" i="3"/>
  <c r="G262" i="3"/>
  <c r="C262" i="3"/>
  <c r="G263" i="3"/>
  <c r="C263" i="3"/>
  <c r="G264" i="3"/>
  <c r="C264" i="3"/>
  <c r="G265" i="3"/>
  <c r="C265" i="3"/>
  <c r="G266" i="3"/>
  <c r="C266" i="3"/>
  <c r="G267" i="3"/>
  <c r="C267" i="3"/>
  <c r="G268" i="3"/>
  <c r="C268" i="3"/>
  <c r="G269" i="3"/>
  <c r="C269" i="3"/>
  <c r="G270" i="3"/>
  <c r="C270" i="3"/>
  <c r="G271" i="3"/>
  <c r="C271" i="3"/>
  <c r="G272" i="3"/>
  <c r="C272" i="3"/>
  <c r="G273" i="3"/>
  <c r="C273" i="3"/>
  <c r="G274" i="3"/>
  <c r="C274" i="3"/>
  <c r="G275" i="3"/>
  <c r="C275" i="3"/>
  <c r="G276" i="3"/>
  <c r="C276" i="3"/>
  <c r="G277" i="3"/>
  <c r="C277" i="3"/>
  <c r="G278" i="3"/>
  <c r="C278" i="3"/>
  <c r="G279" i="3"/>
  <c r="C279" i="3"/>
  <c r="G280" i="3"/>
  <c r="C280" i="3"/>
  <c r="G281" i="3"/>
  <c r="C281" i="3"/>
  <c r="G282" i="3"/>
  <c r="C282" i="3"/>
  <c r="G283" i="3"/>
  <c r="C283" i="3"/>
  <c r="G284" i="3"/>
  <c r="C284" i="3"/>
  <c r="G285" i="3"/>
  <c r="C285" i="3"/>
  <c r="G286" i="3"/>
  <c r="C286" i="3"/>
  <c r="G287" i="3"/>
  <c r="C287" i="3"/>
  <c r="G288" i="3"/>
  <c r="C288" i="3"/>
  <c r="G289" i="3"/>
  <c r="C289" i="3"/>
  <c r="G290" i="3"/>
  <c r="C290" i="3"/>
  <c r="G291" i="3"/>
  <c r="C291" i="3"/>
  <c r="G292" i="3"/>
  <c r="C292" i="3"/>
  <c r="G293" i="3"/>
  <c r="C293" i="3"/>
  <c r="G294" i="3"/>
  <c r="C294" i="3"/>
  <c r="G295" i="3"/>
  <c r="C295" i="3"/>
  <c r="G296" i="3"/>
  <c r="C296" i="3"/>
  <c r="G297" i="3"/>
  <c r="C297" i="3"/>
  <c r="G298" i="3"/>
  <c r="C298" i="3"/>
  <c r="G299" i="3"/>
  <c r="C299" i="3"/>
  <c r="G300" i="3"/>
  <c r="C300" i="3"/>
  <c r="G301" i="3"/>
  <c r="C301" i="3"/>
  <c r="C302" i="3"/>
  <c r="H302" i="3"/>
  <c r="H3" i="3"/>
  <c r="E3" i="3"/>
  <c r="H4" i="3"/>
  <c r="E4" i="3"/>
  <c r="H5" i="3"/>
  <c r="E5" i="3"/>
  <c r="H6" i="3"/>
  <c r="E6" i="3"/>
  <c r="H7" i="3"/>
  <c r="E7" i="3"/>
  <c r="H8" i="3"/>
  <c r="E8" i="3"/>
  <c r="H9" i="3"/>
  <c r="E9" i="3"/>
  <c r="H10" i="3"/>
  <c r="E10" i="3"/>
  <c r="H11" i="3"/>
  <c r="E11" i="3"/>
  <c r="H12" i="3"/>
  <c r="E12" i="3"/>
  <c r="H13" i="3"/>
  <c r="E13" i="3"/>
  <c r="H14" i="3"/>
  <c r="E14" i="3"/>
  <c r="H15" i="3"/>
  <c r="E15" i="3"/>
  <c r="H16" i="3"/>
  <c r="E16" i="3"/>
  <c r="H17" i="3"/>
  <c r="E17" i="3"/>
  <c r="H18" i="3"/>
  <c r="E18" i="3"/>
  <c r="H19" i="3"/>
  <c r="E19" i="3"/>
  <c r="H20" i="3"/>
  <c r="E20" i="3"/>
  <c r="H21" i="3"/>
  <c r="E21" i="3"/>
  <c r="H22" i="3"/>
  <c r="E22" i="3"/>
  <c r="H23" i="3"/>
  <c r="E23" i="3"/>
  <c r="H24" i="3"/>
  <c r="E24" i="3"/>
  <c r="H25" i="3"/>
  <c r="E25" i="3"/>
  <c r="H26" i="3"/>
  <c r="E26" i="3"/>
  <c r="H27" i="3"/>
  <c r="E27" i="3"/>
  <c r="H28" i="3"/>
  <c r="E28" i="3"/>
  <c r="H29" i="3"/>
  <c r="E29" i="3"/>
  <c r="H30" i="3"/>
  <c r="E30" i="3"/>
  <c r="H31" i="3"/>
  <c r="E31" i="3"/>
  <c r="H32" i="3"/>
  <c r="E32" i="3"/>
  <c r="H33" i="3"/>
  <c r="E33" i="3"/>
  <c r="H34" i="3"/>
  <c r="E34" i="3"/>
  <c r="H35" i="3"/>
  <c r="E35" i="3"/>
  <c r="H36" i="3"/>
  <c r="E36" i="3"/>
  <c r="H37" i="3"/>
  <c r="E37" i="3"/>
  <c r="H38" i="3"/>
  <c r="E38" i="3"/>
  <c r="H39" i="3"/>
  <c r="E39" i="3"/>
  <c r="H40" i="3"/>
  <c r="E40" i="3"/>
  <c r="H41" i="3"/>
  <c r="E41" i="3"/>
  <c r="H42" i="3"/>
  <c r="E42" i="3"/>
  <c r="H43" i="3"/>
  <c r="E43" i="3"/>
  <c r="H44" i="3"/>
  <c r="E44" i="3"/>
  <c r="H45" i="3"/>
  <c r="E45" i="3"/>
  <c r="H46" i="3"/>
  <c r="E46" i="3"/>
  <c r="H47" i="3"/>
  <c r="E47" i="3"/>
  <c r="H48" i="3"/>
  <c r="E48" i="3"/>
  <c r="H49" i="3"/>
  <c r="E49" i="3"/>
  <c r="H50" i="3"/>
  <c r="E50" i="3"/>
  <c r="H51" i="3"/>
  <c r="E51" i="3"/>
  <c r="H52" i="3"/>
  <c r="E52" i="3"/>
  <c r="H53" i="3"/>
  <c r="E53" i="3"/>
  <c r="H54" i="3"/>
  <c r="E54" i="3"/>
  <c r="H55" i="3"/>
  <c r="E55" i="3"/>
  <c r="H56" i="3"/>
  <c r="E56" i="3"/>
  <c r="H57" i="3"/>
  <c r="E57" i="3"/>
  <c r="H58" i="3"/>
  <c r="E58" i="3"/>
  <c r="H59" i="3"/>
  <c r="E59" i="3"/>
  <c r="H60" i="3"/>
  <c r="E60" i="3"/>
  <c r="H61" i="3"/>
  <c r="E61" i="3"/>
  <c r="H62" i="3"/>
  <c r="E62" i="3"/>
  <c r="H63" i="3"/>
  <c r="E63" i="3"/>
  <c r="H64" i="3"/>
  <c r="E64" i="3"/>
  <c r="H65" i="3"/>
  <c r="E65" i="3"/>
  <c r="H66" i="3"/>
  <c r="E66" i="3"/>
  <c r="H67" i="3"/>
  <c r="E67" i="3"/>
  <c r="H68" i="3"/>
  <c r="E68" i="3"/>
  <c r="H69" i="3"/>
  <c r="E69" i="3"/>
  <c r="H70" i="3"/>
  <c r="E70" i="3"/>
  <c r="H71" i="3"/>
  <c r="E71" i="3"/>
  <c r="H72" i="3"/>
  <c r="E72" i="3"/>
  <c r="H73" i="3"/>
  <c r="E73" i="3"/>
  <c r="H74" i="3"/>
  <c r="E74" i="3"/>
  <c r="H75" i="3"/>
  <c r="E75" i="3"/>
  <c r="H76" i="3"/>
  <c r="E76" i="3"/>
  <c r="H77" i="3"/>
  <c r="E77" i="3"/>
  <c r="H78" i="3"/>
  <c r="E78" i="3"/>
  <c r="H79" i="3"/>
  <c r="E79" i="3"/>
  <c r="H80" i="3"/>
  <c r="E80" i="3"/>
  <c r="H81" i="3"/>
  <c r="E81" i="3"/>
  <c r="H82" i="3"/>
  <c r="E82" i="3"/>
  <c r="H83" i="3"/>
  <c r="E83" i="3"/>
  <c r="H84" i="3"/>
  <c r="E84" i="3"/>
  <c r="H85" i="3"/>
  <c r="E85" i="3"/>
  <c r="H86" i="3"/>
  <c r="E86" i="3"/>
  <c r="H87" i="3"/>
  <c r="E87" i="3"/>
  <c r="H88" i="3"/>
  <c r="E88" i="3"/>
  <c r="H89" i="3"/>
  <c r="E89" i="3"/>
  <c r="H90" i="3"/>
  <c r="E90" i="3"/>
  <c r="H91" i="3"/>
  <c r="E91" i="3"/>
  <c r="H92" i="3"/>
  <c r="E92" i="3"/>
  <c r="H93" i="3"/>
  <c r="E93" i="3"/>
  <c r="H94" i="3"/>
  <c r="E94" i="3"/>
  <c r="H95" i="3"/>
  <c r="E95" i="3"/>
  <c r="H96" i="3"/>
  <c r="E96" i="3"/>
  <c r="H97" i="3"/>
  <c r="E97" i="3"/>
  <c r="H98" i="3"/>
  <c r="E98" i="3"/>
  <c r="H99" i="3"/>
  <c r="E99" i="3"/>
  <c r="H100" i="3"/>
  <c r="E100" i="3"/>
  <c r="H101" i="3"/>
  <c r="E101" i="3"/>
  <c r="H102" i="3"/>
  <c r="E102" i="3"/>
  <c r="H103" i="3"/>
  <c r="E103" i="3"/>
  <c r="H104" i="3"/>
  <c r="E104" i="3"/>
  <c r="H105" i="3"/>
  <c r="E105" i="3"/>
  <c r="H106" i="3"/>
  <c r="E106" i="3"/>
  <c r="H107" i="3"/>
  <c r="E107" i="3"/>
  <c r="H108" i="3"/>
  <c r="E108" i="3"/>
  <c r="H109" i="3"/>
  <c r="E109" i="3"/>
  <c r="H110" i="3"/>
  <c r="E110" i="3"/>
  <c r="H111" i="3"/>
  <c r="E111" i="3"/>
  <c r="H112" i="3"/>
  <c r="E112" i="3"/>
  <c r="H113" i="3"/>
  <c r="E113" i="3"/>
  <c r="H114" i="3"/>
  <c r="E114" i="3"/>
  <c r="H115" i="3"/>
  <c r="E115" i="3"/>
  <c r="H116" i="3"/>
  <c r="E116" i="3"/>
  <c r="H117" i="3"/>
  <c r="E117" i="3"/>
  <c r="H118" i="3"/>
  <c r="E118" i="3"/>
  <c r="H119" i="3"/>
  <c r="E119" i="3"/>
  <c r="H120" i="3"/>
  <c r="E120" i="3"/>
  <c r="H121" i="3"/>
  <c r="E121" i="3"/>
  <c r="H122" i="3"/>
  <c r="E122" i="3"/>
  <c r="H123" i="3"/>
  <c r="E123" i="3"/>
  <c r="H124" i="3"/>
  <c r="E124" i="3"/>
  <c r="H125" i="3"/>
  <c r="E125" i="3"/>
  <c r="H126" i="3"/>
  <c r="E126" i="3"/>
  <c r="H127" i="3"/>
  <c r="E127" i="3"/>
  <c r="H128" i="3"/>
  <c r="E128" i="3"/>
  <c r="H129" i="3"/>
  <c r="E129" i="3"/>
  <c r="H130" i="3"/>
  <c r="E130" i="3"/>
  <c r="H131" i="3"/>
  <c r="E131" i="3"/>
  <c r="H132" i="3"/>
  <c r="E132" i="3"/>
  <c r="H133" i="3"/>
  <c r="E133" i="3"/>
  <c r="H134" i="3"/>
  <c r="E134" i="3"/>
  <c r="H135" i="3"/>
  <c r="E135" i="3"/>
  <c r="H136" i="3"/>
  <c r="E136" i="3"/>
  <c r="H137" i="3"/>
  <c r="E137" i="3"/>
  <c r="H138" i="3"/>
  <c r="E138" i="3"/>
  <c r="H139" i="3"/>
  <c r="E139" i="3"/>
  <c r="H140" i="3"/>
  <c r="E140" i="3"/>
  <c r="H141" i="3"/>
  <c r="E141" i="3"/>
  <c r="H142" i="3"/>
  <c r="E142" i="3"/>
  <c r="H143" i="3"/>
  <c r="E143" i="3"/>
  <c r="H144" i="3"/>
  <c r="E144" i="3"/>
  <c r="H145" i="3"/>
  <c r="E145" i="3"/>
  <c r="H146" i="3"/>
  <c r="E146" i="3"/>
  <c r="H147" i="3"/>
  <c r="E147" i="3"/>
  <c r="H148" i="3"/>
  <c r="E148" i="3"/>
  <c r="H149" i="3"/>
  <c r="E149" i="3"/>
  <c r="H150" i="3"/>
  <c r="E150" i="3"/>
  <c r="H151" i="3"/>
  <c r="E151" i="3"/>
  <c r="H152" i="3"/>
  <c r="E152" i="3"/>
  <c r="H153" i="3"/>
  <c r="E153" i="3"/>
  <c r="H154" i="3"/>
  <c r="E154" i="3"/>
  <c r="H155" i="3"/>
  <c r="E155" i="3"/>
  <c r="H156" i="3"/>
  <c r="E156" i="3"/>
  <c r="H157" i="3"/>
  <c r="E157" i="3"/>
  <c r="H158" i="3"/>
  <c r="E158" i="3"/>
  <c r="H159" i="3"/>
  <c r="E159" i="3"/>
  <c r="H160" i="3"/>
  <c r="E160" i="3"/>
  <c r="H161" i="3"/>
  <c r="E161" i="3"/>
  <c r="H162" i="3"/>
  <c r="E162" i="3"/>
  <c r="H163" i="3"/>
  <c r="E163" i="3"/>
  <c r="H164" i="3"/>
  <c r="E164" i="3"/>
  <c r="H165" i="3"/>
  <c r="E165" i="3"/>
  <c r="H166" i="3"/>
  <c r="E166" i="3"/>
  <c r="H167" i="3"/>
  <c r="E167" i="3"/>
  <c r="H168" i="3"/>
  <c r="E168" i="3"/>
  <c r="H169" i="3"/>
  <c r="E169" i="3"/>
  <c r="H170" i="3"/>
  <c r="E170" i="3"/>
  <c r="H171" i="3"/>
  <c r="E171" i="3"/>
  <c r="H172" i="3"/>
  <c r="E172" i="3"/>
  <c r="H173" i="3"/>
  <c r="E173" i="3"/>
  <c r="H174" i="3"/>
  <c r="E174" i="3"/>
  <c r="H175" i="3"/>
  <c r="E175" i="3"/>
  <c r="H176" i="3"/>
  <c r="E176" i="3"/>
  <c r="H177" i="3"/>
  <c r="E177" i="3"/>
  <c r="H178" i="3"/>
  <c r="E178" i="3"/>
  <c r="H179" i="3"/>
  <c r="E179" i="3"/>
  <c r="H180" i="3"/>
  <c r="E180" i="3"/>
  <c r="H181" i="3"/>
  <c r="E181" i="3"/>
  <c r="H182" i="3"/>
  <c r="E182" i="3"/>
  <c r="H183" i="3"/>
  <c r="E183" i="3"/>
  <c r="H184" i="3"/>
  <c r="E184" i="3"/>
  <c r="H185" i="3"/>
  <c r="E185" i="3"/>
  <c r="H186" i="3"/>
  <c r="E186" i="3"/>
  <c r="H187" i="3"/>
  <c r="E187" i="3"/>
  <c r="H188" i="3"/>
  <c r="E188" i="3"/>
  <c r="H189" i="3"/>
  <c r="E189" i="3"/>
  <c r="H190" i="3"/>
  <c r="E190" i="3"/>
  <c r="H191" i="3"/>
  <c r="E191" i="3"/>
  <c r="H192" i="3"/>
  <c r="E192" i="3"/>
  <c r="H193" i="3"/>
  <c r="E193" i="3"/>
  <c r="H194" i="3"/>
  <c r="E194" i="3"/>
  <c r="H195" i="3"/>
  <c r="E195" i="3"/>
  <c r="H196" i="3"/>
  <c r="E196" i="3"/>
  <c r="H197" i="3"/>
  <c r="E197" i="3"/>
  <c r="H198" i="3"/>
  <c r="E198" i="3"/>
  <c r="H199" i="3"/>
  <c r="E199" i="3"/>
  <c r="H200" i="3"/>
  <c r="E200" i="3"/>
  <c r="H201" i="3"/>
  <c r="E201" i="3"/>
  <c r="H202" i="3"/>
  <c r="E202" i="3"/>
  <c r="H203" i="3"/>
  <c r="E203" i="3"/>
  <c r="H204" i="3"/>
  <c r="E204" i="3"/>
  <c r="H205" i="3"/>
  <c r="E205" i="3"/>
  <c r="H206" i="3"/>
  <c r="E206" i="3"/>
  <c r="H207" i="3"/>
  <c r="E207" i="3"/>
  <c r="H208" i="3"/>
  <c r="E208" i="3"/>
  <c r="H209" i="3"/>
  <c r="E209" i="3"/>
  <c r="H210" i="3"/>
  <c r="E210" i="3"/>
  <c r="H211" i="3"/>
  <c r="E211" i="3"/>
  <c r="H212" i="3"/>
  <c r="E212" i="3"/>
  <c r="H213" i="3"/>
  <c r="E213" i="3"/>
  <c r="H214" i="3"/>
  <c r="E214" i="3"/>
  <c r="H215" i="3"/>
  <c r="E215" i="3"/>
  <c r="H216" i="3"/>
  <c r="E216" i="3"/>
  <c r="H217" i="3"/>
  <c r="E217" i="3"/>
  <c r="H218" i="3"/>
  <c r="E218" i="3"/>
  <c r="H219" i="3"/>
  <c r="E219" i="3"/>
  <c r="H220" i="3"/>
  <c r="E220" i="3"/>
  <c r="H221" i="3"/>
  <c r="E221" i="3"/>
  <c r="H222" i="3"/>
  <c r="E222" i="3"/>
  <c r="H223" i="3"/>
  <c r="E223" i="3"/>
  <c r="H224" i="3"/>
  <c r="E224" i="3"/>
  <c r="H225" i="3"/>
  <c r="E225" i="3"/>
  <c r="H226" i="3"/>
  <c r="E226" i="3"/>
  <c r="H227" i="3"/>
  <c r="E227" i="3"/>
  <c r="H228" i="3"/>
  <c r="E228" i="3"/>
  <c r="H229" i="3"/>
  <c r="E229" i="3"/>
  <c r="H230" i="3"/>
  <c r="E230" i="3"/>
  <c r="H231" i="3"/>
  <c r="E231" i="3"/>
  <c r="H232" i="3"/>
  <c r="E232" i="3"/>
  <c r="H233" i="3"/>
  <c r="E233" i="3"/>
  <c r="H234" i="3"/>
  <c r="E234" i="3"/>
  <c r="H235" i="3"/>
  <c r="E235" i="3"/>
  <c r="H236" i="3"/>
  <c r="E236" i="3"/>
  <c r="H237" i="3"/>
  <c r="E237" i="3"/>
  <c r="H238" i="3"/>
  <c r="E238" i="3"/>
  <c r="H239" i="3"/>
  <c r="E239" i="3"/>
  <c r="H240" i="3"/>
  <c r="E240" i="3"/>
  <c r="H241" i="3"/>
  <c r="E241" i="3"/>
  <c r="H242" i="3"/>
  <c r="E242" i="3"/>
  <c r="H243" i="3"/>
  <c r="E243" i="3"/>
  <c r="H244" i="3"/>
  <c r="E244" i="3"/>
  <c r="H245" i="3"/>
  <c r="E245" i="3"/>
  <c r="H246" i="3"/>
  <c r="E246" i="3"/>
  <c r="H247" i="3"/>
  <c r="E247" i="3"/>
  <c r="H248" i="3"/>
  <c r="E248" i="3"/>
  <c r="H249" i="3"/>
  <c r="E249" i="3"/>
  <c r="H250" i="3"/>
  <c r="E250" i="3"/>
  <c r="H251" i="3"/>
  <c r="E251" i="3"/>
  <c r="H252" i="3"/>
  <c r="E252" i="3"/>
  <c r="H253" i="3"/>
  <c r="E253" i="3"/>
  <c r="H254" i="3"/>
  <c r="E254" i="3"/>
  <c r="H255" i="3"/>
  <c r="E255" i="3"/>
  <c r="H256" i="3"/>
  <c r="E256" i="3"/>
  <c r="H257" i="3"/>
  <c r="E257" i="3"/>
  <c r="H258" i="3"/>
  <c r="E258" i="3"/>
  <c r="H259" i="3"/>
  <c r="E259" i="3"/>
  <c r="H260" i="3"/>
  <c r="E260" i="3"/>
  <c r="H261" i="3"/>
  <c r="E261" i="3"/>
  <c r="H262" i="3"/>
  <c r="E262" i="3"/>
  <c r="H263" i="3"/>
  <c r="E263" i="3"/>
  <c r="H264" i="3"/>
  <c r="E264" i="3"/>
  <c r="H265" i="3"/>
  <c r="E265" i="3"/>
  <c r="H266" i="3"/>
  <c r="E266" i="3"/>
  <c r="H267" i="3"/>
  <c r="E267" i="3"/>
  <c r="H268" i="3"/>
  <c r="E268" i="3"/>
  <c r="H269" i="3"/>
  <c r="E269" i="3"/>
  <c r="H270" i="3"/>
  <c r="E270" i="3"/>
  <c r="H271" i="3"/>
  <c r="E271" i="3"/>
  <c r="H272" i="3"/>
  <c r="E272" i="3"/>
  <c r="H273" i="3"/>
  <c r="E273" i="3"/>
  <c r="H274" i="3"/>
  <c r="E274" i="3"/>
  <c r="H275" i="3"/>
  <c r="E275" i="3"/>
  <c r="H276" i="3"/>
  <c r="E276" i="3"/>
  <c r="H277" i="3"/>
  <c r="E277" i="3"/>
  <c r="H278" i="3"/>
  <c r="E278" i="3"/>
  <c r="H279" i="3"/>
  <c r="E279" i="3"/>
  <c r="H280" i="3"/>
  <c r="E280" i="3"/>
  <c r="H281" i="3"/>
  <c r="E281" i="3"/>
  <c r="H282" i="3"/>
  <c r="E282" i="3"/>
  <c r="H283" i="3"/>
  <c r="E283" i="3"/>
  <c r="H284" i="3"/>
  <c r="E284" i="3"/>
  <c r="H285" i="3"/>
  <c r="E285" i="3"/>
  <c r="H286" i="3"/>
  <c r="E286" i="3"/>
  <c r="H287" i="3"/>
  <c r="E287" i="3"/>
  <c r="H288" i="3"/>
  <c r="E288" i="3"/>
  <c r="H289" i="3"/>
  <c r="E289" i="3"/>
  <c r="H290" i="3"/>
  <c r="E290" i="3"/>
  <c r="H291" i="3"/>
  <c r="E291" i="3"/>
  <c r="H292" i="3"/>
  <c r="E292" i="3"/>
  <c r="H293" i="3"/>
  <c r="E293" i="3"/>
  <c r="H294" i="3"/>
  <c r="E294" i="3"/>
  <c r="H295" i="3"/>
  <c r="E295" i="3"/>
  <c r="H296" i="3"/>
  <c r="E296" i="3"/>
  <c r="H297" i="3"/>
  <c r="E297" i="3"/>
  <c r="H298" i="3"/>
  <c r="E298" i="3"/>
  <c r="H299" i="3"/>
  <c r="E299" i="3"/>
  <c r="H300" i="3"/>
  <c r="E300" i="3"/>
  <c r="H301" i="3"/>
  <c r="E301" i="3"/>
  <c r="E302" i="3"/>
  <c r="F303" i="3"/>
  <c r="B303" i="3"/>
  <c r="G303" i="3"/>
  <c r="C303" i="3"/>
  <c r="H303" i="3"/>
  <c r="E303" i="3"/>
  <c r="F304" i="3"/>
  <c r="B304" i="3"/>
  <c r="G304" i="3"/>
  <c r="C304" i="3"/>
  <c r="H304" i="3"/>
  <c r="E304" i="3"/>
  <c r="F305" i="3"/>
  <c r="B305" i="3"/>
  <c r="G305" i="3"/>
  <c r="C305" i="3"/>
  <c r="H305" i="3"/>
  <c r="E305" i="3"/>
  <c r="F306" i="3"/>
  <c r="B306" i="3"/>
  <c r="G306" i="3"/>
  <c r="C306" i="3"/>
  <c r="H306" i="3"/>
  <c r="E306" i="3"/>
  <c r="F307" i="3"/>
  <c r="B307" i="3"/>
  <c r="G307" i="3"/>
  <c r="C307" i="3"/>
  <c r="H307" i="3"/>
  <c r="E307" i="3"/>
  <c r="F308" i="3"/>
  <c r="B308" i="3"/>
  <c r="G308" i="3"/>
  <c r="C308" i="3"/>
  <c r="H308" i="3"/>
  <c r="E308" i="3"/>
  <c r="F309" i="3"/>
  <c r="B309" i="3"/>
  <c r="G309" i="3"/>
  <c r="C309" i="3"/>
  <c r="H309" i="3"/>
  <c r="E309" i="3"/>
  <c r="F310" i="3"/>
  <c r="B310" i="3"/>
  <c r="G310" i="3"/>
  <c r="C310" i="3"/>
  <c r="H310" i="3"/>
  <c r="E310" i="3"/>
  <c r="F311" i="3"/>
  <c r="B311" i="3"/>
  <c r="G311" i="3"/>
  <c r="C311" i="3"/>
  <c r="H311" i="3"/>
  <c r="E311" i="3"/>
  <c r="F312" i="3"/>
  <c r="B312" i="3"/>
  <c r="G312" i="3"/>
  <c r="C312" i="3"/>
  <c r="H312" i="3"/>
  <c r="E312" i="3"/>
  <c r="F313" i="3"/>
  <c r="B313" i="3"/>
  <c r="G313" i="3"/>
  <c r="C313" i="3"/>
  <c r="H313" i="3"/>
  <c r="E313" i="3"/>
  <c r="F314" i="3"/>
  <c r="B314" i="3"/>
  <c r="G314" i="3"/>
  <c r="C314" i="3"/>
  <c r="H314" i="3"/>
  <c r="E314" i="3"/>
  <c r="F315" i="3"/>
  <c r="B315" i="3"/>
  <c r="G315" i="3"/>
  <c r="C315" i="3"/>
  <c r="H315" i="3"/>
  <c r="E315" i="3"/>
  <c r="F316" i="3"/>
  <c r="B316" i="3"/>
  <c r="G316" i="3"/>
  <c r="C316" i="3"/>
  <c r="H316" i="3"/>
  <c r="E316" i="3"/>
  <c r="F317" i="3"/>
  <c r="B317" i="3"/>
  <c r="G317" i="3"/>
  <c r="C317" i="3"/>
  <c r="H317" i="3"/>
  <c r="E317" i="3"/>
  <c r="F318" i="3"/>
  <c r="B318" i="3"/>
  <c r="G318" i="3"/>
  <c r="C318" i="3"/>
  <c r="H318" i="3"/>
  <c r="E318" i="3"/>
  <c r="F319" i="3"/>
  <c r="B319" i="3"/>
  <c r="G319" i="3"/>
  <c r="C319" i="3"/>
  <c r="H319" i="3"/>
  <c r="E319" i="3"/>
  <c r="F320" i="3"/>
  <c r="B320" i="3"/>
  <c r="G320" i="3"/>
  <c r="C320" i="3"/>
  <c r="H320" i="3"/>
  <c r="E320" i="3"/>
  <c r="F321" i="3"/>
  <c r="B321" i="3"/>
  <c r="G321" i="3"/>
  <c r="C321" i="3"/>
  <c r="H321" i="3"/>
  <c r="E321" i="3"/>
  <c r="F322" i="3"/>
  <c r="B322" i="3"/>
  <c r="G322" i="3"/>
  <c r="C322" i="3"/>
  <c r="H322" i="3"/>
  <c r="E322" i="3"/>
  <c r="F323" i="3"/>
  <c r="B323" i="3"/>
  <c r="G323" i="3"/>
  <c r="C323" i="3"/>
  <c r="H323" i="3"/>
  <c r="E323" i="3"/>
  <c r="F324" i="3"/>
  <c r="B324" i="3"/>
  <c r="G324" i="3"/>
  <c r="C324" i="3"/>
  <c r="H324" i="3"/>
  <c r="E324" i="3"/>
  <c r="F325" i="3"/>
  <c r="B325" i="3"/>
  <c r="G325" i="3"/>
  <c r="C325" i="3"/>
  <c r="H325" i="3"/>
  <c r="E325" i="3"/>
  <c r="F326" i="3"/>
  <c r="B326" i="3"/>
  <c r="G326" i="3"/>
  <c r="C326" i="3"/>
  <c r="H326" i="3"/>
  <c r="E326" i="3"/>
  <c r="F327" i="3"/>
  <c r="B327" i="3"/>
  <c r="G327" i="3"/>
  <c r="C327" i="3"/>
  <c r="H327" i="3"/>
  <c r="E327" i="3"/>
  <c r="F328" i="3"/>
  <c r="B328" i="3"/>
  <c r="G328" i="3"/>
  <c r="C328" i="3"/>
  <c r="H328" i="3"/>
  <c r="E328" i="3"/>
  <c r="F329" i="3"/>
  <c r="B329" i="3"/>
  <c r="G329" i="3"/>
  <c r="C329" i="3"/>
  <c r="H329" i="3"/>
  <c r="E329" i="3"/>
  <c r="F330" i="3"/>
  <c r="B330" i="3"/>
  <c r="G330" i="3"/>
  <c r="C330" i="3"/>
  <c r="H330" i="3"/>
  <c r="E330" i="3"/>
  <c r="F331" i="3"/>
  <c r="B331" i="3"/>
  <c r="G331" i="3"/>
  <c r="C331" i="3"/>
  <c r="H331" i="3"/>
  <c r="E331" i="3"/>
  <c r="F332" i="3"/>
  <c r="B332" i="3"/>
  <c r="G332" i="3"/>
  <c r="C332" i="3"/>
  <c r="H332" i="3"/>
  <c r="E332" i="3"/>
  <c r="F333" i="3"/>
  <c r="B333" i="3"/>
  <c r="G333" i="3"/>
  <c r="C333" i="3"/>
  <c r="H333" i="3"/>
  <c r="E333" i="3"/>
  <c r="F334" i="3"/>
  <c r="B334" i="3"/>
  <c r="G334" i="3"/>
  <c r="C334" i="3"/>
  <c r="H334" i="3"/>
  <c r="E334" i="3"/>
  <c r="F335" i="3"/>
  <c r="B335" i="3"/>
  <c r="G335" i="3"/>
  <c r="C335" i="3"/>
  <c r="H335" i="3"/>
  <c r="E335" i="3"/>
  <c r="F336" i="3"/>
  <c r="B336" i="3"/>
  <c r="G336" i="3"/>
  <c r="C336" i="3"/>
  <c r="H336" i="3"/>
  <c r="E336" i="3"/>
  <c r="F337" i="3"/>
  <c r="B337" i="3"/>
  <c r="G337" i="3"/>
  <c r="C337" i="3"/>
  <c r="H337" i="3"/>
  <c r="E337" i="3"/>
  <c r="F338" i="3"/>
  <c r="B338" i="3"/>
  <c r="G338" i="3"/>
  <c r="C338" i="3"/>
  <c r="H338" i="3"/>
  <c r="E338" i="3"/>
  <c r="F339" i="3"/>
  <c r="B339" i="3"/>
  <c r="G339" i="3"/>
  <c r="C339" i="3"/>
  <c r="H339" i="3"/>
  <c r="E339" i="3"/>
  <c r="F340" i="3"/>
  <c r="B340" i="3"/>
  <c r="G340" i="3"/>
  <c r="C340" i="3"/>
  <c r="H340" i="3"/>
  <c r="E340" i="3"/>
  <c r="F341" i="3"/>
  <c r="B341" i="3"/>
  <c r="G341" i="3"/>
  <c r="C341" i="3"/>
  <c r="H341" i="3"/>
  <c r="E341" i="3"/>
  <c r="F342" i="3"/>
  <c r="B342" i="3"/>
  <c r="G342" i="3"/>
  <c r="C342" i="3"/>
  <c r="H342" i="3"/>
  <c r="E342" i="3"/>
  <c r="F343" i="3"/>
  <c r="B343" i="3"/>
  <c r="G343" i="3"/>
  <c r="C343" i="3"/>
  <c r="H343" i="3"/>
  <c r="E343" i="3"/>
  <c r="F344" i="3"/>
  <c r="B344" i="3"/>
  <c r="G344" i="3"/>
  <c r="C344" i="3"/>
  <c r="H344" i="3"/>
  <c r="E344" i="3"/>
  <c r="F345" i="3"/>
  <c r="B345" i="3"/>
  <c r="G345" i="3"/>
  <c r="C345" i="3"/>
  <c r="H345" i="3"/>
  <c r="E345" i="3"/>
  <c r="F346" i="3"/>
  <c r="B346" i="3"/>
  <c r="G346" i="3"/>
  <c r="C346" i="3"/>
  <c r="H346" i="3"/>
  <c r="E346" i="3"/>
  <c r="F347" i="3"/>
  <c r="B347" i="3"/>
  <c r="G347" i="3"/>
  <c r="C347" i="3"/>
  <c r="H347" i="3"/>
  <c r="E347" i="3"/>
  <c r="F348" i="3"/>
  <c r="B348" i="3"/>
  <c r="G348" i="3"/>
  <c r="C348" i="3"/>
  <c r="H348" i="3"/>
  <c r="E348" i="3"/>
  <c r="F349" i="3"/>
  <c r="B349" i="3"/>
  <c r="G349" i="3"/>
  <c r="C349" i="3"/>
  <c r="H349" i="3"/>
  <c r="E349" i="3"/>
  <c r="F350" i="3"/>
  <c r="B350" i="3"/>
  <c r="G350" i="3"/>
  <c r="C350" i="3"/>
  <c r="H350" i="3"/>
  <c r="E350" i="3"/>
  <c r="F351" i="3"/>
  <c r="B351" i="3"/>
  <c r="G351" i="3"/>
  <c r="C351" i="3"/>
  <c r="H351" i="3"/>
  <c r="E351" i="3"/>
  <c r="F352" i="3"/>
  <c r="B352" i="3"/>
  <c r="G352" i="3"/>
  <c r="C352" i="3"/>
  <c r="H352" i="3"/>
  <c r="E352" i="3"/>
  <c r="F353" i="3"/>
  <c r="B353" i="3"/>
  <c r="G353" i="3"/>
  <c r="C353" i="3"/>
  <c r="H353" i="3"/>
  <c r="E353" i="3"/>
  <c r="F354" i="3"/>
  <c r="B354" i="3"/>
  <c r="G354" i="3"/>
  <c r="C354" i="3"/>
  <c r="H354" i="3"/>
  <c r="E354" i="3"/>
  <c r="F355" i="3"/>
  <c r="B355" i="3"/>
  <c r="G355" i="3"/>
  <c r="C355" i="3"/>
  <c r="H355" i="3"/>
  <c r="E355" i="3"/>
  <c r="F356" i="3"/>
  <c r="B356" i="3"/>
  <c r="G356" i="3"/>
  <c r="C356" i="3"/>
  <c r="H356" i="3"/>
  <c r="E356" i="3"/>
  <c r="F357" i="3"/>
  <c r="B357" i="3"/>
  <c r="G357" i="3"/>
  <c r="C357" i="3"/>
  <c r="H357" i="3"/>
  <c r="E357" i="3"/>
  <c r="F358" i="3"/>
  <c r="B358" i="3"/>
  <c r="G358" i="3"/>
  <c r="C358" i="3"/>
  <c r="H358" i="3"/>
  <c r="E358" i="3"/>
  <c r="F359" i="3"/>
  <c r="B359" i="3"/>
  <c r="G359" i="3"/>
  <c r="C359" i="3"/>
  <c r="H359" i="3"/>
  <c r="E359" i="3"/>
  <c r="F360" i="3"/>
  <c r="B360" i="3"/>
  <c r="G360" i="3"/>
  <c r="C360" i="3"/>
  <c r="H360" i="3"/>
  <c r="E360" i="3"/>
  <c r="F361" i="3"/>
  <c r="B361" i="3"/>
  <c r="G361" i="3"/>
  <c r="C361" i="3"/>
  <c r="H361" i="3"/>
  <c r="E361" i="3"/>
  <c r="F362" i="3"/>
  <c r="B362" i="3"/>
  <c r="G362" i="3"/>
  <c r="C362" i="3"/>
  <c r="H362" i="3"/>
  <c r="E362" i="3"/>
  <c r="F363" i="3"/>
  <c r="B363" i="3"/>
  <c r="G363" i="3"/>
  <c r="C363" i="3"/>
  <c r="H363" i="3"/>
  <c r="E363" i="3"/>
  <c r="F364" i="3"/>
  <c r="B364" i="3"/>
  <c r="G364" i="3"/>
  <c r="C364" i="3"/>
  <c r="H364" i="3"/>
  <c r="E364" i="3"/>
  <c r="F365" i="3"/>
  <c r="B365" i="3"/>
  <c r="G365" i="3"/>
  <c r="C365" i="3"/>
  <c r="H365" i="3"/>
  <c r="E365" i="3"/>
  <c r="F366" i="3"/>
  <c r="B366" i="3"/>
  <c r="G366" i="3"/>
  <c r="C366" i="3"/>
  <c r="H366" i="3"/>
  <c r="E366" i="3"/>
  <c r="F367" i="3"/>
  <c r="B367" i="3"/>
  <c r="G367" i="3"/>
  <c r="C367" i="3"/>
  <c r="H367" i="3"/>
  <c r="E367" i="3"/>
  <c r="F368" i="3"/>
  <c r="B368" i="3"/>
  <c r="G368" i="3"/>
  <c r="C368" i="3"/>
  <c r="H368" i="3"/>
  <c r="E368" i="3"/>
  <c r="F369" i="3"/>
  <c r="B369" i="3"/>
  <c r="G369" i="3"/>
  <c r="C369" i="3"/>
  <c r="H369" i="3"/>
  <c r="E369" i="3"/>
  <c r="F370" i="3"/>
  <c r="B370" i="3"/>
  <c r="G370" i="3"/>
  <c r="C370" i="3"/>
  <c r="H370" i="3"/>
  <c r="E370" i="3"/>
  <c r="F371" i="3"/>
  <c r="B371" i="3"/>
  <c r="G371" i="3"/>
  <c r="C371" i="3"/>
  <c r="H371" i="3"/>
  <c r="E371" i="3"/>
  <c r="F372" i="3"/>
  <c r="B372" i="3"/>
  <c r="G372" i="3"/>
  <c r="C372" i="3"/>
  <c r="H372" i="3"/>
  <c r="E372" i="3"/>
  <c r="F373" i="3"/>
  <c r="B373" i="3"/>
  <c r="G373" i="3"/>
  <c r="C373" i="3"/>
  <c r="H373" i="3"/>
  <c r="E373" i="3"/>
  <c r="F374" i="3"/>
  <c r="B374" i="3"/>
  <c r="G374" i="3"/>
  <c r="C374" i="3"/>
  <c r="H374" i="3"/>
  <c r="E374" i="3"/>
  <c r="F375" i="3"/>
  <c r="B375" i="3"/>
  <c r="G375" i="3"/>
  <c r="C375" i="3"/>
  <c r="H375" i="3"/>
  <c r="E375" i="3"/>
  <c r="F376" i="3"/>
  <c r="B376" i="3"/>
  <c r="G376" i="3"/>
  <c r="C376" i="3"/>
  <c r="H376" i="3"/>
  <c r="E376" i="3"/>
  <c r="F377" i="3"/>
  <c r="B377" i="3"/>
  <c r="G377" i="3"/>
  <c r="C377" i="3"/>
  <c r="H377" i="3"/>
  <c r="E377" i="3"/>
  <c r="F378" i="3"/>
  <c r="B378" i="3"/>
  <c r="G378" i="3"/>
  <c r="C378" i="3"/>
  <c r="H378" i="3"/>
  <c r="E378" i="3"/>
  <c r="F379" i="3"/>
  <c r="B379" i="3"/>
  <c r="G379" i="3"/>
  <c r="C379" i="3"/>
  <c r="H379" i="3"/>
  <c r="E379" i="3"/>
  <c r="F380" i="3"/>
  <c r="B380" i="3"/>
  <c r="G380" i="3"/>
  <c r="C380" i="3"/>
  <c r="H380" i="3"/>
  <c r="E380" i="3"/>
  <c r="F381" i="3"/>
  <c r="B381" i="3"/>
  <c r="G381" i="3"/>
  <c r="C381" i="3"/>
  <c r="H381" i="3"/>
  <c r="E381" i="3"/>
  <c r="F382" i="3"/>
  <c r="B382" i="3"/>
  <c r="G382" i="3"/>
  <c r="C382" i="3"/>
  <c r="H382" i="3"/>
  <c r="E382" i="3"/>
  <c r="F383" i="3"/>
  <c r="B383" i="3"/>
  <c r="G383" i="3"/>
  <c r="C383" i="3"/>
  <c r="H383" i="3"/>
  <c r="E383" i="3"/>
  <c r="F384" i="3"/>
  <c r="B384" i="3"/>
  <c r="G384" i="3"/>
  <c r="C384" i="3"/>
  <c r="H384" i="3"/>
  <c r="E384" i="3"/>
  <c r="F385" i="3"/>
  <c r="B385" i="3"/>
  <c r="G385" i="3"/>
  <c r="C385" i="3"/>
  <c r="H385" i="3"/>
  <c r="E385" i="3"/>
  <c r="F386" i="3"/>
  <c r="B386" i="3"/>
  <c r="G386" i="3"/>
  <c r="C386" i="3"/>
  <c r="H386" i="3"/>
  <c r="E386" i="3"/>
  <c r="F387" i="3"/>
  <c r="B387" i="3"/>
  <c r="G387" i="3"/>
  <c r="C387" i="3"/>
  <c r="H387" i="3"/>
  <c r="E387" i="3"/>
  <c r="F388" i="3"/>
  <c r="B388" i="3"/>
  <c r="G388" i="3"/>
  <c r="C388" i="3"/>
  <c r="H388" i="3"/>
  <c r="E388" i="3"/>
  <c r="F389" i="3"/>
  <c r="B389" i="3"/>
  <c r="G389" i="3"/>
  <c r="C389" i="3"/>
  <c r="H389" i="3"/>
  <c r="E389" i="3"/>
  <c r="F390" i="3"/>
  <c r="B390" i="3"/>
  <c r="G390" i="3"/>
  <c r="C390" i="3"/>
  <c r="H390" i="3"/>
  <c r="E390" i="3"/>
  <c r="F391" i="3"/>
  <c r="B391" i="3"/>
  <c r="G391" i="3"/>
  <c r="C391" i="3"/>
  <c r="H391" i="3"/>
  <c r="E391" i="3"/>
  <c r="F392" i="3"/>
  <c r="B392" i="3"/>
  <c r="G392" i="3"/>
  <c r="C392" i="3"/>
  <c r="H392" i="3"/>
  <c r="E392" i="3"/>
  <c r="F393" i="3"/>
  <c r="B393" i="3"/>
  <c r="G393" i="3"/>
  <c r="C393" i="3"/>
  <c r="H393" i="3"/>
  <c r="E393" i="3"/>
  <c r="F394" i="3"/>
  <c r="B394" i="3"/>
  <c r="G394" i="3"/>
  <c r="C394" i="3"/>
  <c r="H394" i="3"/>
  <c r="E394" i="3"/>
  <c r="F395" i="3"/>
  <c r="B395" i="3"/>
  <c r="G395" i="3"/>
  <c r="C395" i="3"/>
  <c r="H395" i="3"/>
  <c r="E395" i="3"/>
  <c r="F396" i="3"/>
  <c r="B396" i="3"/>
  <c r="G396" i="3"/>
  <c r="C396" i="3"/>
  <c r="H396" i="3"/>
  <c r="E396" i="3"/>
  <c r="F397" i="3"/>
  <c r="B397" i="3"/>
  <c r="G397" i="3"/>
  <c r="C397" i="3"/>
  <c r="H397" i="3"/>
  <c r="E397" i="3"/>
  <c r="F398" i="3"/>
  <c r="B398" i="3"/>
  <c r="G398" i="3"/>
  <c r="C398" i="3"/>
  <c r="H398" i="3"/>
  <c r="E398" i="3"/>
  <c r="F399" i="3"/>
  <c r="B399" i="3"/>
  <c r="G399" i="3"/>
  <c r="C399" i="3"/>
  <c r="H399" i="3"/>
  <c r="E399" i="3"/>
  <c r="F400" i="3"/>
  <c r="B400" i="3"/>
  <c r="G400" i="3"/>
  <c r="C400" i="3"/>
  <c r="H400" i="3"/>
  <c r="E400" i="3"/>
  <c r="F401" i="3"/>
  <c r="B401" i="3"/>
  <c r="G401" i="3"/>
  <c r="C401" i="3"/>
  <c r="H401" i="3"/>
  <c r="E401" i="3"/>
  <c r="E2" i="9"/>
  <c r="G2" i="3"/>
  <c r="H2" i="3"/>
  <c r="T104" i="2"/>
  <c r="T89" i="2"/>
  <c r="P72" i="2"/>
  <c r="L57" i="2"/>
  <c r="V28" i="2"/>
  <c r="P89" i="2"/>
  <c r="P104" i="2"/>
  <c r="H104" i="2"/>
  <c r="L104" i="2"/>
  <c r="L89" i="2"/>
  <c r="H89" i="2"/>
  <c r="L72" i="2"/>
  <c r="H72" i="2"/>
  <c r="H57" i="2"/>
  <c r="L28" i="2"/>
  <c r="H28" i="2"/>
  <c r="L13" i="2"/>
  <c r="H146" i="2"/>
  <c r="H13" i="2"/>
  <c r="P145" i="2"/>
  <c r="L145" i="2"/>
  <c r="H145" i="2"/>
  <c r="H134" i="2"/>
  <c r="L134" i="2"/>
  <c r="P134" i="2"/>
  <c r="P123" i="2"/>
  <c r="L123" i="2"/>
  <c r="H123" i="2"/>
  <c r="V145" i="2"/>
  <c r="V134" i="2"/>
  <c r="V123" i="2"/>
  <c r="H147" i="2"/>
  <c r="V29" i="2"/>
  <c r="V30" i="2"/>
  <c r="L14" i="2"/>
  <c r="L15" i="2"/>
  <c r="H135" i="2"/>
  <c r="H136" i="2"/>
  <c r="H29" i="2"/>
  <c r="H30" i="2"/>
  <c r="H14" i="2"/>
  <c r="H15" i="2"/>
  <c r="H124" i="2"/>
  <c r="H125" i="2"/>
  <c r="L29" i="2"/>
  <c r="L30" i="2"/>
  <c r="H73" i="2"/>
  <c r="H74" i="2"/>
  <c r="L58" i="2"/>
  <c r="L59" i="2"/>
  <c r="P73" i="2"/>
  <c r="P74" i="2"/>
  <c r="L73" i="2"/>
  <c r="L74" i="2"/>
  <c r="H58" i="2"/>
  <c r="H59" i="2"/>
  <c r="P90" i="2"/>
  <c r="P91" i="2"/>
  <c r="H90" i="2"/>
  <c r="H91" i="2"/>
  <c r="L90" i="2"/>
  <c r="L91" i="2"/>
  <c r="T90" i="2"/>
  <c r="T91" i="2"/>
  <c r="T105" i="2"/>
  <c r="T106" i="2"/>
  <c r="L105" i="2"/>
  <c r="L106" i="2"/>
  <c r="P105" i="2"/>
  <c r="P106" i="2"/>
  <c r="H105" i="2"/>
  <c r="H106" i="2"/>
  <c r="L124" i="2"/>
  <c r="L125" i="2"/>
  <c r="L135" i="2"/>
  <c r="L136" i="2"/>
  <c r="L146" i="2"/>
  <c r="L147" i="2"/>
  <c r="P146" i="2"/>
  <c r="P147" i="2"/>
  <c r="P135" i="2"/>
  <c r="P136" i="2"/>
  <c r="P124" i="2"/>
  <c r="P125" i="2"/>
</calcChain>
</file>

<file path=xl/sharedStrings.xml><?xml version="1.0" encoding="utf-8"?>
<sst xmlns="http://schemas.openxmlformats.org/spreadsheetml/2006/main" count="693" uniqueCount="244">
  <si>
    <t>rank</t>
    <phoneticPr fontId="3"/>
  </si>
  <si>
    <t>Premium</t>
    <phoneticPr fontId="3"/>
  </si>
  <si>
    <t>Big3</t>
    <phoneticPr fontId="3"/>
  </si>
  <si>
    <t>Drop1N</t>
    <phoneticPr fontId="3"/>
  </si>
  <si>
    <t>Drop1W</t>
    <phoneticPr fontId="3"/>
  </si>
  <si>
    <t>ラベル</t>
    <phoneticPr fontId="3"/>
  </si>
  <si>
    <t>レアリティ</t>
    <phoneticPr fontId="3"/>
  </si>
  <si>
    <t>コスト</t>
    <phoneticPr fontId="3"/>
  </si>
  <si>
    <t>プレミアム1回</t>
    <rPh sb="6" eb="7">
      <t>カイ</t>
    </rPh>
    <phoneticPr fontId="3"/>
  </si>
  <si>
    <t>御三家進化</t>
    <rPh sb="0" eb="3">
      <t>ゴサンケ</t>
    </rPh>
    <rPh sb="3" eb="5">
      <t>シンカ</t>
    </rPh>
    <phoneticPr fontId="3"/>
  </si>
  <si>
    <t>合計</t>
    <rPh sb="0" eb="2">
      <t>ゴウケイ</t>
    </rPh>
    <phoneticPr fontId="3"/>
  </si>
  <si>
    <t>初期パーティ</t>
    <rPh sb="0" eb="2">
      <t>ショキ</t>
    </rPh>
    <phoneticPr fontId="3"/>
  </si>
  <si>
    <t>コスト低</t>
    <rPh sb="3" eb="4">
      <t>テイ</t>
    </rPh>
    <phoneticPr fontId="3"/>
  </si>
  <si>
    <t>コスト中</t>
    <rPh sb="3" eb="4">
      <t>チュウ</t>
    </rPh>
    <phoneticPr fontId="3"/>
  </si>
  <si>
    <t>コスト高</t>
    <rPh sb="3" eb="4">
      <t>タカ</t>
    </rPh>
    <phoneticPr fontId="3"/>
  </si>
  <si>
    <t>Premium</t>
    <phoneticPr fontId="3"/>
  </si>
  <si>
    <t>ALL</t>
    <phoneticPr fontId="3"/>
  </si>
  <si>
    <t>想定ランク</t>
    <rPh sb="0" eb="2">
      <t>ソウテイ</t>
    </rPh>
    <phoneticPr fontId="3"/>
  </si>
  <si>
    <t>差分</t>
    <rPh sb="0" eb="2">
      <t>サブン</t>
    </rPh>
    <phoneticPr fontId="3"/>
  </si>
  <si>
    <t>max_cost</t>
    <phoneticPr fontId="3"/>
  </si>
  <si>
    <t>スタミナ増分</t>
    <rPh sb="4" eb="6">
      <t>ゾウブン</t>
    </rPh>
    <phoneticPr fontId="3"/>
  </si>
  <si>
    <t>コスト増分</t>
    <rPh sb="3" eb="5">
      <t>ゾウブン</t>
    </rPh>
    <phoneticPr fontId="3"/>
  </si>
  <si>
    <t>備考</t>
    <rPh sb="0" eb="2">
      <t>ビコウ</t>
    </rPh>
    <phoneticPr fontId="3"/>
  </si>
  <si>
    <t>Drop1W（＝プニャ）</t>
    <phoneticPr fontId="3"/>
  </si>
  <si>
    <t>Drop1W</t>
    <phoneticPr fontId="3"/>
  </si>
  <si>
    <t>Drop1N（＝カブ）</t>
    <phoneticPr fontId="3"/>
  </si>
  <si>
    <t>パーティ編成後</t>
    <rPh sb="4" eb="6">
      <t>ヘンセイ</t>
    </rPh>
    <rPh sb="6" eb="7">
      <t>ゴ</t>
    </rPh>
    <phoneticPr fontId="3"/>
  </si>
  <si>
    <t>Drop1N（＝玉ドラ）</t>
    <rPh sb="8" eb="9">
      <t>タマ</t>
    </rPh>
    <phoneticPr fontId="3"/>
  </si>
  <si>
    <t>Premium</t>
    <phoneticPr fontId="3"/>
  </si>
  <si>
    <t>→Rank2のMAXコストで最低29は必要</t>
    <rPh sb="14" eb="16">
      <t>サイテイ</t>
    </rPh>
    <rPh sb="19" eb="21">
      <t>ヒツヨウ</t>
    </rPh>
    <phoneticPr fontId="3"/>
  </si>
  <si>
    <t>　チュートリアル完了時にSNS連携しているとクリスタル50個の為、もう1回引ける</t>
    <rPh sb="8" eb="10">
      <t>カンリョウ</t>
    </rPh>
    <rPh sb="10" eb="11">
      <t>ジ</t>
    </rPh>
    <rPh sb="15" eb="17">
      <t>レンケイ</t>
    </rPh>
    <rPh sb="29" eb="30">
      <t>コ</t>
    </rPh>
    <rPh sb="31" eb="32">
      <t>タメ</t>
    </rPh>
    <rPh sb="36" eb="37">
      <t>カイ</t>
    </rPh>
    <rPh sb="37" eb="38">
      <t>ヒ</t>
    </rPh>
    <phoneticPr fontId="3"/>
  </si>
  <si>
    <t>R3:10、R4:15、R5:20</t>
    <phoneticPr fontId="3"/>
  </si>
  <si>
    <t>雑魚</t>
    <rPh sb="0" eb="2">
      <t>ザコ</t>
    </rPh>
    <phoneticPr fontId="3"/>
  </si>
  <si>
    <t>R1:1</t>
    <phoneticPr fontId="3"/>
  </si>
  <si>
    <t>DropN1</t>
    <phoneticPr fontId="3"/>
  </si>
  <si>
    <t>Drop2</t>
    <phoneticPr fontId="3"/>
  </si>
  <si>
    <t>R2:10、R3:15、R4:20</t>
    <phoneticPr fontId="3"/>
  </si>
  <si>
    <t>【コストメモ】</t>
    <phoneticPr fontId="3"/>
  </si>
  <si>
    <t>PremiumS</t>
    <phoneticPr fontId="3"/>
  </si>
  <si>
    <t>Premium</t>
    <phoneticPr fontId="3"/>
  </si>
  <si>
    <t>R3:15、R4:20、R5:25</t>
    <phoneticPr fontId="3"/>
  </si>
  <si>
    <t>メディドラン</t>
    <phoneticPr fontId="3"/>
  </si>
  <si>
    <t>R2:1、R3:4、R4:7</t>
    <phoneticPr fontId="3"/>
  </si>
  <si>
    <t>R1:2、R2:4、R3:6、R4:8、R5:10</t>
    <phoneticPr fontId="3"/>
  </si>
  <si>
    <t>　　・・・R3（80％）が出るとして、コスト10？　→SNS連携する時点でそのユーザーのモチベーションは高いので、まだパーティに組み込めなくていい。</t>
    <rPh sb="13" eb="14">
      <t>デ</t>
    </rPh>
    <rPh sb="30" eb="32">
      <t>レンケイ</t>
    </rPh>
    <rPh sb="34" eb="36">
      <t>ジテン</t>
    </rPh>
    <rPh sb="52" eb="53">
      <t>タカ</t>
    </rPh>
    <rPh sb="64" eb="65">
      <t>ク</t>
    </rPh>
    <rPh sb="66" eb="67">
      <t>コ</t>
    </rPh>
    <phoneticPr fontId="3"/>
  </si>
  <si>
    <t>■チュートリアル</t>
    <phoneticPr fontId="3"/>
  </si>
  <si>
    <t>■チュートリアル完了。チュートリアルプレミアム召喚後</t>
    <rPh sb="8" eb="10">
      <t>カンリョウ</t>
    </rPh>
    <rPh sb="23" eb="25">
      <t>ショウカン</t>
    </rPh>
    <rPh sb="25" eb="26">
      <t>ゴ</t>
    </rPh>
    <phoneticPr fontId="3"/>
  </si>
  <si>
    <r>
      <t>チュートリアル召喚で</t>
    </r>
    <r>
      <rPr>
        <sz val="14"/>
        <color rgb="FFFF0000"/>
        <rFont val="ＭＳ Ｐゴシック"/>
        <family val="3"/>
        <charset val="128"/>
        <scheme val="minor"/>
      </rPr>
      <t>R5</t>
    </r>
    <rPh sb="7" eb="9">
      <t>ショウカン</t>
    </rPh>
    <phoneticPr fontId="3"/>
  </si>
  <si>
    <r>
      <t>チュートリアル召喚で</t>
    </r>
    <r>
      <rPr>
        <sz val="14"/>
        <color rgb="FFFF0000"/>
        <rFont val="ＭＳ Ｐゴシック"/>
        <family val="3"/>
        <charset val="128"/>
        <scheme val="minor"/>
      </rPr>
      <t>R4</t>
    </r>
    <rPh sb="7" eb="9">
      <t>ショウカン</t>
    </rPh>
    <phoneticPr fontId="3"/>
  </si>
  <si>
    <t>■1−2クリア。メディドラン入手後。　※アリシアクリアは経験値20なのでRankは上がらない</t>
    <rPh sb="14" eb="16">
      <t>ニュウシュ</t>
    </rPh>
    <rPh sb="16" eb="17">
      <t>ゴ</t>
    </rPh>
    <rPh sb="28" eb="31">
      <t>ケイケンチ</t>
    </rPh>
    <rPh sb="41" eb="42">
      <t>ア</t>
    </rPh>
    <phoneticPr fontId="3"/>
  </si>
  <si>
    <t>メディドラン</t>
    <phoneticPr fontId="3"/>
  </si>
  <si>
    <t>■1−3クリア。クリスタル50個入手して、プレミアム召喚実施</t>
    <rPh sb="15" eb="16">
      <t>コ</t>
    </rPh>
    <rPh sb="16" eb="18">
      <t>ニュウシュ</t>
    </rPh>
    <rPh sb="26" eb="28">
      <t>ショウカン</t>
    </rPh>
    <rPh sb="28" eb="30">
      <t>ジッシ</t>
    </rPh>
    <phoneticPr fontId="3"/>
  </si>
  <si>
    <t>→36くらいにして、後1Rankでパーティに入れれる！ってゆー風にする</t>
    <rPh sb="10" eb="11">
      <t>アト</t>
    </rPh>
    <rPh sb="22" eb="23">
      <t>イ</t>
    </rPh>
    <rPh sb="31" eb="32">
      <t>フウ</t>
    </rPh>
    <phoneticPr fontId="3"/>
  </si>
  <si>
    <t>R3入手</t>
    <rPh sb="2" eb="4">
      <t>ニュウシュ</t>
    </rPh>
    <phoneticPr fontId="3"/>
  </si>
  <si>
    <t>R4入手</t>
    <rPh sb="2" eb="4">
      <t>ニュウシュ</t>
    </rPh>
    <phoneticPr fontId="3"/>
  </si>
  <si>
    <t>■2−1クリア。Rank5</t>
    <phoneticPr fontId="3"/>
  </si>
  <si>
    <t>メディドラン参加</t>
    <rPh sb="6" eb="8">
      <t>サンカ</t>
    </rPh>
    <phoneticPr fontId="3"/>
  </si>
  <si>
    <t>■2−3クリア。Rank6</t>
    <phoneticPr fontId="3"/>
  </si>
  <si>
    <t>R5入手</t>
    <rPh sb="2" eb="4">
      <t>ニュウシュ</t>
    </rPh>
    <phoneticPr fontId="3"/>
  </si>
  <si>
    <t>SNS連携の人R3の場合</t>
    <rPh sb="3" eb="5">
      <t>レンケイ</t>
    </rPh>
    <rPh sb="6" eb="7">
      <t>ヒト</t>
    </rPh>
    <rPh sb="10" eb="12">
      <t>バアイ</t>
    </rPh>
    <phoneticPr fontId="3"/>
  </si>
  <si>
    <t>stamina</t>
    <phoneticPr fontId="3"/>
  </si>
  <si>
    <t>cost</t>
    <phoneticPr fontId="3"/>
  </si>
  <si>
    <t>friend_size</t>
    <phoneticPr fontId="3"/>
  </si>
  <si>
    <t>フレンド増分</t>
    <phoneticPr fontId="3"/>
  </si>
  <si>
    <t>▼ユーザー基礎設計</t>
  </si>
  <si>
    <t>◎ユーザーの基礎情報</t>
  </si>
  <si>
    <t>ユーザーの情報には以下が紐づいている。</t>
  </si>
  <si>
    <t>初期値（想定）</t>
  </si>
  <si>
    <t>最大値（想定）</t>
  </si>
  <si>
    <t>ユーザーランク</t>
  </si>
  <si>
    <t>ユーザーランクEXP（累計）</t>
  </si>
  <si>
    <t>所持ユニット枠</t>
  </si>
  <si>
    <t>パーティ編成コスト</t>
  </si>
  <si>
    <t>所持ビット</t>
  </si>
  <si>
    <t>所持ポリゴン</t>
  </si>
  <si>
    <t>所持リンク</t>
  </si>
  <si>
    <t>参考データ</t>
    <phoneticPr fontId="3"/>
  </si>
  <si>
    <t>初期値</t>
  </si>
  <si>
    <t>Rank200時点</t>
  </si>
  <si>
    <t>パズドラ</t>
  </si>
  <si>
    <t>スタミナ</t>
  </si>
  <si>
    <t>フレンド</t>
  </si>
  <si>
    <t>コスト</t>
  </si>
  <si>
    <t>モンスト</t>
  </si>
  <si>
    <t>-</t>
  </si>
  <si>
    <t>■ランクアップについて</t>
  </si>
  <si>
    <t>ランクアップとは、ユーザーEXPが一定に達することで、</t>
  </si>
  <si>
    <t>リリース時のユーザーランクは、最大ランク200とする。</t>
  </si>
  <si>
    <t>チュートリアル開始時のランクは1とする。</t>
  </si>
  <si>
    <t>チュートリアル突破後のランクは、チュートリアルのステージ数づつ上昇する。</t>
  </si>
  <si>
    <t>■ユーザーEXP</t>
  </si>
  <si>
    <t>ステージをクリアすることで、蓄積されていく。</t>
  </si>
  <si>
    <t>一定量蓄積されることで、ユーザーランクが上がる。</t>
  </si>
  <si>
    <t>■所持ユニット枠</t>
  </si>
  <si>
    <t>ユーザーが所持できるユニットの枠数となる。</t>
  </si>
  <si>
    <t>所持ユニット枠は、ポリゴンを1個使用することで5枠拡張が可能。</t>
  </si>
  <si>
    <t>現設計段階での初期所持ユニット枠は、50枠とする。</t>
  </si>
  <si>
    <t>現設計段階での最大所持ユニット枠は、300枠とする。</t>
  </si>
  <si>
    <t>■フレンド枠</t>
  </si>
  <si>
    <t>フレンド枠とは、ステージに連れていく他のユーザーをフレンドとして登録しておくことが出来る。</t>
  </si>
  <si>
    <t>フレンド枠は、ユーザーランクが上昇することでアップする。</t>
  </si>
  <si>
    <t>フレンド枠の上昇は、以下の計算式で加算値が計算されて加算されていく。</t>
  </si>
  <si>
    <t>■パーティ編成コスト</t>
  </si>
  <si>
    <t>パーティ編成コストは、現在のランクで編成することが可能なユニットの強さを制限するコストとなる。</t>
  </si>
  <si>
    <t>パーティ編成コストは、ランクが上昇することでアップする。</t>
  </si>
  <si>
    <t>パーティ編成コストは、以下の計算式で加算値が計算されて加算されていく。</t>
  </si>
  <si>
    <t>■ビット</t>
  </si>
  <si>
    <t>ビットとは、ゲーム内の無課金通貨のことを指す。</t>
  </si>
  <si>
    <t>入手方法は、ステージのクリア、ミッション、ユニット売却により入手が可能。</t>
  </si>
  <si>
    <t>使用方法は、ユニットの強化・覚醒に使用される。</t>
  </si>
  <si>
    <t>■ポリゴン</t>
  </si>
  <si>
    <t>ポリゴンとは、ゲーム内の有料通貨のことを指す。</t>
  </si>
  <si>
    <t>入手方法は、有料でショップにて購入、無料でクエスト初回クリア、ミッション、施策による配布により入手が可能。</t>
  </si>
  <si>
    <t>使用方法は、有料通貨ガチャ、ユニット枠拡張、AP回復、コンテニューに使用される。</t>
  </si>
  <si>
    <t>使用先の必要ポリゴンは以下で仮定されている。</t>
  </si>
  <si>
    <t>必要ポリゴン</t>
  </si>
  <si>
    <t>有料通貨ガチャ</t>
  </si>
  <si>
    <t>ユニット枠拡張</t>
  </si>
  <si>
    <t>AP回復</t>
  </si>
  <si>
    <t>コンテニュー</t>
  </si>
  <si>
    <t>■リンク</t>
  </si>
  <si>
    <t>リンクトは、ゲーム内の無料ガチャポイントのことを指す。</t>
  </si>
  <si>
    <t>入手方法は、デイリー報酬、フレンドがユニットを使用、他のユーザーのユニットを連れていく、マルチをプレイで入手が可能。</t>
  </si>
  <si>
    <t>使用方法は、無料ガチャを引くために使用される。</t>
  </si>
  <si>
    <t>必要リンク</t>
  </si>
  <si>
    <t>無料ガチャ</t>
  </si>
  <si>
    <t>◎ユーザーの仮定</t>
  </si>
  <si>
    <t>ユーザーランクをプレイ期間と紐づけて、ユーザーの仮定を行うものとする。</t>
  </si>
  <si>
    <t>また、本ユーザーの仮定において、無課金のライトユーザーをカバーする設計とする。</t>
  </si>
  <si>
    <t>ログイン回数</t>
  </si>
  <si>
    <t>1日目</t>
  </si>
  <si>
    <t>2日目</t>
  </si>
  <si>
    <t>3日目</t>
  </si>
  <si>
    <t>4日目</t>
  </si>
  <si>
    <t>5日目</t>
  </si>
  <si>
    <t>6日目</t>
  </si>
  <si>
    <t>7日目</t>
  </si>
  <si>
    <t>8日目</t>
  </si>
  <si>
    <t>9日目</t>
  </si>
  <si>
    <t>10日目</t>
  </si>
  <si>
    <t>11日目</t>
  </si>
  <si>
    <t>12日目</t>
  </si>
  <si>
    <t>13日目</t>
  </si>
  <si>
    <t>14日目</t>
  </si>
  <si>
    <t>■想定</t>
  </si>
  <si>
    <t>利用開始後からの期間をフェイズに分けて想定する。</t>
  </si>
  <si>
    <t>フェイズ1　3日目のユーザー</t>
  </si>
  <si>
    <t>フェイズ2　7日目のユーザー</t>
  </si>
  <si>
    <t>フェイズ3 14日目のユーザー</t>
  </si>
  <si>
    <t>また、「手詰まり」と感じさせないよう設計する。</t>
  </si>
  <si>
    <t>■フェイズ0</t>
  </si>
  <si>
    <t>「気持ちよさ」を提供するため、想定ユーザーは以下を仮定とする。</t>
  </si>
  <si>
    <t>・利用開始～スタミナ切れまでのユーザーと想定とする</t>
  </si>
  <si>
    <t>・スタミナ切れまで遊ぶとユーザーランク9に到達する</t>
  </si>
  <si>
    <t>・ステージクリア報酬のポリゴンで、課金ガチャを2回以上引いている</t>
  </si>
  <si>
    <t>・フレンドと遊ぶことでフェイズ1のユーザーに追いつく</t>
  </si>
  <si>
    <t>・ソロイベントの初級程度であれば、クリアが可能</t>
  </si>
  <si>
    <t>・マルチイベントの初級は貢献が可能、中級もフレンドによりクリア可能だがほぼ貢献できず。</t>
  </si>
  <si>
    <t>■フェイズ1</t>
  </si>
  <si>
    <t>・3日間遊んだユーザー（ランク14に到達している）を想定ユーザーとする</t>
  </si>
  <si>
    <t>・フェイズ0のユーザーが、フレンドと遊ぶことでフェイズ1に相当するものとする</t>
  </si>
  <si>
    <t>・ソロイベントの中級程度であれば、条件が揃えばクリアが可能</t>
  </si>
  <si>
    <t>■フェイズ2</t>
  </si>
  <si>
    <t>「試行錯誤」を提供するフェイズとし、以下を想定ユーザーとする。</t>
  </si>
  <si>
    <t>・7日間遊んだユーザー</t>
  </si>
  <si>
    <t>・一通りの機能を利用しているが理解までは到達していない</t>
  </si>
  <si>
    <t>・フレンドと遊んでも、フェイズ2には到達出来ない</t>
  </si>
  <si>
    <t>・R5にするべく曜日ダンジョンの利用が増加</t>
  </si>
  <si>
    <t>・ソロイベントの中級程度であれば、クリアが可能</t>
  </si>
  <si>
    <t>・マルチイベントの上級程度であれば、参加が可能</t>
  </si>
  <si>
    <t>■フェイズ3</t>
  </si>
  <si>
    <t>「戦略的気持ちよさ」を提供するフェイズとし、以下を想定ユーザーとする。</t>
  </si>
  <si>
    <t>・14日間遊んだユーザー</t>
  </si>
  <si>
    <t>・14日間遊んだユーザーは、Premium-W-R4以上でパーティを組める且つ、Premium-N-R5を1体所持している</t>
  </si>
  <si>
    <t>・全機能の理解をしている</t>
  </si>
  <si>
    <t>・ソロイベントの上級のクリアが可能、高難易度のステージのクリア方法を模索することを楽しむ</t>
  </si>
  <si>
    <t>・マルチイベントの上級で貢献してクリアが可能、フレンドのパワーレベリングが可能</t>
  </si>
  <si>
    <t>上記、3フェイズでユーザーの設計を行う。</t>
  </si>
  <si>
    <t>・ユーザースタミナ設計</t>
  </si>
  <si>
    <t>→チュートリアル後からスタミナ切れまでをパズドラ風の設計とする。</t>
  </si>
  <si>
    <t>・ユーザースタミナ消費設計</t>
  </si>
  <si>
    <t>・パーティコスト設計</t>
  </si>
  <si>
    <t>■1ヶ月想定ユーザー</t>
  </si>
  <si>
    <t>・30日間遊んだユーザー</t>
  </si>
  <si>
    <t>・Premium-W-R5以上を複数所持しており、レベルも最大に達している。</t>
  </si>
  <si>
    <t>・全機能の理解をしており、友達に教えられる</t>
  </si>
  <si>
    <t>・始めていない友達、まだフェイズ2以下の友達を誘って、パワーレベリングでヒーローになれる</t>
  </si>
  <si>
    <t>・高難易度のソロ・マルチ共に周回可能</t>
  </si>
  <si>
    <t>・イベントクエストを周回可能</t>
  </si>
  <si>
    <t>・クエストの進捗状況は全体の2/3と想定</t>
  </si>
  <si>
    <t>エナジー</t>
  </si>
  <si>
    <t>エナジー、フレンド枠、コストが上昇する。</t>
  </si>
  <si>
    <t>■エナジーについて</t>
  </si>
  <si>
    <t>エナジーとは、ステージを遊ぶために使用するポイントのことを指す。</t>
  </si>
  <si>
    <t>エナジーの初期値は20を想定とし、ランクアップにより上昇していく。</t>
  </si>
  <si>
    <t>エナジーの上昇は、以下の計算式で加算値が計算されて加算されていく。</t>
  </si>
  <si>
    <t>フレンド枠（ユーザーランク開放枠）</t>
    <rPh sb="13" eb="15">
      <t>カイホウ</t>
    </rPh>
    <rPh sb="15" eb="16">
      <t>ワク</t>
    </rPh>
    <phoneticPr fontId="3"/>
  </si>
  <si>
    <t>フレンド枠（課金開放枠）</t>
    <rPh sb="6" eb="8">
      <t>カキン</t>
    </rPh>
    <rPh sb="8" eb="10">
      <t>カイホウ</t>
    </rPh>
    <rPh sb="10" eb="11">
      <t>ワク</t>
    </rPh>
    <phoneticPr fontId="3"/>
  </si>
  <si>
    <t>・一部機能を未利用（覚醒・スキルレベルUP）</t>
  </si>
  <si>
    <t>・曜日クエストの利用が可能となり、覚醒素材を手に入れようとする</t>
  </si>
  <si>
    <t>・7日間遊んだユーザーは、Premium-W-R3以上2パーティー以上組める且つ、覚醒が行われて、Premium-W-R4以上のユニットを2体以上所持している</t>
  </si>
  <si>
    <t>エナジー回復時間は5分で1回復する。</t>
    <rPh sb="3" eb="5">
      <t>カイフク</t>
    </rPh>
    <rPh sb="5" eb="7">
      <t>ジカン</t>
    </rPh>
    <rPh sb="9" eb="10">
      <t>フン</t>
    </rPh>
    <rPh sb="12" eb="14">
      <t>カイフク</t>
    </rPh>
    <phoneticPr fontId="3"/>
  </si>
  <si>
    <t>「友達に教える気持ちよさ」を提供する</t>
    <phoneticPr fontId="3"/>
  </si>
  <si>
    <t>・マルチイベントの中級程度であれば、貢献してクリアが可能。上級は、フレンド次第でもクリアが可能</t>
    <phoneticPr fontId="3"/>
  </si>
  <si>
    <t>エナジー</t>
    <phoneticPr fontId="3"/>
  </si>
  <si>
    <t>エナジー全開時間( 分 )</t>
    <phoneticPr fontId="3"/>
  </si>
  <si>
    <t>・3日間遊んだユーザーは、Premium-W-R3以上のユニット4体所持、Premium-N-R5を1体所持</t>
    <phoneticPr fontId="3"/>
  </si>
  <si>
    <t>フェイズ0　利用開始～スタミナ切れ</t>
    <phoneticPr fontId="3"/>
  </si>
  <si>
    <t>フレンド枠拡張</t>
    <rPh sb="4" eb="5">
      <t>ワク</t>
    </rPh>
    <rPh sb="5" eb="7">
      <t>カクチョウ</t>
    </rPh>
    <phoneticPr fontId="3"/>
  </si>
  <si>
    <t>=IF(A3&gt;=106, IF(MOD(A3,2)=0,0,1), IF(A3 &gt;= 65, IF(MOD(A3, 2) =0,0, IF(MOD(A3,5)= 0, 2, 1)), IF(MOD(A3, 2) =0,0, IF(MOD(A3,5)= 0, 5, 1))))</t>
    <phoneticPr fontId="3"/>
  </si>
  <si>
    <t>=IF($A2&gt;=51,0,IF($A2&gt;=30,IF(MOD($A2,5)=0,1,0),IF($A2&gt;=11,IF(MOD($A2,5)=0,3,IF(MOD($A2,2)=0,1,0)),IF(MOD($A2,5)=0,5,IF(MOD($A2,2)=0,2,0)))))</t>
    <phoneticPr fontId="3"/>
  </si>
  <si>
    <t>=IF($A2&gt;=100,IF(MOD($A2,2)=0,1,0),IF(MOD($A2,5)=0,3,IF(MOD($A2,2)=0,1,0)))</t>
    <phoneticPr fontId="3"/>
  </si>
  <si>
    <t>→クエストでのスタミナ消費設計</t>
    <rPh sb="11" eb="13">
      <t>ショウヒ</t>
    </rPh>
    <rPh sb="13" eb="15">
      <t>セッケイ</t>
    </rPh>
    <phoneticPr fontId="3"/>
  </si>
  <si>
    <t>→ユニットのコスト設計</t>
    <rPh sb="9" eb="11">
      <t>セッケイ</t>
    </rPh>
    <phoneticPr fontId="3"/>
  </si>
  <si>
    <t>また、ユーザーの基礎設計については、以下の内容が絡むため、状況により調整が発生する。</t>
    <rPh sb="8" eb="10">
      <t>キソ</t>
    </rPh>
    <rPh sb="21" eb="23">
      <t>ナイヨウ</t>
    </rPh>
    <rPh sb="24" eb="25">
      <t>カラ</t>
    </rPh>
    <rPh sb="29" eb="31">
      <t>ジョウキョウ</t>
    </rPh>
    <rPh sb="34" eb="36">
      <t>チョウセイ</t>
    </rPh>
    <rPh sb="37" eb="39">
      <t>ハッセイ</t>
    </rPh>
    <phoneticPr fontId="3"/>
  </si>
  <si>
    <t>experience</t>
    <phoneticPr fontId="3"/>
  </si>
  <si>
    <t>rank</t>
    <phoneticPr fontId="3"/>
  </si>
  <si>
    <t>接頭語</t>
    <rPh sb="0" eb="3">
      <t>セットウゴ</t>
    </rPh>
    <phoneticPr fontId="3"/>
  </si>
  <si>
    <t>識別子</t>
    <rPh sb="0" eb="3">
      <t>シキベツシ</t>
    </rPh>
    <phoneticPr fontId="3"/>
  </si>
  <si>
    <t>形式</t>
    <rPh sb="0" eb="2">
      <t>ケイシキ</t>
    </rPh>
    <phoneticPr fontId="3"/>
  </si>
  <si>
    <t>出力ファイル名</t>
    <rPh sb="0" eb="2">
      <t>シュツリョク</t>
    </rPh>
    <rPh sb="6" eb="7">
      <t>メイ</t>
    </rPh>
    <phoneticPr fontId="3"/>
  </si>
  <si>
    <t>入力シート名</t>
    <rPh sb="0" eb="2">
      <t>ニュウリョク</t>
    </rPh>
    <rPh sb="5" eb="6">
      <t>メイ</t>
    </rPh>
    <phoneticPr fontId="3"/>
  </si>
  <si>
    <t>出力データ</t>
    <rPh sb="0" eb="2">
      <t>シュツリョク</t>
    </rPh>
    <phoneticPr fontId="3"/>
  </si>
  <si>
    <t>.csv</t>
    <phoneticPr fontId="3"/>
  </si>
  <si>
    <t>player_ranks</t>
    <phoneticPr fontId="3"/>
  </si>
  <si>
    <t>出力flg</t>
    <rPh sb="0" eb="2">
      <t>シュツリョク</t>
    </rPh>
    <phoneticPr fontId="3"/>
  </si>
  <si>
    <t>old</t>
    <phoneticPr fontId="3"/>
  </si>
  <si>
    <t>SSS★6</t>
    <phoneticPr fontId="3"/>
  </si>
  <si>
    <t>SS★6</t>
    <phoneticPr fontId="3"/>
  </si>
  <si>
    <t>SS★5</t>
    <phoneticPr fontId="3"/>
  </si>
  <si>
    <t>SSS★5</t>
    <phoneticPr fontId="3"/>
  </si>
  <si>
    <t>Cost</t>
    <phoneticPr fontId="3"/>
  </si>
  <si>
    <t>Rank</t>
    <phoneticPr fontId="3"/>
  </si>
  <si>
    <t>slow</t>
    <phoneticPr fontId="3"/>
  </si>
  <si>
    <t>medium</t>
    <phoneticPr fontId="3"/>
  </si>
  <si>
    <t>fast</t>
    <phoneticPr fontId="3"/>
  </si>
  <si>
    <t>none</t>
    <phoneticPr fontId="3"/>
  </si>
  <si>
    <t>up</t>
    <phoneticPr fontId="3"/>
  </si>
  <si>
    <t>upper</t>
    <phoneticPr fontId="3"/>
  </si>
  <si>
    <t>bonus</t>
    <phoneticPr fontId="3"/>
  </si>
  <si>
    <t>Unit1</t>
    <phoneticPr fontId="3"/>
  </si>
  <si>
    <t>Unit2</t>
  </si>
  <si>
    <t>Unit3</t>
  </si>
  <si>
    <t>player_ranks_uprev1609_2</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</si>
</sst>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6"/>
      <name val="ＭＳ Ｐゴシック"/>
      <family val="2"/>
      <charset val="128"/>
      <scheme val="minor"/>
    </font>
    <font>
      <sz val="9.6"/>
      <color rgb="FF000000"/>
      <name val="Arial"/>
      <family val="2"/>
    </font>
    <font>
      <sz val="10"/>
      <color theme="1"/>
      <name val="ＭＳ Ｐゴシック"/>
      <family val="2"/>
      <charset val="128"/>
      <scheme val="minor"/>
    </font>
    <font>
      <sz val="10"/>
      <color rgb="FF000000"/>
      <name val="Arial"/>
      <family val="2"/>
    </font>
    <font>
      <u/>
      <sz val="12"/>
      <color theme="10"/>
      <name val="ＭＳ Ｐゴシック"/>
      <family val="2"/>
      <charset val="128"/>
      <scheme val="minor"/>
    </font>
    <font>
      <u/>
      <sz val="12"/>
      <color theme="11"/>
      <name val="ＭＳ Ｐゴシック"/>
      <family val="2"/>
      <charset val="128"/>
      <scheme val="minor"/>
    </font>
    <font>
      <sz val="10"/>
      <color rgb="FFFF0000"/>
      <name val="Arial"/>
      <family val="2"/>
    </font>
    <font>
      <sz val="12"/>
      <color rgb="FFFF0000"/>
      <name val="ＭＳ Ｐゴシック"/>
      <family val="2"/>
      <charset val="128"/>
      <scheme val="minor"/>
    </font>
    <font>
      <sz val="10"/>
      <color theme="0"/>
      <name val="ＭＳ Ｐゴシック"/>
      <family val="3"/>
      <charset val="128"/>
      <scheme val="minor"/>
    </font>
    <font>
      <sz val="9"/>
      <color theme="1"/>
      <name val="ＭＳ Ｐゴシック"/>
      <family val="3"/>
      <charset val="128"/>
      <scheme val="minor"/>
    </font>
    <font>
      <sz val="14"/>
      <color rgb="FFFF0000"/>
      <name val="ＭＳ Ｐゴシック"/>
      <family val="3"/>
      <charset val="128"/>
      <scheme val="minor"/>
    </font>
    <font>
      <sz val="14"/>
      <color theme="1"/>
      <name val="ＭＳ Ｐゴシック"/>
      <family val="3"/>
      <charset val="128"/>
      <scheme val="minor"/>
    </font>
    <font>
      <sz val="10"/>
      <color theme="0"/>
      <name val="ＭＳ Ｐゴシック"/>
      <family val="3"/>
      <charset val="128"/>
      <scheme val="minor"/>
    </font>
    <font>
      <sz val="10"/>
      <color theme="1"/>
      <name val="ＭＳ Ｐゴシック"/>
      <family val="3"/>
      <charset val="128"/>
      <scheme val="minor"/>
    </font>
    <font>
      <sz val="12"/>
      <color theme="1"/>
      <name val="ＭＳ Ｐゴシック"/>
      <family val="3"/>
      <charset val="128"/>
      <scheme val="minor"/>
    </font>
    <font>
      <sz val="12"/>
      <color theme="0"/>
      <name val="ＭＳ Ｐゴシック"/>
      <family val="2"/>
      <charset val="128"/>
      <scheme val="minor"/>
    </font>
    <font>
      <sz val="10"/>
      <color indexed="8"/>
      <name val="Arial"/>
      <family val="2"/>
    </font>
    <font>
      <sz val="12"/>
      <color indexed="15"/>
      <name val="ＭＳ Ｐゴシック"/>
      <family val="3"/>
      <charset val="128"/>
    </font>
    <font>
      <sz val="12"/>
      <color indexed="10"/>
      <name val="ＭＳ Ｐゴシック"/>
      <family val="3"/>
      <charset val="128"/>
    </font>
    <font>
      <sz val="11"/>
      <color theme="1"/>
      <name val="ＭＳ Ｐゴシック"/>
      <family val="2"/>
      <charset val="128"/>
      <scheme val="minor"/>
    </font>
    <font>
      <sz val="11"/>
      <color indexed="8"/>
      <name val="ＭＳ Ｐゴシック"/>
      <family val="3"/>
      <charset val="128"/>
    </font>
    <font>
      <sz val="12"/>
      <color indexed="52"/>
      <name val="ＭＳ Ｐゴシック"/>
      <family val="3"/>
      <charset val="128"/>
    </font>
    <font>
      <sz val="10"/>
      <name val="Arial"/>
      <family val="2"/>
    </font>
    <font>
      <b/>
      <sz val="12"/>
      <color theme="1"/>
      <name val="ＭＳ Ｐゴシック"/>
      <family val="2"/>
      <charset val="128"/>
      <scheme val="minor"/>
    </font>
    <font>
      <sz val="10"/>
      <color theme="0"/>
      <name val="Arial"/>
      <family val="2"/>
    </font>
  </fonts>
  <fills count="14">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3" tint="0.79998168889431442"/>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8FBFF"/>
        <bgColor indexed="64"/>
      </patternFill>
    </fill>
    <fill>
      <patternFill patternType="solid">
        <fgColor indexed="18"/>
        <bgColor indexed="32"/>
      </patternFill>
    </fill>
    <fill>
      <patternFill patternType="solid">
        <fgColor indexed="16"/>
        <bgColor indexed="59"/>
      </patternFill>
    </fill>
    <fill>
      <patternFill patternType="solid">
        <fgColor indexed="16"/>
        <bgColor indexed="37"/>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s>
  <borders count="8">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440">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38" fontId="2"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7"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9" fillId="0" borderId="0"/>
    <xf numFmtId="0" fontId="20" fillId="8" borderId="0" applyNumberFormat="0" applyBorder="0" applyAlignment="0" applyProtection="0"/>
    <xf numFmtId="0" fontId="21" fillId="9" borderId="0" applyNumberFormat="0" applyBorder="0" applyAlignment="0" applyProtection="0"/>
    <xf numFmtId="0" fontId="22" fillId="0" borderId="0">
      <alignment vertical="center"/>
    </xf>
    <xf numFmtId="0" fontId="23" fillId="0" borderId="0">
      <alignment vertical="center"/>
    </xf>
    <xf numFmtId="0" fontId="1" fillId="0" borderId="0"/>
    <xf numFmtId="0" fontId="24" fillId="10" borderId="0" applyNumberFormat="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75">
    <xf numFmtId="0" fontId="0" fillId="0" borderId="0" xfId="0"/>
    <xf numFmtId="0" fontId="0" fillId="0" borderId="1" xfId="0" applyBorder="1"/>
    <xf numFmtId="0" fontId="0" fillId="2" borderId="1" xfId="0" applyFill="1" applyBorder="1" applyAlignment="1">
      <alignment horizontal="center"/>
    </xf>
    <xf numFmtId="0" fontId="0" fillId="0" borderId="2" xfId="0" applyBorder="1"/>
    <xf numFmtId="0" fontId="0" fillId="0" borderId="3" xfId="0" applyBorder="1"/>
    <xf numFmtId="0" fontId="0" fillId="0" borderId="6" xfId="0" applyBorder="1"/>
    <xf numFmtId="0" fontId="5" fillId="0" borderId="1" xfId="0" applyFont="1" applyFill="1" applyBorder="1"/>
    <xf numFmtId="0" fontId="0" fillId="0" borderId="0" xfId="0" applyBorder="1"/>
    <xf numFmtId="0" fontId="0" fillId="0" borderId="4" xfId="0" applyBorder="1" applyAlignment="1">
      <alignment horizontal="right"/>
    </xf>
    <xf numFmtId="0" fontId="0" fillId="0" borderId="5" xfId="0" applyBorder="1" applyAlignment="1">
      <alignment horizontal="right"/>
    </xf>
    <xf numFmtId="0" fontId="6" fillId="4" borderId="1" xfId="0" applyFont="1" applyFill="1" applyBorder="1"/>
    <xf numFmtId="0" fontId="9" fillId="4" borderId="1" xfId="0" applyFont="1" applyFill="1" applyBorder="1"/>
    <xf numFmtId="0" fontId="0" fillId="2" borderId="1" xfId="0" applyFill="1" applyBorder="1"/>
    <xf numFmtId="0" fontId="5" fillId="0" borderId="0" xfId="0" applyFont="1"/>
    <xf numFmtId="0" fontId="12" fillId="0" borderId="0" xfId="0" applyFont="1"/>
    <xf numFmtId="0" fontId="10" fillId="0" borderId="1" xfId="0" applyFont="1" applyBorder="1"/>
    <xf numFmtId="0" fontId="10" fillId="0" borderId="0" xfId="0" applyFont="1"/>
    <xf numFmtId="0" fontId="11" fillId="5" borderId="1" xfId="0" applyFont="1" applyFill="1" applyBorder="1" applyAlignment="1">
      <alignment horizontal="center"/>
    </xf>
    <xf numFmtId="0" fontId="14" fillId="0" borderId="0" xfId="0" applyFont="1"/>
    <xf numFmtId="0" fontId="0" fillId="0" borderId="0" xfId="0" applyFont="1"/>
    <xf numFmtId="0" fontId="4" fillId="3" borderId="1" xfId="0" applyFont="1" applyFill="1" applyBorder="1"/>
    <xf numFmtId="0" fontId="5" fillId="6" borderId="1" xfId="0" applyFont="1" applyFill="1" applyBorder="1" applyAlignment="1">
      <alignment horizontal="center"/>
    </xf>
    <xf numFmtId="56" fontId="5" fillId="6" borderId="1" xfId="0" applyNumberFormat="1" applyFont="1" applyFill="1" applyBorder="1" applyAlignment="1">
      <alignment horizontal="center"/>
    </xf>
    <xf numFmtId="0" fontId="6" fillId="3" borderId="1" xfId="0" applyFont="1" applyFill="1" applyBorder="1"/>
    <xf numFmtId="38" fontId="5" fillId="3" borderId="1" xfId="139" applyFont="1" applyFill="1" applyBorder="1" applyAlignment="1"/>
    <xf numFmtId="0" fontId="9" fillId="3" borderId="1" xfId="0" applyFont="1" applyFill="1" applyBorder="1"/>
    <xf numFmtId="38" fontId="6" fillId="3" borderId="1" xfId="139" applyFont="1" applyFill="1" applyBorder="1" applyAlignment="1"/>
    <xf numFmtId="3" fontId="6" fillId="3" borderId="1" xfId="0" applyNumberFormat="1" applyFont="1" applyFill="1" applyBorder="1"/>
    <xf numFmtId="0" fontId="15" fillId="5" borderId="1" xfId="0" applyFont="1" applyFill="1" applyBorder="1" applyAlignment="1">
      <alignment horizontal="center"/>
    </xf>
    <xf numFmtId="0" fontId="0" fillId="0" borderId="1" xfId="0" applyFill="1" applyBorder="1"/>
    <xf numFmtId="0" fontId="16" fillId="0" borderId="0" xfId="0" applyFont="1" applyBorder="1" applyAlignment="1"/>
    <xf numFmtId="0" fontId="17" fillId="0" borderId="0" xfId="0" applyFont="1" applyBorder="1" applyAlignment="1"/>
    <xf numFmtId="0" fontId="16" fillId="0" borderId="0" xfId="0" applyFont="1" applyBorder="1" applyAlignment="1">
      <alignment vertical="center"/>
    </xf>
    <xf numFmtId="0" fontId="16" fillId="0" borderId="1" xfId="0" applyFont="1" applyBorder="1" applyAlignment="1"/>
    <xf numFmtId="0" fontId="16" fillId="0" borderId="1" xfId="0" applyFont="1" applyBorder="1" applyAlignment="1">
      <alignment horizontal="center"/>
    </xf>
    <xf numFmtId="0" fontId="16" fillId="0" borderId="1" xfId="0" applyFont="1" applyBorder="1" applyAlignment="1">
      <alignment horizontal="right"/>
    </xf>
    <xf numFmtId="0" fontId="16" fillId="0" borderId="1" xfId="0" applyFont="1" applyBorder="1" applyAlignment="1">
      <alignment horizontal="center" vertical="center"/>
    </xf>
    <xf numFmtId="0" fontId="16" fillId="0" borderId="0" xfId="0" quotePrefix="1" applyFont="1" applyBorder="1" applyAlignment="1"/>
    <xf numFmtId="0" fontId="16" fillId="0" borderId="0" xfId="0" applyFont="1" applyBorder="1" applyAlignment="1">
      <alignment wrapText="1"/>
    </xf>
    <xf numFmtId="0" fontId="16" fillId="0" borderId="0" xfId="0" applyFont="1" applyBorder="1" applyAlignment="1">
      <alignment vertical="center" wrapText="1"/>
    </xf>
    <xf numFmtId="0" fontId="17" fillId="0" borderId="0" xfId="0" applyFont="1" applyBorder="1"/>
    <xf numFmtId="0" fontId="16" fillId="7" borderId="0" xfId="0" applyFont="1" applyFill="1" applyBorder="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6" fillId="0" borderId="1" xfId="0" applyFont="1" applyBorder="1"/>
    <xf numFmtId="0" fontId="16" fillId="0" borderId="7" xfId="0" applyFont="1" applyBorder="1" applyAlignment="1">
      <alignment horizontal="center" vertical="center" wrapText="1"/>
    </xf>
    <xf numFmtId="0" fontId="16" fillId="0" borderId="7" xfId="0" applyFont="1" applyBorder="1" applyAlignment="1">
      <alignment horizontal="center" vertical="center"/>
    </xf>
    <xf numFmtId="0" fontId="16" fillId="0" borderId="4" xfId="0" applyFont="1" applyBorder="1" applyAlignment="1">
      <alignment wrapText="1"/>
    </xf>
    <xf numFmtId="0" fontId="16" fillId="0" borderId="1" xfId="0" applyFont="1" applyBorder="1" applyAlignment="1">
      <alignment horizontal="center" vertical="center" wrapText="1"/>
    </xf>
    <xf numFmtId="0" fontId="5" fillId="6" borderId="0" xfId="0" applyFont="1" applyFill="1" applyBorder="1" applyAlignment="1">
      <alignment horizontal="center"/>
    </xf>
    <xf numFmtId="56" fontId="5" fillId="6" borderId="0" xfId="0" applyNumberFormat="1" applyFont="1" applyFill="1" applyBorder="1" applyAlignment="1">
      <alignment horizontal="center"/>
    </xf>
    <xf numFmtId="0" fontId="10" fillId="0" borderId="1" xfId="0" applyFont="1" applyFill="1" applyBorder="1"/>
    <xf numFmtId="0" fontId="0" fillId="3" borderId="1" xfId="0" applyFill="1" applyBorder="1"/>
    <xf numFmtId="0" fontId="18" fillId="5" borderId="1" xfId="0" applyFont="1" applyFill="1" applyBorder="1"/>
    <xf numFmtId="0" fontId="0" fillId="5" borderId="1" xfId="0" applyFill="1" applyBorder="1"/>
    <xf numFmtId="0" fontId="4" fillId="11" borderId="1" xfId="0" applyFont="1" applyFill="1" applyBorder="1"/>
    <xf numFmtId="0" fontId="4" fillId="12" borderId="1" xfId="0" applyFont="1" applyFill="1" applyBorder="1"/>
    <xf numFmtId="0" fontId="9" fillId="12" borderId="1" xfId="0" applyFont="1" applyFill="1" applyBorder="1"/>
    <xf numFmtId="0" fontId="0" fillId="12" borderId="1" xfId="0" applyFill="1" applyBorder="1"/>
    <xf numFmtId="0" fontId="25" fillId="12" borderId="1" xfId="0" applyFont="1" applyFill="1" applyBorder="1"/>
    <xf numFmtId="0" fontId="5" fillId="12" borderId="1" xfId="0" applyFont="1" applyFill="1" applyBorder="1"/>
    <xf numFmtId="0" fontId="6" fillId="12" borderId="1" xfId="0" applyFont="1" applyFill="1" applyBorder="1"/>
    <xf numFmtId="0" fontId="5" fillId="6" borderId="1" xfId="0" applyFont="1" applyFill="1" applyBorder="1" applyAlignment="1"/>
    <xf numFmtId="56" fontId="5" fillId="6" borderId="1" xfId="0" applyNumberFormat="1" applyFont="1" applyFill="1" applyBorder="1" applyAlignment="1"/>
    <xf numFmtId="0" fontId="11" fillId="13" borderId="1" xfId="0" applyFont="1" applyFill="1" applyBorder="1" applyAlignment="1"/>
    <xf numFmtId="0" fontId="27" fillId="13" borderId="1" xfId="0" applyFont="1" applyFill="1" applyBorder="1"/>
    <xf numFmtId="0" fontId="18" fillId="13" borderId="0" xfId="0" applyFont="1" applyFill="1"/>
    <xf numFmtId="0" fontId="26" fillId="0" borderId="0" xfId="0" applyFont="1" applyAlignment="1">
      <alignment horizontal="right"/>
    </xf>
    <xf numFmtId="0" fontId="26" fillId="0" borderId="0" xfId="0" applyFont="1" applyAlignment="1">
      <alignment horizontal="center"/>
    </xf>
    <xf numFmtId="0" fontId="0" fillId="0" borderId="0" xfId="0" applyAlignment="1">
      <alignment horizontal="right"/>
    </xf>
    <xf numFmtId="0" fontId="16" fillId="0" borderId="0" xfId="0" applyFont="1" applyBorder="1" applyAlignment="1"/>
    <xf numFmtId="0" fontId="16" fillId="0" borderId="1" xfId="0" applyFont="1" applyBorder="1" applyAlignment="1">
      <alignment horizontal="center" vertical="center"/>
    </xf>
    <xf numFmtId="0" fontId="0" fillId="0" borderId="4" xfId="0" applyBorder="1" applyAlignment="1">
      <alignment horizontal="right"/>
    </xf>
    <xf numFmtId="0" fontId="0" fillId="0" borderId="5" xfId="0" applyBorder="1" applyAlignment="1">
      <alignment horizontal="right"/>
    </xf>
    <xf numFmtId="0" fontId="0" fillId="0" borderId="1" xfId="0" applyBorder="1" applyAlignment="1">
      <alignment horizontal="right"/>
    </xf>
  </cellXfs>
  <cellStyles count="440">
    <cellStyle name="Excel Built-in Normal" xfId="429"/>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40" builtinId="8" hidden="1"/>
    <cellStyle name="ハイパーリンク" xfId="142" builtinId="8" hidden="1"/>
    <cellStyle name="ハイパーリンク" xfId="144" builtinId="8" hidden="1"/>
    <cellStyle name="ハイパーリンク" xfId="146" builtinId="8" hidden="1"/>
    <cellStyle name="ハイパーリンク" xfId="148" builtinId="8" hidden="1"/>
    <cellStyle name="ハイパーリンク" xfId="150" builtinId="8" hidden="1"/>
    <cellStyle name="ハイパーリンク" xfId="152" builtinId="8" hidden="1"/>
    <cellStyle name="ハイパーリンク" xfId="154" builtinId="8" hidden="1"/>
    <cellStyle name="ハイパーリンク" xfId="156" builtinId="8" hidden="1"/>
    <cellStyle name="ハイパーリンク" xfId="158" builtinId="8" hidden="1"/>
    <cellStyle name="ハイパーリンク" xfId="160" builtinId="8" hidden="1"/>
    <cellStyle name="ハイパーリンク" xfId="162" builtinId="8" hidden="1"/>
    <cellStyle name="ハイパーリンク" xfId="164" builtinId="8" hidden="1"/>
    <cellStyle name="ハイパーリンク" xfId="166" builtinId="8" hidden="1"/>
    <cellStyle name="ハイパーリンク" xfId="168" builtinId="8" hidden="1"/>
    <cellStyle name="ハイパーリンク" xfId="170" builtinId="8" hidden="1"/>
    <cellStyle name="ハイパーリンク" xfId="172" builtinId="8" hidden="1"/>
    <cellStyle name="ハイパーリンク" xfId="174" builtinId="8" hidden="1"/>
    <cellStyle name="ハイパーリンク" xfId="176" builtinId="8" hidden="1"/>
    <cellStyle name="ハイパーリンク" xfId="178" builtinId="8" hidden="1"/>
    <cellStyle name="ハイパーリンク" xfId="180" builtinId="8" hidden="1"/>
    <cellStyle name="ハイパーリンク" xfId="182" builtinId="8" hidden="1"/>
    <cellStyle name="ハイパーリンク" xfId="184" builtinId="8" hidden="1"/>
    <cellStyle name="ハイパーリンク" xfId="186" builtinId="8" hidden="1"/>
    <cellStyle name="ハイパーリンク" xfId="188" builtinId="8" hidden="1"/>
    <cellStyle name="ハイパーリンク" xfId="190" builtinId="8" hidden="1"/>
    <cellStyle name="ハイパーリンク" xfId="192" builtinId="8" hidden="1"/>
    <cellStyle name="ハイパーリンク" xfId="194" builtinId="8" hidden="1"/>
    <cellStyle name="ハイパーリンク" xfId="196" builtinId="8" hidden="1"/>
    <cellStyle name="ハイパーリンク" xfId="198" builtinId="8" hidden="1"/>
    <cellStyle name="ハイパーリンク" xfId="200" builtinId="8" hidden="1"/>
    <cellStyle name="ハイパーリンク" xfId="202" builtinId="8" hidden="1"/>
    <cellStyle name="ハイパーリンク" xfId="204" builtinId="8" hidden="1"/>
    <cellStyle name="ハイパーリンク" xfId="206" builtinId="8" hidden="1"/>
    <cellStyle name="ハイパーリンク" xfId="208" builtinId="8" hidden="1"/>
    <cellStyle name="ハイパーリンク" xfId="210" builtinId="8" hidden="1"/>
    <cellStyle name="ハイパーリンク" xfId="212" builtinId="8" hidden="1"/>
    <cellStyle name="ハイパーリンク" xfId="214" builtinId="8" hidden="1"/>
    <cellStyle name="ハイパーリンク" xfId="216" builtinId="8" hidden="1"/>
    <cellStyle name="ハイパーリンク" xfId="218" builtinId="8" hidden="1"/>
    <cellStyle name="ハイパーリンク" xfId="220" builtinId="8" hidden="1"/>
    <cellStyle name="ハイパーリンク" xfId="222" builtinId="8" hidden="1"/>
    <cellStyle name="ハイパーリンク" xfId="224" builtinId="8" hidden="1"/>
    <cellStyle name="ハイパーリンク" xfId="226" builtinId="8" hidden="1"/>
    <cellStyle name="ハイパーリンク" xfId="228" builtinId="8" hidden="1"/>
    <cellStyle name="ハイパーリンク" xfId="230" builtinId="8" hidden="1"/>
    <cellStyle name="ハイパーリンク" xfId="232" builtinId="8" hidden="1"/>
    <cellStyle name="ハイパーリンク" xfId="234" builtinId="8" hidden="1"/>
    <cellStyle name="ハイパーリンク" xfId="236"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36" builtinId="8" hidden="1"/>
    <cellStyle name="ハイパーリンク" xfId="438" builtinId="8" hidden="1"/>
    <cellStyle name="桁区切り 2" xfId="139"/>
    <cellStyle name="標準" xfId="0" builtinId="0"/>
    <cellStyle name="標準 2" xfId="238"/>
    <cellStyle name="標準 2 2" xfId="432"/>
    <cellStyle name="標準 3" xfId="433"/>
    <cellStyle name="標準 4" xfId="434"/>
    <cellStyle name="無題1" xfId="435"/>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1" builtinId="9" hidden="1"/>
    <cellStyle name="表示済みのハイパーリンク" xfId="143" builtinId="9" hidden="1"/>
    <cellStyle name="表示済みのハイパーリンク" xfId="145" builtinId="9" hidden="1"/>
    <cellStyle name="表示済みのハイパーリンク" xfId="147" builtinId="9" hidden="1"/>
    <cellStyle name="表示済みのハイパーリンク" xfId="149" builtinId="9" hidden="1"/>
    <cellStyle name="表示済みのハイパーリンク" xfId="151" builtinId="9" hidden="1"/>
    <cellStyle name="表示済みのハイパーリンク" xfId="153" builtinId="9" hidden="1"/>
    <cellStyle name="表示済みのハイパーリンク" xfId="155" builtinId="9" hidden="1"/>
    <cellStyle name="表示済みのハイパーリンク" xfId="157" builtinId="9" hidden="1"/>
    <cellStyle name="表示済みのハイパーリンク" xfId="159" builtinId="9" hidden="1"/>
    <cellStyle name="表示済みのハイパーリンク" xfId="161" builtinId="9" hidden="1"/>
    <cellStyle name="表示済みのハイパーリンク" xfId="163" builtinId="9" hidden="1"/>
    <cellStyle name="表示済みのハイパーリンク" xfId="165" builtinId="9" hidden="1"/>
    <cellStyle name="表示済みのハイパーリンク" xfId="167" builtinId="9" hidden="1"/>
    <cellStyle name="表示済みのハイパーリンク" xfId="169" builtinId="9" hidden="1"/>
    <cellStyle name="表示済みのハイパーリンク" xfId="171" builtinId="9" hidden="1"/>
    <cellStyle name="表示済みのハイパーリンク" xfId="173" builtinId="9" hidden="1"/>
    <cellStyle name="表示済みのハイパーリンク" xfId="175" builtinId="9" hidden="1"/>
    <cellStyle name="表示済みのハイパーリンク" xfId="177" builtinId="9" hidden="1"/>
    <cellStyle name="表示済みのハイパーリンク" xfId="179" builtinId="9" hidden="1"/>
    <cellStyle name="表示済みのハイパーリンク" xfId="181" builtinId="9" hidden="1"/>
    <cellStyle name="表示済みのハイパーリンク" xfId="183" builtinId="9" hidden="1"/>
    <cellStyle name="表示済みのハイパーリンク" xfId="185" builtinId="9" hidden="1"/>
    <cellStyle name="表示済みのハイパーリンク" xfId="187" builtinId="9" hidden="1"/>
    <cellStyle name="表示済みのハイパーリンク" xfId="189" builtinId="9" hidden="1"/>
    <cellStyle name="表示済みのハイパーリンク" xfId="191" builtinId="9" hidden="1"/>
    <cellStyle name="表示済みのハイパーリンク" xfId="193" builtinId="9" hidden="1"/>
    <cellStyle name="表示済みのハイパーリンク" xfId="195" builtinId="9" hidden="1"/>
    <cellStyle name="表示済みのハイパーリンク" xfId="197" builtinId="9" hidden="1"/>
    <cellStyle name="表示済みのハイパーリンク" xfId="199" builtinId="9" hidden="1"/>
    <cellStyle name="表示済みのハイパーリンク" xfId="201" builtinId="9" hidden="1"/>
    <cellStyle name="表示済みのハイパーリンク" xfId="203" builtinId="9" hidden="1"/>
    <cellStyle name="表示済みのハイパーリンク" xfId="205" builtinId="9" hidden="1"/>
    <cellStyle name="表示済みのハイパーリンク" xfId="207" builtinId="9" hidden="1"/>
    <cellStyle name="表示済みのハイパーリンク" xfId="209" builtinId="9" hidden="1"/>
    <cellStyle name="表示済みのハイパーリンク" xfId="211" builtinId="9" hidden="1"/>
    <cellStyle name="表示済みのハイパーリンク" xfId="213" builtinId="9" hidden="1"/>
    <cellStyle name="表示済みのハイパーリンク" xfId="215" builtinId="9" hidden="1"/>
    <cellStyle name="表示済みのハイパーリンク" xfId="217" builtinId="9" hidden="1"/>
    <cellStyle name="表示済みのハイパーリンク" xfId="219" builtinId="9" hidden="1"/>
    <cellStyle name="表示済みのハイパーリンク" xfId="221" builtinId="9" hidden="1"/>
    <cellStyle name="表示済みのハイパーリンク" xfId="223" builtinId="9" hidden="1"/>
    <cellStyle name="表示済みのハイパーリンク" xfId="225" builtinId="9" hidden="1"/>
    <cellStyle name="表示済みのハイパーリンク" xfId="227" builtinId="9" hidden="1"/>
    <cellStyle name="表示済みのハイパーリンク" xfId="229" builtinId="9" hidden="1"/>
    <cellStyle name="表示済みのハイパーリンク" xfId="231" builtinId="9" hidden="1"/>
    <cellStyle name="表示済みのハイパーリンク" xfId="233" builtinId="9" hidden="1"/>
    <cellStyle name="表示済みのハイパーリンク" xfId="235" builtinId="9" hidden="1"/>
    <cellStyle name="表示済みのハイパーリンク" xfId="237"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7" builtinId="9" hidden="1"/>
    <cellStyle name="表示済みのハイパーリンク" xfId="439" builtinId="9" hidden="1"/>
    <cellStyle name="赤字強調" xfId="431"/>
    <cellStyle name="青字強調" xfId="43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4"/>
          <c:order val="0"/>
          <c:tx>
            <c:strRef>
              <c:f>参考!$F$27</c:f>
              <c:strCache>
                <c:ptCount val="1"/>
                <c:pt idx="0">
                  <c:v>Drop1N（＝カブ）</c:v>
                </c:pt>
              </c:strCache>
            </c:strRef>
          </c:tx>
          <c:invertIfNegative val="0"/>
          <c:cat>
            <c:strRef>
              <c:f>参考!$F$19</c:f>
              <c:strCache>
                <c:ptCount val="1"/>
                <c:pt idx="0">
                  <c:v>チュートリアル召喚でR4</c:v>
                </c:pt>
              </c:strCache>
            </c:strRef>
          </c:cat>
          <c:val>
            <c:numRef>
              <c:f>参考!$H$27</c:f>
              <c:numCache>
                <c:formatCode>General</c:formatCode>
                <c:ptCount val="1"/>
                <c:pt idx="0">
                  <c:v>2.0</c:v>
                </c:pt>
              </c:numCache>
            </c:numRef>
          </c:val>
        </c:ser>
        <c:ser>
          <c:idx val="3"/>
          <c:order val="1"/>
          <c:tx>
            <c:strRef>
              <c:f>参考!$F$26</c:f>
              <c:strCache>
                <c:ptCount val="1"/>
                <c:pt idx="0">
                  <c:v>Drop1N（＝カブ）</c:v>
                </c:pt>
              </c:strCache>
            </c:strRef>
          </c:tx>
          <c:invertIfNegative val="0"/>
          <c:cat>
            <c:strRef>
              <c:f>参考!$F$19</c:f>
              <c:strCache>
                <c:ptCount val="1"/>
                <c:pt idx="0">
                  <c:v>チュートリアル召喚でR4</c:v>
                </c:pt>
              </c:strCache>
            </c:strRef>
          </c:cat>
          <c:val>
            <c:numRef>
              <c:f>参考!$H$26</c:f>
              <c:numCache>
                <c:formatCode>General</c:formatCode>
                <c:ptCount val="1"/>
                <c:pt idx="0">
                  <c:v>2.0</c:v>
                </c:pt>
              </c:numCache>
            </c:numRef>
          </c:val>
        </c:ser>
        <c:ser>
          <c:idx val="2"/>
          <c:order val="2"/>
          <c:tx>
            <c:strRef>
              <c:f>参考!$F$25</c:f>
              <c:strCache>
                <c:ptCount val="1"/>
                <c:pt idx="0">
                  <c:v>Drop1W（＝プニャ）</c:v>
                </c:pt>
              </c:strCache>
            </c:strRef>
          </c:tx>
          <c:invertIfNegative val="0"/>
          <c:cat>
            <c:strRef>
              <c:f>参考!$F$19</c:f>
              <c:strCache>
                <c:ptCount val="1"/>
                <c:pt idx="0">
                  <c:v>チュートリアル召喚でR4</c:v>
                </c:pt>
              </c:strCache>
            </c:strRef>
          </c:cat>
          <c:val>
            <c:numRef>
              <c:f>参考!$H$25</c:f>
              <c:numCache>
                <c:formatCode>General</c:formatCode>
                <c:ptCount val="1"/>
                <c:pt idx="0">
                  <c:v>1.0</c:v>
                </c:pt>
              </c:numCache>
            </c:numRef>
          </c:val>
        </c:ser>
        <c:ser>
          <c:idx val="1"/>
          <c:order val="3"/>
          <c:tx>
            <c:strRef>
              <c:f>参考!$F$24</c:f>
              <c:strCache>
                <c:ptCount val="1"/>
                <c:pt idx="0">
                  <c:v>Premium</c:v>
                </c:pt>
              </c:strCache>
            </c:strRef>
          </c:tx>
          <c:invertIfNegative val="0"/>
          <c:cat>
            <c:strRef>
              <c:f>参考!$F$19</c:f>
              <c:strCache>
                <c:ptCount val="1"/>
                <c:pt idx="0">
                  <c:v>チュートリアル召喚でR4</c:v>
                </c:pt>
              </c:strCache>
            </c:strRef>
          </c:cat>
          <c:val>
            <c:numRef>
              <c:f>参考!$H$24</c:f>
              <c:numCache>
                <c:formatCode>General</c:formatCode>
                <c:ptCount val="1"/>
                <c:pt idx="0">
                  <c:v>15.0</c:v>
                </c:pt>
              </c:numCache>
            </c:numRef>
          </c:val>
        </c:ser>
        <c:ser>
          <c:idx val="0"/>
          <c:order val="4"/>
          <c:tx>
            <c:strRef>
              <c:f>参考!$F$23</c:f>
              <c:strCache>
                <c:ptCount val="1"/>
                <c:pt idx="0">
                  <c:v>Big3</c:v>
                </c:pt>
              </c:strCache>
            </c:strRef>
          </c:tx>
          <c:invertIfNegative val="0"/>
          <c:cat>
            <c:strRef>
              <c:f>参考!$F$19</c:f>
              <c:strCache>
                <c:ptCount val="1"/>
                <c:pt idx="0">
                  <c:v>チュートリアル召喚でR4</c:v>
                </c:pt>
              </c:strCache>
            </c:strRef>
          </c:cat>
          <c:val>
            <c:numRef>
              <c:f>参考!$H$23</c:f>
              <c:numCache>
                <c:formatCode>General</c:formatCode>
                <c:ptCount val="1"/>
                <c:pt idx="0">
                  <c:v>4.0</c:v>
                </c:pt>
              </c:numCache>
            </c:numRef>
          </c:val>
        </c:ser>
        <c:dLbls>
          <c:showLegendKey val="0"/>
          <c:showVal val="0"/>
          <c:showCatName val="0"/>
          <c:showSerName val="0"/>
          <c:showPercent val="0"/>
          <c:showBubbleSize val="0"/>
        </c:dLbls>
        <c:gapWidth val="150"/>
        <c:overlap val="100"/>
        <c:axId val="2127510880"/>
        <c:axId val="2128074704"/>
      </c:barChart>
      <c:catAx>
        <c:axId val="2127510880"/>
        <c:scaling>
          <c:orientation val="minMax"/>
        </c:scaling>
        <c:delete val="0"/>
        <c:axPos val="b"/>
        <c:numFmt formatCode="General" sourceLinked="0"/>
        <c:majorTickMark val="out"/>
        <c:minorTickMark val="none"/>
        <c:tickLblPos val="nextTo"/>
        <c:crossAx val="2128074704"/>
        <c:crosses val="autoZero"/>
        <c:auto val="1"/>
        <c:lblAlgn val="ctr"/>
        <c:lblOffset val="100"/>
        <c:noMultiLvlLbl val="0"/>
      </c:catAx>
      <c:valAx>
        <c:axId val="2128074704"/>
        <c:scaling>
          <c:orientation val="minMax"/>
        </c:scaling>
        <c:delete val="0"/>
        <c:axPos val="l"/>
        <c:majorGridlines/>
        <c:numFmt formatCode="General" sourceLinked="1"/>
        <c:majorTickMark val="out"/>
        <c:minorTickMark val="none"/>
        <c:tickLblPos val="nextTo"/>
        <c:crossAx val="21275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stacked"/>
        <c:varyColors val="0"/>
        <c:ser>
          <c:idx val="4"/>
          <c:order val="0"/>
          <c:tx>
            <c:strRef>
              <c:f>参考!$J$27</c:f>
              <c:strCache>
                <c:ptCount val="1"/>
                <c:pt idx="0">
                  <c:v>Drop1N（＝カブ）</c:v>
                </c:pt>
              </c:strCache>
            </c:strRef>
          </c:tx>
          <c:invertIfNegative val="0"/>
          <c:cat>
            <c:strRef>
              <c:f>参考!$J$19</c:f>
              <c:strCache>
                <c:ptCount val="1"/>
                <c:pt idx="0">
                  <c:v>チュートリアル召喚でR5</c:v>
                </c:pt>
              </c:strCache>
            </c:strRef>
          </c:cat>
          <c:val>
            <c:numRef>
              <c:f>参考!$L$27</c:f>
              <c:numCache>
                <c:formatCode>General</c:formatCode>
                <c:ptCount val="1"/>
                <c:pt idx="0">
                  <c:v>2.0</c:v>
                </c:pt>
              </c:numCache>
            </c:numRef>
          </c:val>
        </c:ser>
        <c:ser>
          <c:idx val="3"/>
          <c:order val="1"/>
          <c:tx>
            <c:strRef>
              <c:f>参考!$J$26</c:f>
              <c:strCache>
                <c:ptCount val="1"/>
                <c:pt idx="0">
                  <c:v>Drop1N（＝玉ドラ）</c:v>
                </c:pt>
              </c:strCache>
            </c:strRef>
          </c:tx>
          <c:invertIfNegative val="0"/>
          <c:cat>
            <c:strRef>
              <c:f>参考!$J$19</c:f>
              <c:strCache>
                <c:ptCount val="1"/>
                <c:pt idx="0">
                  <c:v>チュートリアル召喚でR5</c:v>
                </c:pt>
              </c:strCache>
            </c:strRef>
          </c:cat>
          <c:val>
            <c:numRef>
              <c:f>参考!$L$26</c:f>
              <c:numCache>
                <c:formatCode>General</c:formatCode>
                <c:ptCount val="1"/>
                <c:pt idx="0">
                  <c:v>2.0</c:v>
                </c:pt>
              </c:numCache>
            </c:numRef>
          </c:val>
        </c:ser>
        <c:ser>
          <c:idx val="2"/>
          <c:order val="2"/>
          <c:tx>
            <c:strRef>
              <c:f>参考!$J$25</c:f>
              <c:strCache>
                <c:ptCount val="1"/>
                <c:pt idx="0">
                  <c:v>Drop1W（＝プニャ）</c:v>
                </c:pt>
              </c:strCache>
            </c:strRef>
          </c:tx>
          <c:invertIfNegative val="0"/>
          <c:cat>
            <c:strRef>
              <c:f>参考!$J$19</c:f>
              <c:strCache>
                <c:ptCount val="1"/>
                <c:pt idx="0">
                  <c:v>チュートリアル召喚でR5</c:v>
                </c:pt>
              </c:strCache>
            </c:strRef>
          </c:cat>
          <c:val>
            <c:numRef>
              <c:f>参考!$L$25</c:f>
              <c:numCache>
                <c:formatCode>General</c:formatCode>
                <c:ptCount val="1"/>
                <c:pt idx="0">
                  <c:v>1.0</c:v>
                </c:pt>
              </c:numCache>
            </c:numRef>
          </c:val>
        </c:ser>
        <c:ser>
          <c:idx val="1"/>
          <c:order val="3"/>
          <c:tx>
            <c:strRef>
              <c:f>参考!$F$24</c:f>
              <c:strCache>
                <c:ptCount val="1"/>
                <c:pt idx="0">
                  <c:v>Premium</c:v>
                </c:pt>
              </c:strCache>
            </c:strRef>
          </c:tx>
          <c:invertIfNegative val="0"/>
          <c:cat>
            <c:strRef>
              <c:f>参考!$J$19</c:f>
              <c:strCache>
                <c:ptCount val="1"/>
                <c:pt idx="0">
                  <c:v>チュートリアル召喚でR5</c:v>
                </c:pt>
              </c:strCache>
            </c:strRef>
          </c:cat>
          <c:val>
            <c:numRef>
              <c:f>参考!$L$24</c:f>
              <c:numCache>
                <c:formatCode>General</c:formatCode>
                <c:ptCount val="1"/>
                <c:pt idx="0">
                  <c:v>20.0</c:v>
                </c:pt>
              </c:numCache>
            </c:numRef>
          </c:val>
        </c:ser>
        <c:ser>
          <c:idx val="0"/>
          <c:order val="4"/>
          <c:tx>
            <c:strRef>
              <c:f>参考!$J$23</c:f>
              <c:strCache>
                <c:ptCount val="1"/>
                <c:pt idx="0">
                  <c:v>Big3</c:v>
                </c:pt>
              </c:strCache>
            </c:strRef>
          </c:tx>
          <c:invertIfNegative val="0"/>
          <c:cat>
            <c:strRef>
              <c:f>参考!$J$19</c:f>
              <c:strCache>
                <c:ptCount val="1"/>
                <c:pt idx="0">
                  <c:v>チュートリアル召喚でR5</c:v>
                </c:pt>
              </c:strCache>
            </c:strRef>
          </c:cat>
          <c:val>
            <c:numRef>
              <c:f>参考!$L$23</c:f>
              <c:numCache>
                <c:formatCode>General</c:formatCode>
                <c:ptCount val="1"/>
                <c:pt idx="0">
                  <c:v>4.0</c:v>
                </c:pt>
              </c:numCache>
            </c:numRef>
          </c:val>
        </c:ser>
        <c:dLbls>
          <c:showLegendKey val="0"/>
          <c:showVal val="0"/>
          <c:showCatName val="0"/>
          <c:showSerName val="0"/>
          <c:showPercent val="0"/>
          <c:showBubbleSize val="0"/>
        </c:dLbls>
        <c:gapWidth val="150"/>
        <c:overlap val="100"/>
        <c:axId val="2126952688"/>
        <c:axId val="2126949808"/>
      </c:barChart>
      <c:catAx>
        <c:axId val="2126952688"/>
        <c:scaling>
          <c:orientation val="minMax"/>
        </c:scaling>
        <c:delete val="0"/>
        <c:axPos val="b"/>
        <c:numFmt formatCode="General" sourceLinked="0"/>
        <c:majorTickMark val="out"/>
        <c:minorTickMark val="none"/>
        <c:tickLblPos val="nextTo"/>
        <c:crossAx val="2126949808"/>
        <c:crosses val="autoZero"/>
        <c:auto val="1"/>
        <c:lblAlgn val="ctr"/>
        <c:lblOffset val="100"/>
        <c:noMultiLvlLbl val="0"/>
      </c:catAx>
      <c:valAx>
        <c:axId val="2126949808"/>
        <c:scaling>
          <c:orientation val="minMax"/>
          <c:max val="30.0"/>
        </c:scaling>
        <c:delete val="0"/>
        <c:axPos val="l"/>
        <c:majorGridlines/>
        <c:numFmt formatCode="General" sourceLinked="1"/>
        <c:majorTickMark val="out"/>
        <c:minorTickMark val="none"/>
        <c:tickLblPos val="nextTo"/>
        <c:crossAx val="21269526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81909748591071"/>
          <c:y val="0.113039129037442"/>
          <c:w val="0.940048804140446"/>
          <c:h val="0.74177426482404"/>
        </c:manualLayout>
      </c:layout>
      <c:lineChart>
        <c:grouping val="standard"/>
        <c:varyColors val="0"/>
        <c:ser>
          <c:idx val="0"/>
          <c:order val="0"/>
          <c:tx>
            <c:v>調整１回目</c:v>
          </c:tx>
          <c:spPr>
            <a:ln>
              <a:solidFill>
                <a:srgbClr val="C00000"/>
              </a:solidFill>
            </a:ln>
          </c:spPr>
          <c:marker>
            <c:symbol val="none"/>
          </c:marker>
          <c:cat>
            <c:strRef>
              <c:f>player_ranks_uprev1609_2!$A$1:$A$301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player_ranks_uprev!$C$2:$C$301</c:f>
              <c:numCache>
                <c:formatCode>General</c:formatCode>
                <c:ptCount val="300"/>
                <c:pt idx="0">
                  <c:v>59.0</c:v>
                </c:pt>
                <c:pt idx="1">
                  <c:v>60.0</c:v>
                </c:pt>
                <c:pt idx="2">
                  <c:v>60.0</c:v>
                </c:pt>
                <c:pt idx="3">
                  <c:v>62.0</c:v>
                </c:pt>
                <c:pt idx="4">
                  <c:v>67.0</c:v>
                </c:pt>
                <c:pt idx="5">
                  <c:v>68.0</c:v>
                </c:pt>
                <c:pt idx="6">
                  <c:v>68.0</c:v>
                </c:pt>
                <c:pt idx="7">
                  <c:v>70.0</c:v>
                </c:pt>
                <c:pt idx="8">
                  <c:v>70.0</c:v>
                </c:pt>
                <c:pt idx="9">
                  <c:v>75.0</c:v>
                </c:pt>
                <c:pt idx="10">
                  <c:v>75.0</c:v>
                </c:pt>
                <c:pt idx="11">
                  <c:v>77.0</c:v>
                </c:pt>
                <c:pt idx="12">
                  <c:v>77.0</c:v>
                </c:pt>
                <c:pt idx="13">
                  <c:v>78.0</c:v>
                </c:pt>
                <c:pt idx="14">
                  <c:v>83.0</c:v>
                </c:pt>
                <c:pt idx="15">
                  <c:v>85.0</c:v>
                </c:pt>
                <c:pt idx="16">
                  <c:v>85.0</c:v>
                </c:pt>
                <c:pt idx="17">
                  <c:v>86.0</c:v>
                </c:pt>
                <c:pt idx="18">
                  <c:v>86.0</c:v>
                </c:pt>
                <c:pt idx="19">
                  <c:v>91.0</c:v>
                </c:pt>
                <c:pt idx="20">
                  <c:v>91.0</c:v>
                </c:pt>
                <c:pt idx="21">
                  <c:v>92.0</c:v>
                </c:pt>
                <c:pt idx="22">
                  <c:v>92.0</c:v>
                </c:pt>
                <c:pt idx="23">
                  <c:v>94.0</c:v>
                </c:pt>
                <c:pt idx="24">
                  <c:v>99.0</c:v>
                </c:pt>
                <c:pt idx="25">
                  <c:v>100.0</c:v>
                </c:pt>
                <c:pt idx="26">
                  <c:v>100.0</c:v>
                </c:pt>
                <c:pt idx="27">
                  <c:v>102.0</c:v>
                </c:pt>
                <c:pt idx="28">
                  <c:v>102.0</c:v>
                </c:pt>
                <c:pt idx="29">
                  <c:v>107.0</c:v>
                </c:pt>
                <c:pt idx="30">
                  <c:v>107.0</c:v>
                </c:pt>
                <c:pt idx="31">
                  <c:v>108.0</c:v>
                </c:pt>
                <c:pt idx="32">
                  <c:v>108.0</c:v>
                </c:pt>
                <c:pt idx="33">
                  <c:v>109.0</c:v>
                </c:pt>
                <c:pt idx="34">
                  <c:v>111.0</c:v>
                </c:pt>
                <c:pt idx="35">
                  <c:v>112.0</c:v>
                </c:pt>
                <c:pt idx="36">
                  <c:v>112.0</c:v>
                </c:pt>
                <c:pt idx="37">
                  <c:v>113.0</c:v>
                </c:pt>
                <c:pt idx="38">
                  <c:v>113.0</c:v>
                </c:pt>
                <c:pt idx="39">
                  <c:v>115.0</c:v>
                </c:pt>
                <c:pt idx="40">
                  <c:v>115.0</c:v>
                </c:pt>
                <c:pt idx="41">
                  <c:v>116.0</c:v>
                </c:pt>
                <c:pt idx="42">
                  <c:v>116.0</c:v>
                </c:pt>
                <c:pt idx="43">
                  <c:v>117.0</c:v>
                </c:pt>
                <c:pt idx="44">
                  <c:v>119.0</c:v>
                </c:pt>
                <c:pt idx="45">
                  <c:v>120.0</c:v>
                </c:pt>
                <c:pt idx="46">
                  <c:v>120.0</c:v>
                </c:pt>
                <c:pt idx="47">
                  <c:v>121.0</c:v>
                </c:pt>
                <c:pt idx="48">
                  <c:v>121.0</c:v>
                </c:pt>
                <c:pt idx="49">
                  <c:v>123.0</c:v>
                </c:pt>
                <c:pt idx="50">
                  <c:v>123.0</c:v>
                </c:pt>
                <c:pt idx="51">
                  <c:v>124.0</c:v>
                </c:pt>
                <c:pt idx="52">
                  <c:v>124.0</c:v>
                </c:pt>
                <c:pt idx="53">
                  <c:v>125.0</c:v>
                </c:pt>
                <c:pt idx="54">
                  <c:v>127.0</c:v>
                </c:pt>
                <c:pt idx="55">
                  <c:v>128.0</c:v>
                </c:pt>
                <c:pt idx="56">
                  <c:v>128.0</c:v>
                </c:pt>
                <c:pt idx="57">
                  <c:v>129.0</c:v>
                </c:pt>
                <c:pt idx="58">
                  <c:v>129.0</c:v>
                </c:pt>
                <c:pt idx="59">
                  <c:v>131.0</c:v>
                </c:pt>
                <c:pt idx="60">
                  <c:v>131.0</c:v>
                </c:pt>
                <c:pt idx="61">
                  <c:v>132.0</c:v>
                </c:pt>
                <c:pt idx="62">
                  <c:v>132.0</c:v>
                </c:pt>
                <c:pt idx="63">
                  <c:v>133.0</c:v>
                </c:pt>
                <c:pt idx="64">
                  <c:v>135.0</c:v>
                </c:pt>
                <c:pt idx="65">
                  <c:v>136.0</c:v>
                </c:pt>
                <c:pt idx="66">
                  <c:v>136.0</c:v>
                </c:pt>
                <c:pt idx="67">
                  <c:v>137.0</c:v>
                </c:pt>
                <c:pt idx="68">
                  <c:v>137.0</c:v>
                </c:pt>
                <c:pt idx="69">
                  <c:v>139.0</c:v>
                </c:pt>
                <c:pt idx="70">
                  <c:v>139.0</c:v>
                </c:pt>
                <c:pt idx="71">
                  <c:v>140.0</c:v>
                </c:pt>
                <c:pt idx="72">
                  <c:v>140.0</c:v>
                </c:pt>
                <c:pt idx="73">
                  <c:v>141.0</c:v>
                </c:pt>
                <c:pt idx="74">
                  <c:v>143.0</c:v>
                </c:pt>
                <c:pt idx="75">
                  <c:v>144.0</c:v>
                </c:pt>
                <c:pt idx="76">
                  <c:v>144.0</c:v>
                </c:pt>
                <c:pt idx="77">
                  <c:v>145.0</c:v>
                </c:pt>
                <c:pt idx="78">
                  <c:v>145.0</c:v>
                </c:pt>
                <c:pt idx="79">
                  <c:v>147.0</c:v>
                </c:pt>
                <c:pt idx="80">
                  <c:v>147.0</c:v>
                </c:pt>
                <c:pt idx="81">
                  <c:v>148.0</c:v>
                </c:pt>
                <c:pt idx="82">
                  <c:v>148.0</c:v>
                </c:pt>
                <c:pt idx="83">
                  <c:v>149.0</c:v>
                </c:pt>
                <c:pt idx="84">
                  <c:v>151.0</c:v>
                </c:pt>
                <c:pt idx="85">
                  <c:v>152.0</c:v>
                </c:pt>
                <c:pt idx="86">
                  <c:v>152.0</c:v>
                </c:pt>
                <c:pt idx="87">
                  <c:v>153.0</c:v>
                </c:pt>
                <c:pt idx="88">
                  <c:v>153.0</c:v>
                </c:pt>
                <c:pt idx="89">
                  <c:v>155.0</c:v>
                </c:pt>
                <c:pt idx="90">
                  <c:v>155.0</c:v>
                </c:pt>
                <c:pt idx="91">
                  <c:v>156.0</c:v>
                </c:pt>
                <c:pt idx="92">
                  <c:v>156.0</c:v>
                </c:pt>
                <c:pt idx="93">
                  <c:v>156.0</c:v>
                </c:pt>
                <c:pt idx="94">
                  <c:v>156.0</c:v>
                </c:pt>
                <c:pt idx="95">
                  <c:v>157.0</c:v>
                </c:pt>
                <c:pt idx="96">
                  <c:v>157.0</c:v>
                </c:pt>
                <c:pt idx="97">
                  <c:v>157.0</c:v>
                </c:pt>
                <c:pt idx="98">
                  <c:v>157.0</c:v>
                </c:pt>
                <c:pt idx="99">
                  <c:v>158.0</c:v>
                </c:pt>
                <c:pt idx="100">
                  <c:v>158.0</c:v>
                </c:pt>
                <c:pt idx="101">
                  <c:v>158.0</c:v>
                </c:pt>
                <c:pt idx="102">
                  <c:v>158.0</c:v>
                </c:pt>
                <c:pt idx="103">
                  <c:v>159.0</c:v>
                </c:pt>
                <c:pt idx="104">
                  <c:v>159.0</c:v>
                </c:pt>
                <c:pt idx="105">
                  <c:v>159.0</c:v>
                </c:pt>
                <c:pt idx="106">
                  <c:v>159.0</c:v>
                </c:pt>
                <c:pt idx="107">
                  <c:v>160.0</c:v>
                </c:pt>
                <c:pt idx="108">
                  <c:v>160.0</c:v>
                </c:pt>
                <c:pt idx="109">
                  <c:v>160.0</c:v>
                </c:pt>
                <c:pt idx="110">
                  <c:v>160.0</c:v>
                </c:pt>
                <c:pt idx="111">
                  <c:v>161.0</c:v>
                </c:pt>
                <c:pt idx="112">
                  <c:v>161.0</c:v>
                </c:pt>
                <c:pt idx="113">
                  <c:v>161.0</c:v>
                </c:pt>
                <c:pt idx="114">
                  <c:v>161.0</c:v>
                </c:pt>
                <c:pt idx="115">
                  <c:v>162.0</c:v>
                </c:pt>
                <c:pt idx="116">
                  <c:v>162.0</c:v>
                </c:pt>
                <c:pt idx="117">
                  <c:v>162.0</c:v>
                </c:pt>
                <c:pt idx="118">
                  <c:v>162.0</c:v>
                </c:pt>
                <c:pt idx="119">
                  <c:v>163.0</c:v>
                </c:pt>
                <c:pt idx="120">
                  <c:v>163.0</c:v>
                </c:pt>
                <c:pt idx="121">
                  <c:v>163.0</c:v>
                </c:pt>
                <c:pt idx="122">
                  <c:v>163.0</c:v>
                </c:pt>
                <c:pt idx="123">
                  <c:v>164.0</c:v>
                </c:pt>
                <c:pt idx="124">
                  <c:v>164.0</c:v>
                </c:pt>
                <c:pt idx="125">
                  <c:v>164.0</c:v>
                </c:pt>
                <c:pt idx="126">
                  <c:v>164.0</c:v>
                </c:pt>
                <c:pt idx="127">
                  <c:v>165.0</c:v>
                </c:pt>
                <c:pt idx="128">
                  <c:v>165.0</c:v>
                </c:pt>
                <c:pt idx="129">
                  <c:v>165.0</c:v>
                </c:pt>
                <c:pt idx="130">
                  <c:v>165.0</c:v>
                </c:pt>
                <c:pt idx="131">
                  <c:v>166.0</c:v>
                </c:pt>
                <c:pt idx="132">
                  <c:v>166.0</c:v>
                </c:pt>
                <c:pt idx="133">
                  <c:v>166.0</c:v>
                </c:pt>
                <c:pt idx="134">
                  <c:v>166.0</c:v>
                </c:pt>
                <c:pt idx="135">
                  <c:v>167.0</c:v>
                </c:pt>
                <c:pt idx="136">
                  <c:v>167.0</c:v>
                </c:pt>
                <c:pt idx="137">
                  <c:v>167.0</c:v>
                </c:pt>
                <c:pt idx="138">
                  <c:v>167.0</c:v>
                </c:pt>
                <c:pt idx="139">
                  <c:v>168.0</c:v>
                </c:pt>
                <c:pt idx="140">
                  <c:v>168.0</c:v>
                </c:pt>
                <c:pt idx="141">
                  <c:v>168.0</c:v>
                </c:pt>
                <c:pt idx="142">
                  <c:v>168.0</c:v>
                </c:pt>
                <c:pt idx="143">
                  <c:v>169.0</c:v>
                </c:pt>
                <c:pt idx="144">
                  <c:v>169.0</c:v>
                </c:pt>
                <c:pt idx="145">
                  <c:v>169.0</c:v>
                </c:pt>
                <c:pt idx="146">
                  <c:v>169.0</c:v>
                </c:pt>
                <c:pt idx="147">
                  <c:v>170.0</c:v>
                </c:pt>
                <c:pt idx="148">
                  <c:v>170.0</c:v>
                </c:pt>
                <c:pt idx="149">
                  <c:v>170.0</c:v>
                </c:pt>
                <c:pt idx="150">
                  <c:v>170.0</c:v>
                </c:pt>
                <c:pt idx="151">
                  <c:v>171.0</c:v>
                </c:pt>
                <c:pt idx="152">
                  <c:v>171.0</c:v>
                </c:pt>
                <c:pt idx="153">
                  <c:v>171.0</c:v>
                </c:pt>
                <c:pt idx="154">
                  <c:v>171.0</c:v>
                </c:pt>
                <c:pt idx="155">
                  <c:v>172.0</c:v>
                </c:pt>
                <c:pt idx="156">
                  <c:v>172.0</c:v>
                </c:pt>
                <c:pt idx="157">
                  <c:v>172.0</c:v>
                </c:pt>
                <c:pt idx="158">
                  <c:v>172.0</c:v>
                </c:pt>
                <c:pt idx="159">
                  <c:v>173.0</c:v>
                </c:pt>
                <c:pt idx="160">
                  <c:v>173.0</c:v>
                </c:pt>
                <c:pt idx="161">
                  <c:v>173.0</c:v>
                </c:pt>
                <c:pt idx="162">
                  <c:v>173.0</c:v>
                </c:pt>
                <c:pt idx="163">
                  <c:v>174.0</c:v>
                </c:pt>
                <c:pt idx="164">
                  <c:v>174.0</c:v>
                </c:pt>
                <c:pt idx="165">
                  <c:v>174.0</c:v>
                </c:pt>
                <c:pt idx="166">
                  <c:v>174.0</c:v>
                </c:pt>
                <c:pt idx="167">
                  <c:v>175.0</c:v>
                </c:pt>
                <c:pt idx="168">
                  <c:v>175.0</c:v>
                </c:pt>
                <c:pt idx="169">
                  <c:v>175.0</c:v>
                </c:pt>
                <c:pt idx="170">
                  <c:v>175.0</c:v>
                </c:pt>
                <c:pt idx="171">
                  <c:v>176.0</c:v>
                </c:pt>
                <c:pt idx="172">
                  <c:v>176.0</c:v>
                </c:pt>
                <c:pt idx="173">
                  <c:v>176.0</c:v>
                </c:pt>
                <c:pt idx="174">
                  <c:v>176.0</c:v>
                </c:pt>
                <c:pt idx="175">
                  <c:v>177.0</c:v>
                </c:pt>
                <c:pt idx="176">
                  <c:v>177.0</c:v>
                </c:pt>
                <c:pt idx="177">
                  <c:v>177.0</c:v>
                </c:pt>
                <c:pt idx="178">
                  <c:v>177.0</c:v>
                </c:pt>
                <c:pt idx="179">
                  <c:v>178.0</c:v>
                </c:pt>
                <c:pt idx="180">
                  <c:v>178.0</c:v>
                </c:pt>
                <c:pt idx="181">
                  <c:v>178.0</c:v>
                </c:pt>
                <c:pt idx="182">
                  <c:v>178.0</c:v>
                </c:pt>
                <c:pt idx="183">
                  <c:v>179.0</c:v>
                </c:pt>
                <c:pt idx="184">
                  <c:v>179.0</c:v>
                </c:pt>
                <c:pt idx="185">
                  <c:v>179.0</c:v>
                </c:pt>
                <c:pt idx="186">
                  <c:v>179.0</c:v>
                </c:pt>
                <c:pt idx="187">
                  <c:v>180.0</c:v>
                </c:pt>
                <c:pt idx="188">
                  <c:v>180.0</c:v>
                </c:pt>
                <c:pt idx="189">
                  <c:v>180.0</c:v>
                </c:pt>
                <c:pt idx="190">
                  <c:v>180.0</c:v>
                </c:pt>
                <c:pt idx="191">
                  <c:v>181.0</c:v>
                </c:pt>
                <c:pt idx="192">
                  <c:v>181.0</c:v>
                </c:pt>
                <c:pt idx="193">
                  <c:v>181.0</c:v>
                </c:pt>
                <c:pt idx="194">
                  <c:v>181.0</c:v>
                </c:pt>
                <c:pt idx="195">
                  <c:v>182.0</c:v>
                </c:pt>
                <c:pt idx="196">
                  <c:v>182.0</c:v>
                </c:pt>
                <c:pt idx="197">
                  <c:v>182.0</c:v>
                </c:pt>
                <c:pt idx="198">
                  <c:v>182.0</c:v>
                </c:pt>
                <c:pt idx="199">
                  <c:v>183.0</c:v>
                </c:pt>
                <c:pt idx="200">
                  <c:v>183.0</c:v>
                </c:pt>
                <c:pt idx="201">
                  <c:v>183.0</c:v>
                </c:pt>
                <c:pt idx="202">
                  <c:v>183.0</c:v>
                </c:pt>
                <c:pt idx="203">
                  <c:v>184.0</c:v>
                </c:pt>
                <c:pt idx="204">
                  <c:v>184.0</c:v>
                </c:pt>
                <c:pt idx="205">
                  <c:v>184.0</c:v>
                </c:pt>
                <c:pt idx="206">
                  <c:v>184.0</c:v>
                </c:pt>
                <c:pt idx="207">
                  <c:v>185.0</c:v>
                </c:pt>
                <c:pt idx="208">
                  <c:v>185.0</c:v>
                </c:pt>
                <c:pt idx="209">
                  <c:v>185.0</c:v>
                </c:pt>
                <c:pt idx="210">
                  <c:v>185.0</c:v>
                </c:pt>
                <c:pt idx="211">
                  <c:v>186.0</c:v>
                </c:pt>
                <c:pt idx="212">
                  <c:v>186.0</c:v>
                </c:pt>
                <c:pt idx="213">
                  <c:v>186.0</c:v>
                </c:pt>
                <c:pt idx="214">
                  <c:v>186.0</c:v>
                </c:pt>
                <c:pt idx="215">
                  <c:v>187.0</c:v>
                </c:pt>
                <c:pt idx="216">
                  <c:v>187.0</c:v>
                </c:pt>
                <c:pt idx="217">
                  <c:v>187.0</c:v>
                </c:pt>
                <c:pt idx="218">
                  <c:v>187.0</c:v>
                </c:pt>
                <c:pt idx="219">
                  <c:v>188.0</c:v>
                </c:pt>
                <c:pt idx="220">
                  <c:v>188.0</c:v>
                </c:pt>
                <c:pt idx="221">
                  <c:v>188.0</c:v>
                </c:pt>
                <c:pt idx="222">
                  <c:v>188.0</c:v>
                </c:pt>
                <c:pt idx="223">
                  <c:v>189.0</c:v>
                </c:pt>
                <c:pt idx="224">
                  <c:v>189.0</c:v>
                </c:pt>
                <c:pt idx="225">
                  <c:v>189.0</c:v>
                </c:pt>
                <c:pt idx="226">
                  <c:v>189.0</c:v>
                </c:pt>
                <c:pt idx="227">
                  <c:v>190.0</c:v>
                </c:pt>
                <c:pt idx="228">
                  <c:v>190.0</c:v>
                </c:pt>
                <c:pt idx="229">
                  <c:v>190.0</c:v>
                </c:pt>
                <c:pt idx="230">
                  <c:v>190.0</c:v>
                </c:pt>
                <c:pt idx="231">
                  <c:v>191.0</c:v>
                </c:pt>
                <c:pt idx="232">
                  <c:v>191.0</c:v>
                </c:pt>
                <c:pt idx="233">
                  <c:v>191.0</c:v>
                </c:pt>
                <c:pt idx="234">
                  <c:v>191.0</c:v>
                </c:pt>
                <c:pt idx="235">
                  <c:v>192.0</c:v>
                </c:pt>
                <c:pt idx="236">
                  <c:v>192.0</c:v>
                </c:pt>
                <c:pt idx="237">
                  <c:v>192.0</c:v>
                </c:pt>
                <c:pt idx="238">
                  <c:v>192.0</c:v>
                </c:pt>
                <c:pt idx="239">
                  <c:v>193.0</c:v>
                </c:pt>
                <c:pt idx="240">
                  <c:v>193.0</c:v>
                </c:pt>
                <c:pt idx="241">
                  <c:v>193.0</c:v>
                </c:pt>
                <c:pt idx="242">
                  <c:v>193.0</c:v>
                </c:pt>
                <c:pt idx="243">
                  <c:v>194.0</c:v>
                </c:pt>
                <c:pt idx="244">
                  <c:v>194.0</c:v>
                </c:pt>
                <c:pt idx="245">
                  <c:v>194.0</c:v>
                </c:pt>
                <c:pt idx="246">
                  <c:v>194.0</c:v>
                </c:pt>
                <c:pt idx="247">
                  <c:v>195.0</c:v>
                </c:pt>
                <c:pt idx="248">
                  <c:v>195.0</c:v>
                </c:pt>
                <c:pt idx="249">
                  <c:v>195.0</c:v>
                </c:pt>
                <c:pt idx="250">
                  <c:v>195.0</c:v>
                </c:pt>
                <c:pt idx="251">
                  <c:v>196.0</c:v>
                </c:pt>
                <c:pt idx="252">
                  <c:v>196.0</c:v>
                </c:pt>
                <c:pt idx="253">
                  <c:v>196.0</c:v>
                </c:pt>
                <c:pt idx="254">
                  <c:v>196.0</c:v>
                </c:pt>
                <c:pt idx="255">
                  <c:v>197.0</c:v>
                </c:pt>
                <c:pt idx="256">
                  <c:v>197.0</c:v>
                </c:pt>
                <c:pt idx="257">
                  <c:v>197.0</c:v>
                </c:pt>
                <c:pt idx="258">
                  <c:v>197.0</c:v>
                </c:pt>
                <c:pt idx="259">
                  <c:v>198.0</c:v>
                </c:pt>
                <c:pt idx="260">
                  <c:v>198.0</c:v>
                </c:pt>
                <c:pt idx="261">
                  <c:v>198.0</c:v>
                </c:pt>
                <c:pt idx="262">
                  <c:v>198.0</c:v>
                </c:pt>
                <c:pt idx="263">
                  <c:v>199.0</c:v>
                </c:pt>
                <c:pt idx="264">
                  <c:v>199.0</c:v>
                </c:pt>
                <c:pt idx="265">
                  <c:v>199.0</c:v>
                </c:pt>
                <c:pt idx="266">
                  <c:v>199.0</c:v>
                </c:pt>
                <c:pt idx="267">
                  <c:v>200.0</c:v>
                </c:pt>
                <c:pt idx="268">
                  <c:v>200.0</c:v>
                </c:pt>
                <c:pt idx="269">
                  <c:v>200.0</c:v>
                </c:pt>
                <c:pt idx="270">
                  <c:v>200.0</c:v>
                </c:pt>
                <c:pt idx="271">
                  <c:v>201.0</c:v>
                </c:pt>
                <c:pt idx="272">
                  <c:v>201.0</c:v>
                </c:pt>
                <c:pt idx="273">
                  <c:v>201.0</c:v>
                </c:pt>
                <c:pt idx="274">
                  <c:v>201.0</c:v>
                </c:pt>
                <c:pt idx="275">
                  <c:v>202.0</c:v>
                </c:pt>
                <c:pt idx="276">
                  <c:v>202.0</c:v>
                </c:pt>
                <c:pt idx="277">
                  <c:v>202.0</c:v>
                </c:pt>
                <c:pt idx="278">
                  <c:v>202.0</c:v>
                </c:pt>
                <c:pt idx="279">
                  <c:v>203.0</c:v>
                </c:pt>
                <c:pt idx="280">
                  <c:v>203.0</c:v>
                </c:pt>
                <c:pt idx="281">
                  <c:v>203.0</c:v>
                </c:pt>
                <c:pt idx="282">
                  <c:v>203.0</c:v>
                </c:pt>
                <c:pt idx="283">
                  <c:v>204.0</c:v>
                </c:pt>
                <c:pt idx="284">
                  <c:v>204.0</c:v>
                </c:pt>
                <c:pt idx="285">
                  <c:v>204.0</c:v>
                </c:pt>
                <c:pt idx="286">
                  <c:v>204.0</c:v>
                </c:pt>
                <c:pt idx="287">
                  <c:v>205.0</c:v>
                </c:pt>
                <c:pt idx="288">
                  <c:v>205.0</c:v>
                </c:pt>
                <c:pt idx="289">
                  <c:v>205.0</c:v>
                </c:pt>
                <c:pt idx="290">
                  <c:v>205.0</c:v>
                </c:pt>
                <c:pt idx="291">
                  <c:v>206.0</c:v>
                </c:pt>
                <c:pt idx="292">
                  <c:v>206.0</c:v>
                </c:pt>
                <c:pt idx="293">
                  <c:v>206.0</c:v>
                </c:pt>
                <c:pt idx="294">
                  <c:v>206.0</c:v>
                </c:pt>
                <c:pt idx="295">
                  <c:v>207.0</c:v>
                </c:pt>
                <c:pt idx="296">
                  <c:v>207.0</c:v>
                </c:pt>
                <c:pt idx="297">
                  <c:v>207.0</c:v>
                </c:pt>
                <c:pt idx="298">
                  <c:v>207.0</c:v>
                </c:pt>
                <c:pt idx="299">
                  <c:v>208.0</c:v>
                </c:pt>
              </c:numCache>
            </c:numRef>
          </c:val>
          <c:smooth val="0"/>
        </c:ser>
        <c:ser>
          <c:idx val="1"/>
          <c:order val="1"/>
          <c:tx>
            <c:v>リリース時</c:v>
          </c:tx>
          <c:spPr>
            <a:ln>
              <a:solidFill>
                <a:schemeClr val="tx2"/>
              </a:solidFill>
            </a:ln>
          </c:spPr>
          <c:marker>
            <c:symbol val="none"/>
          </c:marker>
          <c:cat>
            <c:strRef>
              <c:f>player_ranks_uprev1609_2!$A$1:$A$301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player_ranks_old!$C$2:$C$301</c:f>
              <c:numCache>
                <c:formatCode>General</c:formatCode>
                <c:ptCount val="300"/>
                <c:pt idx="0">
                  <c:v>40.0</c:v>
                </c:pt>
                <c:pt idx="1">
                  <c:v>41.0</c:v>
                </c:pt>
                <c:pt idx="2">
                  <c:v>41.0</c:v>
                </c:pt>
                <c:pt idx="3">
                  <c:v>42.0</c:v>
                </c:pt>
                <c:pt idx="4">
                  <c:v>47.0</c:v>
                </c:pt>
                <c:pt idx="5">
                  <c:v>48.0</c:v>
                </c:pt>
                <c:pt idx="6">
                  <c:v>48.0</c:v>
                </c:pt>
                <c:pt idx="7">
                  <c:v>49.0</c:v>
                </c:pt>
                <c:pt idx="8">
                  <c:v>49.0</c:v>
                </c:pt>
                <c:pt idx="9">
                  <c:v>54.0</c:v>
                </c:pt>
                <c:pt idx="10">
                  <c:v>54.0</c:v>
                </c:pt>
                <c:pt idx="11">
                  <c:v>55.0</c:v>
                </c:pt>
                <c:pt idx="12">
                  <c:v>55.0</c:v>
                </c:pt>
                <c:pt idx="13">
                  <c:v>56.0</c:v>
                </c:pt>
                <c:pt idx="14">
                  <c:v>61.0</c:v>
                </c:pt>
                <c:pt idx="15">
                  <c:v>62.0</c:v>
                </c:pt>
                <c:pt idx="16">
                  <c:v>62.0</c:v>
                </c:pt>
                <c:pt idx="17">
                  <c:v>63.0</c:v>
                </c:pt>
                <c:pt idx="18">
                  <c:v>63.0</c:v>
                </c:pt>
                <c:pt idx="19">
                  <c:v>68.0</c:v>
                </c:pt>
                <c:pt idx="20">
                  <c:v>68.0</c:v>
                </c:pt>
                <c:pt idx="21">
                  <c:v>69.0</c:v>
                </c:pt>
                <c:pt idx="22">
                  <c:v>69.0</c:v>
                </c:pt>
                <c:pt idx="23">
                  <c:v>70.0</c:v>
                </c:pt>
                <c:pt idx="24">
                  <c:v>75.0</c:v>
                </c:pt>
                <c:pt idx="25">
                  <c:v>76.0</c:v>
                </c:pt>
                <c:pt idx="26">
                  <c:v>76.0</c:v>
                </c:pt>
                <c:pt idx="27">
                  <c:v>77.0</c:v>
                </c:pt>
                <c:pt idx="28">
                  <c:v>77.0</c:v>
                </c:pt>
                <c:pt idx="29">
                  <c:v>80.0</c:v>
                </c:pt>
                <c:pt idx="30">
                  <c:v>80.0</c:v>
                </c:pt>
                <c:pt idx="31">
                  <c:v>81.0</c:v>
                </c:pt>
                <c:pt idx="32">
                  <c:v>81.0</c:v>
                </c:pt>
                <c:pt idx="33">
                  <c:v>82.0</c:v>
                </c:pt>
                <c:pt idx="34">
                  <c:v>85.0</c:v>
                </c:pt>
                <c:pt idx="35">
                  <c:v>86.0</c:v>
                </c:pt>
                <c:pt idx="36">
                  <c:v>86.0</c:v>
                </c:pt>
                <c:pt idx="37">
                  <c:v>87.0</c:v>
                </c:pt>
                <c:pt idx="38">
                  <c:v>87.0</c:v>
                </c:pt>
                <c:pt idx="39">
                  <c:v>90.0</c:v>
                </c:pt>
                <c:pt idx="40">
                  <c:v>90.0</c:v>
                </c:pt>
                <c:pt idx="41">
                  <c:v>91.0</c:v>
                </c:pt>
                <c:pt idx="42">
                  <c:v>91.0</c:v>
                </c:pt>
                <c:pt idx="43">
                  <c:v>92.0</c:v>
                </c:pt>
                <c:pt idx="44">
                  <c:v>95.0</c:v>
                </c:pt>
                <c:pt idx="45">
                  <c:v>96.0</c:v>
                </c:pt>
                <c:pt idx="46">
                  <c:v>96.0</c:v>
                </c:pt>
                <c:pt idx="47">
                  <c:v>97.0</c:v>
                </c:pt>
                <c:pt idx="48">
                  <c:v>97.0</c:v>
                </c:pt>
                <c:pt idx="49">
                  <c:v>100.0</c:v>
                </c:pt>
                <c:pt idx="50">
                  <c:v>100.0</c:v>
                </c:pt>
                <c:pt idx="51">
                  <c:v>101.0</c:v>
                </c:pt>
                <c:pt idx="52">
                  <c:v>101.0</c:v>
                </c:pt>
                <c:pt idx="53">
                  <c:v>102.0</c:v>
                </c:pt>
                <c:pt idx="54">
                  <c:v>105.0</c:v>
                </c:pt>
                <c:pt idx="55">
                  <c:v>106.0</c:v>
                </c:pt>
                <c:pt idx="56">
                  <c:v>106.0</c:v>
                </c:pt>
                <c:pt idx="57">
                  <c:v>107.0</c:v>
                </c:pt>
                <c:pt idx="58">
                  <c:v>107.0</c:v>
                </c:pt>
                <c:pt idx="59">
                  <c:v>110.0</c:v>
                </c:pt>
                <c:pt idx="60">
                  <c:v>110.0</c:v>
                </c:pt>
                <c:pt idx="61">
                  <c:v>111.0</c:v>
                </c:pt>
                <c:pt idx="62">
                  <c:v>111.0</c:v>
                </c:pt>
                <c:pt idx="63">
                  <c:v>112.0</c:v>
                </c:pt>
                <c:pt idx="64">
                  <c:v>115.0</c:v>
                </c:pt>
                <c:pt idx="65">
                  <c:v>116.0</c:v>
                </c:pt>
                <c:pt idx="66">
                  <c:v>116.0</c:v>
                </c:pt>
                <c:pt idx="67">
                  <c:v>117.0</c:v>
                </c:pt>
                <c:pt idx="68">
                  <c:v>117.0</c:v>
                </c:pt>
                <c:pt idx="69">
                  <c:v>120.0</c:v>
                </c:pt>
                <c:pt idx="70">
                  <c:v>120.0</c:v>
                </c:pt>
                <c:pt idx="71">
                  <c:v>121.0</c:v>
                </c:pt>
                <c:pt idx="72">
                  <c:v>121.0</c:v>
                </c:pt>
                <c:pt idx="73">
                  <c:v>122.0</c:v>
                </c:pt>
                <c:pt idx="74">
                  <c:v>125.0</c:v>
                </c:pt>
                <c:pt idx="75">
                  <c:v>126.0</c:v>
                </c:pt>
                <c:pt idx="76">
                  <c:v>126.0</c:v>
                </c:pt>
                <c:pt idx="77">
                  <c:v>127.0</c:v>
                </c:pt>
                <c:pt idx="78">
                  <c:v>127.0</c:v>
                </c:pt>
                <c:pt idx="79">
                  <c:v>130.0</c:v>
                </c:pt>
                <c:pt idx="80">
                  <c:v>130.0</c:v>
                </c:pt>
                <c:pt idx="81">
                  <c:v>131.0</c:v>
                </c:pt>
                <c:pt idx="82">
                  <c:v>131.0</c:v>
                </c:pt>
                <c:pt idx="83">
                  <c:v>132.0</c:v>
                </c:pt>
                <c:pt idx="84">
                  <c:v>135.0</c:v>
                </c:pt>
                <c:pt idx="85">
                  <c:v>136.0</c:v>
                </c:pt>
                <c:pt idx="86">
                  <c:v>136.0</c:v>
                </c:pt>
                <c:pt idx="87">
                  <c:v>137.0</c:v>
                </c:pt>
                <c:pt idx="88">
                  <c:v>137.0</c:v>
                </c:pt>
                <c:pt idx="89">
                  <c:v>140.0</c:v>
                </c:pt>
                <c:pt idx="90">
                  <c:v>140.0</c:v>
                </c:pt>
                <c:pt idx="91">
                  <c:v>141.0</c:v>
                </c:pt>
                <c:pt idx="92">
                  <c:v>141.0</c:v>
                </c:pt>
                <c:pt idx="93">
                  <c:v>142.0</c:v>
                </c:pt>
                <c:pt idx="94">
                  <c:v>145.0</c:v>
                </c:pt>
                <c:pt idx="95">
                  <c:v>146.0</c:v>
                </c:pt>
                <c:pt idx="96">
                  <c:v>146.0</c:v>
                </c:pt>
                <c:pt idx="97">
                  <c:v>147.0</c:v>
                </c:pt>
                <c:pt idx="98">
                  <c:v>147.0</c:v>
                </c:pt>
                <c:pt idx="99">
                  <c:v>148.0</c:v>
                </c:pt>
                <c:pt idx="100">
                  <c:v>148.0</c:v>
                </c:pt>
                <c:pt idx="101">
                  <c:v>148.0</c:v>
                </c:pt>
                <c:pt idx="102">
                  <c:v>148.0</c:v>
                </c:pt>
                <c:pt idx="103">
                  <c:v>149.0</c:v>
                </c:pt>
                <c:pt idx="104">
                  <c:v>149.0</c:v>
                </c:pt>
                <c:pt idx="105">
                  <c:v>149.0</c:v>
                </c:pt>
                <c:pt idx="106">
                  <c:v>149.0</c:v>
                </c:pt>
                <c:pt idx="107">
                  <c:v>150.0</c:v>
                </c:pt>
                <c:pt idx="108">
                  <c:v>150.0</c:v>
                </c:pt>
                <c:pt idx="109">
                  <c:v>150.0</c:v>
                </c:pt>
                <c:pt idx="110">
                  <c:v>150.0</c:v>
                </c:pt>
                <c:pt idx="111">
                  <c:v>151.0</c:v>
                </c:pt>
                <c:pt idx="112">
                  <c:v>151.0</c:v>
                </c:pt>
                <c:pt idx="113">
                  <c:v>151.0</c:v>
                </c:pt>
                <c:pt idx="114">
                  <c:v>151.0</c:v>
                </c:pt>
                <c:pt idx="115">
                  <c:v>152.0</c:v>
                </c:pt>
                <c:pt idx="116">
                  <c:v>152.0</c:v>
                </c:pt>
                <c:pt idx="117">
                  <c:v>152.0</c:v>
                </c:pt>
                <c:pt idx="118">
                  <c:v>152.0</c:v>
                </c:pt>
                <c:pt idx="119">
                  <c:v>153.0</c:v>
                </c:pt>
                <c:pt idx="120">
                  <c:v>153.0</c:v>
                </c:pt>
                <c:pt idx="121">
                  <c:v>153.0</c:v>
                </c:pt>
                <c:pt idx="122">
                  <c:v>153.0</c:v>
                </c:pt>
                <c:pt idx="123">
                  <c:v>154.0</c:v>
                </c:pt>
                <c:pt idx="124">
                  <c:v>154.0</c:v>
                </c:pt>
                <c:pt idx="125">
                  <c:v>154.0</c:v>
                </c:pt>
                <c:pt idx="126">
                  <c:v>154.0</c:v>
                </c:pt>
                <c:pt idx="127">
                  <c:v>155.0</c:v>
                </c:pt>
                <c:pt idx="128">
                  <c:v>155.0</c:v>
                </c:pt>
                <c:pt idx="129">
                  <c:v>155.0</c:v>
                </c:pt>
                <c:pt idx="130">
                  <c:v>155.0</c:v>
                </c:pt>
                <c:pt idx="131">
                  <c:v>156.0</c:v>
                </c:pt>
                <c:pt idx="132">
                  <c:v>156.0</c:v>
                </c:pt>
                <c:pt idx="133">
                  <c:v>156.0</c:v>
                </c:pt>
                <c:pt idx="134">
                  <c:v>156.0</c:v>
                </c:pt>
                <c:pt idx="135">
                  <c:v>157.0</c:v>
                </c:pt>
                <c:pt idx="136">
                  <c:v>157.0</c:v>
                </c:pt>
                <c:pt idx="137">
                  <c:v>157.0</c:v>
                </c:pt>
                <c:pt idx="138">
                  <c:v>157.0</c:v>
                </c:pt>
                <c:pt idx="139">
                  <c:v>158.0</c:v>
                </c:pt>
                <c:pt idx="140">
                  <c:v>158.0</c:v>
                </c:pt>
                <c:pt idx="141">
                  <c:v>158.0</c:v>
                </c:pt>
                <c:pt idx="142">
                  <c:v>158.0</c:v>
                </c:pt>
                <c:pt idx="143">
                  <c:v>159.0</c:v>
                </c:pt>
                <c:pt idx="144">
                  <c:v>159.0</c:v>
                </c:pt>
                <c:pt idx="145">
                  <c:v>159.0</c:v>
                </c:pt>
                <c:pt idx="146">
                  <c:v>159.0</c:v>
                </c:pt>
                <c:pt idx="147">
                  <c:v>160.0</c:v>
                </c:pt>
                <c:pt idx="148">
                  <c:v>160.0</c:v>
                </c:pt>
                <c:pt idx="149">
                  <c:v>160.0</c:v>
                </c:pt>
                <c:pt idx="150">
                  <c:v>160.0</c:v>
                </c:pt>
                <c:pt idx="151">
                  <c:v>161.0</c:v>
                </c:pt>
                <c:pt idx="152">
                  <c:v>161.0</c:v>
                </c:pt>
                <c:pt idx="153">
                  <c:v>161.0</c:v>
                </c:pt>
                <c:pt idx="154">
                  <c:v>161.0</c:v>
                </c:pt>
                <c:pt idx="155">
                  <c:v>162.0</c:v>
                </c:pt>
                <c:pt idx="156">
                  <c:v>162.0</c:v>
                </c:pt>
                <c:pt idx="157">
                  <c:v>162.0</c:v>
                </c:pt>
                <c:pt idx="158">
                  <c:v>162.0</c:v>
                </c:pt>
                <c:pt idx="159">
                  <c:v>163.0</c:v>
                </c:pt>
                <c:pt idx="160">
                  <c:v>163.0</c:v>
                </c:pt>
                <c:pt idx="161">
                  <c:v>163.0</c:v>
                </c:pt>
                <c:pt idx="162">
                  <c:v>163.0</c:v>
                </c:pt>
                <c:pt idx="163">
                  <c:v>164.0</c:v>
                </c:pt>
                <c:pt idx="164">
                  <c:v>164.0</c:v>
                </c:pt>
                <c:pt idx="165">
                  <c:v>164.0</c:v>
                </c:pt>
                <c:pt idx="166">
                  <c:v>164.0</c:v>
                </c:pt>
                <c:pt idx="167">
                  <c:v>165.0</c:v>
                </c:pt>
                <c:pt idx="168">
                  <c:v>165.0</c:v>
                </c:pt>
                <c:pt idx="169">
                  <c:v>165.0</c:v>
                </c:pt>
                <c:pt idx="170">
                  <c:v>165.0</c:v>
                </c:pt>
                <c:pt idx="171">
                  <c:v>166.0</c:v>
                </c:pt>
                <c:pt idx="172">
                  <c:v>166.0</c:v>
                </c:pt>
                <c:pt idx="173">
                  <c:v>166.0</c:v>
                </c:pt>
                <c:pt idx="174">
                  <c:v>166.0</c:v>
                </c:pt>
                <c:pt idx="175">
                  <c:v>167.0</c:v>
                </c:pt>
                <c:pt idx="176">
                  <c:v>167.0</c:v>
                </c:pt>
                <c:pt idx="177">
                  <c:v>167.0</c:v>
                </c:pt>
                <c:pt idx="178">
                  <c:v>167.0</c:v>
                </c:pt>
                <c:pt idx="179">
                  <c:v>168.0</c:v>
                </c:pt>
                <c:pt idx="180">
                  <c:v>168.0</c:v>
                </c:pt>
                <c:pt idx="181">
                  <c:v>168.0</c:v>
                </c:pt>
                <c:pt idx="182">
                  <c:v>168.0</c:v>
                </c:pt>
                <c:pt idx="183">
                  <c:v>169.0</c:v>
                </c:pt>
                <c:pt idx="184">
                  <c:v>169.0</c:v>
                </c:pt>
                <c:pt idx="185">
                  <c:v>169.0</c:v>
                </c:pt>
                <c:pt idx="186">
                  <c:v>169.0</c:v>
                </c:pt>
                <c:pt idx="187">
                  <c:v>170.0</c:v>
                </c:pt>
                <c:pt idx="188">
                  <c:v>170.0</c:v>
                </c:pt>
                <c:pt idx="189">
                  <c:v>170.0</c:v>
                </c:pt>
                <c:pt idx="190">
                  <c:v>170.0</c:v>
                </c:pt>
                <c:pt idx="191">
                  <c:v>171.0</c:v>
                </c:pt>
                <c:pt idx="192">
                  <c:v>171.0</c:v>
                </c:pt>
                <c:pt idx="193">
                  <c:v>171.0</c:v>
                </c:pt>
                <c:pt idx="194">
                  <c:v>171.0</c:v>
                </c:pt>
                <c:pt idx="195">
                  <c:v>172.0</c:v>
                </c:pt>
                <c:pt idx="196">
                  <c:v>172.0</c:v>
                </c:pt>
                <c:pt idx="197">
                  <c:v>172.0</c:v>
                </c:pt>
                <c:pt idx="198">
                  <c:v>172.0</c:v>
                </c:pt>
                <c:pt idx="199">
                  <c:v>173.0</c:v>
                </c:pt>
                <c:pt idx="200">
                  <c:v>173.0</c:v>
                </c:pt>
                <c:pt idx="201">
                  <c:v>173.0</c:v>
                </c:pt>
                <c:pt idx="202">
                  <c:v>173.0</c:v>
                </c:pt>
                <c:pt idx="203">
                  <c:v>174.0</c:v>
                </c:pt>
                <c:pt idx="204">
                  <c:v>174.0</c:v>
                </c:pt>
                <c:pt idx="205">
                  <c:v>174.0</c:v>
                </c:pt>
                <c:pt idx="206">
                  <c:v>174.0</c:v>
                </c:pt>
                <c:pt idx="207">
                  <c:v>175.0</c:v>
                </c:pt>
                <c:pt idx="208">
                  <c:v>175.0</c:v>
                </c:pt>
                <c:pt idx="209">
                  <c:v>175.0</c:v>
                </c:pt>
                <c:pt idx="210">
                  <c:v>175.0</c:v>
                </c:pt>
                <c:pt idx="211">
                  <c:v>176.0</c:v>
                </c:pt>
                <c:pt idx="212">
                  <c:v>176.0</c:v>
                </c:pt>
                <c:pt idx="213">
                  <c:v>176.0</c:v>
                </c:pt>
                <c:pt idx="214">
                  <c:v>176.0</c:v>
                </c:pt>
                <c:pt idx="215">
                  <c:v>177.0</c:v>
                </c:pt>
                <c:pt idx="216">
                  <c:v>177.0</c:v>
                </c:pt>
                <c:pt idx="217">
                  <c:v>177.0</c:v>
                </c:pt>
                <c:pt idx="218">
                  <c:v>177.0</c:v>
                </c:pt>
                <c:pt idx="219">
                  <c:v>178.0</c:v>
                </c:pt>
                <c:pt idx="220">
                  <c:v>178.0</c:v>
                </c:pt>
                <c:pt idx="221">
                  <c:v>178.0</c:v>
                </c:pt>
                <c:pt idx="222">
                  <c:v>178.0</c:v>
                </c:pt>
                <c:pt idx="223">
                  <c:v>179.0</c:v>
                </c:pt>
                <c:pt idx="224">
                  <c:v>179.0</c:v>
                </c:pt>
                <c:pt idx="225">
                  <c:v>179.0</c:v>
                </c:pt>
                <c:pt idx="226">
                  <c:v>179.0</c:v>
                </c:pt>
                <c:pt idx="227">
                  <c:v>180.0</c:v>
                </c:pt>
                <c:pt idx="228">
                  <c:v>180.0</c:v>
                </c:pt>
                <c:pt idx="229">
                  <c:v>180.0</c:v>
                </c:pt>
                <c:pt idx="230">
                  <c:v>180.0</c:v>
                </c:pt>
                <c:pt idx="231">
                  <c:v>181.0</c:v>
                </c:pt>
                <c:pt idx="232">
                  <c:v>181.0</c:v>
                </c:pt>
                <c:pt idx="233">
                  <c:v>181.0</c:v>
                </c:pt>
                <c:pt idx="234">
                  <c:v>181.0</c:v>
                </c:pt>
                <c:pt idx="235">
                  <c:v>182.0</c:v>
                </c:pt>
                <c:pt idx="236">
                  <c:v>182.0</c:v>
                </c:pt>
                <c:pt idx="237">
                  <c:v>182.0</c:v>
                </c:pt>
                <c:pt idx="238">
                  <c:v>182.0</c:v>
                </c:pt>
                <c:pt idx="239">
                  <c:v>183.0</c:v>
                </c:pt>
                <c:pt idx="240">
                  <c:v>183.0</c:v>
                </c:pt>
                <c:pt idx="241">
                  <c:v>183.0</c:v>
                </c:pt>
                <c:pt idx="242">
                  <c:v>183.0</c:v>
                </c:pt>
                <c:pt idx="243">
                  <c:v>184.0</c:v>
                </c:pt>
                <c:pt idx="244">
                  <c:v>184.0</c:v>
                </c:pt>
                <c:pt idx="245">
                  <c:v>184.0</c:v>
                </c:pt>
                <c:pt idx="246">
                  <c:v>184.0</c:v>
                </c:pt>
                <c:pt idx="247">
                  <c:v>185.0</c:v>
                </c:pt>
                <c:pt idx="248">
                  <c:v>185.0</c:v>
                </c:pt>
                <c:pt idx="249">
                  <c:v>185.0</c:v>
                </c:pt>
                <c:pt idx="250">
                  <c:v>185.0</c:v>
                </c:pt>
                <c:pt idx="251">
                  <c:v>186.0</c:v>
                </c:pt>
                <c:pt idx="252">
                  <c:v>186.0</c:v>
                </c:pt>
                <c:pt idx="253">
                  <c:v>186.0</c:v>
                </c:pt>
                <c:pt idx="254">
                  <c:v>186.0</c:v>
                </c:pt>
                <c:pt idx="255">
                  <c:v>187.0</c:v>
                </c:pt>
                <c:pt idx="256">
                  <c:v>187.0</c:v>
                </c:pt>
                <c:pt idx="257">
                  <c:v>187.0</c:v>
                </c:pt>
                <c:pt idx="258">
                  <c:v>187.0</c:v>
                </c:pt>
                <c:pt idx="259">
                  <c:v>188.0</c:v>
                </c:pt>
                <c:pt idx="260">
                  <c:v>188.0</c:v>
                </c:pt>
                <c:pt idx="261">
                  <c:v>188.0</c:v>
                </c:pt>
                <c:pt idx="262">
                  <c:v>188.0</c:v>
                </c:pt>
                <c:pt idx="263">
                  <c:v>189.0</c:v>
                </c:pt>
                <c:pt idx="264">
                  <c:v>189.0</c:v>
                </c:pt>
                <c:pt idx="265">
                  <c:v>189.0</c:v>
                </c:pt>
                <c:pt idx="266">
                  <c:v>189.0</c:v>
                </c:pt>
                <c:pt idx="267">
                  <c:v>190.0</c:v>
                </c:pt>
                <c:pt idx="268">
                  <c:v>190.0</c:v>
                </c:pt>
                <c:pt idx="269">
                  <c:v>190.0</c:v>
                </c:pt>
                <c:pt idx="270">
                  <c:v>190.0</c:v>
                </c:pt>
                <c:pt idx="271">
                  <c:v>191.0</c:v>
                </c:pt>
                <c:pt idx="272">
                  <c:v>191.0</c:v>
                </c:pt>
                <c:pt idx="273">
                  <c:v>191.0</c:v>
                </c:pt>
                <c:pt idx="274">
                  <c:v>191.0</c:v>
                </c:pt>
                <c:pt idx="275">
                  <c:v>192.0</c:v>
                </c:pt>
                <c:pt idx="276">
                  <c:v>192.0</c:v>
                </c:pt>
                <c:pt idx="277">
                  <c:v>192.0</c:v>
                </c:pt>
                <c:pt idx="278">
                  <c:v>192.0</c:v>
                </c:pt>
                <c:pt idx="279">
                  <c:v>193.0</c:v>
                </c:pt>
                <c:pt idx="280">
                  <c:v>193.0</c:v>
                </c:pt>
                <c:pt idx="281">
                  <c:v>193.0</c:v>
                </c:pt>
                <c:pt idx="282">
                  <c:v>193.0</c:v>
                </c:pt>
                <c:pt idx="283">
                  <c:v>194.0</c:v>
                </c:pt>
                <c:pt idx="284">
                  <c:v>194.0</c:v>
                </c:pt>
                <c:pt idx="285">
                  <c:v>194.0</c:v>
                </c:pt>
                <c:pt idx="286">
                  <c:v>194.0</c:v>
                </c:pt>
                <c:pt idx="287">
                  <c:v>195.0</c:v>
                </c:pt>
                <c:pt idx="288">
                  <c:v>195.0</c:v>
                </c:pt>
                <c:pt idx="289">
                  <c:v>195.0</c:v>
                </c:pt>
                <c:pt idx="290">
                  <c:v>195.0</c:v>
                </c:pt>
                <c:pt idx="291">
                  <c:v>196.0</c:v>
                </c:pt>
                <c:pt idx="292">
                  <c:v>196.0</c:v>
                </c:pt>
                <c:pt idx="293">
                  <c:v>196.0</c:v>
                </c:pt>
                <c:pt idx="294">
                  <c:v>196.0</c:v>
                </c:pt>
                <c:pt idx="295">
                  <c:v>197.0</c:v>
                </c:pt>
                <c:pt idx="296">
                  <c:v>197.0</c:v>
                </c:pt>
                <c:pt idx="297">
                  <c:v>197.0</c:v>
                </c:pt>
                <c:pt idx="298">
                  <c:v>197.0</c:v>
                </c:pt>
                <c:pt idx="299">
                  <c:v>198.0</c:v>
                </c:pt>
              </c:numCache>
            </c:numRef>
          </c:val>
          <c:smooth val="0"/>
        </c:ser>
        <c:ser>
          <c:idx val="2"/>
          <c:order val="2"/>
          <c:tx>
            <c:v>調整２回目</c:v>
          </c:tx>
          <c:marker>
            <c:symbol val="none"/>
          </c:marker>
          <c:cat>
            <c:strRef>
              <c:f>player_ranks_uprev1609_2!$A$1:$A$301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player_ranks_uprev1609_2!$C$2:$C$301</c:f>
              <c:numCache>
                <c:formatCode>General</c:formatCode>
                <c:ptCount val="300"/>
                <c:pt idx="0">
                  <c:v>121.0</c:v>
                </c:pt>
                <c:pt idx="1">
                  <c:v>122.0</c:v>
                </c:pt>
                <c:pt idx="2">
                  <c:v>123.0</c:v>
                </c:pt>
                <c:pt idx="3">
                  <c:v>124.0</c:v>
                </c:pt>
                <c:pt idx="4">
                  <c:v>125.0</c:v>
                </c:pt>
                <c:pt idx="5">
                  <c:v>126.0</c:v>
                </c:pt>
                <c:pt idx="6">
                  <c:v>127.0</c:v>
                </c:pt>
                <c:pt idx="7">
                  <c:v>128.0</c:v>
                </c:pt>
                <c:pt idx="8">
                  <c:v>129.0</c:v>
                </c:pt>
                <c:pt idx="9">
                  <c:v>130.0</c:v>
                </c:pt>
                <c:pt idx="10">
                  <c:v>131.0</c:v>
                </c:pt>
                <c:pt idx="11">
                  <c:v>132.0</c:v>
                </c:pt>
                <c:pt idx="12">
                  <c:v>133.0</c:v>
                </c:pt>
                <c:pt idx="13">
                  <c:v>134.0</c:v>
                </c:pt>
                <c:pt idx="14">
                  <c:v>135.0</c:v>
                </c:pt>
                <c:pt idx="15">
                  <c:v>136.0</c:v>
                </c:pt>
                <c:pt idx="16">
                  <c:v>137.0</c:v>
                </c:pt>
                <c:pt idx="17">
                  <c:v>138.0</c:v>
                </c:pt>
                <c:pt idx="18">
                  <c:v>139.0</c:v>
                </c:pt>
                <c:pt idx="19">
                  <c:v>140.0</c:v>
                </c:pt>
                <c:pt idx="20">
                  <c:v>141.0</c:v>
                </c:pt>
                <c:pt idx="21">
                  <c:v>142.0</c:v>
                </c:pt>
                <c:pt idx="22">
                  <c:v>143.0</c:v>
                </c:pt>
                <c:pt idx="23">
                  <c:v>144.0</c:v>
                </c:pt>
                <c:pt idx="24">
                  <c:v>145.0</c:v>
                </c:pt>
                <c:pt idx="25">
                  <c:v>146.0</c:v>
                </c:pt>
                <c:pt idx="26">
                  <c:v>147.0</c:v>
                </c:pt>
                <c:pt idx="27">
                  <c:v>148.0</c:v>
                </c:pt>
                <c:pt idx="28">
                  <c:v>149.0</c:v>
                </c:pt>
                <c:pt idx="29">
                  <c:v>150.0</c:v>
                </c:pt>
                <c:pt idx="30">
                  <c:v>150.0</c:v>
                </c:pt>
                <c:pt idx="31">
                  <c:v>151.0</c:v>
                </c:pt>
                <c:pt idx="32">
                  <c:v>152.0</c:v>
                </c:pt>
                <c:pt idx="33">
                  <c:v>153.0</c:v>
                </c:pt>
                <c:pt idx="34">
                  <c:v>153.0</c:v>
                </c:pt>
                <c:pt idx="35">
                  <c:v>154.0</c:v>
                </c:pt>
                <c:pt idx="36">
                  <c:v>155.0</c:v>
                </c:pt>
                <c:pt idx="37">
                  <c:v>156.0</c:v>
                </c:pt>
                <c:pt idx="38">
                  <c:v>156.0</c:v>
                </c:pt>
                <c:pt idx="39">
                  <c:v>157.0</c:v>
                </c:pt>
                <c:pt idx="40">
                  <c:v>158.0</c:v>
                </c:pt>
                <c:pt idx="41">
                  <c:v>159.0</c:v>
                </c:pt>
                <c:pt idx="42">
                  <c:v>159.0</c:v>
                </c:pt>
                <c:pt idx="43">
                  <c:v>160.0</c:v>
                </c:pt>
                <c:pt idx="44">
                  <c:v>161.0</c:v>
                </c:pt>
                <c:pt idx="45">
                  <c:v>162.0</c:v>
                </c:pt>
                <c:pt idx="46">
                  <c:v>162.0</c:v>
                </c:pt>
                <c:pt idx="47">
                  <c:v>163.0</c:v>
                </c:pt>
                <c:pt idx="48">
                  <c:v>164.0</c:v>
                </c:pt>
                <c:pt idx="49">
                  <c:v>165.0</c:v>
                </c:pt>
                <c:pt idx="50">
                  <c:v>165.0</c:v>
                </c:pt>
                <c:pt idx="51">
                  <c:v>166.0</c:v>
                </c:pt>
                <c:pt idx="52">
                  <c:v>166.0</c:v>
                </c:pt>
                <c:pt idx="53">
                  <c:v>166.0</c:v>
                </c:pt>
                <c:pt idx="54">
                  <c:v>166.0</c:v>
                </c:pt>
                <c:pt idx="55">
                  <c:v>167.0</c:v>
                </c:pt>
                <c:pt idx="56">
                  <c:v>167.0</c:v>
                </c:pt>
                <c:pt idx="57">
                  <c:v>167.0</c:v>
                </c:pt>
                <c:pt idx="58">
                  <c:v>167.0</c:v>
                </c:pt>
                <c:pt idx="59">
                  <c:v>168.0</c:v>
                </c:pt>
                <c:pt idx="60">
                  <c:v>168.0</c:v>
                </c:pt>
                <c:pt idx="61">
                  <c:v>168.0</c:v>
                </c:pt>
                <c:pt idx="62">
                  <c:v>168.0</c:v>
                </c:pt>
                <c:pt idx="63">
                  <c:v>169.0</c:v>
                </c:pt>
                <c:pt idx="64">
                  <c:v>169.0</c:v>
                </c:pt>
                <c:pt idx="65">
                  <c:v>169.0</c:v>
                </c:pt>
                <c:pt idx="66">
                  <c:v>169.0</c:v>
                </c:pt>
                <c:pt idx="67">
                  <c:v>170.0</c:v>
                </c:pt>
                <c:pt idx="68">
                  <c:v>170.0</c:v>
                </c:pt>
                <c:pt idx="69">
                  <c:v>170.0</c:v>
                </c:pt>
                <c:pt idx="70">
                  <c:v>170.0</c:v>
                </c:pt>
                <c:pt idx="71">
                  <c:v>171.0</c:v>
                </c:pt>
                <c:pt idx="72">
                  <c:v>171.0</c:v>
                </c:pt>
                <c:pt idx="73">
                  <c:v>171.0</c:v>
                </c:pt>
                <c:pt idx="74">
                  <c:v>171.0</c:v>
                </c:pt>
                <c:pt idx="75">
                  <c:v>172.0</c:v>
                </c:pt>
                <c:pt idx="76">
                  <c:v>172.0</c:v>
                </c:pt>
                <c:pt idx="77">
                  <c:v>172.0</c:v>
                </c:pt>
                <c:pt idx="78">
                  <c:v>172.0</c:v>
                </c:pt>
                <c:pt idx="79">
                  <c:v>173.0</c:v>
                </c:pt>
                <c:pt idx="80">
                  <c:v>173.0</c:v>
                </c:pt>
                <c:pt idx="81">
                  <c:v>173.0</c:v>
                </c:pt>
                <c:pt idx="82">
                  <c:v>173.0</c:v>
                </c:pt>
                <c:pt idx="83">
                  <c:v>174.0</c:v>
                </c:pt>
                <c:pt idx="84">
                  <c:v>174.0</c:v>
                </c:pt>
                <c:pt idx="85">
                  <c:v>174.0</c:v>
                </c:pt>
                <c:pt idx="86">
                  <c:v>174.0</c:v>
                </c:pt>
                <c:pt idx="87">
                  <c:v>175.0</c:v>
                </c:pt>
                <c:pt idx="88">
                  <c:v>175.0</c:v>
                </c:pt>
                <c:pt idx="89">
                  <c:v>175.0</c:v>
                </c:pt>
                <c:pt idx="90">
                  <c:v>175.0</c:v>
                </c:pt>
                <c:pt idx="91">
                  <c:v>176.0</c:v>
                </c:pt>
                <c:pt idx="92">
                  <c:v>176.0</c:v>
                </c:pt>
                <c:pt idx="93">
                  <c:v>176.0</c:v>
                </c:pt>
                <c:pt idx="94">
                  <c:v>176.0</c:v>
                </c:pt>
                <c:pt idx="95">
                  <c:v>177.0</c:v>
                </c:pt>
                <c:pt idx="96">
                  <c:v>177.0</c:v>
                </c:pt>
                <c:pt idx="97">
                  <c:v>177.0</c:v>
                </c:pt>
                <c:pt idx="98">
                  <c:v>177.0</c:v>
                </c:pt>
                <c:pt idx="99">
                  <c:v>178.0</c:v>
                </c:pt>
                <c:pt idx="100">
                  <c:v>178.0</c:v>
                </c:pt>
                <c:pt idx="101">
                  <c:v>178.0</c:v>
                </c:pt>
                <c:pt idx="102">
                  <c:v>178.0</c:v>
                </c:pt>
                <c:pt idx="103">
                  <c:v>179.0</c:v>
                </c:pt>
                <c:pt idx="104">
                  <c:v>179.0</c:v>
                </c:pt>
                <c:pt idx="105">
                  <c:v>179.0</c:v>
                </c:pt>
                <c:pt idx="106">
                  <c:v>179.0</c:v>
                </c:pt>
                <c:pt idx="107">
                  <c:v>180.0</c:v>
                </c:pt>
                <c:pt idx="108">
                  <c:v>180.0</c:v>
                </c:pt>
                <c:pt idx="109">
                  <c:v>180.0</c:v>
                </c:pt>
                <c:pt idx="110">
                  <c:v>180.0</c:v>
                </c:pt>
                <c:pt idx="111">
                  <c:v>181.0</c:v>
                </c:pt>
                <c:pt idx="112">
                  <c:v>181.0</c:v>
                </c:pt>
                <c:pt idx="113">
                  <c:v>181.0</c:v>
                </c:pt>
                <c:pt idx="114">
                  <c:v>181.0</c:v>
                </c:pt>
                <c:pt idx="115">
                  <c:v>182.0</c:v>
                </c:pt>
                <c:pt idx="116">
                  <c:v>182.0</c:v>
                </c:pt>
                <c:pt idx="117">
                  <c:v>182.0</c:v>
                </c:pt>
                <c:pt idx="118">
                  <c:v>182.0</c:v>
                </c:pt>
                <c:pt idx="119">
                  <c:v>183.0</c:v>
                </c:pt>
                <c:pt idx="120">
                  <c:v>183.0</c:v>
                </c:pt>
                <c:pt idx="121">
                  <c:v>183.0</c:v>
                </c:pt>
                <c:pt idx="122">
                  <c:v>183.0</c:v>
                </c:pt>
                <c:pt idx="123">
                  <c:v>184.0</c:v>
                </c:pt>
                <c:pt idx="124">
                  <c:v>184.0</c:v>
                </c:pt>
                <c:pt idx="125">
                  <c:v>184.0</c:v>
                </c:pt>
                <c:pt idx="126">
                  <c:v>184.0</c:v>
                </c:pt>
                <c:pt idx="127">
                  <c:v>185.0</c:v>
                </c:pt>
                <c:pt idx="128">
                  <c:v>185.0</c:v>
                </c:pt>
                <c:pt idx="129">
                  <c:v>185.0</c:v>
                </c:pt>
                <c:pt idx="130">
                  <c:v>185.0</c:v>
                </c:pt>
                <c:pt idx="131">
                  <c:v>186.0</c:v>
                </c:pt>
                <c:pt idx="132">
                  <c:v>186.0</c:v>
                </c:pt>
                <c:pt idx="133">
                  <c:v>186.0</c:v>
                </c:pt>
                <c:pt idx="134">
                  <c:v>186.0</c:v>
                </c:pt>
                <c:pt idx="135">
                  <c:v>187.0</c:v>
                </c:pt>
                <c:pt idx="136">
                  <c:v>187.0</c:v>
                </c:pt>
                <c:pt idx="137">
                  <c:v>187.0</c:v>
                </c:pt>
                <c:pt idx="138">
                  <c:v>187.0</c:v>
                </c:pt>
                <c:pt idx="139">
                  <c:v>188.0</c:v>
                </c:pt>
                <c:pt idx="140">
                  <c:v>188.0</c:v>
                </c:pt>
                <c:pt idx="141">
                  <c:v>188.0</c:v>
                </c:pt>
                <c:pt idx="142">
                  <c:v>188.0</c:v>
                </c:pt>
                <c:pt idx="143">
                  <c:v>189.0</c:v>
                </c:pt>
                <c:pt idx="144">
                  <c:v>189.0</c:v>
                </c:pt>
                <c:pt idx="145">
                  <c:v>189.0</c:v>
                </c:pt>
                <c:pt idx="146">
                  <c:v>189.0</c:v>
                </c:pt>
                <c:pt idx="147">
                  <c:v>190.0</c:v>
                </c:pt>
                <c:pt idx="148">
                  <c:v>190.0</c:v>
                </c:pt>
                <c:pt idx="149">
                  <c:v>190.0</c:v>
                </c:pt>
                <c:pt idx="150">
                  <c:v>190.0</c:v>
                </c:pt>
                <c:pt idx="151">
                  <c:v>191.0</c:v>
                </c:pt>
                <c:pt idx="152">
                  <c:v>191.0</c:v>
                </c:pt>
                <c:pt idx="153">
                  <c:v>191.0</c:v>
                </c:pt>
                <c:pt idx="154">
                  <c:v>191.0</c:v>
                </c:pt>
                <c:pt idx="155">
                  <c:v>192.0</c:v>
                </c:pt>
                <c:pt idx="156">
                  <c:v>192.0</c:v>
                </c:pt>
                <c:pt idx="157">
                  <c:v>192.0</c:v>
                </c:pt>
                <c:pt idx="158">
                  <c:v>192.0</c:v>
                </c:pt>
                <c:pt idx="159">
                  <c:v>193.0</c:v>
                </c:pt>
                <c:pt idx="160">
                  <c:v>193.0</c:v>
                </c:pt>
                <c:pt idx="161">
                  <c:v>193.0</c:v>
                </c:pt>
                <c:pt idx="162">
                  <c:v>193.0</c:v>
                </c:pt>
                <c:pt idx="163">
                  <c:v>194.0</c:v>
                </c:pt>
                <c:pt idx="164">
                  <c:v>194.0</c:v>
                </c:pt>
                <c:pt idx="165">
                  <c:v>194.0</c:v>
                </c:pt>
                <c:pt idx="166">
                  <c:v>194.0</c:v>
                </c:pt>
                <c:pt idx="167">
                  <c:v>195.0</c:v>
                </c:pt>
                <c:pt idx="168">
                  <c:v>195.0</c:v>
                </c:pt>
                <c:pt idx="169">
                  <c:v>195.0</c:v>
                </c:pt>
                <c:pt idx="170">
                  <c:v>195.0</c:v>
                </c:pt>
                <c:pt idx="171">
                  <c:v>196.0</c:v>
                </c:pt>
                <c:pt idx="172">
                  <c:v>196.0</c:v>
                </c:pt>
                <c:pt idx="173">
                  <c:v>196.0</c:v>
                </c:pt>
                <c:pt idx="174">
                  <c:v>196.0</c:v>
                </c:pt>
                <c:pt idx="175">
                  <c:v>197.0</c:v>
                </c:pt>
                <c:pt idx="176">
                  <c:v>197.0</c:v>
                </c:pt>
                <c:pt idx="177">
                  <c:v>197.0</c:v>
                </c:pt>
                <c:pt idx="178">
                  <c:v>197.0</c:v>
                </c:pt>
                <c:pt idx="179">
                  <c:v>198.0</c:v>
                </c:pt>
                <c:pt idx="180">
                  <c:v>198.0</c:v>
                </c:pt>
                <c:pt idx="181">
                  <c:v>198.0</c:v>
                </c:pt>
                <c:pt idx="182">
                  <c:v>198.0</c:v>
                </c:pt>
                <c:pt idx="183">
                  <c:v>199.0</c:v>
                </c:pt>
                <c:pt idx="184">
                  <c:v>199.0</c:v>
                </c:pt>
                <c:pt idx="185">
                  <c:v>199.0</c:v>
                </c:pt>
                <c:pt idx="186">
                  <c:v>199.0</c:v>
                </c:pt>
                <c:pt idx="187">
                  <c:v>200.0</c:v>
                </c:pt>
                <c:pt idx="188">
                  <c:v>200.0</c:v>
                </c:pt>
                <c:pt idx="189">
                  <c:v>200.0</c:v>
                </c:pt>
                <c:pt idx="190">
                  <c:v>200.0</c:v>
                </c:pt>
                <c:pt idx="191">
                  <c:v>201.0</c:v>
                </c:pt>
                <c:pt idx="192">
                  <c:v>201.0</c:v>
                </c:pt>
                <c:pt idx="193">
                  <c:v>201.0</c:v>
                </c:pt>
                <c:pt idx="194">
                  <c:v>201.0</c:v>
                </c:pt>
                <c:pt idx="195">
                  <c:v>202.0</c:v>
                </c:pt>
                <c:pt idx="196">
                  <c:v>202.0</c:v>
                </c:pt>
                <c:pt idx="197">
                  <c:v>202.0</c:v>
                </c:pt>
                <c:pt idx="198">
                  <c:v>202.0</c:v>
                </c:pt>
                <c:pt idx="199">
                  <c:v>203.0</c:v>
                </c:pt>
                <c:pt idx="200">
                  <c:v>203.0</c:v>
                </c:pt>
                <c:pt idx="201">
                  <c:v>203.0</c:v>
                </c:pt>
                <c:pt idx="202">
                  <c:v>203.0</c:v>
                </c:pt>
                <c:pt idx="203">
                  <c:v>204.0</c:v>
                </c:pt>
                <c:pt idx="204">
                  <c:v>204.0</c:v>
                </c:pt>
                <c:pt idx="205">
                  <c:v>204.0</c:v>
                </c:pt>
                <c:pt idx="206">
                  <c:v>204.0</c:v>
                </c:pt>
                <c:pt idx="207">
                  <c:v>205.0</c:v>
                </c:pt>
                <c:pt idx="208">
                  <c:v>205.0</c:v>
                </c:pt>
                <c:pt idx="209">
                  <c:v>205.0</c:v>
                </c:pt>
                <c:pt idx="210">
                  <c:v>205.0</c:v>
                </c:pt>
                <c:pt idx="211">
                  <c:v>206.0</c:v>
                </c:pt>
                <c:pt idx="212">
                  <c:v>206.0</c:v>
                </c:pt>
                <c:pt idx="213">
                  <c:v>206.0</c:v>
                </c:pt>
                <c:pt idx="214">
                  <c:v>206.0</c:v>
                </c:pt>
                <c:pt idx="215">
                  <c:v>207.0</c:v>
                </c:pt>
                <c:pt idx="216">
                  <c:v>207.0</c:v>
                </c:pt>
                <c:pt idx="217">
                  <c:v>207.0</c:v>
                </c:pt>
                <c:pt idx="218">
                  <c:v>207.0</c:v>
                </c:pt>
                <c:pt idx="219">
                  <c:v>208.0</c:v>
                </c:pt>
                <c:pt idx="220">
                  <c:v>208.0</c:v>
                </c:pt>
                <c:pt idx="221">
                  <c:v>208.0</c:v>
                </c:pt>
                <c:pt idx="222">
                  <c:v>208.0</c:v>
                </c:pt>
                <c:pt idx="223">
                  <c:v>209.0</c:v>
                </c:pt>
                <c:pt idx="224">
                  <c:v>209.0</c:v>
                </c:pt>
                <c:pt idx="225">
                  <c:v>209.0</c:v>
                </c:pt>
                <c:pt idx="226">
                  <c:v>209.0</c:v>
                </c:pt>
                <c:pt idx="227">
                  <c:v>210.0</c:v>
                </c:pt>
                <c:pt idx="228">
                  <c:v>210.0</c:v>
                </c:pt>
                <c:pt idx="229">
                  <c:v>210.0</c:v>
                </c:pt>
                <c:pt idx="230">
                  <c:v>210.0</c:v>
                </c:pt>
                <c:pt idx="231">
                  <c:v>211.0</c:v>
                </c:pt>
                <c:pt idx="232">
                  <c:v>211.0</c:v>
                </c:pt>
                <c:pt idx="233">
                  <c:v>211.0</c:v>
                </c:pt>
                <c:pt idx="234">
                  <c:v>211.0</c:v>
                </c:pt>
                <c:pt idx="235">
                  <c:v>212.0</c:v>
                </c:pt>
                <c:pt idx="236">
                  <c:v>212.0</c:v>
                </c:pt>
                <c:pt idx="237">
                  <c:v>212.0</c:v>
                </c:pt>
                <c:pt idx="238">
                  <c:v>212.0</c:v>
                </c:pt>
                <c:pt idx="239">
                  <c:v>213.0</c:v>
                </c:pt>
                <c:pt idx="240">
                  <c:v>213.0</c:v>
                </c:pt>
                <c:pt idx="241">
                  <c:v>213.0</c:v>
                </c:pt>
                <c:pt idx="242">
                  <c:v>213.0</c:v>
                </c:pt>
                <c:pt idx="243">
                  <c:v>214.0</c:v>
                </c:pt>
                <c:pt idx="244">
                  <c:v>214.0</c:v>
                </c:pt>
                <c:pt idx="245">
                  <c:v>214.0</c:v>
                </c:pt>
                <c:pt idx="246">
                  <c:v>214.0</c:v>
                </c:pt>
                <c:pt idx="247">
                  <c:v>215.0</c:v>
                </c:pt>
                <c:pt idx="248">
                  <c:v>215.0</c:v>
                </c:pt>
                <c:pt idx="249">
                  <c:v>215.0</c:v>
                </c:pt>
                <c:pt idx="250">
                  <c:v>215.0</c:v>
                </c:pt>
                <c:pt idx="251">
                  <c:v>216.0</c:v>
                </c:pt>
                <c:pt idx="252">
                  <c:v>216.0</c:v>
                </c:pt>
                <c:pt idx="253">
                  <c:v>216.0</c:v>
                </c:pt>
                <c:pt idx="254">
                  <c:v>216.0</c:v>
                </c:pt>
                <c:pt idx="255">
                  <c:v>217.0</c:v>
                </c:pt>
                <c:pt idx="256">
                  <c:v>217.0</c:v>
                </c:pt>
                <c:pt idx="257">
                  <c:v>217.0</c:v>
                </c:pt>
                <c:pt idx="258">
                  <c:v>217.0</c:v>
                </c:pt>
                <c:pt idx="259">
                  <c:v>218.0</c:v>
                </c:pt>
                <c:pt idx="260">
                  <c:v>218.0</c:v>
                </c:pt>
                <c:pt idx="261">
                  <c:v>218.0</c:v>
                </c:pt>
                <c:pt idx="262">
                  <c:v>218.0</c:v>
                </c:pt>
                <c:pt idx="263">
                  <c:v>219.0</c:v>
                </c:pt>
                <c:pt idx="264">
                  <c:v>219.0</c:v>
                </c:pt>
                <c:pt idx="265">
                  <c:v>219.0</c:v>
                </c:pt>
                <c:pt idx="266">
                  <c:v>219.0</c:v>
                </c:pt>
                <c:pt idx="267">
                  <c:v>220.0</c:v>
                </c:pt>
                <c:pt idx="268">
                  <c:v>220.0</c:v>
                </c:pt>
                <c:pt idx="269">
                  <c:v>220.0</c:v>
                </c:pt>
                <c:pt idx="270">
                  <c:v>220.0</c:v>
                </c:pt>
                <c:pt idx="271">
                  <c:v>221.0</c:v>
                </c:pt>
                <c:pt idx="272">
                  <c:v>221.0</c:v>
                </c:pt>
                <c:pt idx="273">
                  <c:v>221.0</c:v>
                </c:pt>
                <c:pt idx="274">
                  <c:v>221.0</c:v>
                </c:pt>
                <c:pt idx="275">
                  <c:v>222.0</c:v>
                </c:pt>
                <c:pt idx="276">
                  <c:v>222.0</c:v>
                </c:pt>
                <c:pt idx="277">
                  <c:v>222.0</c:v>
                </c:pt>
                <c:pt idx="278">
                  <c:v>222.0</c:v>
                </c:pt>
                <c:pt idx="279">
                  <c:v>223.0</c:v>
                </c:pt>
                <c:pt idx="280">
                  <c:v>223.0</c:v>
                </c:pt>
                <c:pt idx="281">
                  <c:v>223.0</c:v>
                </c:pt>
                <c:pt idx="282">
                  <c:v>223.0</c:v>
                </c:pt>
                <c:pt idx="283">
                  <c:v>224.0</c:v>
                </c:pt>
                <c:pt idx="284">
                  <c:v>224.0</c:v>
                </c:pt>
                <c:pt idx="285">
                  <c:v>224.0</c:v>
                </c:pt>
                <c:pt idx="286">
                  <c:v>224.0</c:v>
                </c:pt>
                <c:pt idx="287">
                  <c:v>225.0</c:v>
                </c:pt>
                <c:pt idx="288">
                  <c:v>225.0</c:v>
                </c:pt>
                <c:pt idx="289">
                  <c:v>225.0</c:v>
                </c:pt>
                <c:pt idx="290">
                  <c:v>225.0</c:v>
                </c:pt>
                <c:pt idx="291">
                  <c:v>226.0</c:v>
                </c:pt>
                <c:pt idx="292">
                  <c:v>226.0</c:v>
                </c:pt>
                <c:pt idx="293">
                  <c:v>226.0</c:v>
                </c:pt>
                <c:pt idx="294">
                  <c:v>226.0</c:v>
                </c:pt>
                <c:pt idx="295">
                  <c:v>227.0</c:v>
                </c:pt>
                <c:pt idx="296">
                  <c:v>227.0</c:v>
                </c:pt>
                <c:pt idx="297">
                  <c:v>227.0</c:v>
                </c:pt>
                <c:pt idx="298">
                  <c:v>227.0</c:v>
                </c:pt>
                <c:pt idx="299">
                  <c:v>228.0</c:v>
                </c:pt>
              </c:numCache>
            </c:numRef>
          </c:val>
          <c:smooth val="0"/>
        </c:ser>
        <c:dLbls>
          <c:showLegendKey val="0"/>
          <c:showVal val="0"/>
          <c:showCatName val="0"/>
          <c:showSerName val="0"/>
          <c:showPercent val="0"/>
          <c:showBubbleSize val="0"/>
        </c:dLbls>
        <c:smooth val="0"/>
        <c:axId val="2128112944"/>
        <c:axId val="2128115872"/>
      </c:lineChart>
      <c:catAx>
        <c:axId val="2128112944"/>
        <c:scaling>
          <c:orientation val="minMax"/>
        </c:scaling>
        <c:delete val="0"/>
        <c:axPos val="b"/>
        <c:numFmt formatCode="General" sourceLinked="0"/>
        <c:majorTickMark val="out"/>
        <c:minorTickMark val="none"/>
        <c:tickLblPos val="nextTo"/>
        <c:crossAx val="2128115872"/>
        <c:crosses val="autoZero"/>
        <c:auto val="1"/>
        <c:lblAlgn val="ctr"/>
        <c:lblOffset val="100"/>
        <c:noMultiLvlLbl val="0"/>
      </c:catAx>
      <c:valAx>
        <c:axId val="2128115872"/>
        <c:scaling>
          <c:orientation val="minMax"/>
        </c:scaling>
        <c:delete val="0"/>
        <c:axPos val="l"/>
        <c:majorGridlines/>
        <c:numFmt formatCode="General" sourceLinked="1"/>
        <c:majorTickMark val="out"/>
        <c:minorTickMark val="none"/>
        <c:tickLblPos val="nextTo"/>
        <c:crossAx val="2128112944"/>
        <c:crosses val="autoZero"/>
        <c:crossBetween val="between"/>
      </c:valAx>
    </c:plotArea>
    <c:legend>
      <c:legendPos val="r"/>
      <c:layout>
        <c:manualLayout>
          <c:xMode val="edge"/>
          <c:yMode val="edge"/>
          <c:x val="0.7041706985422"/>
          <c:y val="0.0304283890189402"/>
          <c:w val="0.100554897155713"/>
          <c:h val="0.121961012464535"/>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81909748591071"/>
          <c:y val="0.113039129037442"/>
          <c:w val="0.940048804140446"/>
          <c:h val="0.74177426482404"/>
        </c:manualLayout>
      </c:layout>
      <c:lineChart>
        <c:grouping val="standard"/>
        <c:varyColors val="0"/>
        <c:ser>
          <c:idx val="0"/>
          <c:order val="0"/>
          <c:tx>
            <c:v>調整１回目</c:v>
          </c:tx>
          <c:spPr>
            <a:ln>
              <a:solidFill>
                <a:srgbClr val="C00000"/>
              </a:solidFill>
            </a:ln>
          </c:spPr>
          <c:marker>
            <c:symbol val="none"/>
          </c:marker>
          <c:cat>
            <c:strRef>
              <c:f>player_ranks_uprev1609!$A$1:$A$301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player_ranks_uprev!$C$2:$C$301</c:f>
              <c:numCache>
                <c:formatCode>General</c:formatCode>
                <c:ptCount val="300"/>
                <c:pt idx="0">
                  <c:v>59.0</c:v>
                </c:pt>
                <c:pt idx="1">
                  <c:v>60.0</c:v>
                </c:pt>
                <c:pt idx="2">
                  <c:v>60.0</c:v>
                </c:pt>
                <c:pt idx="3">
                  <c:v>62.0</c:v>
                </c:pt>
                <c:pt idx="4">
                  <c:v>67.0</c:v>
                </c:pt>
                <c:pt idx="5">
                  <c:v>68.0</c:v>
                </c:pt>
                <c:pt idx="6">
                  <c:v>68.0</c:v>
                </c:pt>
                <c:pt idx="7">
                  <c:v>70.0</c:v>
                </c:pt>
                <c:pt idx="8">
                  <c:v>70.0</c:v>
                </c:pt>
                <c:pt idx="9">
                  <c:v>75.0</c:v>
                </c:pt>
                <c:pt idx="10">
                  <c:v>75.0</c:v>
                </c:pt>
                <c:pt idx="11">
                  <c:v>77.0</c:v>
                </c:pt>
                <c:pt idx="12">
                  <c:v>77.0</c:v>
                </c:pt>
                <c:pt idx="13">
                  <c:v>78.0</c:v>
                </c:pt>
                <c:pt idx="14">
                  <c:v>83.0</c:v>
                </c:pt>
                <c:pt idx="15">
                  <c:v>85.0</c:v>
                </c:pt>
                <c:pt idx="16">
                  <c:v>85.0</c:v>
                </c:pt>
                <c:pt idx="17">
                  <c:v>86.0</c:v>
                </c:pt>
                <c:pt idx="18">
                  <c:v>86.0</c:v>
                </c:pt>
                <c:pt idx="19">
                  <c:v>91.0</c:v>
                </c:pt>
                <c:pt idx="20">
                  <c:v>91.0</c:v>
                </c:pt>
                <c:pt idx="21">
                  <c:v>92.0</c:v>
                </c:pt>
                <c:pt idx="22">
                  <c:v>92.0</c:v>
                </c:pt>
                <c:pt idx="23">
                  <c:v>94.0</c:v>
                </c:pt>
                <c:pt idx="24">
                  <c:v>99.0</c:v>
                </c:pt>
                <c:pt idx="25">
                  <c:v>100.0</c:v>
                </c:pt>
                <c:pt idx="26">
                  <c:v>100.0</c:v>
                </c:pt>
                <c:pt idx="27">
                  <c:v>102.0</c:v>
                </c:pt>
                <c:pt idx="28">
                  <c:v>102.0</c:v>
                </c:pt>
                <c:pt idx="29">
                  <c:v>107.0</c:v>
                </c:pt>
                <c:pt idx="30">
                  <c:v>107.0</c:v>
                </c:pt>
                <c:pt idx="31">
                  <c:v>108.0</c:v>
                </c:pt>
                <c:pt idx="32">
                  <c:v>108.0</c:v>
                </c:pt>
                <c:pt idx="33">
                  <c:v>109.0</c:v>
                </c:pt>
                <c:pt idx="34">
                  <c:v>111.0</c:v>
                </c:pt>
                <c:pt idx="35">
                  <c:v>112.0</c:v>
                </c:pt>
                <c:pt idx="36">
                  <c:v>112.0</c:v>
                </c:pt>
                <c:pt idx="37">
                  <c:v>113.0</c:v>
                </c:pt>
                <c:pt idx="38">
                  <c:v>113.0</c:v>
                </c:pt>
                <c:pt idx="39">
                  <c:v>115.0</c:v>
                </c:pt>
                <c:pt idx="40">
                  <c:v>115.0</c:v>
                </c:pt>
                <c:pt idx="41">
                  <c:v>116.0</c:v>
                </c:pt>
                <c:pt idx="42">
                  <c:v>116.0</c:v>
                </c:pt>
                <c:pt idx="43">
                  <c:v>117.0</c:v>
                </c:pt>
                <c:pt idx="44">
                  <c:v>119.0</c:v>
                </c:pt>
                <c:pt idx="45">
                  <c:v>120.0</c:v>
                </c:pt>
                <c:pt idx="46">
                  <c:v>120.0</c:v>
                </c:pt>
                <c:pt idx="47">
                  <c:v>121.0</c:v>
                </c:pt>
                <c:pt idx="48">
                  <c:v>121.0</c:v>
                </c:pt>
                <c:pt idx="49">
                  <c:v>123.0</c:v>
                </c:pt>
                <c:pt idx="50">
                  <c:v>123.0</c:v>
                </c:pt>
                <c:pt idx="51">
                  <c:v>124.0</c:v>
                </c:pt>
                <c:pt idx="52">
                  <c:v>124.0</c:v>
                </c:pt>
                <c:pt idx="53">
                  <c:v>125.0</c:v>
                </c:pt>
                <c:pt idx="54">
                  <c:v>127.0</c:v>
                </c:pt>
                <c:pt idx="55">
                  <c:v>128.0</c:v>
                </c:pt>
                <c:pt idx="56">
                  <c:v>128.0</c:v>
                </c:pt>
                <c:pt idx="57">
                  <c:v>129.0</c:v>
                </c:pt>
                <c:pt idx="58">
                  <c:v>129.0</c:v>
                </c:pt>
                <c:pt idx="59">
                  <c:v>131.0</c:v>
                </c:pt>
                <c:pt idx="60">
                  <c:v>131.0</c:v>
                </c:pt>
                <c:pt idx="61">
                  <c:v>132.0</c:v>
                </c:pt>
                <c:pt idx="62">
                  <c:v>132.0</c:v>
                </c:pt>
                <c:pt idx="63">
                  <c:v>133.0</c:v>
                </c:pt>
                <c:pt idx="64">
                  <c:v>135.0</c:v>
                </c:pt>
                <c:pt idx="65">
                  <c:v>136.0</c:v>
                </c:pt>
                <c:pt idx="66">
                  <c:v>136.0</c:v>
                </c:pt>
                <c:pt idx="67">
                  <c:v>137.0</c:v>
                </c:pt>
                <c:pt idx="68">
                  <c:v>137.0</c:v>
                </c:pt>
                <c:pt idx="69">
                  <c:v>139.0</c:v>
                </c:pt>
                <c:pt idx="70">
                  <c:v>139.0</c:v>
                </c:pt>
                <c:pt idx="71">
                  <c:v>140.0</c:v>
                </c:pt>
                <c:pt idx="72">
                  <c:v>140.0</c:v>
                </c:pt>
                <c:pt idx="73">
                  <c:v>141.0</c:v>
                </c:pt>
                <c:pt idx="74">
                  <c:v>143.0</c:v>
                </c:pt>
                <c:pt idx="75">
                  <c:v>144.0</c:v>
                </c:pt>
                <c:pt idx="76">
                  <c:v>144.0</c:v>
                </c:pt>
                <c:pt idx="77">
                  <c:v>145.0</c:v>
                </c:pt>
                <c:pt idx="78">
                  <c:v>145.0</c:v>
                </c:pt>
                <c:pt idx="79">
                  <c:v>147.0</c:v>
                </c:pt>
                <c:pt idx="80">
                  <c:v>147.0</c:v>
                </c:pt>
                <c:pt idx="81">
                  <c:v>148.0</c:v>
                </c:pt>
                <c:pt idx="82">
                  <c:v>148.0</c:v>
                </c:pt>
                <c:pt idx="83">
                  <c:v>149.0</c:v>
                </c:pt>
                <c:pt idx="84">
                  <c:v>151.0</c:v>
                </c:pt>
                <c:pt idx="85">
                  <c:v>152.0</c:v>
                </c:pt>
                <c:pt idx="86">
                  <c:v>152.0</c:v>
                </c:pt>
                <c:pt idx="87">
                  <c:v>153.0</c:v>
                </c:pt>
                <c:pt idx="88">
                  <c:v>153.0</c:v>
                </c:pt>
                <c:pt idx="89">
                  <c:v>155.0</c:v>
                </c:pt>
                <c:pt idx="90">
                  <c:v>155.0</c:v>
                </c:pt>
                <c:pt idx="91">
                  <c:v>156.0</c:v>
                </c:pt>
                <c:pt idx="92">
                  <c:v>156.0</c:v>
                </c:pt>
                <c:pt idx="93">
                  <c:v>156.0</c:v>
                </c:pt>
                <c:pt idx="94">
                  <c:v>156.0</c:v>
                </c:pt>
                <c:pt idx="95">
                  <c:v>157.0</c:v>
                </c:pt>
                <c:pt idx="96">
                  <c:v>157.0</c:v>
                </c:pt>
                <c:pt idx="97">
                  <c:v>157.0</c:v>
                </c:pt>
                <c:pt idx="98">
                  <c:v>157.0</c:v>
                </c:pt>
                <c:pt idx="99">
                  <c:v>158.0</c:v>
                </c:pt>
                <c:pt idx="100">
                  <c:v>158.0</c:v>
                </c:pt>
                <c:pt idx="101">
                  <c:v>158.0</c:v>
                </c:pt>
                <c:pt idx="102">
                  <c:v>158.0</c:v>
                </c:pt>
                <c:pt idx="103">
                  <c:v>159.0</c:v>
                </c:pt>
                <c:pt idx="104">
                  <c:v>159.0</c:v>
                </c:pt>
                <c:pt idx="105">
                  <c:v>159.0</c:v>
                </c:pt>
                <c:pt idx="106">
                  <c:v>159.0</c:v>
                </c:pt>
                <c:pt idx="107">
                  <c:v>160.0</c:v>
                </c:pt>
                <c:pt idx="108">
                  <c:v>160.0</c:v>
                </c:pt>
                <c:pt idx="109">
                  <c:v>160.0</c:v>
                </c:pt>
                <c:pt idx="110">
                  <c:v>160.0</c:v>
                </c:pt>
                <c:pt idx="111">
                  <c:v>161.0</c:v>
                </c:pt>
                <c:pt idx="112">
                  <c:v>161.0</c:v>
                </c:pt>
                <c:pt idx="113">
                  <c:v>161.0</c:v>
                </c:pt>
                <c:pt idx="114">
                  <c:v>161.0</c:v>
                </c:pt>
                <c:pt idx="115">
                  <c:v>162.0</c:v>
                </c:pt>
                <c:pt idx="116">
                  <c:v>162.0</c:v>
                </c:pt>
                <c:pt idx="117">
                  <c:v>162.0</c:v>
                </c:pt>
                <c:pt idx="118">
                  <c:v>162.0</c:v>
                </c:pt>
                <c:pt idx="119">
                  <c:v>163.0</c:v>
                </c:pt>
                <c:pt idx="120">
                  <c:v>163.0</c:v>
                </c:pt>
                <c:pt idx="121">
                  <c:v>163.0</c:v>
                </c:pt>
                <c:pt idx="122">
                  <c:v>163.0</c:v>
                </c:pt>
                <c:pt idx="123">
                  <c:v>164.0</c:v>
                </c:pt>
                <c:pt idx="124">
                  <c:v>164.0</c:v>
                </c:pt>
                <c:pt idx="125">
                  <c:v>164.0</c:v>
                </c:pt>
                <c:pt idx="126">
                  <c:v>164.0</c:v>
                </c:pt>
                <c:pt idx="127">
                  <c:v>165.0</c:v>
                </c:pt>
                <c:pt idx="128">
                  <c:v>165.0</c:v>
                </c:pt>
                <c:pt idx="129">
                  <c:v>165.0</c:v>
                </c:pt>
                <c:pt idx="130">
                  <c:v>165.0</c:v>
                </c:pt>
                <c:pt idx="131">
                  <c:v>166.0</c:v>
                </c:pt>
                <c:pt idx="132">
                  <c:v>166.0</c:v>
                </c:pt>
                <c:pt idx="133">
                  <c:v>166.0</c:v>
                </c:pt>
                <c:pt idx="134">
                  <c:v>166.0</c:v>
                </c:pt>
                <c:pt idx="135">
                  <c:v>167.0</c:v>
                </c:pt>
                <c:pt idx="136">
                  <c:v>167.0</c:v>
                </c:pt>
                <c:pt idx="137">
                  <c:v>167.0</c:v>
                </c:pt>
                <c:pt idx="138">
                  <c:v>167.0</c:v>
                </c:pt>
                <c:pt idx="139">
                  <c:v>168.0</c:v>
                </c:pt>
                <c:pt idx="140">
                  <c:v>168.0</c:v>
                </c:pt>
                <c:pt idx="141">
                  <c:v>168.0</c:v>
                </c:pt>
                <c:pt idx="142">
                  <c:v>168.0</c:v>
                </c:pt>
                <c:pt idx="143">
                  <c:v>169.0</c:v>
                </c:pt>
                <c:pt idx="144">
                  <c:v>169.0</c:v>
                </c:pt>
                <c:pt idx="145">
                  <c:v>169.0</c:v>
                </c:pt>
                <c:pt idx="146">
                  <c:v>169.0</c:v>
                </c:pt>
                <c:pt idx="147">
                  <c:v>170.0</c:v>
                </c:pt>
                <c:pt idx="148">
                  <c:v>170.0</c:v>
                </c:pt>
                <c:pt idx="149">
                  <c:v>170.0</c:v>
                </c:pt>
                <c:pt idx="150">
                  <c:v>170.0</c:v>
                </c:pt>
                <c:pt idx="151">
                  <c:v>171.0</c:v>
                </c:pt>
                <c:pt idx="152">
                  <c:v>171.0</c:v>
                </c:pt>
                <c:pt idx="153">
                  <c:v>171.0</c:v>
                </c:pt>
                <c:pt idx="154">
                  <c:v>171.0</c:v>
                </c:pt>
                <c:pt idx="155">
                  <c:v>172.0</c:v>
                </c:pt>
                <c:pt idx="156">
                  <c:v>172.0</c:v>
                </c:pt>
                <c:pt idx="157">
                  <c:v>172.0</c:v>
                </c:pt>
                <c:pt idx="158">
                  <c:v>172.0</c:v>
                </c:pt>
                <c:pt idx="159">
                  <c:v>173.0</c:v>
                </c:pt>
                <c:pt idx="160">
                  <c:v>173.0</c:v>
                </c:pt>
                <c:pt idx="161">
                  <c:v>173.0</c:v>
                </c:pt>
                <c:pt idx="162">
                  <c:v>173.0</c:v>
                </c:pt>
                <c:pt idx="163">
                  <c:v>174.0</c:v>
                </c:pt>
                <c:pt idx="164">
                  <c:v>174.0</c:v>
                </c:pt>
                <c:pt idx="165">
                  <c:v>174.0</c:v>
                </c:pt>
                <c:pt idx="166">
                  <c:v>174.0</c:v>
                </c:pt>
                <c:pt idx="167">
                  <c:v>175.0</c:v>
                </c:pt>
                <c:pt idx="168">
                  <c:v>175.0</c:v>
                </c:pt>
                <c:pt idx="169">
                  <c:v>175.0</c:v>
                </c:pt>
                <c:pt idx="170">
                  <c:v>175.0</c:v>
                </c:pt>
                <c:pt idx="171">
                  <c:v>176.0</c:v>
                </c:pt>
                <c:pt idx="172">
                  <c:v>176.0</c:v>
                </c:pt>
                <c:pt idx="173">
                  <c:v>176.0</c:v>
                </c:pt>
                <c:pt idx="174">
                  <c:v>176.0</c:v>
                </c:pt>
                <c:pt idx="175">
                  <c:v>177.0</c:v>
                </c:pt>
                <c:pt idx="176">
                  <c:v>177.0</c:v>
                </c:pt>
                <c:pt idx="177">
                  <c:v>177.0</c:v>
                </c:pt>
                <c:pt idx="178">
                  <c:v>177.0</c:v>
                </c:pt>
                <c:pt idx="179">
                  <c:v>178.0</c:v>
                </c:pt>
                <c:pt idx="180">
                  <c:v>178.0</c:v>
                </c:pt>
                <c:pt idx="181">
                  <c:v>178.0</c:v>
                </c:pt>
                <c:pt idx="182">
                  <c:v>178.0</c:v>
                </c:pt>
                <c:pt idx="183">
                  <c:v>179.0</c:v>
                </c:pt>
                <c:pt idx="184">
                  <c:v>179.0</c:v>
                </c:pt>
                <c:pt idx="185">
                  <c:v>179.0</c:v>
                </c:pt>
                <c:pt idx="186">
                  <c:v>179.0</c:v>
                </c:pt>
                <c:pt idx="187">
                  <c:v>180.0</c:v>
                </c:pt>
                <c:pt idx="188">
                  <c:v>180.0</c:v>
                </c:pt>
                <c:pt idx="189">
                  <c:v>180.0</c:v>
                </c:pt>
                <c:pt idx="190">
                  <c:v>180.0</c:v>
                </c:pt>
                <c:pt idx="191">
                  <c:v>181.0</c:v>
                </c:pt>
                <c:pt idx="192">
                  <c:v>181.0</c:v>
                </c:pt>
                <c:pt idx="193">
                  <c:v>181.0</c:v>
                </c:pt>
                <c:pt idx="194">
                  <c:v>181.0</c:v>
                </c:pt>
                <c:pt idx="195">
                  <c:v>182.0</c:v>
                </c:pt>
                <c:pt idx="196">
                  <c:v>182.0</c:v>
                </c:pt>
                <c:pt idx="197">
                  <c:v>182.0</c:v>
                </c:pt>
                <c:pt idx="198">
                  <c:v>182.0</c:v>
                </c:pt>
                <c:pt idx="199">
                  <c:v>183.0</c:v>
                </c:pt>
                <c:pt idx="200">
                  <c:v>183.0</c:v>
                </c:pt>
                <c:pt idx="201">
                  <c:v>183.0</c:v>
                </c:pt>
                <c:pt idx="202">
                  <c:v>183.0</c:v>
                </c:pt>
                <c:pt idx="203">
                  <c:v>184.0</c:v>
                </c:pt>
                <c:pt idx="204">
                  <c:v>184.0</c:v>
                </c:pt>
                <c:pt idx="205">
                  <c:v>184.0</c:v>
                </c:pt>
                <c:pt idx="206">
                  <c:v>184.0</c:v>
                </c:pt>
                <c:pt idx="207">
                  <c:v>185.0</c:v>
                </c:pt>
                <c:pt idx="208">
                  <c:v>185.0</c:v>
                </c:pt>
                <c:pt idx="209">
                  <c:v>185.0</c:v>
                </c:pt>
                <c:pt idx="210">
                  <c:v>185.0</c:v>
                </c:pt>
                <c:pt idx="211">
                  <c:v>186.0</c:v>
                </c:pt>
                <c:pt idx="212">
                  <c:v>186.0</c:v>
                </c:pt>
                <c:pt idx="213">
                  <c:v>186.0</c:v>
                </c:pt>
                <c:pt idx="214">
                  <c:v>186.0</c:v>
                </c:pt>
                <c:pt idx="215">
                  <c:v>187.0</c:v>
                </c:pt>
                <c:pt idx="216">
                  <c:v>187.0</c:v>
                </c:pt>
                <c:pt idx="217">
                  <c:v>187.0</c:v>
                </c:pt>
                <c:pt idx="218">
                  <c:v>187.0</c:v>
                </c:pt>
                <c:pt idx="219">
                  <c:v>188.0</c:v>
                </c:pt>
                <c:pt idx="220">
                  <c:v>188.0</c:v>
                </c:pt>
                <c:pt idx="221">
                  <c:v>188.0</c:v>
                </c:pt>
                <c:pt idx="222">
                  <c:v>188.0</c:v>
                </c:pt>
                <c:pt idx="223">
                  <c:v>189.0</c:v>
                </c:pt>
                <c:pt idx="224">
                  <c:v>189.0</c:v>
                </c:pt>
                <c:pt idx="225">
                  <c:v>189.0</c:v>
                </c:pt>
                <c:pt idx="226">
                  <c:v>189.0</c:v>
                </c:pt>
                <c:pt idx="227">
                  <c:v>190.0</c:v>
                </c:pt>
                <c:pt idx="228">
                  <c:v>190.0</c:v>
                </c:pt>
                <c:pt idx="229">
                  <c:v>190.0</c:v>
                </c:pt>
                <c:pt idx="230">
                  <c:v>190.0</c:v>
                </c:pt>
                <c:pt idx="231">
                  <c:v>191.0</c:v>
                </c:pt>
                <c:pt idx="232">
                  <c:v>191.0</c:v>
                </c:pt>
                <c:pt idx="233">
                  <c:v>191.0</c:v>
                </c:pt>
                <c:pt idx="234">
                  <c:v>191.0</c:v>
                </c:pt>
                <c:pt idx="235">
                  <c:v>192.0</c:v>
                </c:pt>
                <c:pt idx="236">
                  <c:v>192.0</c:v>
                </c:pt>
                <c:pt idx="237">
                  <c:v>192.0</c:v>
                </c:pt>
                <c:pt idx="238">
                  <c:v>192.0</c:v>
                </c:pt>
                <c:pt idx="239">
                  <c:v>193.0</c:v>
                </c:pt>
                <c:pt idx="240">
                  <c:v>193.0</c:v>
                </c:pt>
                <c:pt idx="241">
                  <c:v>193.0</c:v>
                </c:pt>
                <c:pt idx="242">
                  <c:v>193.0</c:v>
                </c:pt>
                <c:pt idx="243">
                  <c:v>194.0</c:v>
                </c:pt>
                <c:pt idx="244">
                  <c:v>194.0</c:v>
                </c:pt>
                <c:pt idx="245">
                  <c:v>194.0</c:v>
                </c:pt>
                <c:pt idx="246">
                  <c:v>194.0</c:v>
                </c:pt>
                <c:pt idx="247">
                  <c:v>195.0</c:v>
                </c:pt>
                <c:pt idx="248">
                  <c:v>195.0</c:v>
                </c:pt>
                <c:pt idx="249">
                  <c:v>195.0</c:v>
                </c:pt>
                <c:pt idx="250">
                  <c:v>195.0</c:v>
                </c:pt>
                <c:pt idx="251">
                  <c:v>196.0</c:v>
                </c:pt>
                <c:pt idx="252">
                  <c:v>196.0</c:v>
                </c:pt>
                <c:pt idx="253">
                  <c:v>196.0</c:v>
                </c:pt>
                <c:pt idx="254">
                  <c:v>196.0</c:v>
                </c:pt>
                <c:pt idx="255">
                  <c:v>197.0</c:v>
                </c:pt>
                <c:pt idx="256">
                  <c:v>197.0</c:v>
                </c:pt>
                <c:pt idx="257">
                  <c:v>197.0</c:v>
                </c:pt>
                <c:pt idx="258">
                  <c:v>197.0</c:v>
                </c:pt>
                <c:pt idx="259">
                  <c:v>198.0</c:v>
                </c:pt>
                <c:pt idx="260">
                  <c:v>198.0</c:v>
                </c:pt>
                <c:pt idx="261">
                  <c:v>198.0</c:v>
                </c:pt>
                <c:pt idx="262">
                  <c:v>198.0</c:v>
                </c:pt>
                <c:pt idx="263">
                  <c:v>199.0</c:v>
                </c:pt>
                <c:pt idx="264">
                  <c:v>199.0</c:v>
                </c:pt>
                <c:pt idx="265">
                  <c:v>199.0</c:v>
                </c:pt>
                <c:pt idx="266">
                  <c:v>199.0</c:v>
                </c:pt>
                <c:pt idx="267">
                  <c:v>200.0</c:v>
                </c:pt>
                <c:pt idx="268">
                  <c:v>200.0</c:v>
                </c:pt>
                <c:pt idx="269">
                  <c:v>200.0</c:v>
                </c:pt>
                <c:pt idx="270">
                  <c:v>200.0</c:v>
                </c:pt>
                <c:pt idx="271">
                  <c:v>201.0</c:v>
                </c:pt>
                <c:pt idx="272">
                  <c:v>201.0</c:v>
                </c:pt>
                <c:pt idx="273">
                  <c:v>201.0</c:v>
                </c:pt>
                <c:pt idx="274">
                  <c:v>201.0</c:v>
                </c:pt>
                <c:pt idx="275">
                  <c:v>202.0</c:v>
                </c:pt>
                <c:pt idx="276">
                  <c:v>202.0</c:v>
                </c:pt>
                <c:pt idx="277">
                  <c:v>202.0</c:v>
                </c:pt>
                <c:pt idx="278">
                  <c:v>202.0</c:v>
                </c:pt>
                <c:pt idx="279">
                  <c:v>203.0</c:v>
                </c:pt>
                <c:pt idx="280">
                  <c:v>203.0</c:v>
                </c:pt>
                <c:pt idx="281">
                  <c:v>203.0</c:v>
                </c:pt>
                <c:pt idx="282">
                  <c:v>203.0</c:v>
                </c:pt>
                <c:pt idx="283">
                  <c:v>204.0</c:v>
                </c:pt>
                <c:pt idx="284">
                  <c:v>204.0</c:v>
                </c:pt>
                <c:pt idx="285">
                  <c:v>204.0</c:v>
                </c:pt>
                <c:pt idx="286">
                  <c:v>204.0</c:v>
                </c:pt>
                <c:pt idx="287">
                  <c:v>205.0</c:v>
                </c:pt>
                <c:pt idx="288">
                  <c:v>205.0</c:v>
                </c:pt>
                <c:pt idx="289">
                  <c:v>205.0</c:v>
                </c:pt>
                <c:pt idx="290">
                  <c:v>205.0</c:v>
                </c:pt>
                <c:pt idx="291">
                  <c:v>206.0</c:v>
                </c:pt>
                <c:pt idx="292">
                  <c:v>206.0</c:v>
                </c:pt>
                <c:pt idx="293">
                  <c:v>206.0</c:v>
                </c:pt>
                <c:pt idx="294">
                  <c:v>206.0</c:v>
                </c:pt>
                <c:pt idx="295">
                  <c:v>207.0</c:v>
                </c:pt>
                <c:pt idx="296">
                  <c:v>207.0</c:v>
                </c:pt>
                <c:pt idx="297">
                  <c:v>207.0</c:v>
                </c:pt>
                <c:pt idx="298">
                  <c:v>207.0</c:v>
                </c:pt>
                <c:pt idx="299">
                  <c:v>208.0</c:v>
                </c:pt>
              </c:numCache>
            </c:numRef>
          </c:val>
          <c:smooth val="0"/>
        </c:ser>
        <c:ser>
          <c:idx val="1"/>
          <c:order val="1"/>
          <c:tx>
            <c:v>リリース時</c:v>
          </c:tx>
          <c:spPr>
            <a:ln>
              <a:solidFill>
                <a:schemeClr val="tx2"/>
              </a:solidFill>
            </a:ln>
          </c:spPr>
          <c:marker>
            <c:symbol val="none"/>
          </c:marker>
          <c:cat>
            <c:strRef>
              <c:f>player_ranks_uprev1609!$A$1:$A$301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player_ranks_old!$C$2:$C$301</c:f>
              <c:numCache>
                <c:formatCode>General</c:formatCode>
                <c:ptCount val="300"/>
                <c:pt idx="0">
                  <c:v>40.0</c:v>
                </c:pt>
                <c:pt idx="1">
                  <c:v>41.0</c:v>
                </c:pt>
                <c:pt idx="2">
                  <c:v>41.0</c:v>
                </c:pt>
                <c:pt idx="3">
                  <c:v>42.0</c:v>
                </c:pt>
                <c:pt idx="4">
                  <c:v>47.0</c:v>
                </c:pt>
                <c:pt idx="5">
                  <c:v>48.0</c:v>
                </c:pt>
                <c:pt idx="6">
                  <c:v>48.0</c:v>
                </c:pt>
                <c:pt idx="7">
                  <c:v>49.0</c:v>
                </c:pt>
                <c:pt idx="8">
                  <c:v>49.0</c:v>
                </c:pt>
                <c:pt idx="9">
                  <c:v>54.0</c:v>
                </c:pt>
                <c:pt idx="10">
                  <c:v>54.0</c:v>
                </c:pt>
                <c:pt idx="11">
                  <c:v>55.0</c:v>
                </c:pt>
                <c:pt idx="12">
                  <c:v>55.0</c:v>
                </c:pt>
                <c:pt idx="13">
                  <c:v>56.0</c:v>
                </c:pt>
                <c:pt idx="14">
                  <c:v>61.0</c:v>
                </c:pt>
                <c:pt idx="15">
                  <c:v>62.0</c:v>
                </c:pt>
                <c:pt idx="16">
                  <c:v>62.0</c:v>
                </c:pt>
                <c:pt idx="17">
                  <c:v>63.0</c:v>
                </c:pt>
                <c:pt idx="18">
                  <c:v>63.0</c:v>
                </c:pt>
                <c:pt idx="19">
                  <c:v>68.0</c:v>
                </c:pt>
                <c:pt idx="20">
                  <c:v>68.0</c:v>
                </c:pt>
                <c:pt idx="21">
                  <c:v>69.0</c:v>
                </c:pt>
                <c:pt idx="22">
                  <c:v>69.0</c:v>
                </c:pt>
                <c:pt idx="23">
                  <c:v>70.0</c:v>
                </c:pt>
                <c:pt idx="24">
                  <c:v>75.0</c:v>
                </c:pt>
                <c:pt idx="25">
                  <c:v>76.0</c:v>
                </c:pt>
                <c:pt idx="26">
                  <c:v>76.0</c:v>
                </c:pt>
                <c:pt idx="27">
                  <c:v>77.0</c:v>
                </c:pt>
                <c:pt idx="28">
                  <c:v>77.0</c:v>
                </c:pt>
                <c:pt idx="29">
                  <c:v>80.0</c:v>
                </c:pt>
                <c:pt idx="30">
                  <c:v>80.0</c:v>
                </c:pt>
                <c:pt idx="31">
                  <c:v>81.0</c:v>
                </c:pt>
                <c:pt idx="32">
                  <c:v>81.0</c:v>
                </c:pt>
                <c:pt idx="33">
                  <c:v>82.0</c:v>
                </c:pt>
                <c:pt idx="34">
                  <c:v>85.0</c:v>
                </c:pt>
                <c:pt idx="35">
                  <c:v>86.0</c:v>
                </c:pt>
                <c:pt idx="36">
                  <c:v>86.0</c:v>
                </c:pt>
                <c:pt idx="37">
                  <c:v>87.0</c:v>
                </c:pt>
                <c:pt idx="38">
                  <c:v>87.0</c:v>
                </c:pt>
                <c:pt idx="39">
                  <c:v>90.0</c:v>
                </c:pt>
                <c:pt idx="40">
                  <c:v>90.0</c:v>
                </c:pt>
                <c:pt idx="41">
                  <c:v>91.0</c:v>
                </c:pt>
                <c:pt idx="42">
                  <c:v>91.0</c:v>
                </c:pt>
                <c:pt idx="43">
                  <c:v>92.0</c:v>
                </c:pt>
                <c:pt idx="44">
                  <c:v>95.0</c:v>
                </c:pt>
                <c:pt idx="45">
                  <c:v>96.0</c:v>
                </c:pt>
                <c:pt idx="46">
                  <c:v>96.0</c:v>
                </c:pt>
                <c:pt idx="47">
                  <c:v>97.0</c:v>
                </c:pt>
                <c:pt idx="48">
                  <c:v>97.0</c:v>
                </c:pt>
                <c:pt idx="49">
                  <c:v>100.0</c:v>
                </c:pt>
                <c:pt idx="50">
                  <c:v>100.0</c:v>
                </c:pt>
                <c:pt idx="51">
                  <c:v>101.0</c:v>
                </c:pt>
                <c:pt idx="52">
                  <c:v>101.0</c:v>
                </c:pt>
                <c:pt idx="53">
                  <c:v>102.0</c:v>
                </c:pt>
                <c:pt idx="54">
                  <c:v>105.0</c:v>
                </c:pt>
                <c:pt idx="55">
                  <c:v>106.0</c:v>
                </c:pt>
                <c:pt idx="56">
                  <c:v>106.0</c:v>
                </c:pt>
                <c:pt idx="57">
                  <c:v>107.0</c:v>
                </c:pt>
                <c:pt idx="58">
                  <c:v>107.0</c:v>
                </c:pt>
                <c:pt idx="59">
                  <c:v>110.0</c:v>
                </c:pt>
                <c:pt idx="60">
                  <c:v>110.0</c:v>
                </c:pt>
                <c:pt idx="61">
                  <c:v>111.0</c:v>
                </c:pt>
                <c:pt idx="62">
                  <c:v>111.0</c:v>
                </c:pt>
                <c:pt idx="63">
                  <c:v>112.0</c:v>
                </c:pt>
                <c:pt idx="64">
                  <c:v>115.0</c:v>
                </c:pt>
                <c:pt idx="65">
                  <c:v>116.0</c:v>
                </c:pt>
                <c:pt idx="66">
                  <c:v>116.0</c:v>
                </c:pt>
                <c:pt idx="67">
                  <c:v>117.0</c:v>
                </c:pt>
                <c:pt idx="68">
                  <c:v>117.0</c:v>
                </c:pt>
                <c:pt idx="69">
                  <c:v>120.0</c:v>
                </c:pt>
                <c:pt idx="70">
                  <c:v>120.0</c:v>
                </c:pt>
                <c:pt idx="71">
                  <c:v>121.0</c:v>
                </c:pt>
                <c:pt idx="72">
                  <c:v>121.0</c:v>
                </c:pt>
                <c:pt idx="73">
                  <c:v>122.0</c:v>
                </c:pt>
                <c:pt idx="74">
                  <c:v>125.0</c:v>
                </c:pt>
                <c:pt idx="75">
                  <c:v>126.0</c:v>
                </c:pt>
                <c:pt idx="76">
                  <c:v>126.0</c:v>
                </c:pt>
                <c:pt idx="77">
                  <c:v>127.0</c:v>
                </c:pt>
                <c:pt idx="78">
                  <c:v>127.0</c:v>
                </c:pt>
                <c:pt idx="79">
                  <c:v>130.0</c:v>
                </c:pt>
                <c:pt idx="80">
                  <c:v>130.0</c:v>
                </c:pt>
                <c:pt idx="81">
                  <c:v>131.0</c:v>
                </c:pt>
                <c:pt idx="82">
                  <c:v>131.0</c:v>
                </c:pt>
                <c:pt idx="83">
                  <c:v>132.0</c:v>
                </c:pt>
                <c:pt idx="84">
                  <c:v>135.0</c:v>
                </c:pt>
                <c:pt idx="85">
                  <c:v>136.0</c:v>
                </c:pt>
                <c:pt idx="86">
                  <c:v>136.0</c:v>
                </c:pt>
                <c:pt idx="87">
                  <c:v>137.0</c:v>
                </c:pt>
                <c:pt idx="88">
                  <c:v>137.0</c:v>
                </c:pt>
                <c:pt idx="89">
                  <c:v>140.0</c:v>
                </c:pt>
                <c:pt idx="90">
                  <c:v>140.0</c:v>
                </c:pt>
                <c:pt idx="91">
                  <c:v>141.0</c:v>
                </c:pt>
                <c:pt idx="92">
                  <c:v>141.0</c:v>
                </c:pt>
                <c:pt idx="93">
                  <c:v>142.0</c:v>
                </c:pt>
                <c:pt idx="94">
                  <c:v>145.0</c:v>
                </c:pt>
                <c:pt idx="95">
                  <c:v>146.0</c:v>
                </c:pt>
                <c:pt idx="96">
                  <c:v>146.0</c:v>
                </c:pt>
                <c:pt idx="97">
                  <c:v>147.0</c:v>
                </c:pt>
                <c:pt idx="98">
                  <c:v>147.0</c:v>
                </c:pt>
                <c:pt idx="99">
                  <c:v>148.0</c:v>
                </c:pt>
                <c:pt idx="100">
                  <c:v>148.0</c:v>
                </c:pt>
                <c:pt idx="101">
                  <c:v>148.0</c:v>
                </c:pt>
                <c:pt idx="102">
                  <c:v>148.0</c:v>
                </c:pt>
                <c:pt idx="103">
                  <c:v>149.0</c:v>
                </c:pt>
                <c:pt idx="104">
                  <c:v>149.0</c:v>
                </c:pt>
                <c:pt idx="105">
                  <c:v>149.0</c:v>
                </c:pt>
                <c:pt idx="106">
                  <c:v>149.0</c:v>
                </c:pt>
                <c:pt idx="107">
                  <c:v>150.0</c:v>
                </c:pt>
                <c:pt idx="108">
                  <c:v>150.0</c:v>
                </c:pt>
                <c:pt idx="109">
                  <c:v>150.0</c:v>
                </c:pt>
                <c:pt idx="110">
                  <c:v>150.0</c:v>
                </c:pt>
                <c:pt idx="111">
                  <c:v>151.0</c:v>
                </c:pt>
                <c:pt idx="112">
                  <c:v>151.0</c:v>
                </c:pt>
                <c:pt idx="113">
                  <c:v>151.0</c:v>
                </c:pt>
                <c:pt idx="114">
                  <c:v>151.0</c:v>
                </c:pt>
                <c:pt idx="115">
                  <c:v>152.0</c:v>
                </c:pt>
                <c:pt idx="116">
                  <c:v>152.0</c:v>
                </c:pt>
                <c:pt idx="117">
                  <c:v>152.0</c:v>
                </c:pt>
                <c:pt idx="118">
                  <c:v>152.0</c:v>
                </c:pt>
                <c:pt idx="119">
                  <c:v>153.0</c:v>
                </c:pt>
                <c:pt idx="120">
                  <c:v>153.0</c:v>
                </c:pt>
                <c:pt idx="121">
                  <c:v>153.0</c:v>
                </c:pt>
                <c:pt idx="122">
                  <c:v>153.0</c:v>
                </c:pt>
                <c:pt idx="123">
                  <c:v>154.0</c:v>
                </c:pt>
                <c:pt idx="124">
                  <c:v>154.0</c:v>
                </c:pt>
                <c:pt idx="125">
                  <c:v>154.0</c:v>
                </c:pt>
                <c:pt idx="126">
                  <c:v>154.0</c:v>
                </c:pt>
                <c:pt idx="127">
                  <c:v>155.0</c:v>
                </c:pt>
                <c:pt idx="128">
                  <c:v>155.0</c:v>
                </c:pt>
                <c:pt idx="129">
                  <c:v>155.0</c:v>
                </c:pt>
                <c:pt idx="130">
                  <c:v>155.0</c:v>
                </c:pt>
                <c:pt idx="131">
                  <c:v>156.0</c:v>
                </c:pt>
                <c:pt idx="132">
                  <c:v>156.0</c:v>
                </c:pt>
                <c:pt idx="133">
                  <c:v>156.0</c:v>
                </c:pt>
                <c:pt idx="134">
                  <c:v>156.0</c:v>
                </c:pt>
                <c:pt idx="135">
                  <c:v>157.0</c:v>
                </c:pt>
                <c:pt idx="136">
                  <c:v>157.0</c:v>
                </c:pt>
                <c:pt idx="137">
                  <c:v>157.0</c:v>
                </c:pt>
                <c:pt idx="138">
                  <c:v>157.0</c:v>
                </c:pt>
                <c:pt idx="139">
                  <c:v>158.0</c:v>
                </c:pt>
                <c:pt idx="140">
                  <c:v>158.0</c:v>
                </c:pt>
                <c:pt idx="141">
                  <c:v>158.0</c:v>
                </c:pt>
                <c:pt idx="142">
                  <c:v>158.0</c:v>
                </c:pt>
                <c:pt idx="143">
                  <c:v>159.0</c:v>
                </c:pt>
                <c:pt idx="144">
                  <c:v>159.0</c:v>
                </c:pt>
                <c:pt idx="145">
                  <c:v>159.0</c:v>
                </c:pt>
                <c:pt idx="146">
                  <c:v>159.0</c:v>
                </c:pt>
                <c:pt idx="147">
                  <c:v>160.0</c:v>
                </c:pt>
                <c:pt idx="148">
                  <c:v>160.0</c:v>
                </c:pt>
                <c:pt idx="149">
                  <c:v>160.0</c:v>
                </c:pt>
                <c:pt idx="150">
                  <c:v>160.0</c:v>
                </c:pt>
                <c:pt idx="151">
                  <c:v>161.0</c:v>
                </c:pt>
                <c:pt idx="152">
                  <c:v>161.0</c:v>
                </c:pt>
                <c:pt idx="153">
                  <c:v>161.0</c:v>
                </c:pt>
                <c:pt idx="154">
                  <c:v>161.0</c:v>
                </c:pt>
                <c:pt idx="155">
                  <c:v>162.0</c:v>
                </c:pt>
                <c:pt idx="156">
                  <c:v>162.0</c:v>
                </c:pt>
                <c:pt idx="157">
                  <c:v>162.0</c:v>
                </c:pt>
                <c:pt idx="158">
                  <c:v>162.0</c:v>
                </c:pt>
                <c:pt idx="159">
                  <c:v>163.0</c:v>
                </c:pt>
                <c:pt idx="160">
                  <c:v>163.0</c:v>
                </c:pt>
                <c:pt idx="161">
                  <c:v>163.0</c:v>
                </c:pt>
                <c:pt idx="162">
                  <c:v>163.0</c:v>
                </c:pt>
                <c:pt idx="163">
                  <c:v>164.0</c:v>
                </c:pt>
                <c:pt idx="164">
                  <c:v>164.0</c:v>
                </c:pt>
                <c:pt idx="165">
                  <c:v>164.0</c:v>
                </c:pt>
                <c:pt idx="166">
                  <c:v>164.0</c:v>
                </c:pt>
                <c:pt idx="167">
                  <c:v>165.0</c:v>
                </c:pt>
                <c:pt idx="168">
                  <c:v>165.0</c:v>
                </c:pt>
                <c:pt idx="169">
                  <c:v>165.0</c:v>
                </c:pt>
                <c:pt idx="170">
                  <c:v>165.0</c:v>
                </c:pt>
                <c:pt idx="171">
                  <c:v>166.0</c:v>
                </c:pt>
                <c:pt idx="172">
                  <c:v>166.0</c:v>
                </c:pt>
                <c:pt idx="173">
                  <c:v>166.0</c:v>
                </c:pt>
                <c:pt idx="174">
                  <c:v>166.0</c:v>
                </c:pt>
                <c:pt idx="175">
                  <c:v>167.0</c:v>
                </c:pt>
                <c:pt idx="176">
                  <c:v>167.0</c:v>
                </c:pt>
                <c:pt idx="177">
                  <c:v>167.0</c:v>
                </c:pt>
                <c:pt idx="178">
                  <c:v>167.0</c:v>
                </c:pt>
                <c:pt idx="179">
                  <c:v>168.0</c:v>
                </c:pt>
                <c:pt idx="180">
                  <c:v>168.0</c:v>
                </c:pt>
                <c:pt idx="181">
                  <c:v>168.0</c:v>
                </c:pt>
                <c:pt idx="182">
                  <c:v>168.0</c:v>
                </c:pt>
                <c:pt idx="183">
                  <c:v>169.0</c:v>
                </c:pt>
                <c:pt idx="184">
                  <c:v>169.0</c:v>
                </c:pt>
                <c:pt idx="185">
                  <c:v>169.0</c:v>
                </c:pt>
                <c:pt idx="186">
                  <c:v>169.0</c:v>
                </c:pt>
                <c:pt idx="187">
                  <c:v>170.0</c:v>
                </c:pt>
                <c:pt idx="188">
                  <c:v>170.0</c:v>
                </c:pt>
                <c:pt idx="189">
                  <c:v>170.0</c:v>
                </c:pt>
                <c:pt idx="190">
                  <c:v>170.0</c:v>
                </c:pt>
                <c:pt idx="191">
                  <c:v>171.0</c:v>
                </c:pt>
                <c:pt idx="192">
                  <c:v>171.0</c:v>
                </c:pt>
                <c:pt idx="193">
                  <c:v>171.0</c:v>
                </c:pt>
                <c:pt idx="194">
                  <c:v>171.0</c:v>
                </c:pt>
                <c:pt idx="195">
                  <c:v>172.0</c:v>
                </c:pt>
                <c:pt idx="196">
                  <c:v>172.0</c:v>
                </c:pt>
                <c:pt idx="197">
                  <c:v>172.0</c:v>
                </c:pt>
                <c:pt idx="198">
                  <c:v>172.0</c:v>
                </c:pt>
                <c:pt idx="199">
                  <c:v>173.0</c:v>
                </c:pt>
                <c:pt idx="200">
                  <c:v>173.0</c:v>
                </c:pt>
                <c:pt idx="201">
                  <c:v>173.0</c:v>
                </c:pt>
                <c:pt idx="202">
                  <c:v>173.0</c:v>
                </c:pt>
                <c:pt idx="203">
                  <c:v>174.0</c:v>
                </c:pt>
                <c:pt idx="204">
                  <c:v>174.0</c:v>
                </c:pt>
                <c:pt idx="205">
                  <c:v>174.0</c:v>
                </c:pt>
                <c:pt idx="206">
                  <c:v>174.0</c:v>
                </c:pt>
                <c:pt idx="207">
                  <c:v>175.0</c:v>
                </c:pt>
                <c:pt idx="208">
                  <c:v>175.0</c:v>
                </c:pt>
                <c:pt idx="209">
                  <c:v>175.0</c:v>
                </c:pt>
                <c:pt idx="210">
                  <c:v>175.0</c:v>
                </c:pt>
                <c:pt idx="211">
                  <c:v>176.0</c:v>
                </c:pt>
                <c:pt idx="212">
                  <c:v>176.0</c:v>
                </c:pt>
                <c:pt idx="213">
                  <c:v>176.0</c:v>
                </c:pt>
                <c:pt idx="214">
                  <c:v>176.0</c:v>
                </c:pt>
                <c:pt idx="215">
                  <c:v>177.0</c:v>
                </c:pt>
                <c:pt idx="216">
                  <c:v>177.0</c:v>
                </c:pt>
                <c:pt idx="217">
                  <c:v>177.0</c:v>
                </c:pt>
                <c:pt idx="218">
                  <c:v>177.0</c:v>
                </c:pt>
                <c:pt idx="219">
                  <c:v>178.0</c:v>
                </c:pt>
                <c:pt idx="220">
                  <c:v>178.0</c:v>
                </c:pt>
                <c:pt idx="221">
                  <c:v>178.0</c:v>
                </c:pt>
                <c:pt idx="222">
                  <c:v>178.0</c:v>
                </c:pt>
                <c:pt idx="223">
                  <c:v>179.0</c:v>
                </c:pt>
                <c:pt idx="224">
                  <c:v>179.0</c:v>
                </c:pt>
                <c:pt idx="225">
                  <c:v>179.0</c:v>
                </c:pt>
                <c:pt idx="226">
                  <c:v>179.0</c:v>
                </c:pt>
                <c:pt idx="227">
                  <c:v>180.0</c:v>
                </c:pt>
                <c:pt idx="228">
                  <c:v>180.0</c:v>
                </c:pt>
                <c:pt idx="229">
                  <c:v>180.0</c:v>
                </c:pt>
                <c:pt idx="230">
                  <c:v>180.0</c:v>
                </c:pt>
                <c:pt idx="231">
                  <c:v>181.0</c:v>
                </c:pt>
                <c:pt idx="232">
                  <c:v>181.0</c:v>
                </c:pt>
                <c:pt idx="233">
                  <c:v>181.0</c:v>
                </c:pt>
                <c:pt idx="234">
                  <c:v>181.0</c:v>
                </c:pt>
                <c:pt idx="235">
                  <c:v>182.0</c:v>
                </c:pt>
                <c:pt idx="236">
                  <c:v>182.0</c:v>
                </c:pt>
                <c:pt idx="237">
                  <c:v>182.0</c:v>
                </c:pt>
                <c:pt idx="238">
                  <c:v>182.0</c:v>
                </c:pt>
                <c:pt idx="239">
                  <c:v>183.0</c:v>
                </c:pt>
                <c:pt idx="240">
                  <c:v>183.0</c:v>
                </c:pt>
                <c:pt idx="241">
                  <c:v>183.0</c:v>
                </c:pt>
                <c:pt idx="242">
                  <c:v>183.0</c:v>
                </c:pt>
                <c:pt idx="243">
                  <c:v>184.0</c:v>
                </c:pt>
                <c:pt idx="244">
                  <c:v>184.0</c:v>
                </c:pt>
                <c:pt idx="245">
                  <c:v>184.0</c:v>
                </c:pt>
                <c:pt idx="246">
                  <c:v>184.0</c:v>
                </c:pt>
                <c:pt idx="247">
                  <c:v>185.0</c:v>
                </c:pt>
                <c:pt idx="248">
                  <c:v>185.0</c:v>
                </c:pt>
                <c:pt idx="249">
                  <c:v>185.0</c:v>
                </c:pt>
                <c:pt idx="250">
                  <c:v>185.0</c:v>
                </c:pt>
                <c:pt idx="251">
                  <c:v>186.0</c:v>
                </c:pt>
                <c:pt idx="252">
                  <c:v>186.0</c:v>
                </c:pt>
                <c:pt idx="253">
                  <c:v>186.0</c:v>
                </c:pt>
                <c:pt idx="254">
                  <c:v>186.0</c:v>
                </c:pt>
                <c:pt idx="255">
                  <c:v>187.0</c:v>
                </c:pt>
                <c:pt idx="256">
                  <c:v>187.0</c:v>
                </c:pt>
                <c:pt idx="257">
                  <c:v>187.0</c:v>
                </c:pt>
                <c:pt idx="258">
                  <c:v>187.0</c:v>
                </c:pt>
                <c:pt idx="259">
                  <c:v>188.0</c:v>
                </c:pt>
                <c:pt idx="260">
                  <c:v>188.0</c:v>
                </c:pt>
                <c:pt idx="261">
                  <c:v>188.0</c:v>
                </c:pt>
                <c:pt idx="262">
                  <c:v>188.0</c:v>
                </c:pt>
                <c:pt idx="263">
                  <c:v>189.0</c:v>
                </c:pt>
                <c:pt idx="264">
                  <c:v>189.0</c:v>
                </c:pt>
                <c:pt idx="265">
                  <c:v>189.0</c:v>
                </c:pt>
                <c:pt idx="266">
                  <c:v>189.0</c:v>
                </c:pt>
                <c:pt idx="267">
                  <c:v>190.0</c:v>
                </c:pt>
                <c:pt idx="268">
                  <c:v>190.0</c:v>
                </c:pt>
                <c:pt idx="269">
                  <c:v>190.0</c:v>
                </c:pt>
                <c:pt idx="270">
                  <c:v>190.0</c:v>
                </c:pt>
                <c:pt idx="271">
                  <c:v>191.0</c:v>
                </c:pt>
                <c:pt idx="272">
                  <c:v>191.0</c:v>
                </c:pt>
                <c:pt idx="273">
                  <c:v>191.0</c:v>
                </c:pt>
                <c:pt idx="274">
                  <c:v>191.0</c:v>
                </c:pt>
                <c:pt idx="275">
                  <c:v>192.0</c:v>
                </c:pt>
                <c:pt idx="276">
                  <c:v>192.0</c:v>
                </c:pt>
                <c:pt idx="277">
                  <c:v>192.0</c:v>
                </c:pt>
                <c:pt idx="278">
                  <c:v>192.0</c:v>
                </c:pt>
                <c:pt idx="279">
                  <c:v>193.0</c:v>
                </c:pt>
                <c:pt idx="280">
                  <c:v>193.0</c:v>
                </c:pt>
                <c:pt idx="281">
                  <c:v>193.0</c:v>
                </c:pt>
                <c:pt idx="282">
                  <c:v>193.0</c:v>
                </c:pt>
                <c:pt idx="283">
                  <c:v>194.0</c:v>
                </c:pt>
                <c:pt idx="284">
                  <c:v>194.0</c:v>
                </c:pt>
                <c:pt idx="285">
                  <c:v>194.0</c:v>
                </c:pt>
                <c:pt idx="286">
                  <c:v>194.0</c:v>
                </c:pt>
                <c:pt idx="287">
                  <c:v>195.0</c:v>
                </c:pt>
                <c:pt idx="288">
                  <c:v>195.0</c:v>
                </c:pt>
                <c:pt idx="289">
                  <c:v>195.0</c:v>
                </c:pt>
                <c:pt idx="290">
                  <c:v>195.0</c:v>
                </c:pt>
                <c:pt idx="291">
                  <c:v>196.0</c:v>
                </c:pt>
                <c:pt idx="292">
                  <c:v>196.0</c:v>
                </c:pt>
                <c:pt idx="293">
                  <c:v>196.0</c:v>
                </c:pt>
                <c:pt idx="294">
                  <c:v>196.0</c:v>
                </c:pt>
                <c:pt idx="295">
                  <c:v>197.0</c:v>
                </c:pt>
                <c:pt idx="296">
                  <c:v>197.0</c:v>
                </c:pt>
                <c:pt idx="297">
                  <c:v>197.0</c:v>
                </c:pt>
                <c:pt idx="298">
                  <c:v>197.0</c:v>
                </c:pt>
                <c:pt idx="299">
                  <c:v>198.0</c:v>
                </c:pt>
              </c:numCache>
            </c:numRef>
          </c:val>
          <c:smooth val="0"/>
        </c:ser>
        <c:ser>
          <c:idx val="2"/>
          <c:order val="2"/>
          <c:tx>
            <c:v>調整２回目</c:v>
          </c:tx>
          <c:marker>
            <c:symbol val="none"/>
          </c:marker>
          <c:cat>
            <c:strRef>
              <c:f>player_ranks_uprev1609!$A$1:$A$301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player_ranks_uprev1609!$C$2:$C$301</c:f>
              <c:numCache>
                <c:formatCode>General</c:formatCode>
                <c:ptCount val="300"/>
                <c:pt idx="0">
                  <c:v>89.0</c:v>
                </c:pt>
                <c:pt idx="1">
                  <c:v>90.0</c:v>
                </c:pt>
                <c:pt idx="2">
                  <c:v>90.0</c:v>
                </c:pt>
                <c:pt idx="3">
                  <c:v>92.0</c:v>
                </c:pt>
                <c:pt idx="4">
                  <c:v>97.0</c:v>
                </c:pt>
                <c:pt idx="5">
                  <c:v>98.0</c:v>
                </c:pt>
                <c:pt idx="6">
                  <c:v>98.0</c:v>
                </c:pt>
                <c:pt idx="7">
                  <c:v>100.0</c:v>
                </c:pt>
                <c:pt idx="8">
                  <c:v>100.0</c:v>
                </c:pt>
                <c:pt idx="9">
                  <c:v>105.0</c:v>
                </c:pt>
                <c:pt idx="10">
                  <c:v>105.0</c:v>
                </c:pt>
                <c:pt idx="11">
                  <c:v>106.0</c:v>
                </c:pt>
                <c:pt idx="12">
                  <c:v>106.0</c:v>
                </c:pt>
                <c:pt idx="13">
                  <c:v>107.0</c:v>
                </c:pt>
                <c:pt idx="14">
                  <c:v>110.0</c:v>
                </c:pt>
                <c:pt idx="15">
                  <c:v>110.0</c:v>
                </c:pt>
                <c:pt idx="16">
                  <c:v>111.0</c:v>
                </c:pt>
                <c:pt idx="17">
                  <c:v>111.0</c:v>
                </c:pt>
                <c:pt idx="18">
                  <c:v>112.0</c:v>
                </c:pt>
                <c:pt idx="19">
                  <c:v>115.0</c:v>
                </c:pt>
                <c:pt idx="20">
                  <c:v>115.0</c:v>
                </c:pt>
                <c:pt idx="21">
                  <c:v>116.0</c:v>
                </c:pt>
                <c:pt idx="22">
                  <c:v>116.0</c:v>
                </c:pt>
                <c:pt idx="23">
                  <c:v>117.0</c:v>
                </c:pt>
                <c:pt idx="24">
                  <c:v>120.0</c:v>
                </c:pt>
                <c:pt idx="25">
                  <c:v>120.0</c:v>
                </c:pt>
                <c:pt idx="26">
                  <c:v>121.0</c:v>
                </c:pt>
                <c:pt idx="27">
                  <c:v>121.0</c:v>
                </c:pt>
                <c:pt idx="28">
                  <c:v>122.0</c:v>
                </c:pt>
                <c:pt idx="29">
                  <c:v>125.0</c:v>
                </c:pt>
                <c:pt idx="30">
                  <c:v>125.0</c:v>
                </c:pt>
                <c:pt idx="31">
                  <c:v>126.0</c:v>
                </c:pt>
                <c:pt idx="32">
                  <c:v>126.0</c:v>
                </c:pt>
                <c:pt idx="33">
                  <c:v>127.0</c:v>
                </c:pt>
                <c:pt idx="34">
                  <c:v>130.0</c:v>
                </c:pt>
                <c:pt idx="35">
                  <c:v>130.0</c:v>
                </c:pt>
                <c:pt idx="36">
                  <c:v>131.0</c:v>
                </c:pt>
                <c:pt idx="37">
                  <c:v>131.0</c:v>
                </c:pt>
                <c:pt idx="38">
                  <c:v>133.0</c:v>
                </c:pt>
                <c:pt idx="39">
                  <c:v>133.0</c:v>
                </c:pt>
                <c:pt idx="40">
                  <c:v>134.0</c:v>
                </c:pt>
                <c:pt idx="41">
                  <c:v>134.0</c:v>
                </c:pt>
                <c:pt idx="42">
                  <c:v>136.0</c:v>
                </c:pt>
                <c:pt idx="43">
                  <c:v>136.0</c:v>
                </c:pt>
                <c:pt idx="44">
                  <c:v>137.0</c:v>
                </c:pt>
                <c:pt idx="45">
                  <c:v>137.0</c:v>
                </c:pt>
                <c:pt idx="46">
                  <c:v>139.0</c:v>
                </c:pt>
                <c:pt idx="47">
                  <c:v>139.0</c:v>
                </c:pt>
                <c:pt idx="48">
                  <c:v>140.0</c:v>
                </c:pt>
                <c:pt idx="49">
                  <c:v>140.0</c:v>
                </c:pt>
                <c:pt idx="50">
                  <c:v>142.0</c:v>
                </c:pt>
                <c:pt idx="51">
                  <c:v>142.0</c:v>
                </c:pt>
                <c:pt idx="52">
                  <c:v>143.0</c:v>
                </c:pt>
                <c:pt idx="53">
                  <c:v>143.0</c:v>
                </c:pt>
                <c:pt idx="54">
                  <c:v>145.0</c:v>
                </c:pt>
                <c:pt idx="55">
                  <c:v>145.0</c:v>
                </c:pt>
                <c:pt idx="56">
                  <c:v>145.0</c:v>
                </c:pt>
                <c:pt idx="57">
                  <c:v>146.0</c:v>
                </c:pt>
                <c:pt idx="58">
                  <c:v>146.0</c:v>
                </c:pt>
                <c:pt idx="59">
                  <c:v>146.0</c:v>
                </c:pt>
                <c:pt idx="60">
                  <c:v>146.0</c:v>
                </c:pt>
                <c:pt idx="61">
                  <c:v>147.0</c:v>
                </c:pt>
                <c:pt idx="62">
                  <c:v>147.0</c:v>
                </c:pt>
                <c:pt idx="63">
                  <c:v>147.0</c:v>
                </c:pt>
                <c:pt idx="64">
                  <c:v>148.0</c:v>
                </c:pt>
                <c:pt idx="65">
                  <c:v>148.0</c:v>
                </c:pt>
                <c:pt idx="66">
                  <c:v>148.0</c:v>
                </c:pt>
                <c:pt idx="67">
                  <c:v>148.0</c:v>
                </c:pt>
                <c:pt idx="68">
                  <c:v>149.0</c:v>
                </c:pt>
                <c:pt idx="69">
                  <c:v>149.0</c:v>
                </c:pt>
                <c:pt idx="70">
                  <c:v>149.0</c:v>
                </c:pt>
                <c:pt idx="71">
                  <c:v>150.0</c:v>
                </c:pt>
                <c:pt idx="72">
                  <c:v>150.0</c:v>
                </c:pt>
                <c:pt idx="73">
                  <c:v>150.0</c:v>
                </c:pt>
                <c:pt idx="74">
                  <c:v>150.0</c:v>
                </c:pt>
                <c:pt idx="75">
                  <c:v>151.0</c:v>
                </c:pt>
                <c:pt idx="76">
                  <c:v>151.0</c:v>
                </c:pt>
                <c:pt idx="77">
                  <c:v>151.0</c:v>
                </c:pt>
                <c:pt idx="78">
                  <c:v>152.0</c:v>
                </c:pt>
                <c:pt idx="79">
                  <c:v>152.0</c:v>
                </c:pt>
                <c:pt idx="80">
                  <c:v>152.0</c:v>
                </c:pt>
                <c:pt idx="81">
                  <c:v>152.0</c:v>
                </c:pt>
                <c:pt idx="82">
                  <c:v>153.0</c:v>
                </c:pt>
                <c:pt idx="83">
                  <c:v>153.0</c:v>
                </c:pt>
                <c:pt idx="84">
                  <c:v>153.0</c:v>
                </c:pt>
                <c:pt idx="85">
                  <c:v>154.0</c:v>
                </c:pt>
                <c:pt idx="86">
                  <c:v>154.0</c:v>
                </c:pt>
                <c:pt idx="87">
                  <c:v>154.0</c:v>
                </c:pt>
                <c:pt idx="88">
                  <c:v>154.0</c:v>
                </c:pt>
                <c:pt idx="89">
                  <c:v>155.0</c:v>
                </c:pt>
                <c:pt idx="90">
                  <c:v>155.0</c:v>
                </c:pt>
                <c:pt idx="91">
                  <c:v>156.0</c:v>
                </c:pt>
                <c:pt idx="92">
                  <c:v>156.0</c:v>
                </c:pt>
                <c:pt idx="93">
                  <c:v>156.0</c:v>
                </c:pt>
                <c:pt idx="94">
                  <c:v>156.0</c:v>
                </c:pt>
                <c:pt idx="95">
                  <c:v>157.0</c:v>
                </c:pt>
                <c:pt idx="96">
                  <c:v>157.0</c:v>
                </c:pt>
                <c:pt idx="97">
                  <c:v>157.0</c:v>
                </c:pt>
                <c:pt idx="98">
                  <c:v>157.0</c:v>
                </c:pt>
                <c:pt idx="99">
                  <c:v>158.0</c:v>
                </c:pt>
                <c:pt idx="100">
                  <c:v>158.0</c:v>
                </c:pt>
                <c:pt idx="101">
                  <c:v>158.0</c:v>
                </c:pt>
                <c:pt idx="102">
                  <c:v>158.0</c:v>
                </c:pt>
                <c:pt idx="103">
                  <c:v>159.0</c:v>
                </c:pt>
                <c:pt idx="104">
                  <c:v>159.0</c:v>
                </c:pt>
                <c:pt idx="105">
                  <c:v>159.0</c:v>
                </c:pt>
                <c:pt idx="106">
                  <c:v>159.0</c:v>
                </c:pt>
                <c:pt idx="107">
                  <c:v>160.0</c:v>
                </c:pt>
                <c:pt idx="108">
                  <c:v>160.0</c:v>
                </c:pt>
                <c:pt idx="109">
                  <c:v>160.0</c:v>
                </c:pt>
                <c:pt idx="110">
                  <c:v>160.0</c:v>
                </c:pt>
                <c:pt idx="111">
                  <c:v>161.0</c:v>
                </c:pt>
                <c:pt idx="112">
                  <c:v>161.0</c:v>
                </c:pt>
                <c:pt idx="113">
                  <c:v>161.0</c:v>
                </c:pt>
                <c:pt idx="114">
                  <c:v>161.0</c:v>
                </c:pt>
                <c:pt idx="115">
                  <c:v>162.0</c:v>
                </c:pt>
                <c:pt idx="116">
                  <c:v>162.0</c:v>
                </c:pt>
                <c:pt idx="117">
                  <c:v>162.0</c:v>
                </c:pt>
                <c:pt idx="118">
                  <c:v>162.0</c:v>
                </c:pt>
                <c:pt idx="119">
                  <c:v>163.0</c:v>
                </c:pt>
                <c:pt idx="120">
                  <c:v>163.0</c:v>
                </c:pt>
                <c:pt idx="121">
                  <c:v>163.0</c:v>
                </c:pt>
                <c:pt idx="122">
                  <c:v>163.0</c:v>
                </c:pt>
                <c:pt idx="123">
                  <c:v>164.0</c:v>
                </c:pt>
                <c:pt idx="124">
                  <c:v>164.0</c:v>
                </c:pt>
                <c:pt idx="125">
                  <c:v>164.0</c:v>
                </c:pt>
                <c:pt idx="126">
                  <c:v>164.0</c:v>
                </c:pt>
                <c:pt idx="127">
                  <c:v>165.0</c:v>
                </c:pt>
                <c:pt idx="128">
                  <c:v>165.0</c:v>
                </c:pt>
                <c:pt idx="129">
                  <c:v>165.0</c:v>
                </c:pt>
                <c:pt idx="130">
                  <c:v>165.0</c:v>
                </c:pt>
                <c:pt idx="131">
                  <c:v>166.0</c:v>
                </c:pt>
                <c:pt idx="132">
                  <c:v>166.0</c:v>
                </c:pt>
                <c:pt idx="133">
                  <c:v>166.0</c:v>
                </c:pt>
                <c:pt idx="134">
                  <c:v>166.0</c:v>
                </c:pt>
                <c:pt idx="135">
                  <c:v>167.0</c:v>
                </c:pt>
                <c:pt idx="136">
                  <c:v>167.0</c:v>
                </c:pt>
                <c:pt idx="137">
                  <c:v>167.0</c:v>
                </c:pt>
                <c:pt idx="138">
                  <c:v>167.0</c:v>
                </c:pt>
                <c:pt idx="139">
                  <c:v>168.0</c:v>
                </c:pt>
                <c:pt idx="140">
                  <c:v>168.0</c:v>
                </c:pt>
                <c:pt idx="141">
                  <c:v>168.0</c:v>
                </c:pt>
                <c:pt idx="142">
                  <c:v>168.0</c:v>
                </c:pt>
                <c:pt idx="143">
                  <c:v>169.0</c:v>
                </c:pt>
                <c:pt idx="144">
                  <c:v>169.0</c:v>
                </c:pt>
                <c:pt idx="145">
                  <c:v>169.0</c:v>
                </c:pt>
                <c:pt idx="146">
                  <c:v>169.0</c:v>
                </c:pt>
                <c:pt idx="147">
                  <c:v>170.0</c:v>
                </c:pt>
                <c:pt idx="148">
                  <c:v>170.0</c:v>
                </c:pt>
                <c:pt idx="149">
                  <c:v>170.0</c:v>
                </c:pt>
                <c:pt idx="150">
                  <c:v>170.0</c:v>
                </c:pt>
                <c:pt idx="151">
                  <c:v>171.0</c:v>
                </c:pt>
                <c:pt idx="152">
                  <c:v>171.0</c:v>
                </c:pt>
                <c:pt idx="153">
                  <c:v>171.0</c:v>
                </c:pt>
                <c:pt idx="154">
                  <c:v>171.0</c:v>
                </c:pt>
                <c:pt idx="155">
                  <c:v>172.0</c:v>
                </c:pt>
                <c:pt idx="156">
                  <c:v>172.0</c:v>
                </c:pt>
                <c:pt idx="157">
                  <c:v>172.0</c:v>
                </c:pt>
                <c:pt idx="158">
                  <c:v>172.0</c:v>
                </c:pt>
                <c:pt idx="159">
                  <c:v>173.0</c:v>
                </c:pt>
                <c:pt idx="160">
                  <c:v>173.0</c:v>
                </c:pt>
                <c:pt idx="161">
                  <c:v>173.0</c:v>
                </c:pt>
                <c:pt idx="162">
                  <c:v>173.0</c:v>
                </c:pt>
                <c:pt idx="163">
                  <c:v>174.0</c:v>
                </c:pt>
                <c:pt idx="164">
                  <c:v>174.0</c:v>
                </c:pt>
                <c:pt idx="165">
                  <c:v>174.0</c:v>
                </c:pt>
                <c:pt idx="166">
                  <c:v>174.0</c:v>
                </c:pt>
                <c:pt idx="167">
                  <c:v>175.0</c:v>
                </c:pt>
                <c:pt idx="168">
                  <c:v>175.0</c:v>
                </c:pt>
                <c:pt idx="169">
                  <c:v>175.0</c:v>
                </c:pt>
                <c:pt idx="170">
                  <c:v>175.0</c:v>
                </c:pt>
                <c:pt idx="171">
                  <c:v>176.0</c:v>
                </c:pt>
                <c:pt idx="172">
                  <c:v>176.0</c:v>
                </c:pt>
                <c:pt idx="173">
                  <c:v>176.0</c:v>
                </c:pt>
                <c:pt idx="174">
                  <c:v>176.0</c:v>
                </c:pt>
                <c:pt idx="175">
                  <c:v>177.0</c:v>
                </c:pt>
                <c:pt idx="176">
                  <c:v>177.0</c:v>
                </c:pt>
                <c:pt idx="177">
                  <c:v>177.0</c:v>
                </c:pt>
                <c:pt idx="178">
                  <c:v>177.0</c:v>
                </c:pt>
                <c:pt idx="179">
                  <c:v>178.0</c:v>
                </c:pt>
                <c:pt idx="180">
                  <c:v>178.0</c:v>
                </c:pt>
                <c:pt idx="181">
                  <c:v>178.0</c:v>
                </c:pt>
                <c:pt idx="182">
                  <c:v>178.0</c:v>
                </c:pt>
                <c:pt idx="183">
                  <c:v>179.0</c:v>
                </c:pt>
                <c:pt idx="184">
                  <c:v>179.0</c:v>
                </c:pt>
                <c:pt idx="185">
                  <c:v>179.0</c:v>
                </c:pt>
                <c:pt idx="186">
                  <c:v>179.0</c:v>
                </c:pt>
                <c:pt idx="187">
                  <c:v>180.0</c:v>
                </c:pt>
                <c:pt idx="188">
                  <c:v>180.0</c:v>
                </c:pt>
                <c:pt idx="189">
                  <c:v>180.0</c:v>
                </c:pt>
                <c:pt idx="190">
                  <c:v>180.0</c:v>
                </c:pt>
                <c:pt idx="191">
                  <c:v>181.0</c:v>
                </c:pt>
                <c:pt idx="192">
                  <c:v>181.0</c:v>
                </c:pt>
                <c:pt idx="193">
                  <c:v>181.0</c:v>
                </c:pt>
                <c:pt idx="194">
                  <c:v>181.0</c:v>
                </c:pt>
                <c:pt idx="195">
                  <c:v>182.0</c:v>
                </c:pt>
                <c:pt idx="196">
                  <c:v>182.0</c:v>
                </c:pt>
                <c:pt idx="197">
                  <c:v>182.0</c:v>
                </c:pt>
                <c:pt idx="198">
                  <c:v>182.0</c:v>
                </c:pt>
                <c:pt idx="199">
                  <c:v>183.0</c:v>
                </c:pt>
                <c:pt idx="200">
                  <c:v>183.0</c:v>
                </c:pt>
                <c:pt idx="201">
                  <c:v>183.0</c:v>
                </c:pt>
                <c:pt idx="202">
                  <c:v>183.0</c:v>
                </c:pt>
                <c:pt idx="203">
                  <c:v>184.0</c:v>
                </c:pt>
                <c:pt idx="204">
                  <c:v>184.0</c:v>
                </c:pt>
                <c:pt idx="205">
                  <c:v>184.0</c:v>
                </c:pt>
                <c:pt idx="206">
                  <c:v>184.0</c:v>
                </c:pt>
                <c:pt idx="207">
                  <c:v>185.0</c:v>
                </c:pt>
                <c:pt idx="208">
                  <c:v>185.0</c:v>
                </c:pt>
                <c:pt idx="209">
                  <c:v>185.0</c:v>
                </c:pt>
                <c:pt idx="210">
                  <c:v>185.0</c:v>
                </c:pt>
                <c:pt idx="211">
                  <c:v>186.0</c:v>
                </c:pt>
                <c:pt idx="212">
                  <c:v>186.0</c:v>
                </c:pt>
                <c:pt idx="213">
                  <c:v>186.0</c:v>
                </c:pt>
                <c:pt idx="214">
                  <c:v>186.0</c:v>
                </c:pt>
                <c:pt idx="215">
                  <c:v>187.0</c:v>
                </c:pt>
                <c:pt idx="216">
                  <c:v>187.0</c:v>
                </c:pt>
                <c:pt idx="217">
                  <c:v>187.0</c:v>
                </c:pt>
                <c:pt idx="218">
                  <c:v>187.0</c:v>
                </c:pt>
                <c:pt idx="219">
                  <c:v>188.0</c:v>
                </c:pt>
                <c:pt idx="220">
                  <c:v>188.0</c:v>
                </c:pt>
                <c:pt idx="221">
                  <c:v>188.0</c:v>
                </c:pt>
                <c:pt idx="222">
                  <c:v>188.0</c:v>
                </c:pt>
                <c:pt idx="223">
                  <c:v>189.0</c:v>
                </c:pt>
                <c:pt idx="224">
                  <c:v>189.0</c:v>
                </c:pt>
                <c:pt idx="225">
                  <c:v>189.0</c:v>
                </c:pt>
                <c:pt idx="226">
                  <c:v>189.0</c:v>
                </c:pt>
                <c:pt idx="227">
                  <c:v>190.0</c:v>
                </c:pt>
                <c:pt idx="228">
                  <c:v>190.0</c:v>
                </c:pt>
                <c:pt idx="229">
                  <c:v>190.0</c:v>
                </c:pt>
                <c:pt idx="230">
                  <c:v>190.0</c:v>
                </c:pt>
                <c:pt idx="231">
                  <c:v>191.0</c:v>
                </c:pt>
                <c:pt idx="232">
                  <c:v>191.0</c:v>
                </c:pt>
                <c:pt idx="233">
                  <c:v>191.0</c:v>
                </c:pt>
                <c:pt idx="234">
                  <c:v>191.0</c:v>
                </c:pt>
                <c:pt idx="235">
                  <c:v>192.0</c:v>
                </c:pt>
                <c:pt idx="236">
                  <c:v>192.0</c:v>
                </c:pt>
                <c:pt idx="237">
                  <c:v>192.0</c:v>
                </c:pt>
                <c:pt idx="238">
                  <c:v>192.0</c:v>
                </c:pt>
                <c:pt idx="239">
                  <c:v>193.0</c:v>
                </c:pt>
                <c:pt idx="240">
                  <c:v>193.0</c:v>
                </c:pt>
                <c:pt idx="241">
                  <c:v>193.0</c:v>
                </c:pt>
                <c:pt idx="242">
                  <c:v>193.0</c:v>
                </c:pt>
                <c:pt idx="243">
                  <c:v>194.0</c:v>
                </c:pt>
                <c:pt idx="244">
                  <c:v>194.0</c:v>
                </c:pt>
                <c:pt idx="245">
                  <c:v>194.0</c:v>
                </c:pt>
                <c:pt idx="246">
                  <c:v>194.0</c:v>
                </c:pt>
                <c:pt idx="247">
                  <c:v>195.0</c:v>
                </c:pt>
                <c:pt idx="248">
                  <c:v>195.0</c:v>
                </c:pt>
                <c:pt idx="249">
                  <c:v>195.0</c:v>
                </c:pt>
                <c:pt idx="250">
                  <c:v>195.0</c:v>
                </c:pt>
                <c:pt idx="251">
                  <c:v>196.0</c:v>
                </c:pt>
                <c:pt idx="252">
                  <c:v>196.0</c:v>
                </c:pt>
                <c:pt idx="253">
                  <c:v>196.0</c:v>
                </c:pt>
                <c:pt idx="254">
                  <c:v>196.0</c:v>
                </c:pt>
                <c:pt idx="255">
                  <c:v>197.0</c:v>
                </c:pt>
                <c:pt idx="256">
                  <c:v>197.0</c:v>
                </c:pt>
                <c:pt idx="257">
                  <c:v>197.0</c:v>
                </c:pt>
                <c:pt idx="258">
                  <c:v>197.0</c:v>
                </c:pt>
                <c:pt idx="259">
                  <c:v>198.0</c:v>
                </c:pt>
                <c:pt idx="260">
                  <c:v>198.0</c:v>
                </c:pt>
                <c:pt idx="261">
                  <c:v>198.0</c:v>
                </c:pt>
                <c:pt idx="262">
                  <c:v>198.0</c:v>
                </c:pt>
                <c:pt idx="263">
                  <c:v>199.0</c:v>
                </c:pt>
                <c:pt idx="264">
                  <c:v>199.0</c:v>
                </c:pt>
                <c:pt idx="265">
                  <c:v>199.0</c:v>
                </c:pt>
                <c:pt idx="266">
                  <c:v>199.0</c:v>
                </c:pt>
                <c:pt idx="267">
                  <c:v>200.0</c:v>
                </c:pt>
                <c:pt idx="268">
                  <c:v>200.0</c:v>
                </c:pt>
                <c:pt idx="269">
                  <c:v>200.0</c:v>
                </c:pt>
                <c:pt idx="270">
                  <c:v>200.0</c:v>
                </c:pt>
                <c:pt idx="271">
                  <c:v>201.0</c:v>
                </c:pt>
                <c:pt idx="272">
                  <c:v>201.0</c:v>
                </c:pt>
                <c:pt idx="273">
                  <c:v>201.0</c:v>
                </c:pt>
                <c:pt idx="274">
                  <c:v>201.0</c:v>
                </c:pt>
                <c:pt idx="275">
                  <c:v>202.0</c:v>
                </c:pt>
                <c:pt idx="276">
                  <c:v>202.0</c:v>
                </c:pt>
                <c:pt idx="277">
                  <c:v>202.0</c:v>
                </c:pt>
                <c:pt idx="278">
                  <c:v>202.0</c:v>
                </c:pt>
                <c:pt idx="279">
                  <c:v>203.0</c:v>
                </c:pt>
                <c:pt idx="280">
                  <c:v>203.0</c:v>
                </c:pt>
                <c:pt idx="281">
                  <c:v>203.0</c:v>
                </c:pt>
                <c:pt idx="282">
                  <c:v>203.0</c:v>
                </c:pt>
                <c:pt idx="283">
                  <c:v>204.0</c:v>
                </c:pt>
                <c:pt idx="284">
                  <c:v>204.0</c:v>
                </c:pt>
                <c:pt idx="285">
                  <c:v>204.0</c:v>
                </c:pt>
                <c:pt idx="286">
                  <c:v>204.0</c:v>
                </c:pt>
                <c:pt idx="287">
                  <c:v>205.0</c:v>
                </c:pt>
                <c:pt idx="288">
                  <c:v>205.0</c:v>
                </c:pt>
                <c:pt idx="289">
                  <c:v>205.0</c:v>
                </c:pt>
                <c:pt idx="290">
                  <c:v>205.0</c:v>
                </c:pt>
                <c:pt idx="291">
                  <c:v>206.0</c:v>
                </c:pt>
                <c:pt idx="292">
                  <c:v>206.0</c:v>
                </c:pt>
                <c:pt idx="293">
                  <c:v>206.0</c:v>
                </c:pt>
                <c:pt idx="294">
                  <c:v>206.0</c:v>
                </c:pt>
                <c:pt idx="295">
                  <c:v>207.0</c:v>
                </c:pt>
                <c:pt idx="296">
                  <c:v>207.0</c:v>
                </c:pt>
                <c:pt idx="297">
                  <c:v>207.0</c:v>
                </c:pt>
                <c:pt idx="298">
                  <c:v>207.0</c:v>
                </c:pt>
                <c:pt idx="299">
                  <c:v>208.0</c:v>
                </c:pt>
              </c:numCache>
            </c:numRef>
          </c:val>
          <c:smooth val="0"/>
        </c:ser>
        <c:dLbls>
          <c:showLegendKey val="0"/>
          <c:showVal val="0"/>
          <c:showCatName val="0"/>
          <c:showSerName val="0"/>
          <c:showPercent val="0"/>
          <c:showBubbleSize val="0"/>
        </c:dLbls>
        <c:smooth val="0"/>
        <c:axId val="2128206016"/>
        <c:axId val="2128208928"/>
      </c:lineChart>
      <c:catAx>
        <c:axId val="2128206016"/>
        <c:scaling>
          <c:orientation val="minMax"/>
        </c:scaling>
        <c:delete val="0"/>
        <c:axPos val="b"/>
        <c:numFmt formatCode="General" sourceLinked="0"/>
        <c:majorTickMark val="out"/>
        <c:minorTickMark val="none"/>
        <c:tickLblPos val="nextTo"/>
        <c:crossAx val="2128208928"/>
        <c:crosses val="autoZero"/>
        <c:auto val="1"/>
        <c:lblAlgn val="ctr"/>
        <c:lblOffset val="100"/>
        <c:noMultiLvlLbl val="0"/>
      </c:catAx>
      <c:valAx>
        <c:axId val="2128208928"/>
        <c:scaling>
          <c:orientation val="minMax"/>
        </c:scaling>
        <c:delete val="0"/>
        <c:axPos val="l"/>
        <c:majorGridlines/>
        <c:numFmt formatCode="General" sourceLinked="1"/>
        <c:majorTickMark val="out"/>
        <c:minorTickMark val="none"/>
        <c:tickLblPos val="nextTo"/>
        <c:crossAx val="2128206016"/>
        <c:crosses val="autoZero"/>
        <c:crossBetween val="between"/>
      </c:valAx>
    </c:plotArea>
    <c:legend>
      <c:legendPos val="r"/>
      <c:layout>
        <c:manualLayout>
          <c:xMode val="edge"/>
          <c:yMode val="edge"/>
          <c:x val="0.7041706985422"/>
          <c:y val="0.0304283890189402"/>
          <c:w val="0.100554897155713"/>
          <c:h val="0.121961012464535"/>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0481909748591071"/>
          <c:y val="0.113039129037442"/>
          <c:w val="0.940048804140446"/>
          <c:h val="0.74177426482404"/>
        </c:manualLayout>
      </c:layout>
      <c:lineChart>
        <c:grouping val="standard"/>
        <c:varyColors val="0"/>
        <c:ser>
          <c:idx val="0"/>
          <c:order val="0"/>
          <c:tx>
            <c:v>調整後</c:v>
          </c:tx>
          <c:spPr>
            <a:ln>
              <a:solidFill>
                <a:srgbClr val="C00000"/>
              </a:solidFill>
            </a:ln>
          </c:spPr>
          <c:marker>
            <c:symbol val="none"/>
          </c:marker>
          <c:cat>
            <c:strRef>
              <c:f>player_ranks_uprev!$A$1:$A$301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player_ranks_uprev!$C$2:$C$301</c:f>
              <c:numCache>
                <c:formatCode>General</c:formatCode>
                <c:ptCount val="300"/>
                <c:pt idx="0">
                  <c:v>59.0</c:v>
                </c:pt>
                <c:pt idx="1">
                  <c:v>60.0</c:v>
                </c:pt>
                <c:pt idx="2">
                  <c:v>60.0</c:v>
                </c:pt>
                <c:pt idx="3">
                  <c:v>62.0</c:v>
                </c:pt>
                <c:pt idx="4">
                  <c:v>67.0</c:v>
                </c:pt>
                <c:pt idx="5">
                  <c:v>68.0</c:v>
                </c:pt>
                <c:pt idx="6">
                  <c:v>68.0</c:v>
                </c:pt>
                <c:pt idx="7">
                  <c:v>70.0</c:v>
                </c:pt>
                <c:pt idx="8">
                  <c:v>70.0</c:v>
                </c:pt>
                <c:pt idx="9">
                  <c:v>75.0</c:v>
                </c:pt>
                <c:pt idx="10">
                  <c:v>75.0</c:v>
                </c:pt>
                <c:pt idx="11">
                  <c:v>77.0</c:v>
                </c:pt>
                <c:pt idx="12">
                  <c:v>77.0</c:v>
                </c:pt>
                <c:pt idx="13">
                  <c:v>78.0</c:v>
                </c:pt>
                <c:pt idx="14">
                  <c:v>83.0</c:v>
                </c:pt>
                <c:pt idx="15">
                  <c:v>85.0</c:v>
                </c:pt>
                <c:pt idx="16">
                  <c:v>85.0</c:v>
                </c:pt>
                <c:pt idx="17">
                  <c:v>86.0</c:v>
                </c:pt>
                <c:pt idx="18">
                  <c:v>86.0</c:v>
                </c:pt>
                <c:pt idx="19">
                  <c:v>91.0</c:v>
                </c:pt>
                <c:pt idx="20">
                  <c:v>91.0</c:v>
                </c:pt>
                <c:pt idx="21">
                  <c:v>92.0</c:v>
                </c:pt>
                <c:pt idx="22">
                  <c:v>92.0</c:v>
                </c:pt>
                <c:pt idx="23">
                  <c:v>94.0</c:v>
                </c:pt>
                <c:pt idx="24">
                  <c:v>99.0</c:v>
                </c:pt>
                <c:pt idx="25">
                  <c:v>100.0</c:v>
                </c:pt>
                <c:pt idx="26">
                  <c:v>100.0</c:v>
                </c:pt>
                <c:pt idx="27">
                  <c:v>102.0</c:v>
                </c:pt>
                <c:pt idx="28">
                  <c:v>102.0</c:v>
                </c:pt>
                <c:pt idx="29">
                  <c:v>107.0</c:v>
                </c:pt>
                <c:pt idx="30">
                  <c:v>107.0</c:v>
                </c:pt>
                <c:pt idx="31">
                  <c:v>108.0</c:v>
                </c:pt>
                <c:pt idx="32">
                  <c:v>108.0</c:v>
                </c:pt>
                <c:pt idx="33">
                  <c:v>109.0</c:v>
                </c:pt>
                <c:pt idx="34">
                  <c:v>111.0</c:v>
                </c:pt>
                <c:pt idx="35">
                  <c:v>112.0</c:v>
                </c:pt>
                <c:pt idx="36">
                  <c:v>112.0</c:v>
                </c:pt>
                <c:pt idx="37">
                  <c:v>113.0</c:v>
                </c:pt>
                <c:pt idx="38">
                  <c:v>113.0</c:v>
                </c:pt>
                <c:pt idx="39">
                  <c:v>115.0</c:v>
                </c:pt>
                <c:pt idx="40">
                  <c:v>115.0</c:v>
                </c:pt>
                <c:pt idx="41">
                  <c:v>116.0</c:v>
                </c:pt>
                <c:pt idx="42">
                  <c:v>116.0</c:v>
                </c:pt>
                <c:pt idx="43">
                  <c:v>117.0</c:v>
                </c:pt>
                <c:pt idx="44">
                  <c:v>119.0</c:v>
                </c:pt>
                <c:pt idx="45">
                  <c:v>120.0</c:v>
                </c:pt>
                <c:pt idx="46">
                  <c:v>120.0</c:v>
                </c:pt>
                <c:pt idx="47">
                  <c:v>121.0</c:v>
                </c:pt>
                <c:pt idx="48">
                  <c:v>121.0</c:v>
                </c:pt>
                <c:pt idx="49">
                  <c:v>123.0</c:v>
                </c:pt>
                <c:pt idx="50">
                  <c:v>123.0</c:v>
                </c:pt>
                <c:pt idx="51">
                  <c:v>124.0</c:v>
                </c:pt>
                <c:pt idx="52">
                  <c:v>124.0</c:v>
                </c:pt>
                <c:pt idx="53">
                  <c:v>125.0</c:v>
                </c:pt>
                <c:pt idx="54">
                  <c:v>127.0</c:v>
                </c:pt>
                <c:pt idx="55">
                  <c:v>128.0</c:v>
                </c:pt>
                <c:pt idx="56">
                  <c:v>128.0</c:v>
                </c:pt>
                <c:pt idx="57">
                  <c:v>129.0</c:v>
                </c:pt>
                <c:pt idx="58">
                  <c:v>129.0</c:v>
                </c:pt>
                <c:pt idx="59">
                  <c:v>131.0</c:v>
                </c:pt>
                <c:pt idx="60">
                  <c:v>131.0</c:v>
                </c:pt>
                <c:pt idx="61">
                  <c:v>132.0</c:v>
                </c:pt>
                <c:pt idx="62">
                  <c:v>132.0</c:v>
                </c:pt>
                <c:pt idx="63">
                  <c:v>133.0</c:v>
                </c:pt>
                <c:pt idx="64">
                  <c:v>135.0</c:v>
                </c:pt>
                <c:pt idx="65">
                  <c:v>136.0</c:v>
                </c:pt>
                <c:pt idx="66">
                  <c:v>136.0</c:v>
                </c:pt>
                <c:pt idx="67">
                  <c:v>137.0</c:v>
                </c:pt>
                <c:pt idx="68">
                  <c:v>137.0</c:v>
                </c:pt>
                <c:pt idx="69">
                  <c:v>139.0</c:v>
                </c:pt>
                <c:pt idx="70">
                  <c:v>139.0</c:v>
                </c:pt>
                <c:pt idx="71">
                  <c:v>140.0</c:v>
                </c:pt>
                <c:pt idx="72">
                  <c:v>140.0</c:v>
                </c:pt>
                <c:pt idx="73">
                  <c:v>141.0</c:v>
                </c:pt>
                <c:pt idx="74">
                  <c:v>143.0</c:v>
                </c:pt>
                <c:pt idx="75">
                  <c:v>144.0</c:v>
                </c:pt>
                <c:pt idx="76">
                  <c:v>144.0</c:v>
                </c:pt>
                <c:pt idx="77">
                  <c:v>145.0</c:v>
                </c:pt>
                <c:pt idx="78">
                  <c:v>145.0</c:v>
                </c:pt>
                <c:pt idx="79">
                  <c:v>147.0</c:v>
                </c:pt>
                <c:pt idx="80">
                  <c:v>147.0</c:v>
                </c:pt>
                <c:pt idx="81">
                  <c:v>148.0</c:v>
                </c:pt>
                <c:pt idx="82">
                  <c:v>148.0</c:v>
                </c:pt>
                <c:pt idx="83">
                  <c:v>149.0</c:v>
                </c:pt>
                <c:pt idx="84">
                  <c:v>151.0</c:v>
                </c:pt>
                <c:pt idx="85">
                  <c:v>152.0</c:v>
                </c:pt>
                <c:pt idx="86">
                  <c:v>152.0</c:v>
                </c:pt>
                <c:pt idx="87">
                  <c:v>153.0</c:v>
                </c:pt>
                <c:pt idx="88">
                  <c:v>153.0</c:v>
                </c:pt>
                <c:pt idx="89">
                  <c:v>155.0</c:v>
                </c:pt>
                <c:pt idx="90">
                  <c:v>155.0</c:v>
                </c:pt>
                <c:pt idx="91">
                  <c:v>156.0</c:v>
                </c:pt>
                <c:pt idx="92">
                  <c:v>156.0</c:v>
                </c:pt>
                <c:pt idx="93">
                  <c:v>156.0</c:v>
                </c:pt>
                <c:pt idx="94">
                  <c:v>156.0</c:v>
                </c:pt>
                <c:pt idx="95">
                  <c:v>157.0</c:v>
                </c:pt>
                <c:pt idx="96">
                  <c:v>157.0</c:v>
                </c:pt>
                <c:pt idx="97">
                  <c:v>157.0</c:v>
                </c:pt>
                <c:pt idx="98">
                  <c:v>157.0</c:v>
                </c:pt>
                <c:pt idx="99">
                  <c:v>158.0</c:v>
                </c:pt>
                <c:pt idx="100">
                  <c:v>158.0</c:v>
                </c:pt>
                <c:pt idx="101">
                  <c:v>158.0</c:v>
                </c:pt>
                <c:pt idx="102">
                  <c:v>158.0</c:v>
                </c:pt>
                <c:pt idx="103">
                  <c:v>159.0</c:v>
                </c:pt>
                <c:pt idx="104">
                  <c:v>159.0</c:v>
                </c:pt>
                <c:pt idx="105">
                  <c:v>159.0</c:v>
                </c:pt>
                <c:pt idx="106">
                  <c:v>159.0</c:v>
                </c:pt>
                <c:pt idx="107">
                  <c:v>160.0</c:v>
                </c:pt>
                <c:pt idx="108">
                  <c:v>160.0</c:v>
                </c:pt>
                <c:pt idx="109">
                  <c:v>160.0</c:v>
                </c:pt>
                <c:pt idx="110">
                  <c:v>160.0</c:v>
                </c:pt>
                <c:pt idx="111">
                  <c:v>161.0</c:v>
                </c:pt>
                <c:pt idx="112">
                  <c:v>161.0</c:v>
                </c:pt>
                <c:pt idx="113">
                  <c:v>161.0</c:v>
                </c:pt>
                <c:pt idx="114">
                  <c:v>161.0</c:v>
                </c:pt>
                <c:pt idx="115">
                  <c:v>162.0</c:v>
                </c:pt>
                <c:pt idx="116">
                  <c:v>162.0</c:v>
                </c:pt>
                <c:pt idx="117">
                  <c:v>162.0</c:v>
                </c:pt>
                <c:pt idx="118">
                  <c:v>162.0</c:v>
                </c:pt>
                <c:pt idx="119">
                  <c:v>163.0</c:v>
                </c:pt>
                <c:pt idx="120">
                  <c:v>163.0</c:v>
                </c:pt>
                <c:pt idx="121">
                  <c:v>163.0</c:v>
                </c:pt>
                <c:pt idx="122">
                  <c:v>163.0</c:v>
                </c:pt>
                <c:pt idx="123">
                  <c:v>164.0</c:v>
                </c:pt>
                <c:pt idx="124">
                  <c:v>164.0</c:v>
                </c:pt>
                <c:pt idx="125">
                  <c:v>164.0</c:v>
                </c:pt>
                <c:pt idx="126">
                  <c:v>164.0</c:v>
                </c:pt>
                <c:pt idx="127">
                  <c:v>165.0</c:v>
                </c:pt>
                <c:pt idx="128">
                  <c:v>165.0</c:v>
                </c:pt>
                <c:pt idx="129">
                  <c:v>165.0</c:v>
                </c:pt>
                <c:pt idx="130">
                  <c:v>165.0</c:v>
                </c:pt>
                <c:pt idx="131">
                  <c:v>166.0</c:v>
                </c:pt>
                <c:pt idx="132">
                  <c:v>166.0</c:v>
                </c:pt>
                <c:pt idx="133">
                  <c:v>166.0</c:v>
                </c:pt>
                <c:pt idx="134">
                  <c:v>166.0</c:v>
                </c:pt>
                <c:pt idx="135">
                  <c:v>167.0</c:v>
                </c:pt>
                <c:pt idx="136">
                  <c:v>167.0</c:v>
                </c:pt>
                <c:pt idx="137">
                  <c:v>167.0</c:v>
                </c:pt>
                <c:pt idx="138">
                  <c:v>167.0</c:v>
                </c:pt>
                <c:pt idx="139">
                  <c:v>168.0</c:v>
                </c:pt>
                <c:pt idx="140">
                  <c:v>168.0</c:v>
                </c:pt>
                <c:pt idx="141">
                  <c:v>168.0</c:v>
                </c:pt>
                <c:pt idx="142">
                  <c:v>168.0</c:v>
                </c:pt>
                <c:pt idx="143">
                  <c:v>169.0</c:v>
                </c:pt>
                <c:pt idx="144">
                  <c:v>169.0</c:v>
                </c:pt>
                <c:pt idx="145">
                  <c:v>169.0</c:v>
                </c:pt>
                <c:pt idx="146">
                  <c:v>169.0</c:v>
                </c:pt>
                <c:pt idx="147">
                  <c:v>170.0</c:v>
                </c:pt>
                <c:pt idx="148">
                  <c:v>170.0</c:v>
                </c:pt>
                <c:pt idx="149">
                  <c:v>170.0</c:v>
                </c:pt>
                <c:pt idx="150">
                  <c:v>170.0</c:v>
                </c:pt>
                <c:pt idx="151">
                  <c:v>171.0</c:v>
                </c:pt>
                <c:pt idx="152">
                  <c:v>171.0</c:v>
                </c:pt>
                <c:pt idx="153">
                  <c:v>171.0</c:v>
                </c:pt>
                <c:pt idx="154">
                  <c:v>171.0</c:v>
                </c:pt>
                <c:pt idx="155">
                  <c:v>172.0</c:v>
                </c:pt>
                <c:pt idx="156">
                  <c:v>172.0</c:v>
                </c:pt>
                <c:pt idx="157">
                  <c:v>172.0</c:v>
                </c:pt>
                <c:pt idx="158">
                  <c:v>172.0</c:v>
                </c:pt>
                <c:pt idx="159">
                  <c:v>173.0</c:v>
                </c:pt>
                <c:pt idx="160">
                  <c:v>173.0</c:v>
                </c:pt>
                <c:pt idx="161">
                  <c:v>173.0</c:v>
                </c:pt>
                <c:pt idx="162">
                  <c:v>173.0</c:v>
                </c:pt>
                <c:pt idx="163">
                  <c:v>174.0</c:v>
                </c:pt>
                <c:pt idx="164">
                  <c:v>174.0</c:v>
                </c:pt>
                <c:pt idx="165">
                  <c:v>174.0</c:v>
                </c:pt>
                <c:pt idx="166">
                  <c:v>174.0</c:v>
                </c:pt>
                <c:pt idx="167">
                  <c:v>175.0</c:v>
                </c:pt>
                <c:pt idx="168">
                  <c:v>175.0</c:v>
                </c:pt>
                <c:pt idx="169">
                  <c:v>175.0</c:v>
                </c:pt>
                <c:pt idx="170">
                  <c:v>175.0</c:v>
                </c:pt>
                <c:pt idx="171">
                  <c:v>176.0</c:v>
                </c:pt>
                <c:pt idx="172">
                  <c:v>176.0</c:v>
                </c:pt>
                <c:pt idx="173">
                  <c:v>176.0</c:v>
                </c:pt>
                <c:pt idx="174">
                  <c:v>176.0</c:v>
                </c:pt>
                <c:pt idx="175">
                  <c:v>177.0</c:v>
                </c:pt>
                <c:pt idx="176">
                  <c:v>177.0</c:v>
                </c:pt>
                <c:pt idx="177">
                  <c:v>177.0</c:v>
                </c:pt>
                <c:pt idx="178">
                  <c:v>177.0</c:v>
                </c:pt>
                <c:pt idx="179">
                  <c:v>178.0</c:v>
                </c:pt>
                <c:pt idx="180">
                  <c:v>178.0</c:v>
                </c:pt>
                <c:pt idx="181">
                  <c:v>178.0</c:v>
                </c:pt>
                <c:pt idx="182">
                  <c:v>178.0</c:v>
                </c:pt>
                <c:pt idx="183">
                  <c:v>179.0</c:v>
                </c:pt>
                <c:pt idx="184">
                  <c:v>179.0</c:v>
                </c:pt>
                <c:pt idx="185">
                  <c:v>179.0</c:v>
                </c:pt>
                <c:pt idx="186">
                  <c:v>179.0</c:v>
                </c:pt>
                <c:pt idx="187">
                  <c:v>180.0</c:v>
                </c:pt>
                <c:pt idx="188">
                  <c:v>180.0</c:v>
                </c:pt>
                <c:pt idx="189">
                  <c:v>180.0</c:v>
                </c:pt>
                <c:pt idx="190">
                  <c:v>180.0</c:v>
                </c:pt>
                <c:pt idx="191">
                  <c:v>181.0</c:v>
                </c:pt>
                <c:pt idx="192">
                  <c:v>181.0</c:v>
                </c:pt>
                <c:pt idx="193">
                  <c:v>181.0</c:v>
                </c:pt>
                <c:pt idx="194">
                  <c:v>181.0</c:v>
                </c:pt>
                <c:pt idx="195">
                  <c:v>182.0</c:v>
                </c:pt>
                <c:pt idx="196">
                  <c:v>182.0</c:v>
                </c:pt>
                <c:pt idx="197">
                  <c:v>182.0</c:v>
                </c:pt>
                <c:pt idx="198">
                  <c:v>182.0</c:v>
                </c:pt>
                <c:pt idx="199">
                  <c:v>183.0</c:v>
                </c:pt>
                <c:pt idx="200">
                  <c:v>183.0</c:v>
                </c:pt>
                <c:pt idx="201">
                  <c:v>183.0</c:v>
                </c:pt>
                <c:pt idx="202">
                  <c:v>183.0</c:v>
                </c:pt>
                <c:pt idx="203">
                  <c:v>184.0</c:v>
                </c:pt>
                <c:pt idx="204">
                  <c:v>184.0</c:v>
                </c:pt>
                <c:pt idx="205">
                  <c:v>184.0</c:v>
                </c:pt>
                <c:pt idx="206">
                  <c:v>184.0</c:v>
                </c:pt>
                <c:pt idx="207">
                  <c:v>185.0</c:v>
                </c:pt>
                <c:pt idx="208">
                  <c:v>185.0</c:v>
                </c:pt>
                <c:pt idx="209">
                  <c:v>185.0</c:v>
                </c:pt>
                <c:pt idx="210">
                  <c:v>185.0</c:v>
                </c:pt>
                <c:pt idx="211">
                  <c:v>186.0</c:v>
                </c:pt>
                <c:pt idx="212">
                  <c:v>186.0</c:v>
                </c:pt>
                <c:pt idx="213">
                  <c:v>186.0</c:v>
                </c:pt>
                <c:pt idx="214">
                  <c:v>186.0</c:v>
                </c:pt>
                <c:pt idx="215">
                  <c:v>187.0</c:v>
                </c:pt>
                <c:pt idx="216">
                  <c:v>187.0</c:v>
                </c:pt>
                <c:pt idx="217">
                  <c:v>187.0</c:v>
                </c:pt>
                <c:pt idx="218">
                  <c:v>187.0</c:v>
                </c:pt>
                <c:pt idx="219">
                  <c:v>188.0</c:v>
                </c:pt>
                <c:pt idx="220">
                  <c:v>188.0</c:v>
                </c:pt>
                <c:pt idx="221">
                  <c:v>188.0</c:v>
                </c:pt>
                <c:pt idx="222">
                  <c:v>188.0</c:v>
                </c:pt>
                <c:pt idx="223">
                  <c:v>189.0</c:v>
                </c:pt>
                <c:pt idx="224">
                  <c:v>189.0</c:v>
                </c:pt>
                <c:pt idx="225">
                  <c:v>189.0</c:v>
                </c:pt>
                <c:pt idx="226">
                  <c:v>189.0</c:v>
                </c:pt>
                <c:pt idx="227">
                  <c:v>190.0</c:v>
                </c:pt>
                <c:pt idx="228">
                  <c:v>190.0</c:v>
                </c:pt>
                <c:pt idx="229">
                  <c:v>190.0</c:v>
                </c:pt>
                <c:pt idx="230">
                  <c:v>190.0</c:v>
                </c:pt>
                <c:pt idx="231">
                  <c:v>191.0</c:v>
                </c:pt>
                <c:pt idx="232">
                  <c:v>191.0</c:v>
                </c:pt>
                <c:pt idx="233">
                  <c:v>191.0</c:v>
                </c:pt>
                <c:pt idx="234">
                  <c:v>191.0</c:v>
                </c:pt>
                <c:pt idx="235">
                  <c:v>192.0</c:v>
                </c:pt>
                <c:pt idx="236">
                  <c:v>192.0</c:v>
                </c:pt>
                <c:pt idx="237">
                  <c:v>192.0</c:v>
                </c:pt>
                <c:pt idx="238">
                  <c:v>192.0</c:v>
                </c:pt>
                <c:pt idx="239">
                  <c:v>193.0</c:v>
                </c:pt>
                <c:pt idx="240">
                  <c:v>193.0</c:v>
                </c:pt>
                <c:pt idx="241">
                  <c:v>193.0</c:v>
                </c:pt>
                <c:pt idx="242">
                  <c:v>193.0</c:v>
                </c:pt>
                <c:pt idx="243">
                  <c:v>194.0</c:v>
                </c:pt>
                <c:pt idx="244">
                  <c:v>194.0</c:v>
                </c:pt>
                <c:pt idx="245">
                  <c:v>194.0</c:v>
                </c:pt>
                <c:pt idx="246">
                  <c:v>194.0</c:v>
                </c:pt>
                <c:pt idx="247">
                  <c:v>195.0</c:v>
                </c:pt>
                <c:pt idx="248">
                  <c:v>195.0</c:v>
                </c:pt>
                <c:pt idx="249">
                  <c:v>195.0</c:v>
                </c:pt>
                <c:pt idx="250">
                  <c:v>195.0</c:v>
                </c:pt>
                <c:pt idx="251">
                  <c:v>196.0</c:v>
                </c:pt>
                <c:pt idx="252">
                  <c:v>196.0</c:v>
                </c:pt>
                <c:pt idx="253">
                  <c:v>196.0</c:v>
                </c:pt>
                <c:pt idx="254">
                  <c:v>196.0</c:v>
                </c:pt>
                <c:pt idx="255">
                  <c:v>197.0</c:v>
                </c:pt>
                <c:pt idx="256">
                  <c:v>197.0</c:v>
                </c:pt>
                <c:pt idx="257">
                  <c:v>197.0</c:v>
                </c:pt>
                <c:pt idx="258">
                  <c:v>197.0</c:v>
                </c:pt>
                <c:pt idx="259">
                  <c:v>198.0</c:v>
                </c:pt>
                <c:pt idx="260">
                  <c:v>198.0</c:v>
                </c:pt>
                <c:pt idx="261">
                  <c:v>198.0</c:v>
                </c:pt>
                <c:pt idx="262">
                  <c:v>198.0</c:v>
                </c:pt>
                <c:pt idx="263">
                  <c:v>199.0</c:v>
                </c:pt>
                <c:pt idx="264">
                  <c:v>199.0</c:v>
                </c:pt>
                <c:pt idx="265">
                  <c:v>199.0</c:v>
                </c:pt>
                <c:pt idx="266">
                  <c:v>199.0</c:v>
                </c:pt>
                <c:pt idx="267">
                  <c:v>200.0</c:v>
                </c:pt>
                <c:pt idx="268">
                  <c:v>200.0</c:v>
                </c:pt>
                <c:pt idx="269">
                  <c:v>200.0</c:v>
                </c:pt>
                <c:pt idx="270">
                  <c:v>200.0</c:v>
                </c:pt>
                <c:pt idx="271">
                  <c:v>201.0</c:v>
                </c:pt>
                <c:pt idx="272">
                  <c:v>201.0</c:v>
                </c:pt>
                <c:pt idx="273">
                  <c:v>201.0</c:v>
                </c:pt>
                <c:pt idx="274">
                  <c:v>201.0</c:v>
                </c:pt>
                <c:pt idx="275">
                  <c:v>202.0</c:v>
                </c:pt>
                <c:pt idx="276">
                  <c:v>202.0</c:v>
                </c:pt>
                <c:pt idx="277">
                  <c:v>202.0</c:v>
                </c:pt>
                <c:pt idx="278">
                  <c:v>202.0</c:v>
                </c:pt>
                <c:pt idx="279">
                  <c:v>203.0</c:v>
                </c:pt>
                <c:pt idx="280">
                  <c:v>203.0</c:v>
                </c:pt>
                <c:pt idx="281">
                  <c:v>203.0</c:v>
                </c:pt>
                <c:pt idx="282">
                  <c:v>203.0</c:v>
                </c:pt>
                <c:pt idx="283">
                  <c:v>204.0</c:v>
                </c:pt>
                <c:pt idx="284">
                  <c:v>204.0</c:v>
                </c:pt>
                <c:pt idx="285">
                  <c:v>204.0</c:v>
                </c:pt>
                <c:pt idx="286">
                  <c:v>204.0</c:v>
                </c:pt>
                <c:pt idx="287">
                  <c:v>205.0</c:v>
                </c:pt>
                <c:pt idx="288">
                  <c:v>205.0</c:v>
                </c:pt>
                <c:pt idx="289">
                  <c:v>205.0</c:v>
                </c:pt>
                <c:pt idx="290">
                  <c:v>205.0</c:v>
                </c:pt>
                <c:pt idx="291">
                  <c:v>206.0</c:v>
                </c:pt>
                <c:pt idx="292">
                  <c:v>206.0</c:v>
                </c:pt>
                <c:pt idx="293">
                  <c:v>206.0</c:v>
                </c:pt>
                <c:pt idx="294">
                  <c:v>206.0</c:v>
                </c:pt>
                <c:pt idx="295">
                  <c:v>207.0</c:v>
                </c:pt>
                <c:pt idx="296">
                  <c:v>207.0</c:v>
                </c:pt>
                <c:pt idx="297">
                  <c:v>207.0</c:v>
                </c:pt>
                <c:pt idx="298">
                  <c:v>207.0</c:v>
                </c:pt>
                <c:pt idx="299">
                  <c:v>208.0</c:v>
                </c:pt>
              </c:numCache>
            </c:numRef>
          </c:val>
          <c:smooth val="0"/>
        </c:ser>
        <c:ser>
          <c:idx val="1"/>
          <c:order val="1"/>
          <c:tx>
            <c:v>調整前</c:v>
          </c:tx>
          <c:spPr>
            <a:ln>
              <a:solidFill>
                <a:schemeClr val="tx2"/>
              </a:solidFill>
            </a:ln>
          </c:spPr>
          <c:marker>
            <c:symbol val="none"/>
          </c:marker>
          <c:cat>
            <c:strRef>
              <c:f>player_ranks_uprev!$A$1:$A$301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player_ranks_old!$C$2:$C$301</c:f>
              <c:numCache>
                <c:formatCode>General</c:formatCode>
                <c:ptCount val="300"/>
                <c:pt idx="0">
                  <c:v>40.0</c:v>
                </c:pt>
                <c:pt idx="1">
                  <c:v>41.0</c:v>
                </c:pt>
                <c:pt idx="2">
                  <c:v>41.0</c:v>
                </c:pt>
                <c:pt idx="3">
                  <c:v>42.0</c:v>
                </c:pt>
                <c:pt idx="4">
                  <c:v>47.0</c:v>
                </c:pt>
                <c:pt idx="5">
                  <c:v>48.0</c:v>
                </c:pt>
                <c:pt idx="6">
                  <c:v>48.0</c:v>
                </c:pt>
                <c:pt idx="7">
                  <c:v>49.0</c:v>
                </c:pt>
                <c:pt idx="8">
                  <c:v>49.0</c:v>
                </c:pt>
                <c:pt idx="9">
                  <c:v>54.0</c:v>
                </c:pt>
                <c:pt idx="10">
                  <c:v>54.0</c:v>
                </c:pt>
                <c:pt idx="11">
                  <c:v>55.0</c:v>
                </c:pt>
                <c:pt idx="12">
                  <c:v>55.0</c:v>
                </c:pt>
                <c:pt idx="13">
                  <c:v>56.0</c:v>
                </c:pt>
                <c:pt idx="14">
                  <c:v>61.0</c:v>
                </c:pt>
                <c:pt idx="15">
                  <c:v>62.0</c:v>
                </c:pt>
                <c:pt idx="16">
                  <c:v>62.0</c:v>
                </c:pt>
                <c:pt idx="17">
                  <c:v>63.0</c:v>
                </c:pt>
                <c:pt idx="18">
                  <c:v>63.0</c:v>
                </c:pt>
                <c:pt idx="19">
                  <c:v>68.0</c:v>
                </c:pt>
                <c:pt idx="20">
                  <c:v>68.0</c:v>
                </c:pt>
                <c:pt idx="21">
                  <c:v>69.0</c:v>
                </c:pt>
                <c:pt idx="22">
                  <c:v>69.0</c:v>
                </c:pt>
                <c:pt idx="23">
                  <c:v>70.0</c:v>
                </c:pt>
                <c:pt idx="24">
                  <c:v>75.0</c:v>
                </c:pt>
                <c:pt idx="25">
                  <c:v>76.0</c:v>
                </c:pt>
                <c:pt idx="26">
                  <c:v>76.0</c:v>
                </c:pt>
                <c:pt idx="27">
                  <c:v>77.0</c:v>
                </c:pt>
                <c:pt idx="28">
                  <c:v>77.0</c:v>
                </c:pt>
                <c:pt idx="29">
                  <c:v>80.0</c:v>
                </c:pt>
                <c:pt idx="30">
                  <c:v>80.0</c:v>
                </c:pt>
                <c:pt idx="31">
                  <c:v>81.0</c:v>
                </c:pt>
                <c:pt idx="32">
                  <c:v>81.0</c:v>
                </c:pt>
                <c:pt idx="33">
                  <c:v>82.0</c:v>
                </c:pt>
                <c:pt idx="34">
                  <c:v>85.0</c:v>
                </c:pt>
                <c:pt idx="35">
                  <c:v>86.0</c:v>
                </c:pt>
                <c:pt idx="36">
                  <c:v>86.0</c:v>
                </c:pt>
                <c:pt idx="37">
                  <c:v>87.0</c:v>
                </c:pt>
                <c:pt idx="38">
                  <c:v>87.0</c:v>
                </c:pt>
                <c:pt idx="39">
                  <c:v>90.0</c:v>
                </c:pt>
                <c:pt idx="40">
                  <c:v>90.0</c:v>
                </c:pt>
                <c:pt idx="41">
                  <c:v>91.0</c:v>
                </c:pt>
                <c:pt idx="42">
                  <c:v>91.0</c:v>
                </c:pt>
                <c:pt idx="43">
                  <c:v>92.0</c:v>
                </c:pt>
                <c:pt idx="44">
                  <c:v>95.0</c:v>
                </c:pt>
                <c:pt idx="45">
                  <c:v>96.0</c:v>
                </c:pt>
                <c:pt idx="46">
                  <c:v>96.0</c:v>
                </c:pt>
                <c:pt idx="47">
                  <c:v>97.0</c:v>
                </c:pt>
                <c:pt idx="48">
                  <c:v>97.0</c:v>
                </c:pt>
                <c:pt idx="49">
                  <c:v>100.0</c:v>
                </c:pt>
                <c:pt idx="50">
                  <c:v>100.0</c:v>
                </c:pt>
                <c:pt idx="51">
                  <c:v>101.0</c:v>
                </c:pt>
                <c:pt idx="52">
                  <c:v>101.0</c:v>
                </c:pt>
                <c:pt idx="53">
                  <c:v>102.0</c:v>
                </c:pt>
                <c:pt idx="54">
                  <c:v>105.0</c:v>
                </c:pt>
                <c:pt idx="55">
                  <c:v>106.0</c:v>
                </c:pt>
                <c:pt idx="56">
                  <c:v>106.0</c:v>
                </c:pt>
                <c:pt idx="57">
                  <c:v>107.0</c:v>
                </c:pt>
                <c:pt idx="58">
                  <c:v>107.0</c:v>
                </c:pt>
                <c:pt idx="59">
                  <c:v>110.0</c:v>
                </c:pt>
                <c:pt idx="60">
                  <c:v>110.0</c:v>
                </c:pt>
                <c:pt idx="61">
                  <c:v>111.0</c:v>
                </c:pt>
                <c:pt idx="62">
                  <c:v>111.0</c:v>
                </c:pt>
                <c:pt idx="63">
                  <c:v>112.0</c:v>
                </c:pt>
                <c:pt idx="64">
                  <c:v>115.0</c:v>
                </c:pt>
                <c:pt idx="65">
                  <c:v>116.0</c:v>
                </c:pt>
                <c:pt idx="66">
                  <c:v>116.0</c:v>
                </c:pt>
                <c:pt idx="67">
                  <c:v>117.0</c:v>
                </c:pt>
                <c:pt idx="68">
                  <c:v>117.0</c:v>
                </c:pt>
                <c:pt idx="69">
                  <c:v>120.0</c:v>
                </c:pt>
                <c:pt idx="70">
                  <c:v>120.0</c:v>
                </c:pt>
                <c:pt idx="71">
                  <c:v>121.0</c:v>
                </c:pt>
                <c:pt idx="72">
                  <c:v>121.0</c:v>
                </c:pt>
                <c:pt idx="73">
                  <c:v>122.0</c:v>
                </c:pt>
                <c:pt idx="74">
                  <c:v>125.0</c:v>
                </c:pt>
                <c:pt idx="75">
                  <c:v>126.0</c:v>
                </c:pt>
                <c:pt idx="76">
                  <c:v>126.0</c:v>
                </c:pt>
                <c:pt idx="77">
                  <c:v>127.0</c:v>
                </c:pt>
                <c:pt idx="78">
                  <c:v>127.0</c:v>
                </c:pt>
                <c:pt idx="79">
                  <c:v>130.0</c:v>
                </c:pt>
                <c:pt idx="80">
                  <c:v>130.0</c:v>
                </c:pt>
                <c:pt idx="81">
                  <c:v>131.0</c:v>
                </c:pt>
                <c:pt idx="82">
                  <c:v>131.0</c:v>
                </c:pt>
                <c:pt idx="83">
                  <c:v>132.0</c:v>
                </c:pt>
                <c:pt idx="84">
                  <c:v>135.0</c:v>
                </c:pt>
                <c:pt idx="85">
                  <c:v>136.0</c:v>
                </c:pt>
                <c:pt idx="86">
                  <c:v>136.0</c:v>
                </c:pt>
                <c:pt idx="87">
                  <c:v>137.0</c:v>
                </c:pt>
                <c:pt idx="88">
                  <c:v>137.0</c:v>
                </c:pt>
                <c:pt idx="89">
                  <c:v>140.0</c:v>
                </c:pt>
                <c:pt idx="90">
                  <c:v>140.0</c:v>
                </c:pt>
                <c:pt idx="91">
                  <c:v>141.0</c:v>
                </c:pt>
                <c:pt idx="92">
                  <c:v>141.0</c:v>
                </c:pt>
                <c:pt idx="93">
                  <c:v>142.0</c:v>
                </c:pt>
                <c:pt idx="94">
                  <c:v>145.0</c:v>
                </c:pt>
                <c:pt idx="95">
                  <c:v>146.0</c:v>
                </c:pt>
                <c:pt idx="96">
                  <c:v>146.0</c:v>
                </c:pt>
                <c:pt idx="97">
                  <c:v>147.0</c:v>
                </c:pt>
                <c:pt idx="98">
                  <c:v>147.0</c:v>
                </c:pt>
                <c:pt idx="99">
                  <c:v>148.0</c:v>
                </c:pt>
                <c:pt idx="100">
                  <c:v>148.0</c:v>
                </c:pt>
                <c:pt idx="101">
                  <c:v>148.0</c:v>
                </c:pt>
                <c:pt idx="102">
                  <c:v>148.0</c:v>
                </c:pt>
                <c:pt idx="103">
                  <c:v>149.0</c:v>
                </c:pt>
                <c:pt idx="104">
                  <c:v>149.0</c:v>
                </c:pt>
                <c:pt idx="105">
                  <c:v>149.0</c:v>
                </c:pt>
                <c:pt idx="106">
                  <c:v>149.0</c:v>
                </c:pt>
                <c:pt idx="107">
                  <c:v>150.0</c:v>
                </c:pt>
                <c:pt idx="108">
                  <c:v>150.0</c:v>
                </c:pt>
                <c:pt idx="109">
                  <c:v>150.0</c:v>
                </c:pt>
                <c:pt idx="110">
                  <c:v>150.0</c:v>
                </c:pt>
                <c:pt idx="111">
                  <c:v>151.0</c:v>
                </c:pt>
                <c:pt idx="112">
                  <c:v>151.0</c:v>
                </c:pt>
                <c:pt idx="113">
                  <c:v>151.0</c:v>
                </c:pt>
                <c:pt idx="114">
                  <c:v>151.0</c:v>
                </c:pt>
                <c:pt idx="115">
                  <c:v>152.0</c:v>
                </c:pt>
                <c:pt idx="116">
                  <c:v>152.0</c:v>
                </c:pt>
                <c:pt idx="117">
                  <c:v>152.0</c:v>
                </c:pt>
                <c:pt idx="118">
                  <c:v>152.0</c:v>
                </c:pt>
                <c:pt idx="119">
                  <c:v>153.0</c:v>
                </c:pt>
                <c:pt idx="120">
                  <c:v>153.0</c:v>
                </c:pt>
                <c:pt idx="121">
                  <c:v>153.0</c:v>
                </c:pt>
                <c:pt idx="122">
                  <c:v>153.0</c:v>
                </c:pt>
                <c:pt idx="123">
                  <c:v>154.0</c:v>
                </c:pt>
                <c:pt idx="124">
                  <c:v>154.0</c:v>
                </c:pt>
                <c:pt idx="125">
                  <c:v>154.0</c:v>
                </c:pt>
                <c:pt idx="126">
                  <c:v>154.0</c:v>
                </c:pt>
                <c:pt idx="127">
                  <c:v>155.0</c:v>
                </c:pt>
                <c:pt idx="128">
                  <c:v>155.0</c:v>
                </c:pt>
                <c:pt idx="129">
                  <c:v>155.0</c:v>
                </c:pt>
                <c:pt idx="130">
                  <c:v>155.0</c:v>
                </c:pt>
                <c:pt idx="131">
                  <c:v>156.0</c:v>
                </c:pt>
                <c:pt idx="132">
                  <c:v>156.0</c:v>
                </c:pt>
                <c:pt idx="133">
                  <c:v>156.0</c:v>
                </c:pt>
                <c:pt idx="134">
                  <c:v>156.0</c:v>
                </c:pt>
                <c:pt idx="135">
                  <c:v>157.0</c:v>
                </c:pt>
                <c:pt idx="136">
                  <c:v>157.0</c:v>
                </c:pt>
                <c:pt idx="137">
                  <c:v>157.0</c:v>
                </c:pt>
                <c:pt idx="138">
                  <c:v>157.0</c:v>
                </c:pt>
                <c:pt idx="139">
                  <c:v>158.0</c:v>
                </c:pt>
                <c:pt idx="140">
                  <c:v>158.0</c:v>
                </c:pt>
                <c:pt idx="141">
                  <c:v>158.0</c:v>
                </c:pt>
                <c:pt idx="142">
                  <c:v>158.0</c:v>
                </c:pt>
                <c:pt idx="143">
                  <c:v>159.0</c:v>
                </c:pt>
                <c:pt idx="144">
                  <c:v>159.0</c:v>
                </c:pt>
                <c:pt idx="145">
                  <c:v>159.0</c:v>
                </c:pt>
                <c:pt idx="146">
                  <c:v>159.0</c:v>
                </c:pt>
                <c:pt idx="147">
                  <c:v>160.0</c:v>
                </c:pt>
                <c:pt idx="148">
                  <c:v>160.0</c:v>
                </c:pt>
                <c:pt idx="149">
                  <c:v>160.0</c:v>
                </c:pt>
                <c:pt idx="150">
                  <c:v>160.0</c:v>
                </c:pt>
                <c:pt idx="151">
                  <c:v>161.0</c:v>
                </c:pt>
                <c:pt idx="152">
                  <c:v>161.0</c:v>
                </c:pt>
                <c:pt idx="153">
                  <c:v>161.0</c:v>
                </c:pt>
                <c:pt idx="154">
                  <c:v>161.0</c:v>
                </c:pt>
                <c:pt idx="155">
                  <c:v>162.0</c:v>
                </c:pt>
                <c:pt idx="156">
                  <c:v>162.0</c:v>
                </c:pt>
                <c:pt idx="157">
                  <c:v>162.0</c:v>
                </c:pt>
                <c:pt idx="158">
                  <c:v>162.0</c:v>
                </c:pt>
                <c:pt idx="159">
                  <c:v>163.0</c:v>
                </c:pt>
                <c:pt idx="160">
                  <c:v>163.0</c:v>
                </c:pt>
                <c:pt idx="161">
                  <c:v>163.0</c:v>
                </c:pt>
                <c:pt idx="162">
                  <c:v>163.0</c:v>
                </c:pt>
                <c:pt idx="163">
                  <c:v>164.0</c:v>
                </c:pt>
                <c:pt idx="164">
                  <c:v>164.0</c:v>
                </c:pt>
                <c:pt idx="165">
                  <c:v>164.0</c:v>
                </c:pt>
                <c:pt idx="166">
                  <c:v>164.0</c:v>
                </c:pt>
                <c:pt idx="167">
                  <c:v>165.0</c:v>
                </c:pt>
                <c:pt idx="168">
                  <c:v>165.0</c:v>
                </c:pt>
                <c:pt idx="169">
                  <c:v>165.0</c:v>
                </c:pt>
                <c:pt idx="170">
                  <c:v>165.0</c:v>
                </c:pt>
                <c:pt idx="171">
                  <c:v>166.0</c:v>
                </c:pt>
                <c:pt idx="172">
                  <c:v>166.0</c:v>
                </c:pt>
                <c:pt idx="173">
                  <c:v>166.0</c:v>
                </c:pt>
                <c:pt idx="174">
                  <c:v>166.0</c:v>
                </c:pt>
                <c:pt idx="175">
                  <c:v>167.0</c:v>
                </c:pt>
                <c:pt idx="176">
                  <c:v>167.0</c:v>
                </c:pt>
                <c:pt idx="177">
                  <c:v>167.0</c:v>
                </c:pt>
                <c:pt idx="178">
                  <c:v>167.0</c:v>
                </c:pt>
                <c:pt idx="179">
                  <c:v>168.0</c:v>
                </c:pt>
                <c:pt idx="180">
                  <c:v>168.0</c:v>
                </c:pt>
                <c:pt idx="181">
                  <c:v>168.0</c:v>
                </c:pt>
                <c:pt idx="182">
                  <c:v>168.0</c:v>
                </c:pt>
                <c:pt idx="183">
                  <c:v>169.0</c:v>
                </c:pt>
                <c:pt idx="184">
                  <c:v>169.0</c:v>
                </c:pt>
                <c:pt idx="185">
                  <c:v>169.0</c:v>
                </c:pt>
                <c:pt idx="186">
                  <c:v>169.0</c:v>
                </c:pt>
                <c:pt idx="187">
                  <c:v>170.0</c:v>
                </c:pt>
                <c:pt idx="188">
                  <c:v>170.0</c:v>
                </c:pt>
                <c:pt idx="189">
                  <c:v>170.0</c:v>
                </c:pt>
                <c:pt idx="190">
                  <c:v>170.0</c:v>
                </c:pt>
                <c:pt idx="191">
                  <c:v>171.0</c:v>
                </c:pt>
                <c:pt idx="192">
                  <c:v>171.0</c:v>
                </c:pt>
                <c:pt idx="193">
                  <c:v>171.0</c:v>
                </c:pt>
                <c:pt idx="194">
                  <c:v>171.0</c:v>
                </c:pt>
                <c:pt idx="195">
                  <c:v>172.0</c:v>
                </c:pt>
                <c:pt idx="196">
                  <c:v>172.0</c:v>
                </c:pt>
                <c:pt idx="197">
                  <c:v>172.0</c:v>
                </c:pt>
                <c:pt idx="198">
                  <c:v>172.0</c:v>
                </c:pt>
                <c:pt idx="199">
                  <c:v>173.0</c:v>
                </c:pt>
                <c:pt idx="200">
                  <c:v>173.0</c:v>
                </c:pt>
                <c:pt idx="201">
                  <c:v>173.0</c:v>
                </c:pt>
                <c:pt idx="202">
                  <c:v>173.0</c:v>
                </c:pt>
                <c:pt idx="203">
                  <c:v>174.0</c:v>
                </c:pt>
                <c:pt idx="204">
                  <c:v>174.0</c:v>
                </c:pt>
                <c:pt idx="205">
                  <c:v>174.0</c:v>
                </c:pt>
                <c:pt idx="206">
                  <c:v>174.0</c:v>
                </c:pt>
                <c:pt idx="207">
                  <c:v>175.0</c:v>
                </c:pt>
                <c:pt idx="208">
                  <c:v>175.0</c:v>
                </c:pt>
                <c:pt idx="209">
                  <c:v>175.0</c:v>
                </c:pt>
                <c:pt idx="210">
                  <c:v>175.0</c:v>
                </c:pt>
                <c:pt idx="211">
                  <c:v>176.0</c:v>
                </c:pt>
                <c:pt idx="212">
                  <c:v>176.0</c:v>
                </c:pt>
                <c:pt idx="213">
                  <c:v>176.0</c:v>
                </c:pt>
                <c:pt idx="214">
                  <c:v>176.0</c:v>
                </c:pt>
                <c:pt idx="215">
                  <c:v>177.0</c:v>
                </c:pt>
                <c:pt idx="216">
                  <c:v>177.0</c:v>
                </c:pt>
                <c:pt idx="217">
                  <c:v>177.0</c:v>
                </c:pt>
                <c:pt idx="218">
                  <c:v>177.0</c:v>
                </c:pt>
                <c:pt idx="219">
                  <c:v>178.0</c:v>
                </c:pt>
                <c:pt idx="220">
                  <c:v>178.0</c:v>
                </c:pt>
                <c:pt idx="221">
                  <c:v>178.0</c:v>
                </c:pt>
                <c:pt idx="222">
                  <c:v>178.0</c:v>
                </c:pt>
                <c:pt idx="223">
                  <c:v>179.0</c:v>
                </c:pt>
                <c:pt idx="224">
                  <c:v>179.0</c:v>
                </c:pt>
                <c:pt idx="225">
                  <c:v>179.0</c:v>
                </c:pt>
                <c:pt idx="226">
                  <c:v>179.0</c:v>
                </c:pt>
                <c:pt idx="227">
                  <c:v>180.0</c:v>
                </c:pt>
                <c:pt idx="228">
                  <c:v>180.0</c:v>
                </c:pt>
                <c:pt idx="229">
                  <c:v>180.0</c:v>
                </c:pt>
                <c:pt idx="230">
                  <c:v>180.0</c:v>
                </c:pt>
                <c:pt idx="231">
                  <c:v>181.0</c:v>
                </c:pt>
                <c:pt idx="232">
                  <c:v>181.0</c:v>
                </c:pt>
                <c:pt idx="233">
                  <c:v>181.0</c:v>
                </c:pt>
                <c:pt idx="234">
                  <c:v>181.0</c:v>
                </c:pt>
                <c:pt idx="235">
                  <c:v>182.0</c:v>
                </c:pt>
                <c:pt idx="236">
                  <c:v>182.0</c:v>
                </c:pt>
                <c:pt idx="237">
                  <c:v>182.0</c:v>
                </c:pt>
                <c:pt idx="238">
                  <c:v>182.0</c:v>
                </c:pt>
                <c:pt idx="239">
                  <c:v>183.0</c:v>
                </c:pt>
                <c:pt idx="240">
                  <c:v>183.0</c:v>
                </c:pt>
                <c:pt idx="241">
                  <c:v>183.0</c:v>
                </c:pt>
                <c:pt idx="242">
                  <c:v>183.0</c:v>
                </c:pt>
                <c:pt idx="243">
                  <c:v>184.0</c:v>
                </c:pt>
                <c:pt idx="244">
                  <c:v>184.0</c:v>
                </c:pt>
                <c:pt idx="245">
                  <c:v>184.0</c:v>
                </c:pt>
                <c:pt idx="246">
                  <c:v>184.0</c:v>
                </c:pt>
                <c:pt idx="247">
                  <c:v>185.0</c:v>
                </c:pt>
                <c:pt idx="248">
                  <c:v>185.0</c:v>
                </c:pt>
                <c:pt idx="249">
                  <c:v>185.0</c:v>
                </c:pt>
                <c:pt idx="250">
                  <c:v>185.0</c:v>
                </c:pt>
                <c:pt idx="251">
                  <c:v>186.0</c:v>
                </c:pt>
                <c:pt idx="252">
                  <c:v>186.0</c:v>
                </c:pt>
                <c:pt idx="253">
                  <c:v>186.0</c:v>
                </c:pt>
                <c:pt idx="254">
                  <c:v>186.0</c:v>
                </c:pt>
                <c:pt idx="255">
                  <c:v>187.0</c:v>
                </c:pt>
                <c:pt idx="256">
                  <c:v>187.0</c:v>
                </c:pt>
                <c:pt idx="257">
                  <c:v>187.0</c:v>
                </c:pt>
                <c:pt idx="258">
                  <c:v>187.0</c:v>
                </c:pt>
                <c:pt idx="259">
                  <c:v>188.0</c:v>
                </c:pt>
                <c:pt idx="260">
                  <c:v>188.0</c:v>
                </c:pt>
                <c:pt idx="261">
                  <c:v>188.0</c:v>
                </c:pt>
                <c:pt idx="262">
                  <c:v>188.0</c:v>
                </c:pt>
                <c:pt idx="263">
                  <c:v>189.0</c:v>
                </c:pt>
                <c:pt idx="264">
                  <c:v>189.0</c:v>
                </c:pt>
                <c:pt idx="265">
                  <c:v>189.0</c:v>
                </c:pt>
                <c:pt idx="266">
                  <c:v>189.0</c:v>
                </c:pt>
                <c:pt idx="267">
                  <c:v>190.0</c:v>
                </c:pt>
                <c:pt idx="268">
                  <c:v>190.0</c:v>
                </c:pt>
                <c:pt idx="269">
                  <c:v>190.0</c:v>
                </c:pt>
                <c:pt idx="270">
                  <c:v>190.0</c:v>
                </c:pt>
                <c:pt idx="271">
                  <c:v>191.0</c:v>
                </c:pt>
                <c:pt idx="272">
                  <c:v>191.0</c:v>
                </c:pt>
                <c:pt idx="273">
                  <c:v>191.0</c:v>
                </c:pt>
                <c:pt idx="274">
                  <c:v>191.0</c:v>
                </c:pt>
                <c:pt idx="275">
                  <c:v>192.0</c:v>
                </c:pt>
                <c:pt idx="276">
                  <c:v>192.0</c:v>
                </c:pt>
                <c:pt idx="277">
                  <c:v>192.0</c:v>
                </c:pt>
                <c:pt idx="278">
                  <c:v>192.0</c:v>
                </c:pt>
                <c:pt idx="279">
                  <c:v>193.0</c:v>
                </c:pt>
                <c:pt idx="280">
                  <c:v>193.0</c:v>
                </c:pt>
                <c:pt idx="281">
                  <c:v>193.0</c:v>
                </c:pt>
                <c:pt idx="282">
                  <c:v>193.0</c:v>
                </c:pt>
                <c:pt idx="283">
                  <c:v>194.0</c:v>
                </c:pt>
                <c:pt idx="284">
                  <c:v>194.0</c:v>
                </c:pt>
                <c:pt idx="285">
                  <c:v>194.0</c:v>
                </c:pt>
                <c:pt idx="286">
                  <c:v>194.0</c:v>
                </c:pt>
                <c:pt idx="287">
                  <c:v>195.0</c:v>
                </c:pt>
                <c:pt idx="288">
                  <c:v>195.0</c:v>
                </c:pt>
                <c:pt idx="289">
                  <c:v>195.0</c:v>
                </c:pt>
                <c:pt idx="290">
                  <c:v>195.0</c:v>
                </c:pt>
                <c:pt idx="291">
                  <c:v>196.0</c:v>
                </c:pt>
                <c:pt idx="292">
                  <c:v>196.0</c:v>
                </c:pt>
                <c:pt idx="293">
                  <c:v>196.0</c:v>
                </c:pt>
                <c:pt idx="294">
                  <c:v>196.0</c:v>
                </c:pt>
                <c:pt idx="295">
                  <c:v>197.0</c:v>
                </c:pt>
                <c:pt idx="296">
                  <c:v>197.0</c:v>
                </c:pt>
                <c:pt idx="297">
                  <c:v>197.0</c:v>
                </c:pt>
                <c:pt idx="298">
                  <c:v>197.0</c:v>
                </c:pt>
                <c:pt idx="299">
                  <c:v>198.0</c:v>
                </c:pt>
              </c:numCache>
            </c:numRef>
          </c:val>
          <c:smooth val="0"/>
        </c:ser>
        <c:dLbls>
          <c:showLegendKey val="0"/>
          <c:showVal val="0"/>
          <c:showCatName val="0"/>
          <c:showSerName val="0"/>
          <c:showPercent val="0"/>
          <c:showBubbleSize val="0"/>
        </c:dLbls>
        <c:smooth val="0"/>
        <c:axId val="2128343024"/>
        <c:axId val="2128345872"/>
      </c:lineChart>
      <c:catAx>
        <c:axId val="2128343024"/>
        <c:scaling>
          <c:orientation val="minMax"/>
        </c:scaling>
        <c:delete val="0"/>
        <c:axPos val="b"/>
        <c:numFmt formatCode="General" sourceLinked="0"/>
        <c:majorTickMark val="out"/>
        <c:minorTickMark val="none"/>
        <c:tickLblPos val="nextTo"/>
        <c:crossAx val="2128345872"/>
        <c:crosses val="autoZero"/>
        <c:auto val="1"/>
        <c:lblAlgn val="ctr"/>
        <c:lblOffset val="100"/>
        <c:noMultiLvlLbl val="0"/>
      </c:catAx>
      <c:valAx>
        <c:axId val="2128345872"/>
        <c:scaling>
          <c:orientation val="minMax"/>
        </c:scaling>
        <c:delete val="0"/>
        <c:axPos val="l"/>
        <c:majorGridlines/>
        <c:numFmt formatCode="General" sourceLinked="1"/>
        <c:majorTickMark val="out"/>
        <c:minorTickMark val="none"/>
        <c:tickLblPos val="nextTo"/>
        <c:crossAx val="2128343024"/>
        <c:crosses val="autoZero"/>
        <c:crossBetween val="between"/>
      </c:valAx>
    </c:plotArea>
    <c:legend>
      <c:legendPos val="r"/>
      <c:layout>
        <c:manualLayout>
          <c:xMode val="edge"/>
          <c:yMode val="edge"/>
          <c:x val="0.7041706985422"/>
          <c:y val="0.0304283890189402"/>
          <c:w val="0.100261529808774"/>
          <c:h val="0.203268354107558"/>
        </c:manualLayout>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plotArea>
      <c:layout>
        <c:manualLayout>
          <c:layoutTarget val="inner"/>
          <c:xMode val="edge"/>
          <c:yMode val="edge"/>
          <c:x val="0.0481909748591071"/>
          <c:y val="0.113039129037442"/>
          <c:w val="0.940048804140446"/>
          <c:h val="0.74177426482404"/>
        </c:manualLayout>
      </c:layout>
      <c:lineChart>
        <c:grouping val="standard"/>
        <c:varyColors val="0"/>
        <c:ser>
          <c:idx val="0"/>
          <c:order val="0"/>
          <c:tx>
            <c:strRef>
              <c:f>player_ranks_old!$C$1</c:f>
              <c:strCache>
                <c:ptCount val="1"/>
                <c:pt idx="0">
                  <c:v>cost</c:v>
                </c:pt>
              </c:strCache>
            </c:strRef>
          </c:tx>
          <c:marker>
            <c:symbol val="none"/>
          </c:marker>
          <c:cat>
            <c:strRef>
              <c:f>player_ranks_old!$A$1:$A$301</c:f>
              <c:strCache>
                <c:ptCount val="301"/>
                <c:pt idx="0">
                  <c:v>rank</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strCache>
            </c:strRef>
          </c:cat>
          <c:val>
            <c:numRef>
              <c:f>player_ranks_old!$C$2:$C$301</c:f>
              <c:numCache>
                <c:formatCode>General</c:formatCode>
                <c:ptCount val="300"/>
                <c:pt idx="0">
                  <c:v>40.0</c:v>
                </c:pt>
                <c:pt idx="1">
                  <c:v>41.0</c:v>
                </c:pt>
                <c:pt idx="2">
                  <c:v>41.0</c:v>
                </c:pt>
                <c:pt idx="3">
                  <c:v>42.0</c:v>
                </c:pt>
                <c:pt idx="4">
                  <c:v>47.0</c:v>
                </c:pt>
                <c:pt idx="5">
                  <c:v>48.0</c:v>
                </c:pt>
                <c:pt idx="6">
                  <c:v>48.0</c:v>
                </c:pt>
                <c:pt idx="7">
                  <c:v>49.0</c:v>
                </c:pt>
                <c:pt idx="8">
                  <c:v>49.0</c:v>
                </c:pt>
                <c:pt idx="9">
                  <c:v>54.0</c:v>
                </c:pt>
                <c:pt idx="10">
                  <c:v>54.0</c:v>
                </c:pt>
                <c:pt idx="11">
                  <c:v>55.0</c:v>
                </c:pt>
                <c:pt idx="12">
                  <c:v>55.0</c:v>
                </c:pt>
                <c:pt idx="13">
                  <c:v>56.0</c:v>
                </c:pt>
                <c:pt idx="14">
                  <c:v>61.0</c:v>
                </c:pt>
                <c:pt idx="15">
                  <c:v>62.0</c:v>
                </c:pt>
                <c:pt idx="16">
                  <c:v>62.0</c:v>
                </c:pt>
                <c:pt idx="17">
                  <c:v>63.0</c:v>
                </c:pt>
                <c:pt idx="18">
                  <c:v>63.0</c:v>
                </c:pt>
                <c:pt idx="19">
                  <c:v>68.0</c:v>
                </c:pt>
                <c:pt idx="20">
                  <c:v>68.0</c:v>
                </c:pt>
                <c:pt idx="21">
                  <c:v>69.0</c:v>
                </c:pt>
                <c:pt idx="22">
                  <c:v>69.0</c:v>
                </c:pt>
                <c:pt idx="23">
                  <c:v>70.0</c:v>
                </c:pt>
                <c:pt idx="24">
                  <c:v>75.0</c:v>
                </c:pt>
                <c:pt idx="25">
                  <c:v>76.0</c:v>
                </c:pt>
                <c:pt idx="26">
                  <c:v>76.0</c:v>
                </c:pt>
                <c:pt idx="27">
                  <c:v>77.0</c:v>
                </c:pt>
                <c:pt idx="28">
                  <c:v>77.0</c:v>
                </c:pt>
                <c:pt idx="29">
                  <c:v>80.0</c:v>
                </c:pt>
                <c:pt idx="30">
                  <c:v>80.0</c:v>
                </c:pt>
                <c:pt idx="31">
                  <c:v>81.0</c:v>
                </c:pt>
                <c:pt idx="32">
                  <c:v>81.0</c:v>
                </c:pt>
                <c:pt idx="33">
                  <c:v>82.0</c:v>
                </c:pt>
                <c:pt idx="34">
                  <c:v>85.0</c:v>
                </c:pt>
                <c:pt idx="35">
                  <c:v>86.0</c:v>
                </c:pt>
                <c:pt idx="36">
                  <c:v>86.0</c:v>
                </c:pt>
                <c:pt idx="37">
                  <c:v>87.0</c:v>
                </c:pt>
                <c:pt idx="38">
                  <c:v>87.0</c:v>
                </c:pt>
                <c:pt idx="39">
                  <c:v>90.0</c:v>
                </c:pt>
                <c:pt idx="40">
                  <c:v>90.0</c:v>
                </c:pt>
                <c:pt idx="41">
                  <c:v>91.0</c:v>
                </c:pt>
                <c:pt idx="42">
                  <c:v>91.0</c:v>
                </c:pt>
                <c:pt idx="43">
                  <c:v>92.0</c:v>
                </c:pt>
                <c:pt idx="44">
                  <c:v>95.0</c:v>
                </c:pt>
                <c:pt idx="45">
                  <c:v>96.0</c:v>
                </c:pt>
                <c:pt idx="46">
                  <c:v>96.0</c:v>
                </c:pt>
                <c:pt idx="47">
                  <c:v>97.0</c:v>
                </c:pt>
                <c:pt idx="48">
                  <c:v>97.0</c:v>
                </c:pt>
                <c:pt idx="49">
                  <c:v>100.0</c:v>
                </c:pt>
                <c:pt idx="50">
                  <c:v>100.0</c:v>
                </c:pt>
                <c:pt idx="51">
                  <c:v>101.0</c:v>
                </c:pt>
                <c:pt idx="52">
                  <c:v>101.0</c:v>
                </c:pt>
                <c:pt idx="53">
                  <c:v>102.0</c:v>
                </c:pt>
                <c:pt idx="54">
                  <c:v>105.0</c:v>
                </c:pt>
                <c:pt idx="55">
                  <c:v>106.0</c:v>
                </c:pt>
                <c:pt idx="56">
                  <c:v>106.0</c:v>
                </c:pt>
                <c:pt idx="57">
                  <c:v>107.0</c:v>
                </c:pt>
                <c:pt idx="58">
                  <c:v>107.0</c:v>
                </c:pt>
                <c:pt idx="59">
                  <c:v>110.0</c:v>
                </c:pt>
                <c:pt idx="60">
                  <c:v>110.0</c:v>
                </c:pt>
                <c:pt idx="61">
                  <c:v>111.0</c:v>
                </c:pt>
                <c:pt idx="62">
                  <c:v>111.0</c:v>
                </c:pt>
                <c:pt idx="63">
                  <c:v>112.0</c:v>
                </c:pt>
                <c:pt idx="64">
                  <c:v>115.0</c:v>
                </c:pt>
                <c:pt idx="65">
                  <c:v>116.0</c:v>
                </c:pt>
                <c:pt idx="66">
                  <c:v>116.0</c:v>
                </c:pt>
                <c:pt idx="67">
                  <c:v>117.0</c:v>
                </c:pt>
                <c:pt idx="68">
                  <c:v>117.0</c:v>
                </c:pt>
                <c:pt idx="69">
                  <c:v>120.0</c:v>
                </c:pt>
                <c:pt idx="70">
                  <c:v>120.0</c:v>
                </c:pt>
                <c:pt idx="71">
                  <c:v>121.0</c:v>
                </c:pt>
                <c:pt idx="72">
                  <c:v>121.0</c:v>
                </c:pt>
                <c:pt idx="73">
                  <c:v>122.0</c:v>
                </c:pt>
                <c:pt idx="74">
                  <c:v>125.0</c:v>
                </c:pt>
                <c:pt idx="75">
                  <c:v>126.0</c:v>
                </c:pt>
                <c:pt idx="76">
                  <c:v>126.0</c:v>
                </c:pt>
                <c:pt idx="77">
                  <c:v>127.0</c:v>
                </c:pt>
                <c:pt idx="78">
                  <c:v>127.0</c:v>
                </c:pt>
                <c:pt idx="79">
                  <c:v>130.0</c:v>
                </c:pt>
                <c:pt idx="80">
                  <c:v>130.0</c:v>
                </c:pt>
                <c:pt idx="81">
                  <c:v>131.0</c:v>
                </c:pt>
                <c:pt idx="82">
                  <c:v>131.0</c:v>
                </c:pt>
                <c:pt idx="83">
                  <c:v>132.0</c:v>
                </c:pt>
                <c:pt idx="84">
                  <c:v>135.0</c:v>
                </c:pt>
                <c:pt idx="85">
                  <c:v>136.0</c:v>
                </c:pt>
                <c:pt idx="86">
                  <c:v>136.0</c:v>
                </c:pt>
                <c:pt idx="87">
                  <c:v>137.0</c:v>
                </c:pt>
                <c:pt idx="88">
                  <c:v>137.0</c:v>
                </c:pt>
                <c:pt idx="89">
                  <c:v>140.0</c:v>
                </c:pt>
                <c:pt idx="90">
                  <c:v>140.0</c:v>
                </c:pt>
                <c:pt idx="91">
                  <c:v>141.0</c:v>
                </c:pt>
                <c:pt idx="92">
                  <c:v>141.0</c:v>
                </c:pt>
                <c:pt idx="93">
                  <c:v>142.0</c:v>
                </c:pt>
                <c:pt idx="94">
                  <c:v>145.0</c:v>
                </c:pt>
                <c:pt idx="95">
                  <c:v>146.0</c:v>
                </c:pt>
                <c:pt idx="96">
                  <c:v>146.0</c:v>
                </c:pt>
                <c:pt idx="97">
                  <c:v>147.0</c:v>
                </c:pt>
                <c:pt idx="98">
                  <c:v>147.0</c:v>
                </c:pt>
                <c:pt idx="99">
                  <c:v>148.0</c:v>
                </c:pt>
                <c:pt idx="100">
                  <c:v>148.0</c:v>
                </c:pt>
                <c:pt idx="101">
                  <c:v>148.0</c:v>
                </c:pt>
                <c:pt idx="102">
                  <c:v>148.0</c:v>
                </c:pt>
                <c:pt idx="103">
                  <c:v>149.0</c:v>
                </c:pt>
                <c:pt idx="104">
                  <c:v>149.0</c:v>
                </c:pt>
                <c:pt idx="105">
                  <c:v>149.0</c:v>
                </c:pt>
                <c:pt idx="106">
                  <c:v>149.0</c:v>
                </c:pt>
                <c:pt idx="107">
                  <c:v>150.0</c:v>
                </c:pt>
                <c:pt idx="108">
                  <c:v>150.0</c:v>
                </c:pt>
                <c:pt idx="109">
                  <c:v>150.0</c:v>
                </c:pt>
                <c:pt idx="110">
                  <c:v>150.0</c:v>
                </c:pt>
                <c:pt idx="111">
                  <c:v>151.0</c:v>
                </c:pt>
                <c:pt idx="112">
                  <c:v>151.0</c:v>
                </c:pt>
                <c:pt idx="113">
                  <c:v>151.0</c:v>
                </c:pt>
                <c:pt idx="114">
                  <c:v>151.0</c:v>
                </c:pt>
                <c:pt idx="115">
                  <c:v>152.0</c:v>
                </c:pt>
                <c:pt idx="116">
                  <c:v>152.0</c:v>
                </c:pt>
                <c:pt idx="117">
                  <c:v>152.0</c:v>
                </c:pt>
                <c:pt idx="118">
                  <c:v>152.0</c:v>
                </c:pt>
                <c:pt idx="119">
                  <c:v>153.0</c:v>
                </c:pt>
                <c:pt idx="120">
                  <c:v>153.0</c:v>
                </c:pt>
                <c:pt idx="121">
                  <c:v>153.0</c:v>
                </c:pt>
                <c:pt idx="122">
                  <c:v>153.0</c:v>
                </c:pt>
                <c:pt idx="123">
                  <c:v>154.0</c:v>
                </c:pt>
                <c:pt idx="124">
                  <c:v>154.0</c:v>
                </c:pt>
                <c:pt idx="125">
                  <c:v>154.0</c:v>
                </c:pt>
                <c:pt idx="126">
                  <c:v>154.0</c:v>
                </c:pt>
                <c:pt idx="127">
                  <c:v>155.0</c:v>
                </c:pt>
                <c:pt idx="128">
                  <c:v>155.0</c:v>
                </c:pt>
                <c:pt idx="129">
                  <c:v>155.0</c:v>
                </c:pt>
                <c:pt idx="130">
                  <c:v>155.0</c:v>
                </c:pt>
                <c:pt idx="131">
                  <c:v>156.0</c:v>
                </c:pt>
                <c:pt idx="132">
                  <c:v>156.0</c:v>
                </c:pt>
                <c:pt idx="133">
                  <c:v>156.0</c:v>
                </c:pt>
                <c:pt idx="134">
                  <c:v>156.0</c:v>
                </c:pt>
                <c:pt idx="135">
                  <c:v>157.0</c:v>
                </c:pt>
                <c:pt idx="136">
                  <c:v>157.0</c:v>
                </c:pt>
                <c:pt idx="137">
                  <c:v>157.0</c:v>
                </c:pt>
                <c:pt idx="138">
                  <c:v>157.0</c:v>
                </c:pt>
                <c:pt idx="139">
                  <c:v>158.0</c:v>
                </c:pt>
                <c:pt idx="140">
                  <c:v>158.0</c:v>
                </c:pt>
                <c:pt idx="141">
                  <c:v>158.0</c:v>
                </c:pt>
                <c:pt idx="142">
                  <c:v>158.0</c:v>
                </c:pt>
                <c:pt idx="143">
                  <c:v>159.0</c:v>
                </c:pt>
                <c:pt idx="144">
                  <c:v>159.0</c:v>
                </c:pt>
                <c:pt idx="145">
                  <c:v>159.0</c:v>
                </c:pt>
                <c:pt idx="146">
                  <c:v>159.0</c:v>
                </c:pt>
                <c:pt idx="147">
                  <c:v>160.0</c:v>
                </c:pt>
                <c:pt idx="148">
                  <c:v>160.0</c:v>
                </c:pt>
                <c:pt idx="149">
                  <c:v>160.0</c:v>
                </c:pt>
                <c:pt idx="150">
                  <c:v>160.0</c:v>
                </c:pt>
                <c:pt idx="151">
                  <c:v>161.0</c:v>
                </c:pt>
                <c:pt idx="152">
                  <c:v>161.0</c:v>
                </c:pt>
                <c:pt idx="153">
                  <c:v>161.0</c:v>
                </c:pt>
                <c:pt idx="154">
                  <c:v>161.0</c:v>
                </c:pt>
                <c:pt idx="155">
                  <c:v>162.0</c:v>
                </c:pt>
                <c:pt idx="156">
                  <c:v>162.0</c:v>
                </c:pt>
                <c:pt idx="157">
                  <c:v>162.0</c:v>
                </c:pt>
                <c:pt idx="158">
                  <c:v>162.0</c:v>
                </c:pt>
                <c:pt idx="159">
                  <c:v>163.0</c:v>
                </c:pt>
                <c:pt idx="160">
                  <c:v>163.0</c:v>
                </c:pt>
                <c:pt idx="161">
                  <c:v>163.0</c:v>
                </c:pt>
                <c:pt idx="162">
                  <c:v>163.0</c:v>
                </c:pt>
                <c:pt idx="163">
                  <c:v>164.0</c:v>
                </c:pt>
                <c:pt idx="164">
                  <c:v>164.0</c:v>
                </c:pt>
                <c:pt idx="165">
                  <c:v>164.0</c:v>
                </c:pt>
                <c:pt idx="166">
                  <c:v>164.0</c:v>
                </c:pt>
                <c:pt idx="167">
                  <c:v>165.0</c:v>
                </c:pt>
                <c:pt idx="168">
                  <c:v>165.0</c:v>
                </c:pt>
                <c:pt idx="169">
                  <c:v>165.0</c:v>
                </c:pt>
                <c:pt idx="170">
                  <c:v>165.0</c:v>
                </c:pt>
                <c:pt idx="171">
                  <c:v>166.0</c:v>
                </c:pt>
                <c:pt idx="172">
                  <c:v>166.0</c:v>
                </c:pt>
                <c:pt idx="173">
                  <c:v>166.0</c:v>
                </c:pt>
                <c:pt idx="174">
                  <c:v>166.0</c:v>
                </c:pt>
                <c:pt idx="175">
                  <c:v>167.0</c:v>
                </c:pt>
                <c:pt idx="176">
                  <c:v>167.0</c:v>
                </c:pt>
                <c:pt idx="177">
                  <c:v>167.0</c:v>
                </c:pt>
                <c:pt idx="178">
                  <c:v>167.0</c:v>
                </c:pt>
                <c:pt idx="179">
                  <c:v>168.0</c:v>
                </c:pt>
                <c:pt idx="180">
                  <c:v>168.0</c:v>
                </c:pt>
                <c:pt idx="181">
                  <c:v>168.0</c:v>
                </c:pt>
                <c:pt idx="182">
                  <c:v>168.0</c:v>
                </c:pt>
                <c:pt idx="183">
                  <c:v>169.0</c:v>
                </c:pt>
                <c:pt idx="184">
                  <c:v>169.0</c:v>
                </c:pt>
                <c:pt idx="185">
                  <c:v>169.0</c:v>
                </c:pt>
                <c:pt idx="186">
                  <c:v>169.0</c:v>
                </c:pt>
                <c:pt idx="187">
                  <c:v>170.0</c:v>
                </c:pt>
                <c:pt idx="188">
                  <c:v>170.0</c:v>
                </c:pt>
                <c:pt idx="189">
                  <c:v>170.0</c:v>
                </c:pt>
                <c:pt idx="190">
                  <c:v>170.0</c:v>
                </c:pt>
                <c:pt idx="191">
                  <c:v>171.0</c:v>
                </c:pt>
                <c:pt idx="192">
                  <c:v>171.0</c:v>
                </c:pt>
                <c:pt idx="193">
                  <c:v>171.0</c:v>
                </c:pt>
                <c:pt idx="194">
                  <c:v>171.0</c:v>
                </c:pt>
                <c:pt idx="195">
                  <c:v>172.0</c:v>
                </c:pt>
                <c:pt idx="196">
                  <c:v>172.0</c:v>
                </c:pt>
                <c:pt idx="197">
                  <c:v>172.0</c:v>
                </c:pt>
                <c:pt idx="198">
                  <c:v>172.0</c:v>
                </c:pt>
                <c:pt idx="199">
                  <c:v>173.0</c:v>
                </c:pt>
                <c:pt idx="200">
                  <c:v>173.0</c:v>
                </c:pt>
                <c:pt idx="201">
                  <c:v>173.0</c:v>
                </c:pt>
                <c:pt idx="202">
                  <c:v>173.0</c:v>
                </c:pt>
                <c:pt idx="203">
                  <c:v>174.0</c:v>
                </c:pt>
                <c:pt idx="204">
                  <c:v>174.0</c:v>
                </c:pt>
                <c:pt idx="205">
                  <c:v>174.0</c:v>
                </c:pt>
                <c:pt idx="206">
                  <c:v>174.0</c:v>
                </c:pt>
                <c:pt idx="207">
                  <c:v>175.0</c:v>
                </c:pt>
                <c:pt idx="208">
                  <c:v>175.0</c:v>
                </c:pt>
                <c:pt idx="209">
                  <c:v>175.0</c:v>
                </c:pt>
                <c:pt idx="210">
                  <c:v>175.0</c:v>
                </c:pt>
                <c:pt idx="211">
                  <c:v>176.0</c:v>
                </c:pt>
                <c:pt idx="212">
                  <c:v>176.0</c:v>
                </c:pt>
                <c:pt idx="213">
                  <c:v>176.0</c:v>
                </c:pt>
                <c:pt idx="214">
                  <c:v>176.0</c:v>
                </c:pt>
                <c:pt idx="215">
                  <c:v>177.0</c:v>
                </c:pt>
                <c:pt idx="216">
                  <c:v>177.0</c:v>
                </c:pt>
                <c:pt idx="217">
                  <c:v>177.0</c:v>
                </c:pt>
                <c:pt idx="218">
                  <c:v>177.0</c:v>
                </c:pt>
                <c:pt idx="219">
                  <c:v>178.0</c:v>
                </c:pt>
                <c:pt idx="220">
                  <c:v>178.0</c:v>
                </c:pt>
                <c:pt idx="221">
                  <c:v>178.0</c:v>
                </c:pt>
                <c:pt idx="222">
                  <c:v>178.0</c:v>
                </c:pt>
                <c:pt idx="223">
                  <c:v>179.0</c:v>
                </c:pt>
                <c:pt idx="224">
                  <c:v>179.0</c:v>
                </c:pt>
                <c:pt idx="225">
                  <c:v>179.0</c:v>
                </c:pt>
                <c:pt idx="226">
                  <c:v>179.0</c:v>
                </c:pt>
                <c:pt idx="227">
                  <c:v>180.0</c:v>
                </c:pt>
                <c:pt idx="228">
                  <c:v>180.0</c:v>
                </c:pt>
                <c:pt idx="229">
                  <c:v>180.0</c:v>
                </c:pt>
                <c:pt idx="230">
                  <c:v>180.0</c:v>
                </c:pt>
                <c:pt idx="231">
                  <c:v>181.0</c:v>
                </c:pt>
                <c:pt idx="232">
                  <c:v>181.0</c:v>
                </c:pt>
                <c:pt idx="233">
                  <c:v>181.0</c:v>
                </c:pt>
                <c:pt idx="234">
                  <c:v>181.0</c:v>
                </c:pt>
                <c:pt idx="235">
                  <c:v>182.0</c:v>
                </c:pt>
                <c:pt idx="236">
                  <c:v>182.0</c:v>
                </c:pt>
                <c:pt idx="237">
                  <c:v>182.0</c:v>
                </c:pt>
                <c:pt idx="238">
                  <c:v>182.0</c:v>
                </c:pt>
                <c:pt idx="239">
                  <c:v>183.0</c:v>
                </c:pt>
                <c:pt idx="240">
                  <c:v>183.0</c:v>
                </c:pt>
                <c:pt idx="241">
                  <c:v>183.0</c:v>
                </c:pt>
                <c:pt idx="242">
                  <c:v>183.0</c:v>
                </c:pt>
                <c:pt idx="243">
                  <c:v>184.0</c:v>
                </c:pt>
                <c:pt idx="244">
                  <c:v>184.0</c:v>
                </c:pt>
                <c:pt idx="245">
                  <c:v>184.0</c:v>
                </c:pt>
                <c:pt idx="246">
                  <c:v>184.0</c:v>
                </c:pt>
                <c:pt idx="247">
                  <c:v>185.0</c:v>
                </c:pt>
                <c:pt idx="248">
                  <c:v>185.0</c:v>
                </c:pt>
                <c:pt idx="249">
                  <c:v>185.0</c:v>
                </c:pt>
                <c:pt idx="250">
                  <c:v>185.0</c:v>
                </c:pt>
                <c:pt idx="251">
                  <c:v>186.0</c:v>
                </c:pt>
                <c:pt idx="252">
                  <c:v>186.0</c:v>
                </c:pt>
                <c:pt idx="253">
                  <c:v>186.0</c:v>
                </c:pt>
                <c:pt idx="254">
                  <c:v>186.0</c:v>
                </c:pt>
                <c:pt idx="255">
                  <c:v>187.0</c:v>
                </c:pt>
                <c:pt idx="256">
                  <c:v>187.0</c:v>
                </c:pt>
                <c:pt idx="257">
                  <c:v>187.0</c:v>
                </c:pt>
                <c:pt idx="258">
                  <c:v>187.0</c:v>
                </c:pt>
                <c:pt idx="259">
                  <c:v>188.0</c:v>
                </c:pt>
                <c:pt idx="260">
                  <c:v>188.0</c:v>
                </c:pt>
                <c:pt idx="261">
                  <c:v>188.0</c:v>
                </c:pt>
                <c:pt idx="262">
                  <c:v>188.0</c:v>
                </c:pt>
                <c:pt idx="263">
                  <c:v>189.0</c:v>
                </c:pt>
                <c:pt idx="264">
                  <c:v>189.0</c:v>
                </c:pt>
                <c:pt idx="265">
                  <c:v>189.0</c:v>
                </c:pt>
                <c:pt idx="266">
                  <c:v>189.0</c:v>
                </c:pt>
                <c:pt idx="267">
                  <c:v>190.0</c:v>
                </c:pt>
                <c:pt idx="268">
                  <c:v>190.0</c:v>
                </c:pt>
                <c:pt idx="269">
                  <c:v>190.0</c:v>
                </c:pt>
                <c:pt idx="270">
                  <c:v>190.0</c:v>
                </c:pt>
                <c:pt idx="271">
                  <c:v>191.0</c:v>
                </c:pt>
                <c:pt idx="272">
                  <c:v>191.0</c:v>
                </c:pt>
                <c:pt idx="273">
                  <c:v>191.0</c:v>
                </c:pt>
                <c:pt idx="274">
                  <c:v>191.0</c:v>
                </c:pt>
                <c:pt idx="275">
                  <c:v>192.0</c:v>
                </c:pt>
                <c:pt idx="276">
                  <c:v>192.0</c:v>
                </c:pt>
                <c:pt idx="277">
                  <c:v>192.0</c:v>
                </c:pt>
                <c:pt idx="278">
                  <c:v>192.0</c:v>
                </c:pt>
                <c:pt idx="279">
                  <c:v>193.0</c:v>
                </c:pt>
                <c:pt idx="280">
                  <c:v>193.0</c:v>
                </c:pt>
                <c:pt idx="281">
                  <c:v>193.0</c:v>
                </c:pt>
                <c:pt idx="282">
                  <c:v>193.0</c:v>
                </c:pt>
                <c:pt idx="283">
                  <c:v>194.0</c:v>
                </c:pt>
                <c:pt idx="284">
                  <c:v>194.0</c:v>
                </c:pt>
                <c:pt idx="285">
                  <c:v>194.0</c:v>
                </c:pt>
                <c:pt idx="286">
                  <c:v>194.0</c:v>
                </c:pt>
                <c:pt idx="287">
                  <c:v>195.0</c:v>
                </c:pt>
                <c:pt idx="288">
                  <c:v>195.0</c:v>
                </c:pt>
                <c:pt idx="289">
                  <c:v>195.0</c:v>
                </c:pt>
                <c:pt idx="290">
                  <c:v>195.0</c:v>
                </c:pt>
                <c:pt idx="291">
                  <c:v>196.0</c:v>
                </c:pt>
                <c:pt idx="292">
                  <c:v>196.0</c:v>
                </c:pt>
                <c:pt idx="293">
                  <c:v>196.0</c:v>
                </c:pt>
                <c:pt idx="294">
                  <c:v>196.0</c:v>
                </c:pt>
                <c:pt idx="295">
                  <c:v>197.0</c:v>
                </c:pt>
                <c:pt idx="296">
                  <c:v>197.0</c:v>
                </c:pt>
                <c:pt idx="297">
                  <c:v>197.0</c:v>
                </c:pt>
                <c:pt idx="298">
                  <c:v>197.0</c:v>
                </c:pt>
                <c:pt idx="299">
                  <c:v>198.0</c:v>
                </c:pt>
              </c:numCache>
            </c:numRef>
          </c:val>
          <c:smooth val="0"/>
        </c:ser>
        <c:dLbls>
          <c:showLegendKey val="0"/>
          <c:showVal val="0"/>
          <c:showCatName val="0"/>
          <c:showSerName val="0"/>
          <c:showPercent val="0"/>
          <c:showBubbleSize val="0"/>
        </c:dLbls>
        <c:smooth val="0"/>
        <c:axId val="2128443360"/>
        <c:axId val="2128446208"/>
      </c:lineChart>
      <c:catAx>
        <c:axId val="2128443360"/>
        <c:scaling>
          <c:orientation val="minMax"/>
        </c:scaling>
        <c:delete val="0"/>
        <c:axPos val="b"/>
        <c:numFmt formatCode="General" sourceLinked="0"/>
        <c:majorTickMark val="out"/>
        <c:minorTickMark val="none"/>
        <c:tickLblPos val="nextTo"/>
        <c:crossAx val="2128446208"/>
        <c:crosses val="autoZero"/>
        <c:auto val="1"/>
        <c:lblAlgn val="ctr"/>
        <c:lblOffset val="100"/>
        <c:noMultiLvlLbl val="0"/>
      </c:catAx>
      <c:valAx>
        <c:axId val="2128446208"/>
        <c:scaling>
          <c:orientation val="minMax"/>
        </c:scaling>
        <c:delete val="0"/>
        <c:axPos val="l"/>
        <c:majorGridlines/>
        <c:numFmt formatCode="General" sourceLinked="1"/>
        <c:majorTickMark val="out"/>
        <c:minorTickMark val="none"/>
        <c:tickLblPos val="nextTo"/>
        <c:crossAx val="2128443360"/>
        <c:crosses val="autoZero"/>
        <c:crossBetween val="between"/>
      </c:valAx>
    </c:plotArea>
    <c:legend>
      <c:legendPos val="r"/>
      <c:layout>
        <c:manualLayout>
          <c:xMode val="edge"/>
          <c:yMode val="edge"/>
          <c:x val="0.7041706985422"/>
          <c:y val="0.0304283890189402"/>
          <c:w val="0.0754876770434655"/>
          <c:h val="0.0410693525272531"/>
        </c:manualLayout>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5</xdr:col>
      <xdr:colOff>12700</xdr:colOff>
      <xdr:row>32</xdr:row>
      <xdr:rowOff>107950</xdr:rowOff>
    </xdr:from>
    <xdr:to>
      <xdr:col>10</xdr:col>
      <xdr:colOff>368300</xdr:colOff>
      <xdr:row>44</xdr:row>
      <xdr:rowOff>107950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76200</xdr:colOff>
      <xdr:row>32</xdr:row>
      <xdr:rowOff>114300</xdr:rowOff>
    </xdr:from>
    <xdr:to>
      <xdr:col>19</xdr:col>
      <xdr:colOff>215900</xdr:colOff>
      <xdr:row>44</xdr:row>
      <xdr:rowOff>114300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1</xdr:row>
      <xdr:rowOff>63500</xdr:rowOff>
    </xdr:from>
    <xdr:to>
      <xdr:col>21</xdr:col>
      <xdr:colOff>25400</xdr:colOff>
      <xdr:row>34</xdr:row>
      <xdr:rowOff>50800</xdr:rowOff>
    </xdr:to>
    <xdr:grpSp>
      <xdr:nvGrpSpPr>
        <xdr:cNvPr id="2" name="図形グループ 1"/>
        <xdr:cNvGrpSpPr/>
      </xdr:nvGrpSpPr>
      <xdr:grpSpPr>
        <a:xfrm>
          <a:off x="7073900" y="254000"/>
          <a:ext cx="9956800" cy="6273800"/>
          <a:chOff x="13766800" y="254000"/>
          <a:chExt cx="9956800" cy="6273800"/>
        </a:xfrm>
      </xdr:grpSpPr>
      <xdr:graphicFrame macro="">
        <xdr:nvGraphicFramePr>
          <xdr:cNvPr id="3" name="グラフ 2"/>
          <xdr:cNvGraphicFramePr>
            <a:graphicFrameLocks/>
          </xdr:cNvGraphicFramePr>
        </xdr:nvGraphicFramePr>
        <xdr:xfrm>
          <a:off x="13766800" y="254000"/>
          <a:ext cx="9956800" cy="6273800"/>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xdr:cNvCxnSpPr/>
        </xdr:nvCxnSpPr>
        <xdr:spPr>
          <a:xfrm flipV="1">
            <a:off x="19507200" y="2552700"/>
            <a:ext cx="0" cy="3098800"/>
          </a:xfrm>
          <a:prstGeom prst="line">
            <a:avLst/>
          </a:prstGeom>
          <a:ln>
            <a:solidFill>
              <a:schemeClr val="tx2"/>
            </a:solidFill>
          </a:ln>
        </xdr:spPr>
        <xdr:style>
          <a:lnRef idx="2">
            <a:schemeClr val="accent1"/>
          </a:lnRef>
          <a:fillRef idx="0">
            <a:schemeClr val="accent1"/>
          </a:fillRef>
          <a:effectRef idx="1">
            <a:schemeClr val="accent1"/>
          </a:effectRef>
          <a:fontRef idx="minor">
            <a:schemeClr val="tx1"/>
          </a:fontRef>
        </xdr:style>
      </xdr:cxnSp>
      <xdr:cxnSp macro="">
        <xdr:nvCxnSpPr>
          <xdr:cNvPr id="5" name="直線コネクタ 4"/>
          <xdr:cNvCxnSpPr/>
        </xdr:nvCxnSpPr>
        <xdr:spPr>
          <a:xfrm flipH="1">
            <a:off x="15836900" y="2540000"/>
            <a:ext cx="36576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6" name="直線コネクタ 5"/>
          <xdr:cNvCxnSpPr/>
        </xdr:nvCxnSpPr>
        <xdr:spPr>
          <a:xfrm flipV="1">
            <a:off x="15849600" y="2578100"/>
            <a:ext cx="0" cy="304800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xnSp macro="">
        <xdr:nvCxnSpPr>
          <xdr:cNvPr id="7" name="直線コネクタ 6"/>
          <xdr:cNvCxnSpPr/>
        </xdr:nvCxnSpPr>
        <xdr:spPr>
          <a:xfrm flipV="1">
            <a:off x="15227300" y="2806700"/>
            <a:ext cx="0" cy="2832100"/>
          </a:xfrm>
          <a:prstGeom prst="line">
            <a:avLst/>
          </a:prstGeom>
          <a:ln>
            <a:solidFill>
              <a:schemeClr val="accent3"/>
            </a:solidFill>
          </a:ln>
        </xdr:spPr>
        <xdr:style>
          <a:lnRef idx="2">
            <a:schemeClr val="accent1"/>
          </a:lnRef>
          <a:fillRef idx="0">
            <a:schemeClr val="accent1"/>
          </a:fillRef>
          <a:effectRef idx="1">
            <a:schemeClr val="accent1"/>
          </a:effectRef>
          <a:fontRef idx="minor">
            <a:schemeClr val="tx1"/>
          </a:fontRef>
        </xdr:style>
      </xdr:cxnSp>
      <xdr:cxnSp macro="">
        <xdr:nvCxnSpPr>
          <xdr:cNvPr id="8" name="直線コネクタ 7"/>
          <xdr:cNvCxnSpPr/>
        </xdr:nvCxnSpPr>
        <xdr:spPr>
          <a:xfrm flipV="1">
            <a:off x="18275300" y="2552700"/>
            <a:ext cx="0" cy="30734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sp macro="" textlink="">
        <xdr:nvSpPr>
          <xdr:cNvPr id="10" name="四角形吹き出し 9"/>
          <xdr:cNvSpPr/>
        </xdr:nvSpPr>
        <xdr:spPr>
          <a:xfrm>
            <a:off x="14643100" y="1511300"/>
            <a:ext cx="863600" cy="596900"/>
          </a:xfrm>
          <a:prstGeom prst="wedgeRectCallout">
            <a:avLst>
              <a:gd name="adj1" fmla="val 14790"/>
              <a:gd name="adj2" fmla="val 134895"/>
            </a:avLst>
          </a:prstGeom>
          <a:solidFill>
            <a:schemeClr val="bg1"/>
          </a:solidFill>
          <a:ln>
            <a:solidFill>
              <a:schemeClr val="accent3"/>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30】</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6×3</a:t>
            </a:r>
            <a:endParaRPr kumimoji="1" lang="ja-JP" altLang="en-US" sz="1100">
              <a:solidFill>
                <a:schemeClr val="tx1"/>
              </a:solidFill>
            </a:endParaRPr>
          </a:p>
        </xdr:txBody>
      </xdr:sp>
      <xdr:sp macro="" textlink="">
        <xdr:nvSpPr>
          <xdr:cNvPr id="11" name="四角形吹き出し 10"/>
          <xdr:cNvSpPr/>
        </xdr:nvSpPr>
        <xdr:spPr>
          <a:xfrm>
            <a:off x="15875000" y="1333500"/>
            <a:ext cx="1244600" cy="673100"/>
          </a:xfrm>
          <a:prstGeom prst="wedgeRectCallout">
            <a:avLst>
              <a:gd name="adj1" fmla="val -34559"/>
              <a:gd name="adj2" fmla="val 111581"/>
            </a:avLst>
          </a:prstGeom>
          <a:solidFill>
            <a:schemeClr val="bg1"/>
          </a:solidFill>
          <a:ln>
            <a:solidFill>
              <a:schemeClr val="accent3"/>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50】</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sp macro="" textlink="">
        <xdr:nvSpPr>
          <xdr:cNvPr id="12" name="四角形吹き出し 11"/>
          <xdr:cNvSpPr/>
        </xdr:nvSpPr>
        <xdr:spPr>
          <a:xfrm>
            <a:off x="18199100" y="1676400"/>
            <a:ext cx="1206500" cy="508000"/>
          </a:xfrm>
          <a:prstGeom prst="wedgeRectCallout">
            <a:avLst>
              <a:gd name="adj1" fmla="val -43096"/>
              <a:gd name="adj2" fmla="val 112234"/>
            </a:avLst>
          </a:prstGeom>
          <a:solidFill>
            <a:schemeClr val="bg1"/>
          </a:solidFill>
          <a:ln w="12700">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128】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sp macro="" textlink="">
        <xdr:nvSpPr>
          <xdr:cNvPr id="16" name="四角形吹き出し 15"/>
          <xdr:cNvSpPr/>
        </xdr:nvSpPr>
        <xdr:spPr>
          <a:xfrm>
            <a:off x="19799300" y="2781300"/>
            <a:ext cx="1206500" cy="508000"/>
          </a:xfrm>
          <a:prstGeom prst="wedgeRectCallout">
            <a:avLst>
              <a:gd name="adj1" fmla="val -66254"/>
              <a:gd name="adj2" fmla="val -82766"/>
            </a:avLst>
          </a:prstGeom>
          <a:solidFill>
            <a:schemeClr val="bg1"/>
          </a:solidFill>
          <a:ln w="12700">
            <a:solidFill>
              <a:schemeClr val="tx2"/>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168】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1</xdr:row>
      <xdr:rowOff>63500</xdr:rowOff>
    </xdr:from>
    <xdr:to>
      <xdr:col>21</xdr:col>
      <xdr:colOff>25400</xdr:colOff>
      <xdr:row>34</xdr:row>
      <xdr:rowOff>50800</xdr:rowOff>
    </xdr:to>
    <xdr:grpSp>
      <xdr:nvGrpSpPr>
        <xdr:cNvPr id="2" name="図形グループ 1"/>
        <xdr:cNvGrpSpPr/>
      </xdr:nvGrpSpPr>
      <xdr:grpSpPr>
        <a:xfrm>
          <a:off x="7073900" y="254000"/>
          <a:ext cx="9956800" cy="6273800"/>
          <a:chOff x="13766800" y="254000"/>
          <a:chExt cx="9956800" cy="6273800"/>
        </a:xfrm>
      </xdr:grpSpPr>
      <xdr:graphicFrame macro="">
        <xdr:nvGraphicFramePr>
          <xdr:cNvPr id="3" name="グラフ 2"/>
          <xdr:cNvGraphicFramePr>
            <a:graphicFrameLocks/>
          </xdr:cNvGraphicFramePr>
        </xdr:nvGraphicFramePr>
        <xdr:xfrm>
          <a:off x="13766800" y="254000"/>
          <a:ext cx="9956800" cy="6273800"/>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xdr:cNvCxnSpPr/>
        </xdr:nvCxnSpPr>
        <xdr:spPr>
          <a:xfrm flipV="1">
            <a:off x="19507200" y="2552700"/>
            <a:ext cx="0" cy="3098800"/>
          </a:xfrm>
          <a:prstGeom prst="line">
            <a:avLst/>
          </a:prstGeom>
          <a:ln>
            <a:solidFill>
              <a:schemeClr val="tx2"/>
            </a:solidFill>
          </a:ln>
        </xdr:spPr>
        <xdr:style>
          <a:lnRef idx="2">
            <a:schemeClr val="accent1"/>
          </a:lnRef>
          <a:fillRef idx="0">
            <a:schemeClr val="accent1"/>
          </a:fillRef>
          <a:effectRef idx="1">
            <a:schemeClr val="accent1"/>
          </a:effectRef>
          <a:fontRef idx="minor">
            <a:schemeClr val="tx1"/>
          </a:fontRef>
        </xdr:style>
      </xdr:cxnSp>
      <xdr:cxnSp macro="">
        <xdr:nvCxnSpPr>
          <xdr:cNvPr id="5" name="直線コネクタ 4"/>
          <xdr:cNvCxnSpPr/>
        </xdr:nvCxnSpPr>
        <xdr:spPr>
          <a:xfrm flipH="1">
            <a:off x="18275300" y="2540000"/>
            <a:ext cx="12192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6" name="直線コネクタ 5"/>
          <xdr:cNvCxnSpPr/>
        </xdr:nvCxnSpPr>
        <xdr:spPr>
          <a:xfrm flipV="1">
            <a:off x="15989300" y="2908300"/>
            <a:ext cx="0" cy="27178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7" name="直線コネクタ 6"/>
          <xdr:cNvCxnSpPr/>
        </xdr:nvCxnSpPr>
        <xdr:spPr>
          <a:xfrm flipV="1">
            <a:off x="15354300" y="3276600"/>
            <a:ext cx="0" cy="23495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8" name="直線コネクタ 7"/>
          <xdr:cNvCxnSpPr/>
        </xdr:nvCxnSpPr>
        <xdr:spPr>
          <a:xfrm flipV="1">
            <a:off x="18275300" y="2552700"/>
            <a:ext cx="0" cy="30734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9" name="直線コネクタ 8"/>
          <xdr:cNvCxnSpPr/>
        </xdr:nvCxnSpPr>
        <xdr:spPr>
          <a:xfrm flipV="1">
            <a:off x="17068800" y="2755900"/>
            <a:ext cx="0" cy="28702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sp macro="" textlink="">
        <xdr:nvSpPr>
          <xdr:cNvPr id="10" name="四角形吹き出し 9"/>
          <xdr:cNvSpPr/>
        </xdr:nvSpPr>
        <xdr:spPr>
          <a:xfrm>
            <a:off x="14909800" y="1498600"/>
            <a:ext cx="863600" cy="850900"/>
          </a:xfrm>
          <a:prstGeom prst="wedgeRectCallout">
            <a:avLst>
              <a:gd name="adj1" fmla="val 14790"/>
              <a:gd name="adj2" fmla="val 134895"/>
            </a:avLst>
          </a:prstGeom>
          <a:solidFill>
            <a:schemeClr val="bg1"/>
          </a:solidFill>
          <a:ln>
            <a:solidFill>
              <a:schemeClr val="accent3"/>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35】</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6×1</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6×1</a:t>
            </a:r>
          </a:p>
          <a:p>
            <a:pPr algn="l"/>
            <a:r>
              <a:rPr kumimoji="1" lang="en-US" altLang="ja-JP" sz="1100">
                <a:solidFill>
                  <a:schemeClr val="tx1"/>
                </a:solidFill>
              </a:rPr>
              <a:t>S</a:t>
            </a:r>
            <a:r>
              <a:rPr kumimoji="1" lang="ja-JP" altLang="en-US" sz="1100">
                <a:solidFill>
                  <a:schemeClr val="tx1"/>
                </a:solidFill>
              </a:rPr>
              <a:t>★</a:t>
            </a:r>
            <a:r>
              <a:rPr kumimoji="1" lang="en-US" altLang="ja-JP" sz="1100">
                <a:solidFill>
                  <a:schemeClr val="tx1"/>
                </a:solidFill>
              </a:rPr>
              <a:t>5 ×1</a:t>
            </a:r>
            <a:endParaRPr kumimoji="1" lang="ja-JP" altLang="en-US" sz="1100">
              <a:solidFill>
                <a:schemeClr val="tx1"/>
              </a:solidFill>
            </a:endParaRPr>
          </a:p>
        </xdr:txBody>
      </xdr:sp>
      <xdr:sp macro="" textlink="">
        <xdr:nvSpPr>
          <xdr:cNvPr id="11" name="四角形吹き出し 10"/>
          <xdr:cNvSpPr/>
        </xdr:nvSpPr>
        <xdr:spPr>
          <a:xfrm>
            <a:off x="15875000" y="1663700"/>
            <a:ext cx="952500" cy="673100"/>
          </a:xfrm>
          <a:prstGeom prst="wedgeRectCallout">
            <a:avLst>
              <a:gd name="adj1" fmla="val -34559"/>
              <a:gd name="adj2" fmla="val 111581"/>
            </a:avLst>
          </a:prstGeom>
          <a:solidFill>
            <a:schemeClr val="bg1"/>
          </a:solidFill>
          <a:ln>
            <a:solidFill>
              <a:schemeClr val="accent3"/>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55】</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6×2</a:t>
            </a:r>
            <a:br>
              <a:rPr kumimoji="1" lang="en-US" altLang="ja-JP" sz="1100">
                <a:solidFill>
                  <a:schemeClr val="tx1"/>
                </a:solidFill>
              </a:rPr>
            </a:br>
            <a:r>
              <a:rPr kumimoji="1" lang="en-US" altLang="ja-JP" sz="1100">
                <a:solidFill>
                  <a:schemeClr val="tx1"/>
                </a:solidFill>
              </a:rPr>
              <a:t>Wiz</a:t>
            </a:r>
            <a:r>
              <a:rPr kumimoji="1" lang="ja-JP" altLang="en-US" sz="1100">
                <a:solidFill>
                  <a:schemeClr val="tx1"/>
                </a:solidFill>
              </a:rPr>
              <a:t>★</a:t>
            </a:r>
            <a:r>
              <a:rPr kumimoji="1" lang="en-US" altLang="ja-JP" sz="1100">
                <a:solidFill>
                  <a:schemeClr val="tx1"/>
                </a:solidFill>
              </a:rPr>
              <a:t>6×1</a:t>
            </a:r>
            <a:endParaRPr kumimoji="1" lang="ja-JP" altLang="en-US" sz="1100">
              <a:solidFill>
                <a:schemeClr val="tx1"/>
              </a:solidFill>
            </a:endParaRPr>
          </a:p>
        </xdr:txBody>
      </xdr:sp>
      <xdr:sp macro="" textlink="">
        <xdr:nvSpPr>
          <xdr:cNvPr id="12" name="四角形吹き出し 11"/>
          <xdr:cNvSpPr/>
        </xdr:nvSpPr>
        <xdr:spPr>
          <a:xfrm>
            <a:off x="18199100" y="1676400"/>
            <a:ext cx="1206500" cy="508000"/>
          </a:xfrm>
          <a:prstGeom prst="wedgeRectCallout">
            <a:avLst>
              <a:gd name="adj1" fmla="val -43096"/>
              <a:gd name="adj2" fmla="val 112234"/>
            </a:avLst>
          </a:prstGeom>
          <a:solidFill>
            <a:schemeClr val="bg1"/>
          </a:solidFill>
          <a:ln w="12700">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128】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cxnSp macro="">
        <xdr:nvCxnSpPr>
          <xdr:cNvPr id="13" name="直線コネクタ 12"/>
          <xdr:cNvCxnSpPr/>
        </xdr:nvCxnSpPr>
        <xdr:spPr>
          <a:xfrm flipH="1">
            <a:off x="17056100" y="2743200"/>
            <a:ext cx="12192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14" name="直線コネクタ 13"/>
          <xdr:cNvCxnSpPr/>
        </xdr:nvCxnSpPr>
        <xdr:spPr>
          <a:xfrm flipH="1">
            <a:off x="16002000" y="2921000"/>
            <a:ext cx="6985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15" name="直線コネクタ 14"/>
          <xdr:cNvCxnSpPr/>
        </xdr:nvCxnSpPr>
        <xdr:spPr>
          <a:xfrm flipH="1">
            <a:off x="15354300" y="3263900"/>
            <a:ext cx="5969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sp macro="" textlink="">
        <xdr:nvSpPr>
          <xdr:cNvPr id="16" name="四角形吹き出し 15"/>
          <xdr:cNvSpPr/>
        </xdr:nvSpPr>
        <xdr:spPr>
          <a:xfrm>
            <a:off x="19799300" y="2781300"/>
            <a:ext cx="1206500" cy="508000"/>
          </a:xfrm>
          <a:prstGeom prst="wedgeRectCallout">
            <a:avLst>
              <a:gd name="adj1" fmla="val -66254"/>
              <a:gd name="adj2" fmla="val -82766"/>
            </a:avLst>
          </a:prstGeom>
          <a:solidFill>
            <a:schemeClr val="bg1"/>
          </a:solidFill>
          <a:ln w="12700">
            <a:solidFill>
              <a:schemeClr val="tx2"/>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168】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sp macro="" textlink="">
        <xdr:nvSpPr>
          <xdr:cNvPr id="17" name="四角形吹き出し 16"/>
          <xdr:cNvSpPr/>
        </xdr:nvSpPr>
        <xdr:spPr>
          <a:xfrm>
            <a:off x="17043400" y="1663700"/>
            <a:ext cx="952500" cy="673100"/>
          </a:xfrm>
          <a:prstGeom prst="wedgeRectCallout">
            <a:avLst>
              <a:gd name="adj1" fmla="val -46559"/>
              <a:gd name="adj2" fmla="val 88940"/>
            </a:avLst>
          </a:prstGeom>
          <a:solidFill>
            <a:schemeClr val="bg1"/>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90】</a:t>
            </a:r>
          </a:p>
          <a:p>
            <a:pPr algn="l"/>
            <a:r>
              <a:rPr kumimoji="1" lang="ja-JP" altLang="en-US" sz="1100">
                <a:solidFill>
                  <a:schemeClr val="tx1"/>
                </a:solidFill>
              </a:rPr>
              <a:t>フェス限★</a:t>
            </a:r>
            <a:r>
              <a:rPr kumimoji="1" lang="en-US" altLang="ja-JP" sz="1100">
                <a:solidFill>
                  <a:schemeClr val="tx1"/>
                </a:solidFill>
              </a:rPr>
              <a:t>6</a:t>
            </a:r>
            <a:br>
              <a:rPr kumimoji="1" lang="en-US" altLang="ja-JP" sz="1100">
                <a:solidFill>
                  <a:schemeClr val="tx1"/>
                </a:solidFill>
              </a:rPr>
            </a:br>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6×2</a:t>
            </a:r>
            <a:endParaRPr kumimoji="1" lang="ja-JP" altLang="en-US" sz="1100">
              <a:solidFill>
                <a:schemeClr val="tx1"/>
              </a:solidFill>
            </a:endParaRPr>
          </a:p>
        </xdr:txBody>
      </xdr:sp>
      <xdr:cxnSp macro="">
        <xdr:nvCxnSpPr>
          <xdr:cNvPr id="21" name="直線コネクタ 20"/>
          <xdr:cNvCxnSpPr/>
        </xdr:nvCxnSpPr>
        <xdr:spPr>
          <a:xfrm flipV="1">
            <a:off x="14541500" y="3759200"/>
            <a:ext cx="0" cy="18542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23" name="直線コネクタ 22"/>
          <xdr:cNvCxnSpPr/>
        </xdr:nvCxnSpPr>
        <xdr:spPr>
          <a:xfrm flipH="1">
            <a:off x="14528800" y="3746500"/>
            <a:ext cx="6096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sp macro="" textlink="">
        <xdr:nvSpPr>
          <xdr:cNvPr id="25" name="四角形吹き出し 24"/>
          <xdr:cNvSpPr/>
        </xdr:nvSpPr>
        <xdr:spPr>
          <a:xfrm>
            <a:off x="13855700" y="2082800"/>
            <a:ext cx="1003300" cy="850900"/>
          </a:xfrm>
          <a:prstGeom prst="wedgeRectCallout">
            <a:avLst>
              <a:gd name="adj1" fmla="val 14790"/>
              <a:gd name="adj2" fmla="val 134895"/>
            </a:avLst>
          </a:prstGeom>
          <a:solidFill>
            <a:schemeClr val="bg1"/>
          </a:solidFill>
          <a:ln>
            <a:solidFill>
              <a:schemeClr val="accent3"/>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9】</a:t>
            </a:r>
          </a:p>
          <a:p>
            <a:pPr algn="l"/>
            <a:r>
              <a:rPr kumimoji="1" lang="ja-JP" altLang="en-US" sz="1100">
                <a:solidFill>
                  <a:schemeClr val="tx1"/>
                </a:solidFill>
              </a:rPr>
              <a:t>フェス限★</a:t>
            </a:r>
            <a:r>
              <a:rPr kumimoji="1" lang="en-US" altLang="ja-JP" sz="1100">
                <a:solidFill>
                  <a:schemeClr val="tx1"/>
                </a:solidFill>
              </a:rPr>
              <a:t>5 SS</a:t>
            </a:r>
            <a:r>
              <a:rPr kumimoji="1" lang="ja-JP" altLang="en-US" sz="1100">
                <a:solidFill>
                  <a:schemeClr val="tx1"/>
                </a:solidFill>
              </a:rPr>
              <a:t>★</a:t>
            </a:r>
            <a:r>
              <a:rPr kumimoji="1" lang="en-US" altLang="ja-JP" sz="1100">
                <a:solidFill>
                  <a:schemeClr val="tx1"/>
                </a:solidFill>
              </a:rPr>
              <a:t>5</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4</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50800</xdr:colOff>
      <xdr:row>1</xdr:row>
      <xdr:rowOff>63500</xdr:rowOff>
    </xdr:from>
    <xdr:to>
      <xdr:col>21</xdr:col>
      <xdr:colOff>25400</xdr:colOff>
      <xdr:row>34</xdr:row>
      <xdr:rowOff>50800</xdr:rowOff>
    </xdr:to>
    <xdr:grpSp>
      <xdr:nvGrpSpPr>
        <xdr:cNvPr id="8" name="図形グループ 7"/>
        <xdr:cNvGrpSpPr/>
      </xdr:nvGrpSpPr>
      <xdr:grpSpPr>
        <a:xfrm>
          <a:off x="7073900" y="254000"/>
          <a:ext cx="9956800" cy="6273800"/>
          <a:chOff x="13766800" y="254000"/>
          <a:chExt cx="9956800" cy="6273800"/>
        </a:xfrm>
      </xdr:grpSpPr>
      <xdr:graphicFrame macro="">
        <xdr:nvGraphicFramePr>
          <xdr:cNvPr id="2" name="グラフ 1"/>
          <xdr:cNvGraphicFramePr>
            <a:graphicFrameLocks/>
          </xdr:cNvGraphicFramePr>
        </xdr:nvGraphicFramePr>
        <xdr:xfrm>
          <a:off x="13766800" y="254000"/>
          <a:ext cx="9956800" cy="6273800"/>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3" name="直線コネクタ 2"/>
          <xdr:cNvCxnSpPr/>
        </xdr:nvCxnSpPr>
        <xdr:spPr>
          <a:xfrm flipV="1">
            <a:off x="19507200" y="2552700"/>
            <a:ext cx="0" cy="3098800"/>
          </a:xfrm>
          <a:prstGeom prst="line">
            <a:avLst/>
          </a:prstGeom>
          <a:ln>
            <a:solidFill>
              <a:schemeClr val="tx2"/>
            </a:solidFill>
          </a:ln>
        </xdr:spPr>
        <xdr:style>
          <a:lnRef idx="2">
            <a:schemeClr val="accent1"/>
          </a:lnRef>
          <a:fillRef idx="0">
            <a:schemeClr val="accent1"/>
          </a:fillRef>
          <a:effectRef idx="1">
            <a:schemeClr val="accent1"/>
          </a:effectRef>
          <a:fontRef idx="minor">
            <a:schemeClr val="tx1"/>
          </a:fontRef>
        </xdr:style>
      </xdr:cxnSp>
      <xdr:cxnSp macro="">
        <xdr:nvCxnSpPr>
          <xdr:cNvPr id="4" name="直線コネクタ 3"/>
          <xdr:cNvCxnSpPr/>
        </xdr:nvCxnSpPr>
        <xdr:spPr>
          <a:xfrm flipH="1">
            <a:off x="18275300" y="2540000"/>
            <a:ext cx="12192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5" name="直線コネクタ 4"/>
          <xdr:cNvCxnSpPr/>
        </xdr:nvCxnSpPr>
        <xdr:spPr>
          <a:xfrm flipV="1">
            <a:off x="15963900" y="3263900"/>
            <a:ext cx="0" cy="23622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6" name="直線コネクタ 5"/>
          <xdr:cNvCxnSpPr/>
        </xdr:nvCxnSpPr>
        <xdr:spPr>
          <a:xfrm flipV="1">
            <a:off x="15201900" y="3632200"/>
            <a:ext cx="0" cy="19939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7" name="直線コネクタ 6"/>
          <xdr:cNvCxnSpPr/>
        </xdr:nvCxnSpPr>
        <xdr:spPr>
          <a:xfrm flipV="1">
            <a:off x="18275300" y="2552700"/>
            <a:ext cx="0" cy="30734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cxnSp macro="">
        <xdr:nvCxnSpPr>
          <xdr:cNvPr id="10" name="直線コネクタ 9"/>
          <xdr:cNvCxnSpPr/>
        </xdr:nvCxnSpPr>
        <xdr:spPr>
          <a:xfrm flipV="1">
            <a:off x="17068800" y="2755900"/>
            <a:ext cx="0" cy="2870200"/>
          </a:xfrm>
          <a:prstGeom prst="line">
            <a:avLst/>
          </a:prstGeom>
          <a:ln>
            <a:solidFill>
              <a:srgbClr val="C00000"/>
            </a:solidFill>
          </a:ln>
        </xdr:spPr>
        <xdr:style>
          <a:lnRef idx="2">
            <a:schemeClr val="accent1"/>
          </a:lnRef>
          <a:fillRef idx="0">
            <a:schemeClr val="accent1"/>
          </a:fillRef>
          <a:effectRef idx="1">
            <a:schemeClr val="accent1"/>
          </a:effectRef>
          <a:fontRef idx="minor">
            <a:schemeClr val="tx1"/>
          </a:fontRef>
        </xdr:style>
      </xdr:cxnSp>
      <xdr:sp macro="" textlink="">
        <xdr:nvSpPr>
          <xdr:cNvPr id="12" name="四角形吹き出し 11"/>
          <xdr:cNvSpPr/>
        </xdr:nvSpPr>
        <xdr:spPr>
          <a:xfrm>
            <a:off x="14351000" y="2946400"/>
            <a:ext cx="863600" cy="469900"/>
          </a:xfrm>
          <a:prstGeom prst="wedgeRectCallout">
            <a:avLst>
              <a:gd name="adj1" fmla="val 44202"/>
              <a:gd name="adj2" fmla="val 90119"/>
            </a:avLst>
          </a:prstGeom>
          <a:solidFill>
            <a:schemeClr val="bg1"/>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30】</a:t>
            </a:r>
          </a:p>
          <a:p>
            <a:pPr algn="l"/>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5×3</a:t>
            </a:r>
            <a:endParaRPr kumimoji="1" lang="ja-JP" altLang="en-US" sz="1100">
              <a:solidFill>
                <a:schemeClr val="tx1"/>
              </a:solidFill>
            </a:endParaRPr>
          </a:p>
        </xdr:txBody>
      </xdr:sp>
      <xdr:sp macro="" textlink="">
        <xdr:nvSpPr>
          <xdr:cNvPr id="13" name="四角形吹き出し 12"/>
          <xdr:cNvSpPr/>
        </xdr:nvSpPr>
        <xdr:spPr>
          <a:xfrm>
            <a:off x="15036800" y="2171700"/>
            <a:ext cx="952500" cy="673100"/>
          </a:xfrm>
          <a:prstGeom prst="wedgeRectCallout">
            <a:avLst>
              <a:gd name="adj1" fmla="val 42774"/>
              <a:gd name="adj2" fmla="val 105921"/>
            </a:avLst>
          </a:prstGeom>
          <a:solidFill>
            <a:schemeClr val="bg1"/>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54】</a:t>
            </a:r>
          </a:p>
          <a:p>
            <a:pPr algn="l"/>
            <a:r>
              <a:rPr kumimoji="1" lang="ja-JP" altLang="en-US" sz="1100">
                <a:solidFill>
                  <a:schemeClr val="tx1"/>
                </a:solidFill>
              </a:rPr>
              <a:t>フェス限★</a:t>
            </a:r>
            <a:r>
              <a:rPr kumimoji="1" lang="en-US" altLang="ja-JP" sz="1100">
                <a:solidFill>
                  <a:schemeClr val="tx1"/>
                </a:solidFill>
              </a:rPr>
              <a:t>6</a:t>
            </a:r>
            <a:br>
              <a:rPr kumimoji="1" lang="en-US" altLang="ja-JP" sz="1100">
                <a:solidFill>
                  <a:schemeClr val="tx1"/>
                </a:solidFill>
              </a:rPr>
            </a:br>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5×2</a:t>
            </a:r>
            <a:endParaRPr kumimoji="1" lang="ja-JP" altLang="en-US" sz="1100">
              <a:solidFill>
                <a:schemeClr val="tx1"/>
              </a:solidFill>
            </a:endParaRPr>
          </a:p>
        </xdr:txBody>
      </xdr:sp>
      <xdr:sp macro="" textlink="">
        <xdr:nvSpPr>
          <xdr:cNvPr id="14" name="四角形吹き出し 13"/>
          <xdr:cNvSpPr/>
        </xdr:nvSpPr>
        <xdr:spPr>
          <a:xfrm>
            <a:off x="18199100" y="1676400"/>
            <a:ext cx="1206500" cy="508000"/>
          </a:xfrm>
          <a:prstGeom prst="wedgeRectCallout">
            <a:avLst>
              <a:gd name="adj1" fmla="val -43096"/>
              <a:gd name="adj2" fmla="val 112234"/>
            </a:avLst>
          </a:prstGeom>
          <a:solidFill>
            <a:schemeClr val="bg1"/>
          </a:solidFill>
          <a:ln w="12700">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128】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cxnSp macro="">
        <xdr:nvCxnSpPr>
          <xdr:cNvPr id="16" name="直線コネクタ 15"/>
          <xdr:cNvCxnSpPr/>
        </xdr:nvCxnSpPr>
        <xdr:spPr>
          <a:xfrm flipH="1">
            <a:off x="17056100" y="2743200"/>
            <a:ext cx="12192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17" name="直線コネクタ 16"/>
          <xdr:cNvCxnSpPr/>
        </xdr:nvCxnSpPr>
        <xdr:spPr>
          <a:xfrm flipH="1">
            <a:off x="15925800" y="3251200"/>
            <a:ext cx="6985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cxnSp macro="">
        <xdr:nvCxnSpPr>
          <xdr:cNvPr id="18" name="直線コネクタ 17"/>
          <xdr:cNvCxnSpPr/>
        </xdr:nvCxnSpPr>
        <xdr:spPr>
          <a:xfrm flipH="1">
            <a:off x="15163800" y="3632200"/>
            <a:ext cx="825500" cy="0"/>
          </a:xfrm>
          <a:prstGeom prst="line">
            <a:avLst/>
          </a:prstGeom>
          <a:ln>
            <a:solidFill>
              <a:srgbClr val="7030A0"/>
            </a:solidFill>
            <a:prstDash val="sysDot"/>
          </a:ln>
        </xdr:spPr>
        <xdr:style>
          <a:lnRef idx="2">
            <a:schemeClr val="accent1"/>
          </a:lnRef>
          <a:fillRef idx="0">
            <a:schemeClr val="accent1"/>
          </a:fillRef>
          <a:effectRef idx="1">
            <a:schemeClr val="accent1"/>
          </a:effectRef>
          <a:fontRef idx="minor">
            <a:schemeClr val="tx1"/>
          </a:fontRef>
        </xdr:style>
      </xdr:cxnSp>
      <xdr:sp macro="" textlink="">
        <xdr:nvSpPr>
          <xdr:cNvPr id="21" name="四角形吹き出し 20"/>
          <xdr:cNvSpPr/>
        </xdr:nvSpPr>
        <xdr:spPr>
          <a:xfrm>
            <a:off x="19799300" y="2781300"/>
            <a:ext cx="1206500" cy="508000"/>
          </a:xfrm>
          <a:prstGeom prst="wedgeRectCallout">
            <a:avLst>
              <a:gd name="adj1" fmla="val -66254"/>
              <a:gd name="adj2" fmla="val -82766"/>
            </a:avLst>
          </a:prstGeom>
          <a:solidFill>
            <a:schemeClr val="bg1"/>
          </a:solidFill>
          <a:ln w="12700">
            <a:solidFill>
              <a:schemeClr val="tx2"/>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168】</a:t>
            </a:r>
          </a:p>
          <a:p>
            <a:pPr algn="l"/>
            <a:r>
              <a:rPr kumimoji="1" lang="ja-JP" altLang="en-US" sz="1100">
                <a:solidFill>
                  <a:schemeClr val="tx1"/>
                </a:solidFill>
              </a:rPr>
              <a:t>フェス限★</a:t>
            </a:r>
            <a:r>
              <a:rPr kumimoji="1" lang="en-US" altLang="ja-JP" sz="1100">
                <a:solidFill>
                  <a:schemeClr val="tx1"/>
                </a:solidFill>
              </a:rPr>
              <a:t>6×3</a:t>
            </a:r>
            <a:endParaRPr kumimoji="1" lang="ja-JP" altLang="en-US" sz="1100">
              <a:solidFill>
                <a:schemeClr val="tx1"/>
              </a:solidFill>
            </a:endParaRPr>
          </a:p>
        </xdr:txBody>
      </xdr:sp>
      <xdr:sp macro="" textlink="">
        <xdr:nvSpPr>
          <xdr:cNvPr id="22" name="四角形吹き出し 21"/>
          <xdr:cNvSpPr/>
        </xdr:nvSpPr>
        <xdr:spPr>
          <a:xfrm>
            <a:off x="16192500" y="1612900"/>
            <a:ext cx="952500" cy="673100"/>
          </a:xfrm>
          <a:prstGeom prst="wedgeRectCallout">
            <a:avLst>
              <a:gd name="adj1" fmla="val 38774"/>
              <a:gd name="adj2" fmla="val 111581"/>
            </a:avLst>
          </a:prstGeom>
          <a:solidFill>
            <a:schemeClr val="bg1"/>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kumimoji="1" lang="en-US" altLang="ja-JP" sz="1100">
                <a:solidFill>
                  <a:schemeClr val="tx1"/>
                </a:solidFill>
              </a:rPr>
              <a:t>【</a:t>
            </a:r>
            <a:r>
              <a:rPr kumimoji="1" lang="ja-JP" altLang="en-US" sz="1100">
                <a:solidFill>
                  <a:schemeClr val="tx1"/>
                </a:solidFill>
              </a:rPr>
              <a:t>ランク</a:t>
            </a:r>
            <a:r>
              <a:rPr kumimoji="1" lang="en-US" altLang="ja-JP" sz="1100">
                <a:solidFill>
                  <a:schemeClr val="tx1"/>
                </a:solidFill>
              </a:rPr>
              <a:t>90】</a:t>
            </a:r>
          </a:p>
          <a:p>
            <a:pPr algn="l"/>
            <a:r>
              <a:rPr kumimoji="1" lang="ja-JP" altLang="en-US" sz="1100">
                <a:solidFill>
                  <a:schemeClr val="tx1"/>
                </a:solidFill>
              </a:rPr>
              <a:t>フェス限★</a:t>
            </a:r>
            <a:r>
              <a:rPr kumimoji="1" lang="en-US" altLang="ja-JP" sz="1100">
                <a:solidFill>
                  <a:schemeClr val="tx1"/>
                </a:solidFill>
              </a:rPr>
              <a:t>6</a:t>
            </a:r>
            <a:br>
              <a:rPr kumimoji="1" lang="en-US" altLang="ja-JP" sz="1100">
                <a:solidFill>
                  <a:schemeClr val="tx1"/>
                </a:solidFill>
              </a:rPr>
            </a:br>
            <a:r>
              <a:rPr kumimoji="1" lang="en-US" altLang="ja-JP" sz="1100">
                <a:solidFill>
                  <a:schemeClr val="tx1"/>
                </a:solidFill>
              </a:rPr>
              <a:t>SS</a:t>
            </a:r>
            <a:r>
              <a:rPr kumimoji="1" lang="ja-JP" altLang="en-US" sz="1100">
                <a:solidFill>
                  <a:schemeClr val="tx1"/>
                </a:solidFill>
              </a:rPr>
              <a:t>★</a:t>
            </a:r>
            <a:r>
              <a:rPr kumimoji="1" lang="en-US" altLang="ja-JP" sz="1100">
                <a:solidFill>
                  <a:schemeClr val="tx1"/>
                </a:solidFill>
              </a:rPr>
              <a:t>6×2</a:t>
            </a:r>
            <a:endParaRPr kumimoji="1" lang="ja-JP" altLang="en-US" sz="1100">
              <a:solidFill>
                <a:schemeClr val="tx1"/>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279400</xdr:colOff>
      <xdr:row>1</xdr:row>
      <xdr:rowOff>101600</xdr:rowOff>
    </xdr:from>
    <xdr:to>
      <xdr:col>10</xdr:col>
      <xdr:colOff>800100</xdr:colOff>
      <xdr:row>34</xdr:row>
      <xdr:rowOff>25400</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K2"/>
  <sheetViews>
    <sheetView tabSelected="1" workbookViewId="0">
      <selection activeCell="F3" sqref="F3"/>
    </sheetView>
  </sheetViews>
  <sheetFormatPr baseColWidth="12" defaultRowHeight="15" x14ac:dyDescent="0.15"/>
  <cols>
    <col min="2" max="2" width="14.83203125" bestFit="1" customWidth="1"/>
    <col min="5" max="5" width="17.6640625" bestFit="1" customWidth="1"/>
    <col min="6" max="6" width="22.1640625" bestFit="1" customWidth="1"/>
  </cols>
  <sheetData>
    <row r="1" spans="1:11" x14ac:dyDescent="0.15">
      <c r="A1" s="53" t="s">
        <v>225</v>
      </c>
      <c r="B1" s="53" t="s">
        <v>217</v>
      </c>
      <c r="C1" s="53" t="s">
        <v>218</v>
      </c>
      <c r="D1" s="53" t="s">
        <v>219</v>
      </c>
      <c r="E1" s="53" t="s">
        <v>220</v>
      </c>
      <c r="F1" s="53" t="s">
        <v>221</v>
      </c>
      <c r="G1" s="53" t="s">
        <v>222</v>
      </c>
      <c r="H1" s="53"/>
      <c r="I1" s="53"/>
      <c r="J1" s="53"/>
      <c r="K1" s="53"/>
    </row>
    <row r="2" spans="1:11" x14ac:dyDescent="0.15">
      <c r="A2" s="1" t="s">
        <v>226</v>
      </c>
      <c r="B2" s="1" t="s">
        <v>224</v>
      </c>
      <c r="C2" s="1"/>
      <c r="D2" s="1" t="s">
        <v>223</v>
      </c>
      <c r="E2" s="54" t="str">
        <f>B2&amp;C2&amp;D2</f>
        <v>player_ranks.csv</v>
      </c>
      <c r="F2" s="1" t="s">
        <v>243</v>
      </c>
      <c r="G2" s="49" t="s">
        <v>216</v>
      </c>
      <c r="H2" s="49" t="s">
        <v>60</v>
      </c>
      <c r="I2" s="49" t="s">
        <v>61</v>
      </c>
      <c r="J2" s="50" t="s">
        <v>215</v>
      </c>
      <c r="K2" s="49" t="s">
        <v>62</v>
      </c>
    </row>
  </sheetData>
  <phoneticPr fontId="3"/>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Q197"/>
  <sheetViews>
    <sheetView workbookViewId="0">
      <selection activeCell="G14" sqref="G14"/>
    </sheetView>
  </sheetViews>
  <sheetFormatPr baseColWidth="12" defaultColWidth="8.83203125" defaultRowHeight="15" x14ac:dyDescent="0.15"/>
  <cols>
    <col min="1" max="1" width="3.1640625" style="40" customWidth="1"/>
    <col min="2" max="2" width="27.1640625" style="40" customWidth="1"/>
    <col min="3" max="4" width="14.1640625" style="40" bestFit="1" customWidth="1"/>
    <col min="5" max="5" width="11.5" style="40" bestFit="1" customWidth="1"/>
    <col min="6" max="12" width="5.83203125" style="40" bestFit="1" customWidth="1"/>
    <col min="13" max="17" width="6.6640625" style="40" bestFit="1" customWidth="1"/>
    <col min="18" max="16384" width="8.83203125" style="40"/>
  </cols>
  <sheetData>
    <row r="1" spans="1:17" s="31" customFormat="1" x14ac:dyDescent="0.15">
      <c r="A1" s="70" t="s">
        <v>64</v>
      </c>
      <c r="B1" s="70"/>
      <c r="C1" s="30"/>
      <c r="D1" s="30"/>
      <c r="E1" s="30"/>
      <c r="F1" s="30"/>
      <c r="G1" s="30"/>
      <c r="H1" s="30"/>
      <c r="I1" s="30"/>
      <c r="J1" s="30"/>
      <c r="K1" s="30"/>
      <c r="L1" s="30"/>
      <c r="M1" s="30"/>
      <c r="N1" s="30"/>
      <c r="O1" s="30"/>
      <c r="P1" s="30"/>
      <c r="Q1" s="30"/>
    </row>
    <row r="2" spans="1:17" s="31" customFormat="1" x14ac:dyDescent="0.15">
      <c r="A2" s="30"/>
      <c r="B2" s="30"/>
      <c r="C2" s="30"/>
      <c r="D2" s="30"/>
      <c r="E2" s="32"/>
      <c r="F2" s="32"/>
      <c r="G2" s="32"/>
      <c r="H2" s="32"/>
      <c r="I2" s="32"/>
      <c r="J2" s="32"/>
      <c r="K2" s="32"/>
      <c r="L2" s="32"/>
      <c r="M2" s="32"/>
      <c r="N2" s="32"/>
      <c r="O2" s="32"/>
      <c r="P2" s="32"/>
      <c r="Q2" s="32"/>
    </row>
    <row r="3" spans="1:17" s="31" customFormat="1" x14ac:dyDescent="0.15">
      <c r="A3" s="70" t="s">
        <v>65</v>
      </c>
      <c r="B3" s="70"/>
      <c r="C3" s="30"/>
      <c r="D3" s="30"/>
      <c r="E3" s="32"/>
      <c r="F3" s="32"/>
      <c r="G3" s="32"/>
      <c r="H3" s="32"/>
      <c r="I3" s="32"/>
      <c r="J3" s="32"/>
      <c r="K3" s="32"/>
      <c r="L3" s="32"/>
      <c r="M3" s="32"/>
      <c r="N3" s="32"/>
      <c r="O3" s="32"/>
      <c r="P3" s="32"/>
      <c r="Q3" s="32"/>
    </row>
    <row r="4" spans="1:17" s="31" customFormat="1" x14ac:dyDescent="0.15">
      <c r="A4" s="30" t="s">
        <v>66</v>
      </c>
      <c r="B4" s="30"/>
      <c r="C4" s="30"/>
      <c r="D4" s="30"/>
      <c r="E4" s="32"/>
      <c r="F4" s="32"/>
      <c r="G4" s="32"/>
      <c r="H4" s="32"/>
      <c r="I4" s="32"/>
      <c r="J4" s="32"/>
      <c r="K4" s="32"/>
      <c r="L4" s="32"/>
      <c r="M4" s="32"/>
      <c r="N4" s="32"/>
      <c r="O4" s="32"/>
      <c r="P4" s="32"/>
      <c r="Q4" s="32"/>
    </row>
    <row r="5" spans="1:17" s="31" customFormat="1" x14ac:dyDescent="0.15">
      <c r="A5" s="30"/>
      <c r="B5" s="33"/>
      <c r="C5" s="34" t="s">
        <v>67</v>
      </c>
      <c r="D5" s="33" t="s">
        <v>68</v>
      </c>
      <c r="E5" s="32"/>
      <c r="F5" s="32"/>
      <c r="G5" s="32"/>
      <c r="H5" s="32"/>
      <c r="I5" s="32"/>
      <c r="J5" s="32"/>
      <c r="K5" s="32"/>
      <c r="L5" s="32"/>
      <c r="M5" s="32"/>
      <c r="N5" s="32"/>
      <c r="O5" s="32"/>
      <c r="P5" s="32"/>
      <c r="Q5" s="32"/>
    </row>
    <row r="6" spans="1:17" s="31" customFormat="1" x14ac:dyDescent="0.15">
      <c r="A6" s="30"/>
      <c r="B6" s="33" t="s">
        <v>69</v>
      </c>
      <c r="C6" s="35">
        <v>1</v>
      </c>
      <c r="D6" s="35">
        <v>200</v>
      </c>
      <c r="E6" s="32"/>
      <c r="F6" s="32"/>
      <c r="G6" s="32"/>
      <c r="H6" s="32"/>
      <c r="I6" s="32"/>
      <c r="J6" s="32"/>
      <c r="K6" s="32"/>
      <c r="L6" s="32"/>
      <c r="M6" s="32"/>
      <c r="N6" s="32"/>
      <c r="O6" s="32"/>
      <c r="P6" s="32"/>
      <c r="Q6" s="32"/>
    </row>
    <row r="7" spans="1:17" s="31" customFormat="1" x14ac:dyDescent="0.15">
      <c r="A7" s="30"/>
      <c r="B7" s="33" t="s">
        <v>190</v>
      </c>
      <c r="C7" s="35">
        <v>30</v>
      </c>
      <c r="D7" s="35">
        <v>158</v>
      </c>
      <c r="E7" s="32"/>
      <c r="F7" s="32"/>
      <c r="G7" s="32"/>
      <c r="H7" s="32"/>
      <c r="I7" s="32"/>
      <c r="J7" s="32"/>
      <c r="K7" s="32"/>
      <c r="L7" s="32"/>
      <c r="M7" s="32"/>
      <c r="N7" s="32"/>
      <c r="O7" s="32"/>
      <c r="P7" s="32"/>
      <c r="Q7" s="32"/>
    </row>
    <row r="8" spans="1:17" s="31" customFormat="1" x14ac:dyDescent="0.15">
      <c r="A8" s="30"/>
      <c r="B8" s="33" t="s">
        <v>70</v>
      </c>
      <c r="C8" s="35">
        <v>0</v>
      </c>
      <c r="D8" s="35">
        <v>5214177</v>
      </c>
      <c r="E8" s="32"/>
      <c r="F8" s="32"/>
      <c r="G8" s="32"/>
      <c r="H8" s="32"/>
      <c r="I8" s="32"/>
      <c r="J8" s="32"/>
      <c r="K8" s="32"/>
      <c r="L8" s="32"/>
      <c r="M8" s="32"/>
      <c r="N8" s="32"/>
      <c r="O8" s="32"/>
      <c r="P8" s="32"/>
      <c r="Q8" s="32"/>
    </row>
    <row r="9" spans="1:17" s="31" customFormat="1" x14ac:dyDescent="0.15">
      <c r="A9" s="30"/>
      <c r="B9" s="33" t="s">
        <v>71</v>
      </c>
      <c r="C9" s="35">
        <v>50</v>
      </c>
      <c r="D9" s="35">
        <v>300</v>
      </c>
      <c r="E9" s="32"/>
      <c r="F9" s="32"/>
      <c r="G9" s="32"/>
      <c r="H9" s="32"/>
      <c r="I9" s="32"/>
      <c r="J9" s="32"/>
      <c r="K9" s="32"/>
      <c r="L9" s="32"/>
      <c r="M9" s="32"/>
      <c r="N9" s="32"/>
      <c r="O9" s="32"/>
      <c r="P9" s="32"/>
      <c r="Q9" s="32"/>
    </row>
    <row r="10" spans="1:17" s="31" customFormat="1" x14ac:dyDescent="0.15">
      <c r="A10" s="30"/>
      <c r="B10" s="33" t="s">
        <v>196</v>
      </c>
      <c r="C10" s="35">
        <v>10</v>
      </c>
      <c r="D10" s="35">
        <v>50</v>
      </c>
      <c r="E10" s="32"/>
      <c r="F10" s="32"/>
      <c r="G10" s="32"/>
      <c r="H10" s="32"/>
      <c r="I10" s="32"/>
      <c r="J10" s="32"/>
      <c r="K10" s="32"/>
      <c r="L10" s="32"/>
      <c r="M10" s="32"/>
      <c r="N10" s="32"/>
      <c r="O10" s="32"/>
      <c r="P10" s="32"/>
      <c r="Q10" s="32"/>
    </row>
    <row r="11" spans="1:17" s="31" customFormat="1" x14ac:dyDescent="0.15">
      <c r="A11" s="30"/>
      <c r="B11" s="33" t="s">
        <v>197</v>
      </c>
      <c r="C11" s="35">
        <v>0</v>
      </c>
      <c r="D11" s="35">
        <v>50</v>
      </c>
      <c r="E11" s="32"/>
      <c r="F11" s="32"/>
      <c r="G11" s="32"/>
      <c r="H11" s="32"/>
      <c r="I11" s="32"/>
      <c r="J11" s="32"/>
      <c r="K11" s="32"/>
      <c r="L11" s="32"/>
      <c r="M11" s="32"/>
      <c r="N11" s="32"/>
      <c r="O11" s="32"/>
      <c r="P11" s="32"/>
      <c r="Q11" s="32"/>
    </row>
    <row r="12" spans="1:17" s="31" customFormat="1" x14ac:dyDescent="0.15">
      <c r="A12" s="30"/>
      <c r="B12" s="33" t="s">
        <v>72</v>
      </c>
      <c r="C12" s="35">
        <v>40</v>
      </c>
      <c r="D12" s="35">
        <v>188</v>
      </c>
      <c r="E12" s="32"/>
      <c r="F12" s="32"/>
      <c r="G12" s="32"/>
      <c r="H12" s="32"/>
      <c r="I12" s="32"/>
      <c r="J12" s="32"/>
      <c r="K12" s="32"/>
      <c r="L12" s="32"/>
      <c r="M12" s="32"/>
      <c r="N12" s="32"/>
      <c r="O12" s="32"/>
      <c r="P12" s="32"/>
      <c r="Q12" s="32"/>
    </row>
    <row r="13" spans="1:17" s="31" customFormat="1" x14ac:dyDescent="0.15">
      <c r="A13" s="30"/>
      <c r="B13" s="33" t="s">
        <v>73</v>
      </c>
      <c r="C13" s="35">
        <v>0</v>
      </c>
      <c r="D13" s="35">
        <v>99999999</v>
      </c>
      <c r="E13" s="32"/>
      <c r="F13" s="32"/>
      <c r="G13" s="32"/>
      <c r="H13" s="32"/>
      <c r="I13" s="32"/>
      <c r="J13" s="32"/>
      <c r="K13" s="32"/>
      <c r="L13" s="32"/>
      <c r="M13" s="32"/>
      <c r="N13" s="32"/>
      <c r="O13" s="32"/>
      <c r="P13" s="32"/>
      <c r="Q13" s="32"/>
    </row>
    <row r="14" spans="1:17" s="31" customFormat="1" x14ac:dyDescent="0.15">
      <c r="A14" s="30"/>
      <c r="B14" s="33" t="s">
        <v>74</v>
      </c>
      <c r="C14" s="35">
        <v>0</v>
      </c>
      <c r="D14" s="35">
        <v>16777215</v>
      </c>
      <c r="E14" s="30"/>
      <c r="F14" s="32"/>
      <c r="G14" s="32"/>
      <c r="H14" s="32"/>
      <c r="I14" s="32"/>
      <c r="J14" s="32"/>
      <c r="K14" s="32"/>
      <c r="L14" s="32"/>
      <c r="M14" s="32"/>
      <c r="N14" s="32"/>
      <c r="O14" s="32"/>
      <c r="P14" s="32"/>
      <c r="Q14" s="32"/>
    </row>
    <row r="15" spans="1:17" s="31" customFormat="1" x14ac:dyDescent="0.15">
      <c r="A15" s="30"/>
      <c r="B15" s="33" t="s">
        <v>75</v>
      </c>
      <c r="C15" s="35">
        <v>0</v>
      </c>
      <c r="D15" s="35">
        <v>9999999</v>
      </c>
      <c r="E15" s="32"/>
      <c r="F15" s="32"/>
      <c r="G15" s="32"/>
      <c r="H15" s="32"/>
      <c r="I15" s="32"/>
      <c r="J15" s="32"/>
      <c r="K15" s="32"/>
      <c r="L15" s="32"/>
      <c r="M15" s="32"/>
      <c r="N15" s="32"/>
      <c r="O15" s="32"/>
      <c r="P15" s="32"/>
      <c r="Q15" s="32"/>
    </row>
    <row r="16" spans="1:17" s="31" customFormat="1" x14ac:dyDescent="0.15">
      <c r="A16" s="30"/>
      <c r="B16" s="32"/>
      <c r="C16" s="32"/>
      <c r="D16" s="32"/>
      <c r="E16" s="32"/>
      <c r="F16" s="32"/>
      <c r="G16" s="32"/>
      <c r="H16" s="32"/>
      <c r="I16" s="32"/>
      <c r="J16" s="32"/>
      <c r="K16" s="32"/>
      <c r="L16" s="32"/>
      <c r="M16" s="32"/>
      <c r="N16" s="32"/>
      <c r="O16" s="32"/>
      <c r="P16" s="32"/>
      <c r="Q16" s="32"/>
    </row>
    <row r="17" spans="1:17" s="31" customFormat="1" x14ac:dyDescent="0.15">
      <c r="A17" s="30" t="s">
        <v>76</v>
      </c>
      <c r="B17" s="32"/>
      <c r="C17" s="30"/>
      <c r="D17" s="30"/>
      <c r="E17" s="30"/>
      <c r="F17" s="32"/>
      <c r="G17" s="32"/>
      <c r="H17" s="32"/>
      <c r="I17" s="32"/>
      <c r="J17" s="32"/>
      <c r="K17" s="32"/>
      <c r="L17" s="32"/>
      <c r="M17" s="32"/>
      <c r="N17" s="32"/>
      <c r="O17" s="32"/>
      <c r="P17" s="32"/>
      <c r="Q17" s="32"/>
    </row>
    <row r="18" spans="1:17" s="31" customFormat="1" x14ac:dyDescent="0.15">
      <c r="A18" s="30"/>
      <c r="B18" s="33"/>
      <c r="C18" s="33"/>
      <c r="D18" s="36" t="s">
        <v>77</v>
      </c>
      <c r="E18" s="36" t="s">
        <v>78</v>
      </c>
      <c r="F18" s="32"/>
      <c r="G18" s="32"/>
      <c r="H18" s="32"/>
      <c r="I18" s="32"/>
      <c r="J18" s="32"/>
      <c r="K18" s="32"/>
      <c r="L18" s="32"/>
      <c r="M18" s="32"/>
      <c r="N18" s="32"/>
      <c r="O18" s="32"/>
      <c r="P18" s="32"/>
      <c r="Q18" s="32"/>
    </row>
    <row r="19" spans="1:17" s="31" customFormat="1" x14ac:dyDescent="0.15">
      <c r="A19" s="30"/>
      <c r="B19" s="71" t="s">
        <v>79</v>
      </c>
      <c r="C19" s="34" t="s">
        <v>80</v>
      </c>
      <c r="D19" s="36">
        <v>20</v>
      </c>
      <c r="E19" s="36">
        <v>116</v>
      </c>
      <c r="F19" s="32"/>
      <c r="G19" s="32"/>
      <c r="H19" s="32"/>
      <c r="I19" s="32"/>
      <c r="J19" s="32"/>
      <c r="K19" s="32"/>
      <c r="L19" s="32"/>
      <c r="M19" s="32"/>
      <c r="N19" s="32"/>
      <c r="O19" s="32"/>
      <c r="P19" s="32"/>
      <c r="Q19" s="32"/>
    </row>
    <row r="20" spans="1:17" s="31" customFormat="1" x14ac:dyDescent="0.15">
      <c r="A20" s="30"/>
      <c r="B20" s="71"/>
      <c r="C20" s="34" t="s">
        <v>81</v>
      </c>
      <c r="D20" s="36">
        <v>20</v>
      </c>
      <c r="E20" s="36">
        <v>50</v>
      </c>
      <c r="F20" s="32"/>
      <c r="G20" s="32"/>
      <c r="H20" s="32"/>
      <c r="I20" s="32"/>
      <c r="J20" s="32"/>
      <c r="K20" s="32"/>
      <c r="L20" s="32"/>
      <c r="M20" s="32"/>
      <c r="N20" s="32"/>
      <c r="O20" s="32"/>
      <c r="P20" s="32"/>
      <c r="Q20" s="32"/>
    </row>
    <row r="21" spans="1:17" s="31" customFormat="1" x14ac:dyDescent="0.15">
      <c r="A21" s="30"/>
      <c r="B21" s="71"/>
      <c r="C21" s="34" t="s">
        <v>82</v>
      </c>
      <c r="D21" s="36">
        <v>20</v>
      </c>
      <c r="E21" s="36">
        <v>216</v>
      </c>
      <c r="F21" s="32"/>
      <c r="G21" s="32"/>
      <c r="H21" s="32"/>
      <c r="I21" s="32"/>
      <c r="J21" s="32"/>
      <c r="K21" s="32"/>
      <c r="L21" s="32"/>
      <c r="M21" s="32"/>
      <c r="N21" s="32"/>
      <c r="O21" s="32"/>
      <c r="P21" s="32"/>
      <c r="Q21" s="32"/>
    </row>
    <row r="22" spans="1:17" s="31" customFormat="1" x14ac:dyDescent="0.15">
      <c r="A22" s="30"/>
      <c r="B22" s="71" t="s">
        <v>83</v>
      </c>
      <c r="C22" s="34" t="s">
        <v>80</v>
      </c>
      <c r="D22" s="34">
        <v>30</v>
      </c>
      <c r="E22" s="34">
        <v>150</v>
      </c>
      <c r="F22" s="32"/>
      <c r="G22" s="32"/>
      <c r="H22" s="32"/>
      <c r="I22" s="32"/>
      <c r="J22" s="32"/>
      <c r="K22" s="32"/>
      <c r="L22" s="32"/>
      <c r="M22" s="32"/>
      <c r="N22" s="32"/>
      <c r="O22" s="32"/>
      <c r="P22" s="32"/>
      <c r="Q22" s="32"/>
    </row>
    <row r="23" spans="1:17" s="31" customFormat="1" x14ac:dyDescent="0.15">
      <c r="A23" s="30"/>
      <c r="B23" s="71"/>
      <c r="C23" s="34" t="s">
        <v>81</v>
      </c>
      <c r="D23" s="34">
        <v>30</v>
      </c>
      <c r="E23" s="34">
        <v>100</v>
      </c>
      <c r="F23" s="32"/>
      <c r="G23" s="32"/>
      <c r="H23" s="32"/>
      <c r="I23" s="32"/>
      <c r="J23" s="32"/>
      <c r="K23" s="32"/>
      <c r="L23" s="32"/>
      <c r="M23" s="32"/>
      <c r="N23" s="32"/>
      <c r="O23" s="32"/>
      <c r="P23" s="32"/>
      <c r="Q23" s="32"/>
    </row>
    <row r="24" spans="1:17" s="31" customFormat="1" x14ac:dyDescent="0.15">
      <c r="A24" s="30"/>
      <c r="B24" s="71"/>
      <c r="C24" s="34" t="s">
        <v>82</v>
      </c>
      <c r="D24" s="34" t="s">
        <v>84</v>
      </c>
      <c r="E24" s="34" t="s">
        <v>84</v>
      </c>
      <c r="F24" s="32"/>
      <c r="G24" s="32"/>
      <c r="H24" s="32"/>
      <c r="I24" s="32"/>
      <c r="J24" s="32"/>
      <c r="K24" s="32"/>
      <c r="L24" s="32"/>
      <c r="M24" s="32"/>
      <c r="N24" s="32"/>
      <c r="O24" s="32"/>
      <c r="P24" s="32"/>
      <c r="Q24" s="32"/>
    </row>
    <row r="25" spans="1:17" s="31" customFormat="1" x14ac:dyDescent="0.15">
      <c r="A25" s="30"/>
      <c r="B25" s="32"/>
      <c r="C25" s="32"/>
      <c r="D25" s="32"/>
      <c r="E25" s="32"/>
      <c r="F25" s="32"/>
      <c r="G25" s="32"/>
      <c r="H25" s="32"/>
      <c r="I25" s="32"/>
      <c r="J25" s="32"/>
      <c r="K25" s="32"/>
      <c r="L25" s="32"/>
      <c r="M25" s="32"/>
      <c r="N25" s="32"/>
      <c r="O25" s="32"/>
      <c r="P25" s="32"/>
      <c r="Q25" s="32"/>
    </row>
    <row r="26" spans="1:17" s="31" customFormat="1" x14ac:dyDescent="0.15">
      <c r="A26" s="30" t="s">
        <v>85</v>
      </c>
      <c r="B26" s="32"/>
      <c r="C26" s="32"/>
      <c r="D26" s="32"/>
      <c r="E26" s="32"/>
      <c r="F26" s="32"/>
      <c r="G26" s="32"/>
      <c r="H26" s="32"/>
      <c r="I26" s="32"/>
      <c r="J26" s="32"/>
      <c r="K26" s="32"/>
      <c r="L26" s="32"/>
      <c r="M26" s="32"/>
      <c r="N26" s="32"/>
      <c r="O26" s="32"/>
      <c r="P26" s="32"/>
      <c r="Q26" s="32"/>
    </row>
    <row r="27" spans="1:17" s="31" customFormat="1" x14ac:dyDescent="0.15">
      <c r="A27" s="30" t="s">
        <v>86</v>
      </c>
      <c r="B27" s="32"/>
      <c r="C27" s="32"/>
      <c r="D27" s="32"/>
      <c r="E27" s="32"/>
      <c r="F27" s="32"/>
      <c r="G27" s="32"/>
      <c r="H27" s="32"/>
      <c r="I27" s="32"/>
      <c r="J27" s="32"/>
      <c r="K27" s="32"/>
      <c r="L27" s="32"/>
      <c r="M27" s="32"/>
      <c r="N27" s="32"/>
      <c r="O27" s="32"/>
      <c r="P27" s="32"/>
      <c r="Q27" s="32"/>
    </row>
    <row r="28" spans="1:17" s="31" customFormat="1" x14ac:dyDescent="0.15">
      <c r="A28" s="30" t="s">
        <v>191</v>
      </c>
      <c r="B28" s="32"/>
      <c r="C28" s="32"/>
      <c r="D28" s="32"/>
      <c r="E28" s="32"/>
      <c r="F28" s="32"/>
      <c r="G28" s="32"/>
      <c r="H28" s="32"/>
      <c r="I28" s="32"/>
      <c r="J28" s="32"/>
      <c r="K28" s="32"/>
      <c r="L28" s="32"/>
      <c r="M28" s="32"/>
      <c r="N28" s="32"/>
      <c r="O28" s="32"/>
      <c r="P28" s="32"/>
      <c r="Q28" s="32"/>
    </row>
    <row r="29" spans="1:17" s="31" customFormat="1" x14ac:dyDescent="0.15">
      <c r="A29" s="30" t="s">
        <v>87</v>
      </c>
      <c r="B29" s="32"/>
      <c r="C29" s="32"/>
      <c r="D29" s="32"/>
      <c r="E29" s="32"/>
      <c r="F29" s="32"/>
      <c r="G29" s="32"/>
      <c r="H29" s="32"/>
      <c r="I29" s="32"/>
      <c r="J29" s="32"/>
      <c r="K29" s="32"/>
      <c r="L29" s="32"/>
      <c r="M29" s="32"/>
      <c r="N29" s="32"/>
      <c r="O29" s="32"/>
      <c r="P29" s="32"/>
      <c r="Q29" s="32"/>
    </row>
    <row r="30" spans="1:17" s="31" customFormat="1" x14ac:dyDescent="0.15">
      <c r="A30" s="30" t="s">
        <v>88</v>
      </c>
      <c r="B30" s="32"/>
      <c r="C30" s="32"/>
      <c r="D30" s="32"/>
      <c r="E30" s="32"/>
      <c r="F30" s="32"/>
      <c r="G30" s="32"/>
      <c r="H30" s="32"/>
      <c r="I30" s="32"/>
      <c r="J30" s="32"/>
      <c r="K30" s="32"/>
      <c r="L30" s="32"/>
      <c r="M30" s="32"/>
      <c r="N30" s="32"/>
      <c r="O30" s="32"/>
      <c r="P30" s="32"/>
      <c r="Q30" s="32"/>
    </row>
    <row r="31" spans="1:17" s="31" customFormat="1" x14ac:dyDescent="0.15">
      <c r="A31" s="30" t="s">
        <v>89</v>
      </c>
      <c r="B31" s="32"/>
      <c r="C31" s="32"/>
      <c r="D31" s="32"/>
      <c r="E31" s="32"/>
      <c r="F31" s="32"/>
      <c r="G31" s="32"/>
      <c r="H31" s="32"/>
      <c r="I31" s="32"/>
      <c r="J31" s="32"/>
      <c r="K31" s="32"/>
      <c r="L31" s="32"/>
      <c r="M31" s="32"/>
      <c r="N31" s="32"/>
      <c r="O31" s="32"/>
      <c r="P31" s="32"/>
      <c r="Q31" s="32"/>
    </row>
    <row r="32" spans="1:17" s="31" customFormat="1" x14ac:dyDescent="0.15">
      <c r="A32" s="30"/>
      <c r="B32" s="32"/>
      <c r="C32" s="32"/>
      <c r="D32" s="32"/>
      <c r="E32" s="32"/>
      <c r="F32" s="32"/>
      <c r="G32" s="32"/>
      <c r="H32" s="32"/>
      <c r="I32" s="32"/>
      <c r="J32" s="32"/>
      <c r="K32" s="32"/>
      <c r="L32" s="32"/>
      <c r="M32" s="32"/>
      <c r="N32" s="32"/>
      <c r="O32" s="32"/>
      <c r="P32" s="32"/>
      <c r="Q32" s="32"/>
    </row>
    <row r="33" spans="1:17" s="31" customFormat="1" x14ac:dyDescent="0.15">
      <c r="A33" s="30" t="s">
        <v>192</v>
      </c>
      <c r="B33" s="32"/>
      <c r="C33" s="32"/>
      <c r="D33" s="32"/>
      <c r="E33" s="32"/>
      <c r="F33" s="32"/>
      <c r="G33" s="32"/>
      <c r="H33" s="32"/>
      <c r="I33" s="32"/>
      <c r="J33" s="32"/>
      <c r="K33" s="32"/>
      <c r="L33" s="32"/>
      <c r="M33" s="32"/>
      <c r="N33" s="32"/>
      <c r="O33" s="32"/>
      <c r="P33" s="32"/>
      <c r="Q33" s="32"/>
    </row>
    <row r="34" spans="1:17" s="31" customFormat="1" x14ac:dyDescent="0.15">
      <c r="A34" s="30" t="s">
        <v>193</v>
      </c>
      <c r="B34" s="32"/>
      <c r="C34" s="32"/>
      <c r="D34" s="32"/>
      <c r="E34" s="32"/>
      <c r="F34" s="32"/>
      <c r="G34" s="32"/>
      <c r="H34" s="32"/>
      <c r="I34" s="32"/>
      <c r="J34" s="32"/>
      <c r="K34" s="32"/>
      <c r="L34" s="32"/>
      <c r="M34" s="32"/>
      <c r="N34" s="32"/>
      <c r="O34" s="32"/>
      <c r="P34" s="32"/>
      <c r="Q34" s="32"/>
    </row>
    <row r="35" spans="1:17" s="31" customFormat="1" x14ac:dyDescent="0.15">
      <c r="A35" s="30" t="s">
        <v>194</v>
      </c>
      <c r="B35" s="32"/>
      <c r="C35" s="32"/>
      <c r="D35" s="32"/>
      <c r="E35" s="32"/>
      <c r="F35" s="32"/>
      <c r="G35" s="32"/>
      <c r="H35" s="32"/>
      <c r="I35" s="32"/>
      <c r="J35" s="32"/>
      <c r="K35" s="32"/>
      <c r="L35" s="32"/>
      <c r="M35" s="32"/>
      <c r="N35" s="32"/>
      <c r="O35" s="32"/>
      <c r="P35" s="32"/>
      <c r="Q35" s="32"/>
    </row>
    <row r="36" spans="1:17" s="31" customFormat="1" x14ac:dyDescent="0.15">
      <c r="A36" s="30" t="s">
        <v>195</v>
      </c>
      <c r="B36" s="32"/>
      <c r="C36" s="32"/>
      <c r="D36" s="32"/>
      <c r="E36" s="32"/>
      <c r="F36" s="32"/>
      <c r="G36" s="32"/>
      <c r="H36" s="32"/>
      <c r="I36" s="32"/>
      <c r="J36" s="32"/>
      <c r="K36" s="32"/>
      <c r="L36" s="32"/>
      <c r="M36" s="32"/>
      <c r="N36" s="32"/>
      <c r="O36" s="32"/>
      <c r="P36" s="32"/>
      <c r="Q36" s="32"/>
    </row>
    <row r="37" spans="1:17" s="31" customFormat="1" x14ac:dyDescent="0.15">
      <c r="A37" s="30"/>
      <c r="B37" s="32"/>
      <c r="C37" s="32"/>
      <c r="D37" s="32"/>
      <c r="E37" s="32"/>
      <c r="F37" s="32"/>
      <c r="G37" s="32"/>
      <c r="H37" s="32"/>
      <c r="I37" s="32"/>
      <c r="J37" s="32"/>
      <c r="K37" s="32"/>
      <c r="L37" s="32"/>
      <c r="M37" s="32"/>
      <c r="N37" s="32"/>
      <c r="O37" s="32"/>
      <c r="P37" s="32"/>
      <c r="Q37" s="32"/>
    </row>
    <row r="38" spans="1:17" s="31" customFormat="1" x14ac:dyDescent="0.15">
      <c r="A38" s="37" t="s">
        <v>209</v>
      </c>
      <c r="B38" s="32"/>
      <c r="C38" s="32"/>
      <c r="D38" s="32"/>
      <c r="E38" s="32"/>
      <c r="F38" s="32"/>
      <c r="G38" s="32"/>
      <c r="H38" s="32"/>
      <c r="I38" s="32"/>
      <c r="J38" s="32"/>
      <c r="K38" s="32"/>
      <c r="L38" s="32"/>
      <c r="M38" s="32"/>
      <c r="N38" s="32"/>
      <c r="O38" s="32"/>
      <c r="P38" s="32"/>
      <c r="Q38" s="32"/>
    </row>
    <row r="39" spans="1:17" s="31" customFormat="1" x14ac:dyDescent="0.15">
      <c r="A39" s="37"/>
      <c r="B39" s="32"/>
      <c r="C39" s="32"/>
      <c r="D39" s="32"/>
      <c r="E39" s="32"/>
      <c r="F39" s="32"/>
      <c r="G39" s="32"/>
      <c r="H39" s="32"/>
      <c r="I39" s="32"/>
      <c r="J39" s="32"/>
      <c r="K39" s="32"/>
      <c r="L39" s="32"/>
      <c r="M39" s="32"/>
      <c r="N39" s="32"/>
      <c r="O39" s="32"/>
      <c r="P39" s="32"/>
      <c r="Q39" s="32"/>
    </row>
    <row r="40" spans="1:17" s="31" customFormat="1" x14ac:dyDescent="0.15">
      <c r="A40" s="37" t="s">
        <v>201</v>
      </c>
      <c r="B40" s="32"/>
      <c r="C40" s="32"/>
      <c r="D40" s="32"/>
      <c r="E40" s="32"/>
      <c r="F40" s="32"/>
      <c r="G40" s="32"/>
      <c r="H40" s="32"/>
      <c r="I40" s="32"/>
      <c r="J40" s="32"/>
      <c r="K40" s="32"/>
      <c r="L40" s="32"/>
      <c r="M40" s="32"/>
      <c r="N40" s="32"/>
      <c r="O40" s="32"/>
      <c r="P40" s="32"/>
      <c r="Q40" s="32"/>
    </row>
    <row r="41" spans="1:17" s="31" customFormat="1" x14ac:dyDescent="0.15">
      <c r="A41" s="37"/>
      <c r="B41" s="32"/>
      <c r="C41" s="32"/>
      <c r="D41" s="32"/>
      <c r="E41" s="32"/>
      <c r="F41" s="32"/>
      <c r="G41" s="32"/>
      <c r="H41" s="32"/>
      <c r="I41" s="32"/>
      <c r="J41" s="32"/>
      <c r="K41" s="32"/>
      <c r="L41" s="32"/>
      <c r="M41" s="32"/>
      <c r="N41" s="32"/>
      <c r="O41" s="32"/>
      <c r="P41" s="32"/>
      <c r="Q41" s="32"/>
    </row>
    <row r="42" spans="1:17" s="31" customFormat="1" x14ac:dyDescent="0.15">
      <c r="A42" s="30" t="s">
        <v>90</v>
      </c>
      <c r="B42" s="32"/>
      <c r="C42" s="32"/>
      <c r="D42" s="32"/>
      <c r="E42" s="32"/>
      <c r="F42" s="32"/>
      <c r="G42" s="32"/>
      <c r="H42" s="32"/>
      <c r="I42" s="32"/>
      <c r="J42" s="32"/>
      <c r="K42" s="32"/>
      <c r="L42" s="32"/>
      <c r="M42" s="32"/>
      <c r="N42" s="32"/>
      <c r="O42" s="32"/>
      <c r="P42" s="32"/>
      <c r="Q42" s="32"/>
    </row>
    <row r="43" spans="1:17" s="31" customFormat="1" x14ac:dyDescent="0.15">
      <c r="A43" s="30" t="s">
        <v>91</v>
      </c>
      <c r="B43" s="32"/>
      <c r="C43" s="32"/>
      <c r="D43" s="32"/>
      <c r="E43" s="32"/>
      <c r="F43" s="32"/>
      <c r="G43" s="32"/>
      <c r="H43" s="32"/>
      <c r="I43" s="32"/>
      <c r="J43" s="32"/>
      <c r="K43" s="32"/>
      <c r="L43" s="32"/>
      <c r="M43" s="32"/>
      <c r="N43" s="32"/>
      <c r="O43" s="32"/>
      <c r="P43" s="32"/>
      <c r="Q43" s="32"/>
    </row>
    <row r="44" spans="1:17" s="31" customFormat="1" x14ac:dyDescent="0.15">
      <c r="A44" s="30" t="s">
        <v>92</v>
      </c>
      <c r="B44" s="32"/>
      <c r="C44" s="32"/>
      <c r="D44" s="32"/>
      <c r="E44" s="32"/>
      <c r="F44" s="32"/>
      <c r="G44" s="32"/>
      <c r="H44" s="32"/>
      <c r="I44" s="32"/>
      <c r="J44" s="32"/>
      <c r="K44" s="32"/>
      <c r="L44" s="32"/>
      <c r="M44" s="32"/>
      <c r="N44" s="32"/>
      <c r="O44" s="32"/>
      <c r="P44" s="32"/>
      <c r="Q44" s="32"/>
    </row>
    <row r="45" spans="1:17" x14ac:dyDescent="0.15">
      <c r="A45" s="38"/>
      <c r="B45" s="39"/>
      <c r="C45" s="39"/>
      <c r="D45" s="39"/>
      <c r="E45" s="39"/>
      <c r="F45" s="39"/>
      <c r="G45" s="39"/>
      <c r="H45" s="39"/>
      <c r="I45" s="39"/>
      <c r="J45" s="39"/>
      <c r="K45" s="39"/>
      <c r="L45" s="39"/>
      <c r="M45" s="39"/>
      <c r="N45" s="39"/>
      <c r="O45" s="39"/>
      <c r="P45" s="39"/>
      <c r="Q45" s="39"/>
    </row>
    <row r="46" spans="1:17" x14ac:dyDescent="0.15">
      <c r="A46" s="30" t="s">
        <v>93</v>
      </c>
      <c r="B46" s="39"/>
      <c r="C46" s="39"/>
      <c r="D46" s="39"/>
      <c r="E46" s="39"/>
      <c r="F46" s="39"/>
      <c r="G46" s="39"/>
      <c r="H46" s="39"/>
      <c r="I46" s="39"/>
      <c r="J46" s="39"/>
      <c r="K46" s="39"/>
      <c r="L46" s="39"/>
      <c r="M46" s="39"/>
      <c r="N46" s="39"/>
      <c r="O46" s="39"/>
      <c r="P46" s="39"/>
      <c r="Q46" s="39"/>
    </row>
    <row r="47" spans="1:17" x14ac:dyDescent="0.15">
      <c r="A47" s="30" t="s">
        <v>94</v>
      </c>
      <c r="B47" s="39"/>
      <c r="C47" s="39"/>
      <c r="D47" s="39"/>
      <c r="E47" s="39"/>
      <c r="F47" s="39"/>
      <c r="G47" s="39"/>
      <c r="H47" s="39"/>
      <c r="I47" s="39"/>
      <c r="J47" s="39"/>
      <c r="K47" s="39"/>
      <c r="L47" s="39"/>
      <c r="M47" s="39"/>
      <c r="N47" s="39"/>
      <c r="O47" s="39"/>
      <c r="P47" s="39"/>
      <c r="Q47" s="39"/>
    </row>
    <row r="48" spans="1:17" x14ac:dyDescent="0.15">
      <c r="A48" s="30" t="s">
        <v>95</v>
      </c>
      <c r="B48" s="39"/>
      <c r="C48" s="39"/>
      <c r="D48" s="39"/>
      <c r="E48" s="39"/>
      <c r="F48" s="39"/>
      <c r="G48" s="39"/>
      <c r="H48" s="39"/>
      <c r="I48" s="39"/>
      <c r="J48" s="39"/>
      <c r="K48" s="39"/>
      <c r="L48" s="39"/>
      <c r="M48" s="39"/>
      <c r="N48" s="39"/>
      <c r="O48" s="39"/>
      <c r="P48" s="39"/>
      <c r="Q48" s="39"/>
    </row>
    <row r="49" spans="1:17" x14ac:dyDescent="0.15">
      <c r="A49" s="30" t="s">
        <v>96</v>
      </c>
      <c r="B49" s="39"/>
      <c r="C49" s="39"/>
      <c r="D49" s="39"/>
      <c r="E49" s="39"/>
      <c r="F49" s="39"/>
      <c r="G49" s="39"/>
      <c r="H49" s="39"/>
      <c r="I49" s="39"/>
      <c r="J49" s="39"/>
      <c r="K49" s="39"/>
      <c r="L49" s="39"/>
      <c r="M49" s="39"/>
      <c r="N49" s="39"/>
      <c r="O49" s="39"/>
      <c r="P49" s="39"/>
      <c r="Q49" s="39"/>
    </row>
    <row r="50" spans="1:17" x14ac:dyDescent="0.15">
      <c r="A50" s="30" t="s">
        <v>97</v>
      </c>
      <c r="B50" s="39"/>
      <c r="C50" s="39"/>
      <c r="D50" s="39"/>
      <c r="E50" s="39"/>
      <c r="F50" s="39"/>
      <c r="G50" s="39"/>
      <c r="H50" s="39"/>
      <c r="I50" s="39"/>
      <c r="J50" s="39"/>
      <c r="K50" s="39"/>
      <c r="L50" s="39"/>
      <c r="M50" s="39"/>
      <c r="N50" s="39"/>
      <c r="O50" s="39"/>
      <c r="P50" s="39"/>
      <c r="Q50" s="39"/>
    </row>
    <row r="51" spans="1:17" x14ac:dyDescent="0.15">
      <c r="A51" s="30"/>
      <c r="B51" s="39"/>
      <c r="C51" s="39"/>
      <c r="D51" s="39"/>
      <c r="E51" s="39"/>
      <c r="F51" s="39"/>
      <c r="G51" s="39"/>
      <c r="H51" s="39"/>
      <c r="I51" s="39"/>
      <c r="J51" s="39"/>
      <c r="K51" s="39"/>
      <c r="L51" s="39"/>
      <c r="M51" s="39"/>
      <c r="N51" s="39"/>
      <c r="O51" s="39"/>
      <c r="P51" s="39"/>
      <c r="Q51" s="39"/>
    </row>
    <row r="52" spans="1:17" x14ac:dyDescent="0.15">
      <c r="A52" s="30" t="s">
        <v>98</v>
      </c>
      <c r="B52" s="39"/>
      <c r="C52" s="39"/>
      <c r="D52" s="39"/>
      <c r="E52" s="39"/>
      <c r="F52" s="39"/>
      <c r="G52" s="39"/>
      <c r="H52" s="39"/>
      <c r="I52" s="39"/>
      <c r="J52" s="39"/>
      <c r="K52" s="39"/>
      <c r="L52" s="39"/>
      <c r="M52" s="39"/>
      <c r="N52" s="39"/>
      <c r="O52" s="39"/>
      <c r="P52" s="39"/>
      <c r="Q52" s="39"/>
    </row>
    <row r="53" spans="1:17" x14ac:dyDescent="0.15">
      <c r="A53" s="30" t="s">
        <v>99</v>
      </c>
      <c r="B53" s="39"/>
      <c r="C53" s="39"/>
      <c r="D53" s="39"/>
      <c r="E53" s="39"/>
      <c r="F53" s="39"/>
      <c r="G53" s="39"/>
      <c r="H53" s="39"/>
      <c r="I53" s="39"/>
      <c r="J53" s="39"/>
      <c r="K53" s="39"/>
      <c r="L53" s="39"/>
      <c r="M53" s="39"/>
      <c r="N53" s="39"/>
      <c r="O53" s="39"/>
      <c r="P53" s="39"/>
      <c r="Q53" s="39"/>
    </row>
    <row r="54" spans="1:17" x14ac:dyDescent="0.15">
      <c r="A54" s="30" t="s">
        <v>100</v>
      </c>
      <c r="B54" s="39"/>
      <c r="C54" s="39"/>
      <c r="D54" s="39"/>
      <c r="E54" s="39"/>
      <c r="F54" s="39"/>
      <c r="G54" s="39"/>
      <c r="H54" s="39"/>
      <c r="I54" s="39"/>
      <c r="J54" s="39"/>
      <c r="K54" s="39"/>
      <c r="L54" s="39"/>
      <c r="M54" s="39"/>
      <c r="N54" s="39"/>
      <c r="O54" s="39"/>
      <c r="P54" s="39"/>
      <c r="Q54" s="39"/>
    </row>
    <row r="55" spans="1:17" x14ac:dyDescent="0.15">
      <c r="A55" s="30" t="s">
        <v>101</v>
      </c>
      <c r="B55" s="39"/>
      <c r="C55" s="39"/>
      <c r="D55" s="39"/>
      <c r="E55" s="39"/>
      <c r="F55" s="39"/>
      <c r="G55" s="39"/>
      <c r="H55" s="39"/>
      <c r="I55" s="39"/>
      <c r="J55" s="39"/>
      <c r="K55" s="39"/>
      <c r="L55" s="39"/>
      <c r="M55" s="39"/>
      <c r="N55" s="39"/>
      <c r="O55" s="39"/>
      <c r="P55" s="39"/>
      <c r="Q55" s="39"/>
    </row>
    <row r="56" spans="1:17" x14ac:dyDescent="0.15">
      <c r="A56" s="30"/>
      <c r="B56" s="39"/>
      <c r="C56" s="39"/>
      <c r="D56" s="39"/>
      <c r="E56" s="39"/>
      <c r="F56" s="39"/>
      <c r="G56" s="39"/>
      <c r="H56" s="39"/>
      <c r="I56" s="39"/>
      <c r="J56" s="39"/>
      <c r="K56" s="39"/>
      <c r="L56" s="39"/>
      <c r="M56" s="39"/>
      <c r="N56" s="39"/>
      <c r="O56" s="39"/>
      <c r="P56" s="39"/>
      <c r="Q56" s="39"/>
    </row>
    <row r="57" spans="1:17" x14ac:dyDescent="0.15">
      <c r="A57" s="37" t="s">
        <v>210</v>
      </c>
      <c r="B57" s="39"/>
      <c r="C57" s="39"/>
      <c r="D57" s="39"/>
      <c r="E57" s="39"/>
      <c r="F57" s="39"/>
      <c r="G57" s="39"/>
      <c r="H57" s="39"/>
      <c r="I57" s="39"/>
      <c r="J57" s="39"/>
      <c r="K57" s="39"/>
      <c r="L57" s="39"/>
      <c r="M57" s="39"/>
      <c r="N57" s="39"/>
      <c r="O57" s="39"/>
      <c r="P57" s="39"/>
      <c r="Q57" s="39"/>
    </row>
    <row r="58" spans="1:17" x14ac:dyDescent="0.15">
      <c r="A58" s="30"/>
      <c r="B58" s="39"/>
      <c r="C58" s="39"/>
      <c r="D58" s="39"/>
      <c r="E58" s="39"/>
      <c r="F58" s="39"/>
      <c r="G58" s="39"/>
      <c r="H58" s="39"/>
      <c r="I58" s="39"/>
      <c r="J58" s="39"/>
      <c r="K58" s="39"/>
      <c r="L58" s="39"/>
      <c r="M58" s="39"/>
      <c r="N58" s="39"/>
      <c r="O58" s="39"/>
      <c r="P58" s="39"/>
      <c r="Q58" s="39"/>
    </row>
    <row r="59" spans="1:17" x14ac:dyDescent="0.15">
      <c r="A59" s="30" t="s">
        <v>102</v>
      </c>
      <c r="B59" s="39"/>
      <c r="C59" s="39"/>
      <c r="D59" s="39"/>
      <c r="E59" s="39"/>
      <c r="F59" s="39"/>
      <c r="G59" s="39"/>
      <c r="H59" s="39"/>
      <c r="I59" s="39"/>
      <c r="J59" s="39"/>
      <c r="K59" s="39"/>
      <c r="L59" s="39"/>
      <c r="M59" s="39"/>
      <c r="N59" s="39"/>
      <c r="O59" s="39"/>
      <c r="P59" s="39"/>
      <c r="Q59" s="39"/>
    </row>
    <row r="60" spans="1:17" x14ac:dyDescent="0.15">
      <c r="A60" s="30" t="s">
        <v>103</v>
      </c>
      <c r="B60" s="39"/>
      <c r="C60" s="39"/>
      <c r="D60" s="39"/>
      <c r="E60" s="39"/>
      <c r="F60" s="39"/>
      <c r="G60" s="39"/>
      <c r="H60" s="39"/>
      <c r="I60" s="39"/>
      <c r="J60" s="39"/>
      <c r="K60" s="39"/>
      <c r="L60" s="39"/>
      <c r="M60" s="39"/>
      <c r="N60" s="39"/>
      <c r="O60" s="39"/>
      <c r="P60" s="39"/>
      <c r="Q60" s="39"/>
    </row>
    <row r="61" spans="1:17" x14ac:dyDescent="0.15">
      <c r="A61" s="30" t="s">
        <v>104</v>
      </c>
      <c r="B61" s="39"/>
      <c r="C61" s="39"/>
      <c r="D61" s="39"/>
      <c r="E61" s="39"/>
      <c r="F61" s="39"/>
      <c r="G61" s="39"/>
      <c r="H61" s="39"/>
      <c r="I61" s="39"/>
      <c r="J61" s="39"/>
      <c r="K61" s="39"/>
      <c r="L61" s="39"/>
      <c r="M61" s="39"/>
      <c r="N61" s="39"/>
      <c r="O61" s="39"/>
      <c r="P61" s="39"/>
      <c r="Q61" s="39"/>
    </row>
    <row r="62" spans="1:17" x14ac:dyDescent="0.15">
      <c r="A62" s="30" t="s">
        <v>105</v>
      </c>
      <c r="B62" s="39"/>
      <c r="C62" s="39"/>
      <c r="D62" s="39"/>
      <c r="E62" s="39"/>
      <c r="F62" s="39"/>
      <c r="G62" s="39"/>
      <c r="H62" s="39"/>
      <c r="I62" s="39"/>
      <c r="J62" s="39"/>
      <c r="K62" s="39"/>
      <c r="L62" s="39"/>
      <c r="M62" s="39"/>
      <c r="N62" s="39"/>
      <c r="O62" s="39"/>
      <c r="P62" s="39"/>
      <c r="Q62" s="39"/>
    </row>
    <row r="63" spans="1:17" x14ac:dyDescent="0.15">
      <c r="A63" s="30"/>
      <c r="B63" s="39"/>
      <c r="C63" s="39"/>
      <c r="D63" s="39"/>
      <c r="E63" s="39"/>
      <c r="F63" s="39"/>
      <c r="G63" s="39"/>
      <c r="H63" s="39"/>
      <c r="I63" s="39"/>
      <c r="J63" s="39"/>
      <c r="K63" s="39"/>
      <c r="L63" s="39"/>
      <c r="M63" s="39"/>
      <c r="N63" s="39"/>
      <c r="O63" s="39"/>
      <c r="P63" s="39"/>
      <c r="Q63" s="39"/>
    </row>
    <row r="64" spans="1:17" x14ac:dyDescent="0.15">
      <c r="A64" s="37" t="s">
        <v>211</v>
      </c>
      <c r="B64" s="39"/>
      <c r="C64" s="39"/>
      <c r="D64" s="39"/>
      <c r="E64" s="39"/>
      <c r="F64" s="39"/>
      <c r="G64" s="39"/>
      <c r="H64" s="39"/>
      <c r="I64" s="39"/>
      <c r="J64" s="39"/>
      <c r="K64" s="39"/>
      <c r="L64" s="39"/>
      <c r="M64" s="39"/>
      <c r="N64" s="39"/>
      <c r="O64" s="39"/>
      <c r="P64" s="39"/>
      <c r="Q64" s="39"/>
    </row>
    <row r="65" spans="1:17" x14ac:dyDescent="0.15">
      <c r="A65" s="30"/>
      <c r="B65" s="39"/>
      <c r="C65" s="39"/>
      <c r="D65" s="39"/>
      <c r="E65" s="39"/>
      <c r="F65" s="39"/>
      <c r="G65" s="39"/>
      <c r="H65" s="39"/>
      <c r="I65" s="39"/>
      <c r="J65" s="39"/>
      <c r="K65" s="39"/>
      <c r="L65" s="39"/>
      <c r="M65" s="39"/>
      <c r="N65" s="39"/>
      <c r="O65" s="39"/>
      <c r="P65" s="39"/>
      <c r="Q65" s="39"/>
    </row>
    <row r="66" spans="1:17" x14ac:dyDescent="0.15">
      <c r="A66" s="30" t="s">
        <v>106</v>
      </c>
      <c r="B66" s="39"/>
      <c r="C66" s="39"/>
      <c r="D66" s="39"/>
      <c r="E66" s="39"/>
      <c r="F66" s="39"/>
      <c r="G66" s="39"/>
      <c r="H66" s="39"/>
      <c r="I66" s="39"/>
      <c r="J66" s="39"/>
      <c r="K66" s="39"/>
      <c r="L66" s="39"/>
      <c r="M66" s="39"/>
      <c r="N66" s="39"/>
      <c r="O66" s="39"/>
      <c r="P66" s="39"/>
      <c r="Q66" s="39"/>
    </row>
    <row r="67" spans="1:17" x14ac:dyDescent="0.15">
      <c r="A67" s="30" t="s">
        <v>107</v>
      </c>
      <c r="B67" s="39"/>
      <c r="C67" s="39"/>
      <c r="D67" s="39"/>
      <c r="E67" s="39"/>
      <c r="F67" s="39"/>
      <c r="G67" s="39"/>
      <c r="H67" s="39"/>
      <c r="I67" s="39"/>
      <c r="J67" s="39"/>
      <c r="K67" s="39"/>
      <c r="L67" s="39"/>
      <c r="M67" s="39"/>
      <c r="N67" s="39"/>
      <c r="O67" s="39"/>
      <c r="P67" s="39"/>
      <c r="Q67" s="39"/>
    </row>
    <row r="68" spans="1:17" x14ac:dyDescent="0.15">
      <c r="A68" s="30" t="s">
        <v>108</v>
      </c>
      <c r="B68" s="39"/>
      <c r="C68" s="39"/>
      <c r="D68" s="39"/>
      <c r="E68" s="39"/>
      <c r="F68" s="39"/>
      <c r="G68" s="39"/>
      <c r="H68" s="39"/>
      <c r="I68" s="39"/>
      <c r="J68" s="39"/>
      <c r="K68" s="39"/>
      <c r="L68" s="39"/>
      <c r="M68" s="39"/>
      <c r="N68" s="39"/>
      <c r="O68" s="39"/>
      <c r="P68" s="39"/>
      <c r="Q68" s="39"/>
    </row>
    <row r="69" spans="1:17" x14ac:dyDescent="0.15">
      <c r="A69" s="30" t="s">
        <v>109</v>
      </c>
      <c r="B69" s="39"/>
      <c r="C69" s="39"/>
      <c r="D69" s="39"/>
      <c r="E69" s="39"/>
      <c r="F69" s="39"/>
      <c r="G69" s="39"/>
      <c r="H69" s="39"/>
      <c r="I69" s="39"/>
      <c r="J69" s="39"/>
      <c r="K69" s="39"/>
      <c r="L69" s="39"/>
      <c r="M69" s="39"/>
      <c r="N69" s="39"/>
      <c r="O69" s="39"/>
      <c r="P69" s="39"/>
      <c r="Q69" s="39"/>
    </row>
    <row r="70" spans="1:17" x14ac:dyDescent="0.15">
      <c r="A70" s="30"/>
      <c r="B70" s="39"/>
      <c r="C70" s="39"/>
      <c r="D70" s="39"/>
      <c r="E70" s="39"/>
      <c r="F70" s="39"/>
      <c r="G70" s="39"/>
      <c r="H70" s="39"/>
      <c r="I70" s="39"/>
      <c r="J70" s="39"/>
      <c r="K70" s="39"/>
      <c r="L70" s="39"/>
      <c r="M70" s="39"/>
      <c r="N70" s="39"/>
      <c r="O70" s="39"/>
      <c r="P70" s="39"/>
      <c r="Q70" s="39"/>
    </row>
    <row r="71" spans="1:17" x14ac:dyDescent="0.15">
      <c r="A71" s="30" t="s">
        <v>110</v>
      </c>
      <c r="B71" s="39"/>
      <c r="C71" s="39"/>
      <c r="D71" s="39"/>
      <c r="E71" s="39"/>
      <c r="F71" s="39"/>
      <c r="G71" s="39"/>
      <c r="H71" s="39"/>
      <c r="I71" s="39"/>
      <c r="J71" s="39"/>
      <c r="K71" s="39"/>
      <c r="L71" s="39"/>
      <c r="M71" s="39"/>
      <c r="N71" s="39"/>
      <c r="O71" s="39"/>
      <c r="P71" s="39"/>
      <c r="Q71" s="39"/>
    </row>
    <row r="72" spans="1:17" x14ac:dyDescent="0.15">
      <c r="A72" s="30" t="s">
        <v>111</v>
      </c>
      <c r="B72" s="39"/>
      <c r="C72" s="39"/>
      <c r="D72" s="39"/>
      <c r="E72" s="39"/>
      <c r="F72" s="39"/>
      <c r="G72" s="39"/>
      <c r="H72" s="39"/>
      <c r="I72" s="39"/>
      <c r="J72" s="39"/>
      <c r="K72" s="39"/>
      <c r="L72" s="39"/>
      <c r="M72" s="39"/>
      <c r="N72" s="39"/>
      <c r="O72" s="39"/>
      <c r="P72" s="39"/>
      <c r="Q72" s="39"/>
    </row>
    <row r="73" spans="1:17" x14ac:dyDescent="0.15">
      <c r="A73" s="30" t="s">
        <v>112</v>
      </c>
      <c r="B73" s="39"/>
      <c r="C73" s="39"/>
      <c r="D73" s="39"/>
      <c r="E73" s="39"/>
      <c r="F73" s="39"/>
      <c r="G73" s="39"/>
      <c r="H73" s="39"/>
      <c r="I73" s="39"/>
      <c r="J73" s="39"/>
      <c r="K73" s="39"/>
      <c r="L73" s="39"/>
      <c r="M73" s="39"/>
      <c r="N73" s="39"/>
      <c r="O73" s="39"/>
      <c r="P73" s="39"/>
      <c r="Q73" s="39"/>
    </row>
    <row r="74" spans="1:17" x14ac:dyDescent="0.15">
      <c r="A74" s="30" t="s">
        <v>113</v>
      </c>
      <c r="B74" s="39"/>
      <c r="C74" s="39"/>
      <c r="D74" s="39"/>
      <c r="E74" s="39"/>
      <c r="F74" s="39"/>
      <c r="G74" s="39"/>
      <c r="H74" s="39"/>
      <c r="I74" s="39"/>
      <c r="J74" s="39"/>
      <c r="K74" s="39"/>
      <c r="L74" s="39"/>
      <c r="M74" s="39"/>
      <c r="N74" s="39"/>
      <c r="O74" s="39"/>
      <c r="P74" s="39"/>
      <c r="Q74" s="39"/>
    </row>
    <row r="75" spans="1:17" x14ac:dyDescent="0.15">
      <c r="A75" s="30"/>
      <c r="B75" s="39"/>
      <c r="C75" s="39"/>
      <c r="D75" s="39"/>
      <c r="E75" s="39"/>
      <c r="F75" s="39"/>
      <c r="G75" s="39"/>
      <c r="H75" s="39"/>
      <c r="I75" s="39"/>
      <c r="J75" s="39"/>
      <c r="K75" s="39"/>
      <c r="L75" s="39"/>
      <c r="M75" s="39"/>
      <c r="N75" s="39"/>
      <c r="O75" s="39"/>
      <c r="P75" s="39"/>
      <c r="Q75" s="39"/>
    </row>
    <row r="76" spans="1:17" x14ac:dyDescent="0.15">
      <c r="A76" s="30" t="s">
        <v>114</v>
      </c>
      <c r="B76" s="38"/>
      <c r="C76" s="38"/>
      <c r="D76" s="39"/>
      <c r="E76" s="39"/>
      <c r="F76" s="39"/>
      <c r="G76" s="39"/>
      <c r="H76" s="39"/>
      <c r="I76" s="41"/>
      <c r="J76" s="39"/>
      <c r="K76" s="39"/>
      <c r="L76" s="39"/>
      <c r="M76" s="39"/>
      <c r="N76" s="39"/>
      <c r="O76" s="39"/>
      <c r="P76" s="39"/>
      <c r="Q76" s="39"/>
    </row>
    <row r="77" spans="1:17" x14ac:dyDescent="0.15">
      <c r="A77" s="30"/>
      <c r="B77" s="42"/>
      <c r="C77" s="43" t="s">
        <v>115</v>
      </c>
      <c r="D77" s="39"/>
      <c r="E77" s="39"/>
      <c r="F77" s="39"/>
      <c r="G77" s="39"/>
      <c r="H77" s="39"/>
      <c r="I77" s="41"/>
      <c r="J77" s="39"/>
      <c r="K77" s="39"/>
      <c r="L77" s="39"/>
      <c r="M77" s="39"/>
      <c r="N77" s="39"/>
      <c r="O77" s="39"/>
      <c r="P77" s="39"/>
      <c r="Q77" s="39"/>
    </row>
    <row r="78" spans="1:17" x14ac:dyDescent="0.15">
      <c r="A78" s="30"/>
      <c r="B78" s="43" t="s">
        <v>116</v>
      </c>
      <c r="C78" s="43">
        <v>5</v>
      </c>
      <c r="D78" s="39"/>
      <c r="E78" s="39"/>
      <c r="F78" s="39"/>
      <c r="G78" s="39"/>
      <c r="H78" s="39"/>
      <c r="I78" s="41"/>
      <c r="J78" s="39"/>
      <c r="K78" s="39"/>
      <c r="L78" s="39"/>
      <c r="M78" s="39"/>
      <c r="N78" s="39"/>
      <c r="O78" s="39"/>
      <c r="P78" s="39"/>
      <c r="Q78" s="39"/>
    </row>
    <row r="79" spans="1:17" x14ac:dyDescent="0.15">
      <c r="A79" s="30"/>
      <c r="B79" s="43" t="s">
        <v>117</v>
      </c>
      <c r="C79" s="43">
        <v>1</v>
      </c>
      <c r="D79" s="39"/>
      <c r="E79" s="39"/>
      <c r="F79" s="39"/>
      <c r="G79" s="39"/>
      <c r="H79" s="39"/>
      <c r="I79" s="41"/>
      <c r="J79" s="39"/>
      <c r="K79" s="39"/>
      <c r="L79" s="39"/>
      <c r="M79" s="39"/>
      <c r="N79" s="39"/>
      <c r="O79" s="39"/>
      <c r="P79" s="39"/>
      <c r="Q79" s="39"/>
    </row>
    <row r="80" spans="1:17" x14ac:dyDescent="0.15">
      <c r="A80" s="30"/>
      <c r="B80" s="43" t="s">
        <v>118</v>
      </c>
      <c r="C80" s="43">
        <v>1</v>
      </c>
      <c r="D80" s="39"/>
      <c r="E80" s="39"/>
      <c r="F80" s="39"/>
      <c r="G80" s="39"/>
      <c r="H80" s="39"/>
      <c r="I80" s="41"/>
      <c r="J80" s="39"/>
      <c r="K80" s="39"/>
      <c r="L80" s="39"/>
      <c r="M80" s="39"/>
      <c r="N80" s="39"/>
      <c r="O80" s="39"/>
      <c r="P80" s="39"/>
      <c r="Q80" s="39"/>
    </row>
    <row r="81" spans="1:17" x14ac:dyDescent="0.15">
      <c r="A81" s="30"/>
      <c r="B81" s="43" t="s">
        <v>119</v>
      </c>
      <c r="C81" s="43">
        <v>1</v>
      </c>
      <c r="D81" s="39"/>
      <c r="E81" s="39"/>
      <c r="F81" s="39"/>
      <c r="G81" s="39"/>
      <c r="H81" s="39"/>
      <c r="I81" s="41"/>
      <c r="J81" s="39"/>
      <c r="K81" s="39"/>
      <c r="L81" s="39"/>
      <c r="M81" s="39"/>
      <c r="N81" s="39"/>
      <c r="O81" s="39"/>
      <c r="P81" s="39"/>
      <c r="Q81" s="39"/>
    </row>
    <row r="82" spans="1:17" x14ac:dyDescent="0.15">
      <c r="A82" s="30"/>
      <c r="B82" s="43" t="s">
        <v>208</v>
      </c>
      <c r="C82" s="43">
        <v>1</v>
      </c>
      <c r="D82" s="39"/>
      <c r="E82" s="39"/>
      <c r="F82" s="39"/>
      <c r="G82" s="39"/>
      <c r="H82" s="39"/>
      <c r="I82" s="41"/>
      <c r="J82" s="39"/>
      <c r="K82" s="39"/>
      <c r="L82" s="39"/>
      <c r="M82" s="39"/>
      <c r="N82" s="39"/>
      <c r="O82" s="39"/>
      <c r="P82" s="39"/>
      <c r="Q82" s="39"/>
    </row>
    <row r="83" spans="1:17" x14ac:dyDescent="0.15">
      <c r="A83" s="30"/>
      <c r="B83" s="39"/>
      <c r="C83" s="39"/>
      <c r="D83" s="39"/>
      <c r="E83" s="39"/>
      <c r="F83" s="39"/>
      <c r="G83" s="39"/>
      <c r="H83" s="39"/>
      <c r="I83" s="41"/>
      <c r="J83" s="39"/>
      <c r="K83" s="39"/>
      <c r="L83" s="39"/>
      <c r="M83" s="39"/>
      <c r="N83" s="39"/>
      <c r="O83" s="39"/>
      <c r="P83" s="39"/>
      <c r="Q83" s="39"/>
    </row>
    <row r="84" spans="1:17" x14ac:dyDescent="0.15">
      <c r="A84" s="30" t="s">
        <v>120</v>
      </c>
      <c r="B84" s="39"/>
      <c r="C84" s="39"/>
      <c r="D84" s="39"/>
      <c r="E84" s="39"/>
      <c r="F84" s="39"/>
      <c r="G84" s="39"/>
      <c r="H84" s="39"/>
      <c r="I84" s="41"/>
      <c r="J84" s="39"/>
      <c r="K84" s="39"/>
      <c r="L84" s="39"/>
      <c r="M84" s="39"/>
      <c r="N84" s="39"/>
      <c r="O84" s="39"/>
      <c r="P84" s="39"/>
      <c r="Q84" s="39"/>
    </row>
    <row r="85" spans="1:17" x14ac:dyDescent="0.15">
      <c r="A85" s="30" t="s">
        <v>121</v>
      </c>
      <c r="B85" s="39"/>
      <c r="C85" s="39"/>
      <c r="D85" s="39"/>
      <c r="E85" s="39"/>
      <c r="F85" s="39"/>
      <c r="G85" s="39"/>
      <c r="H85" s="39"/>
      <c r="I85" s="38"/>
      <c r="J85" s="39"/>
      <c r="K85" s="39"/>
      <c r="L85" s="39"/>
      <c r="M85" s="39"/>
      <c r="N85" s="39"/>
      <c r="O85" s="39"/>
      <c r="P85" s="39"/>
      <c r="Q85" s="39"/>
    </row>
    <row r="86" spans="1:17" x14ac:dyDescent="0.15">
      <c r="A86" s="30" t="s">
        <v>122</v>
      </c>
      <c r="B86" s="39"/>
      <c r="C86" s="39"/>
      <c r="D86" s="39"/>
      <c r="E86" s="39"/>
      <c r="F86" s="39"/>
      <c r="G86" s="39"/>
      <c r="H86" s="39"/>
      <c r="I86" s="38"/>
      <c r="J86" s="39"/>
      <c r="K86" s="39"/>
      <c r="L86" s="39"/>
      <c r="M86" s="39"/>
      <c r="N86" s="39"/>
      <c r="O86" s="39"/>
      <c r="P86" s="39"/>
      <c r="Q86" s="39"/>
    </row>
    <row r="87" spans="1:17" x14ac:dyDescent="0.15">
      <c r="A87" s="30" t="s">
        <v>123</v>
      </c>
      <c r="B87" s="38"/>
      <c r="C87" s="38"/>
      <c r="D87" s="39"/>
      <c r="E87" s="39"/>
      <c r="F87" s="39"/>
      <c r="G87" s="39"/>
      <c r="H87" s="39"/>
      <c r="I87" s="38"/>
      <c r="J87" s="39"/>
      <c r="K87" s="39"/>
      <c r="L87" s="39"/>
      <c r="M87" s="39"/>
      <c r="N87" s="39"/>
      <c r="O87" s="39"/>
      <c r="P87" s="39"/>
      <c r="Q87" s="39"/>
    </row>
    <row r="88" spans="1:17" x14ac:dyDescent="0.15">
      <c r="A88" s="30"/>
      <c r="B88" s="42"/>
      <c r="C88" s="43" t="s">
        <v>124</v>
      </c>
      <c r="D88" s="39"/>
      <c r="E88" s="39"/>
      <c r="F88" s="39"/>
      <c r="G88" s="39"/>
      <c r="H88" s="39"/>
      <c r="I88" s="38"/>
      <c r="J88" s="39"/>
      <c r="K88" s="39"/>
      <c r="L88" s="39"/>
      <c r="M88" s="39"/>
      <c r="N88" s="39"/>
      <c r="O88" s="39"/>
      <c r="P88" s="39"/>
      <c r="Q88" s="39"/>
    </row>
    <row r="89" spans="1:17" x14ac:dyDescent="0.15">
      <c r="A89" s="30"/>
      <c r="B89" s="43" t="s">
        <v>125</v>
      </c>
      <c r="C89" s="43">
        <v>100</v>
      </c>
      <c r="D89" s="39"/>
      <c r="E89" s="39"/>
      <c r="F89" s="39"/>
      <c r="G89" s="39"/>
      <c r="H89" s="39"/>
      <c r="I89" s="38"/>
      <c r="J89" s="39"/>
      <c r="K89" s="39"/>
      <c r="L89" s="39"/>
      <c r="M89" s="39"/>
      <c r="N89" s="39"/>
      <c r="O89" s="39"/>
      <c r="P89" s="39"/>
      <c r="Q89" s="39"/>
    </row>
    <row r="90" spans="1:17" x14ac:dyDescent="0.15">
      <c r="A90" s="30"/>
      <c r="B90" s="39"/>
      <c r="C90" s="39"/>
      <c r="D90" s="39"/>
      <c r="E90" s="39"/>
      <c r="F90" s="39"/>
      <c r="G90" s="39"/>
      <c r="H90" s="39"/>
      <c r="I90" s="38"/>
      <c r="J90" s="39"/>
      <c r="K90" s="39"/>
      <c r="L90" s="39"/>
      <c r="M90" s="39"/>
      <c r="N90" s="39"/>
      <c r="O90" s="39"/>
      <c r="P90" s="39"/>
      <c r="Q90" s="39"/>
    </row>
    <row r="91" spans="1:17" x14ac:dyDescent="0.15">
      <c r="A91" s="30" t="s">
        <v>126</v>
      </c>
      <c r="B91" s="39"/>
      <c r="C91" s="39"/>
      <c r="D91" s="39"/>
      <c r="E91" s="39"/>
      <c r="F91" s="39"/>
      <c r="G91" s="39"/>
      <c r="H91" s="39"/>
      <c r="I91" s="38"/>
      <c r="J91" s="39"/>
      <c r="K91" s="39"/>
      <c r="L91" s="39"/>
      <c r="M91" s="39"/>
      <c r="N91" s="39"/>
      <c r="O91" s="39"/>
      <c r="P91" s="39"/>
      <c r="Q91" s="39"/>
    </row>
    <row r="92" spans="1:17" x14ac:dyDescent="0.15">
      <c r="A92" s="30" t="s">
        <v>127</v>
      </c>
      <c r="B92" s="39"/>
      <c r="C92" s="39"/>
      <c r="D92" s="39"/>
      <c r="E92" s="39"/>
      <c r="F92" s="39"/>
      <c r="G92" s="39"/>
      <c r="H92" s="39"/>
      <c r="I92" s="38"/>
      <c r="J92" s="39"/>
      <c r="K92" s="39"/>
      <c r="L92" s="39"/>
      <c r="M92" s="39"/>
      <c r="N92" s="39"/>
      <c r="O92" s="39"/>
      <c r="P92" s="39"/>
      <c r="Q92" s="39"/>
    </row>
    <row r="93" spans="1:17" x14ac:dyDescent="0.15">
      <c r="A93" s="30" t="s">
        <v>128</v>
      </c>
      <c r="B93" s="39"/>
      <c r="C93" s="39"/>
      <c r="D93" s="39"/>
      <c r="E93" s="39"/>
      <c r="F93" s="39"/>
      <c r="G93" s="39"/>
      <c r="H93" s="39"/>
      <c r="I93" s="39"/>
      <c r="J93" s="39"/>
      <c r="K93" s="39"/>
      <c r="L93" s="39"/>
      <c r="M93" s="39"/>
      <c r="N93" s="39"/>
      <c r="O93" s="39"/>
      <c r="P93" s="39"/>
      <c r="Q93" s="39"/>
    </row>
    <row r="94" spans="1:17" x14ac:dyDescent="0.15">
      <c r="A94" s="30"/>
      <c r="B94" s="38"/>
      <c r="C94" s="38"/>
      <c r="D94" s="38"/>
      <c r="E94" s="38"/>
      <c r="F94" s="38"/>
      <c r="G94" s="38"/>
      <c r="H94" s="38"/>
      <c r="I94" s="38"/>
      <c r="J94" s="38"/>
      <c r="K94" s="38"/>
      <c r="L94" s="38"/>
      <c r="M94" s="38"/>
      <c r="N94" s="38"/>
      <c r="O94" s="38"/>
      <c r="P94" s="38"/>
      <c r="Q94" s="38"/>
    </row>
    <row r="95" spans="1:17" x14ac:dyDescent="0.15">
      <c r="A95" s="30"/>
      <c r="B95" s="44" t="s">
        <v>129</v>
      </c>
      <c r="C95" s="45" t="s">
        <v>77</v>
      </c>
      <c r="D95" s="46" t="s">
        <v>130</v>
      </c>
      <c r="E95" s="46" t="s">
        <v>131</v>
      </c>
      <c r="F95" s="46" t="s">
        <v>132</v>
      </c>
      <c r="G95" s="46" t="s">
        <v>133</v>
      </c>
      <c r="H95" s="46" t="s">
        <v>134</v>
      </c>
      <c r="I95" s="46" t="s">
        <v>135</v>
      </c>
      <c r="J95" s="46" t="s">
        <v>136</v>
      </c>
      <c r="K95" s="46" t="s">
        <v>137</v>
      </c>
      <c r="L95" s="46" t="s">
        <v>138</v>
      </c>
      <c r="M95" s="46" t="s">
        <v>139</v>
      </c>
      <c r="N95" s="46" t="s">
        <v>140</v>
      </c>
      <c r="O95" s="46" t="s">
        <v>141</v>
      </c>
      <c r="P95" s="46" t="s">
        <v>142</v>
      </c>
      <c r="Q95" s="46" t="s">
        <v>143</v>
      </c>
    </row>
    <row r="96" spans="1:17" x14ac:dyDescent="0.15">
      <c r="A96" s="30"/>
      <c r="B96" s="47" t="s">
        <v>69</v>
      </c>
      <c r="C96" s="43">
        <v>1</v>
      </c>
      <c r="D96" s="48">
        <v>9</v>
      </c>
      <c r="E96" s="48">
        <v>12</v>
      </c>
      <c r="F96" s="48">
        <v>14</v>
      </c>
      <c r="G96" s="48">
        <v>16</v>
      </c>
      <c r="H96" s="48">
        <v>18</v>
      </c>
      <c r="I96" s="48">
        <v>20</v>
      </c>
      <c r="J96" s="48">
        <v>21</v>
      </c>
      <c r="K96" s="48">
        <v>22</v>
      </c>
      <c r="L96" s="48">
        <v>23</v>
      </c>
      <c r="M96" s="48">
        <v>23</v>
      </c>
      <c r="N96" s="48">
        <v>24</v>
      </c>
      <c r="O96" s="48">
        <v>24</v>
      </c>
      <c r="P96" s="48">
        <v>25</v>
      </c>
      <c r="Q96" s="48">
        <v>25</v>
      </c>
    </row>
    <row r="97" spans="1:17" x14ac:dyDescent="0.15">
      <c r="A97" s="30"/>
      <c r="B97" s="47" t="s">
        <v>204</v>
      </c>
      <c r="C97" s="43">
        <v>30</v>
      </c>
      <c r="D97" s="43">
        <v>38</v>
      </c>
      <c r="E97" s="43">
        <v>39</v>
      </c>
      <c r="F97" s="43">
        <v>40</v>
      </c>
      <c r="G97" s="43">
        <v>45</v>
      </c>
      <c r="H97" s="43">
        <v>46</v>
      </c>
      <c r="I97" s="43">
        <v>47</v>
      </c>
      <c r="J97" s="43">
        <v>48</v>
      </c>
      <c r="K97" s="43">
        <v>48</v>
      </c>
      <c r="L97" s="43">
        <v>49</v>
      </c>
      <c r="M97" s="43">
        <v>49</v>
      </c>
      <c r="N97" s="43">
        <v>49</v>
      </c>
      <c r="O97" s="43">
        <v>49</v>
      </c>
      <c r="P97" s="43">
        <v>54</v>
      </c>
      <c r="Q97" s="43">
        <v>54</v>
      </c>
    </row>
    <row r="98" spans="1:17" x14ac:dyDescent="0.15">
      <c r="A98" s="30"/>
      <c r="B98" s="47" t="s">
        <v>205</v>
      </c>
      <c r="C98" s="43">
        <v>150</v>
      </c>
      <c r="D98" s="43">
        <v>190</v>
      </c>
      <c r="E98" s="43">
        <v>195</v>
      </c>
      <c r="F98" s="43">
        <v>200</v>
      </c>
      <c r="G98" s="43">
        <v>225</v>
      </c>
      <c r="H98" s="43">
        <v>230</v>
      </c>
      <c r="I98" s="43">
        <v>235</v>
      </c>
      <c r="J98" s="43">
        <v>240</v>
      </c>
      <c r="K98" s="43">
        <v>240</v>
      </c>
      <c r="L98" s="43">
        <v>245</v>
      </c>
      <c r="M98" s="43">
        <v>245</v>
      </c>
      <c r="N98" s="43">
        <v>245</v>
      </c>
      <c r="O98" s="43">
        <v>245</v>
      </c>
      <c r="P98" s="43">
        <v>270</v>
      </c>
      <c r="Q98" s="43">
        <v>270</v>
      </c>
    </row>
    <row r="99" spans="1:17" x14ac:dyDescent="0.15">
      <c r="A99" s="30"/>
      <c r="B99" s="39"/>
      <c r="C99" s="39"/>
      <c r="D99" s="39"/>
      <c r="E99" s="39"/>
      <c r="F99" s="39"/>
      <c r="G99" s="39"/>
      <c r="H99" s="39"/>
      <c r="I99" s="39"/>
      <c r="J99" s="39"/>
      <c r="K99" s="39"/>
      <c r="L99" s="39"/>
      <c r="M99" s="39"/>
      <c r="N99" s="39"/>
      <c r="O99" s="39"/>
      <c r="P99" s="39"/>
      <c r="Q99" s="39"/>
    </row>
    <row r="100" spans="1:17" x14ac:dyDescent="0.15">
      <c r="A100" s="30" t="s">
        <v>144</v>
      </c>
      <c r="B100" s="39"/>
      <c r="C100" s="39"/>
      <c r="D100" s="39"/>
      <c r="E100" s="39"/>
      <c r="F100" s="39"/>
      <c r="G100" s="39"/>
      <c r="H100" s="39"/>
      <c r="I100" s="39"/>
      <c r="J100" s="39"/>
      <c r="K100" s="39"/>
      <c r="L100" s="39"/>
      <c r="M100" s="39"/>
      <c r="N100" s="39"/>
      <c r="O100" s="39"/>
      <c r="P100" s="39"/>
      <c r="Q100" s="39"/>
    </row>
    <row r="101" spans="1:17" x14ac:dyDescent="0.15">
      <c r="A101" s="30" t="s">
        <v>145</v>
      </c>
      <c r="B101" s="39"/>
      <c r="C101" s="39"/>
      <c r="D101" s="39"/>
      <c r="E101" s="39"/>
      <c r="F101" s="39"/>
      <c r="G101" s="39"/>
      <c r="H101" s="39"/>
      <c r="I101" s="39"/>
      <c r="J101" s="39"/>
      <c r="K101" s="39"/>
      <c r="L101" s="39"/>
      <c r="M101" s="39"/>
      <c r="N101" s="39"/>
      <c r="O101" s="39"/>
      <c r="P101" s="39"/>
      <c r="Q101" s="39"/>
    </row>
    <row r="102" spans="1:17" x14ac:dyDescent="0.15">
      <c r="A102" s="30" t="s">
        <v>207</v>
      </c>
      <c r="B102" s="39"/>
      <c r="C102" s="39"/>
      <c r="D102" s="39"/>
      <c r="E102" s="39"/>
      <c r="F102" s="39"/>
      <c r="G102" s="39"/>
      <c r="H102" s="39"/>
      <c r="I102" s="39"/>
      <c r="J102" s="39"/>
      <c r="K102" s="39"/>
      <c r="L102" s="39"/>
      <c r="M102" s="39"/>
      <c r="N102" s="39"/>
      <c r="O102" s="39"/>
      <c r="P102" s="39"/>
      <c r="Q102" s="39"/>
    </row>
    <row r="103" spans="1:17" x14ac:dyDescent="0.15">
      <c r="A103" s="30" t="s">
        <v>146</v>
      </c>
      <c r="B103" s="39"/>
      <c r="C103" s="39"/>
      <c r="D103" s="39"/>
      <c r="E103" s="39"/>
      <c r="F103" s="39"/>
      <c r="G103" s="39"/>
      <c r="H103" s="39"/>
      <c r="I103" s="39"/>
      <c r="J103" s="39"/>
      <c r="K103" s="39"/>
      <c r="L103" s="39"/>
      <c r="M103" s="39"/>
      <c r="N103" s="39"/>
      <c r="O103" s="39"/>
      <c r="P103" s="39"/>
      <c r="Q103" s="39"/>
    </row>
    <row r="104" spans="1:17" x14ac:dyDescent="0.15">
      <c r="A104" s="30" t="s">
        <v>147</v>
      </c>
      <c r="B104" s="39"/>
      <c r="C104" s="39"/>
      <c r="D104" s="39"/>
      <c r="E104" s="39"/>
      <c r="F104" s="39"/>
      <c r="G104" s="39"/>
      <c r="H104" s="39"/>
      <c r="I104" s="39"/>
      <c r="J104" s="39"/>
      <c r="K104" s="39"/>
      <c r="L104" s="39"/>
      <c r="M104" s="39"/>
      <c r="N104" s="39"/>
      <c r="O104" s="39"/>
      <c r="P104" s="39"/>
      <c r="Q104" s="39"/>
    </row>
    <row r="105" spans="1:17" x14ac:dyDescent="0.15">
      <c r="A105" s="30" t="s">
        <v>148</v>
      </c>
      <c r="B105" s="39"/>
      <c r="C105" s="39"/>
      <c r="D105" s="39"/>
      <c r="E105" s="39"/>
      <c r="F105" s="39"/>
      <c r="G105" s="39"/>
      <c r="H105" s="39"/>
      <c r="I105" s="39"/>
      <c r="J105" s="39"/>
      <c r="K105" s="39"/>
      <c r="L105" s="39"/>
      <c r="M105" s="39"/>
      <c r="N105" s="39"/>
      <c r="O105" s="39"/>
      <c r="P105" s="39"/>
      <c r="Q105" s="39"/>
    </row>
    <row r="106" spans="1:17" x14ac:dyDescent="0.15">
      <c r="A106" s="30"/>
      <c r="B106" s="39"/>
      <c r="C106" s="39"/>
      <c r="D106" s="39"/>
      <c r="E106" s="39"/>
      <c r="F106" s="39"/>
      <c r="G106" s="39"/>
      <c r="H106" s="39"/>
      <c r="I106" s="39"/>
      <c r="J106" s="39"/>
      <c r="K106" s="39"/>
      <c r="L106" s="39"/>
      <c r="M106" s="39"/>
      <c r="N106" s="39"/>
      <c r="O106" s="39"/>
      <c r="P106" s="39"/>
      <c r="Q106" s="39"/>
    </row>
    <row r="107" spans="1:17" x14ac:dyDescent="0.15">
      <c r="A107" s="30" t="s">
        <v>149</v>
      </c>
      <c r="B107" s="39"/>
      <c r="C107" s="39"/>
      <c r="D107" s="39"/>
      <c r="E107" s="39"/>
      <c r="F107" s="39"/>
      <c r="G107" s="39"/>
      <c r="H107" s="39"/>
      <c r="I107" s="39"/>
      <c r="J107" s="39"/>
      <c r="K107" s="39"/>
      <c r="L107" s="39"/>
      <c r="M107" s="39"/>
      <c r="N107" s="39"/>
      <c r="O107" s="39"/>
      <c r="P107" s="39"/>
      <c r="Q107" s="39"/>
    </row>
    <row r="108" spans="1:17" x14ac:dyDescent="0.15">
      <c r="A108" s="30"/>
      <c r="B108" s="39"/>
      <c r="C108" s="39"/>
      <c r="D108" s="39"/>
      <c r="E108" s="39"/>
      <c r="F108" s="39"/>
      <c r="G108" s="39"/>
      <c r="H108" s="39"/>
      <c r="I108" s="39"/>
      <c r="J108" s="39"/>
      <c r="K108" s="39"/>
      <c r="L108" s="39"/>
      <c r="M108" s="39"/>
      <c r="N108" s="39"/>
      <c r="O108" s="39"/>
      <c r="P108" s="39"/>
      <c r="Q108" s="39"/>
    </row>
    <row r="109" spans="1:17" x14ac:dyDescent="0.15">
      <c r="A109" s="30" t="s">
        <v>150</v>
      </c>
      <c r="B109" s="39"/>
      <c r="C109" s="39"/>
      <c r="D109" s="39"/>
      <c r="E109" s="39"/>
      <c r="F109" s="39"/>
      <c r="G109" s="39"/>
      <c r="H109" s="39"/>
      <c r="I109" s="39"/>
      <c r="J109" s="39"/>
      <c r="K109" s="39"/>
      <c r="L109" s="39"/>
      <c r="M109" s="39"/>
      <c r="N109" s="39"/>
      <c r="O109" s="39"/>
      <c r="P109" s="39"/>
      <c r="Q109" s="39"/>
    </row>
    <row r="110" spans="1:17" x14ac:dyDescent="0.15">
      <c r="A110" s="30" t="s">
        <v>151</v>
      </c>
      <c r="B110" s="39"/>
      <c r="C110" s="39"/>
      <c r="D110" s="39"/>
      <c r="E110" s="39"/>
      <c r="F110" s="39"/>
      <c r="G110" s="39"/>
      <c r="H110" s="39"/>
      <c r="I110" s="39"/>
      <c r="J110" s="39"/>
      <c r="K110" s="39"/>
      <c r="L110" s="39"/>
      <c r="M110" s="39"/>
      <c r="N110" s="39"/>
      <c r="O110" s="39"/>
      <c r="P110" s="39"/>
      <c r="Q110" s="39"/>
    </row>
    <row r="111" spans="1:17" x14ac:dyDescent="0.15">
      <c r="A111" s="30"/>
      <c r="B111" s="39"/>
      <c r="C111" s="39"/>
      <c r="D111" s="39"/>
      <c r="E111" s="39"/>
      <c r="F111" s="39"/>
      <c r="G111" s="39"/>
      <c r="H111" s="39"/>
      <c r="I111" s="39"/>
      <c r="J111" s="39"/>
      <c r="K111" s="39"/>
      <c r="L111" s="39"/>
      <c r="M111" s="39"/>
      <c r="N111" s="39"/>
      <c r="O111" s="39"/>
      <c r="P111" s="39"/>
      <c r="Q111" s="39"/>
    </row>
    <row r="112" spans="1:17" x14ac:dyDescent="0.15">
      <c r="A112" s="30" t="s">
        <v>152</v>
      </c>
      <c r="B112" s="39"/>
      <c r="C112" s="39"/>
      <c r="D112" s="39"/>
      <c r="E112" s="39"/>
      <c r="F112" s="39"/>
      <c r="G112" s="39"/>
      <c r="H112" s="39"/>
      <c r="I112" s="39"/>
      <c r="J112" s="39"/>
      <c r="K112" s="39"/>
      <c r="L112" s="39"/>
      <c r="M112" s="39"/>
      <c r="N112" s="39"/>
      <c r="O112" s="39"/>
      <c r="P112" s="39"/>
      <c r="Q112" s="39"/>
    </row>
    <row r="113" spans="1:17" x14ac:dyDescent="0.15">
      <c r="A113" s="30" t="s">
        <v>153</v>
      </c>
      <c r="B113" s="39"/>
      <c r="C113" s="39"/>
      <c r="D113" s="39"/>
      <c r="E113" s="39"/>
      <c r="F113" s="39"/>
      <c r="G113" s="39"/>
      <c r="H113" s="39"/>
      <c r="I113" s="39"/>
      <c r="J113" s="39"/>
      <c r="K113" s="39"/>
      <c r="L113" s="39"/>
      <c r="M113" s="39"/>
      <c r="N113" s="39"/>
      <c r="O113" s="39"/>
      <c r="P113" s="39"/>
      <c r="Q113" s="39"/>
    </row>
    <row r="114" spans="1:17" x14ac:dyDescent="0.15">
      <c r="A114" s="30" t="s">
        <v>154</v>
      </c>
      <c r="B114" s="39"/>
      <c r="C114" s="39"/>
      <c r="D114" s="39"/>
      <c r="E114" s="39"/>
      <c r="F114" s="39"/>
      <c r="G114" s="39"/>
      <c r="H114" s="39"/>
      <c r="I114" s="39"/>
      <c r="J114" s="39"/>
      <c r="K114" s="39"/>
      <c r="L114" s="39"/>
      <c r="M114" s="39"/>
      <c r="N114" s="39"/>
      <c r="O114" s="39"/>
      <c r="P114" s="39"/>
      <c r="Q114" s="39"/>
    </row>
    <row r="115" spans="1:17" x14ac:dyDescent="0.15">
      <c r="A115" s="30" t="s">
        <v>155</v>
      </c>
      <c r="B115" s="39"/>
      <c r="C115" s="39"/>
      <c r="D115" s="39"/>
      <c r="E115" s="39"/>
      <c r="F115" s="39"/>
      <c r="G115" s="39"/>
      <c r="H115" s="39"/>
      <c r="I115" s="39"/>
      <c r="J115" s="39"/>
      <c r="K115" s="39"/>
      <c r="L115" s="39"/>
      <c r="M115" s="39"/>
      <c r="N115" s="39"/>
      <c r="O115" s="39"/>
      <c r="P115" s="39"/>
      <c r="Q115" s="39"/>
    </row>
    <row r="116" spans="1:17" x14ac:dyDescent="0.15">
      <c r="A116" s="30" t="s">
        <v>156</v>
      </c>
      <c r="B116" s="39"/>
      <c r="C116" s="39"/>
      <c r="D116" s="39"/>
      <c r="E116" s="39"/>
      <c r="F116" s="39"/>
      <c r="G116" s="39"/>
      <c r="H116" s="39"/>
      <c r="I116" s="39"/>
      <c r="J116" s="39"/>
      <c r="K116" s="39"/>
      <c r="L116" s="39"/>
      <c r="M116" s="39"/>
      <c r="N116" s="39"/>
      <c r="O116" s="39"/>
      <c r="P116" s="39"/>
      <c r="Q116" s="39"/>
    </row>
    <row r="117" spans="1:17" x14ac:dyDescent="0.15">
      <c r="A117" s="30" t="s">
        <v>157</v>
      </c>
      <c r="B117" s="39"/>
      <c r="C117" s="39"/>
      <c r="D117" s="39"/>
      <c r="E117" s="39"/>
      <c r="F117" s="39"/>
      <c r="G117" s="39"/>
      <c r="H117" s="39"/>
      <c r="I117" s="39"/>
      <c r="J117" s="39"/>
      <c r="K117" s="39"/>
      <c r="L117" s="39"/>
      <c r="M117" s="39"/>
      <c r="N117" s="39"/>
      <c r="O117" s="39"/>
      <c r="P117" s="39"/>
      <c r="Q117" s="39"/>
    </row>
    <row r="118" spans="1:17" x14ac:dyDescent="0.15">
      <c r="A118" s="30"/>
      <c r="B118" s="39"/>
      <c r="C118" s="39"/>
      <c r="D118" s="39"/>
      <c r="E118" s="39"/>
      <c r="F118" s="39"/>
      <c r="G118" s="39"/>
      <c r="H118" s="39"/>
      <c r="I118" s="39"/>
      <c r="J118" s="39"/>
      <c r="K118" s="39"/>
      <c r="L118" s="39"/>
      <c r="M118" s="39"/>
      <c r="N118" s="39"/>
      <c r="O118" s="39"/>
      <c r="P118" s="39"/>
      <c r="Q118" s="39"/>
    </row>
    <row r="119" spans="1:17" x14ac:dyDescent="0.15">
      <c r="A119" s="30" t="s">
        <v>158</v>
      </c>
      <c r="B119" s="39"/>
      <c r="C119" s="39"/>
      <c r="D119" s="39"/>
      <c r="E119" s="39"/>
      <c r="F119" s="39"/>
      <c r="G119" s="39"/>
      <c r="H119" s="39"/>
      <c r="I119" s="39"/>
      <c r="J119" s="39"/>
      <c r="K119" s="39"/>
      <c r="L119" s="39"/>
      <c r="M119" s="39"/>
      <c r="N119" s="39"/>
      <c r="O119" s="39"/>
      <c r="P119" s="39"/>
      <c r="Q119" s="39"/>
    </row>
    <row r="120" spans="1:17" x14ac:dyDescent="0.15">
      <c r="A120" s="30" t="s">
        <v>151</v>
      </c>
      <c r="B120" s="39"/>
      <c r="C120" s="39"/>
      <c r="D120" s="39"/>
      <c r="E120" s="39"/>
      <c r="F120" s="39"/>
      <c r="G120" s="39"/>
      <c r="H120" s="39"/>
      <c r="I120" s="39"/>
      <c r="J120" s="39"/>
      <c r="K120" s="39"/>
      <c r="L120" s="39"/>
      <c r="M120" s="39"/>
      <c r="N120" s="39"/>
      <c r="O120" s="39"/>
      <c r="P120" s="39"/>
      <c r="Q120" s="39"/>
    </row>
    <row r="121" spans="1:17" x14ac:dyDescent="0.15">
      <c r="A121" s="30"/>
      <c r="B121" s="39"/>
      <c r="C121" s="39"/>
      <c r="D121" s="39"/>
      <c r="E121" s="39"/>
      <c r="F121" s="39"/>
      <c r="G121" s="39"/>
      <c r="H121" s="39"/>
      <c r="I121" s="39"/>
      <c r="J121" s="39"/>
      <c r="K121" s="39"/>
      <c r="L121" s="39"/>
      <c r="M121" s="39"/>
      <c r="N121" s="39"/>
      <c r="O121" s="39"/>
      <c r="P121" s="39"/>
      <c r="Q121" s="39"/>
    </row>
    <row r="122" spans="1:17" x14ac:dyDescent="0.15">
      <c r="A122" s="30" t="s">
        <v>159</v>
      </c>
      <c r="B122" s="39"/>
      <c r="C122" s="39"/>
      <c r="D122" s="39"/>
      <c r="E122" s="39"/>
      <c r="F122" s="39"/>
      <c r="G122" s="39"/>
      <c r="H122" s="39"/>
      <c r="I122" s="39"/>
      <c r="J122" s="39"/>
      <c r="K122" s="39"/>
      <c r="L122" s="39"/>
      <c r="M122" s="39"/>
      <c r="N122" s="39"/>
      <c r="O122" s="39"/>
      <c r="P122" s="39"/>
      <c r="Q122" s="39"/>
    </row>
    <row r="123" spans="1:17" x14ac:dyDescent="0.15">
      <c r="A123" s="30" t="s">
        <v>206</v>
      </c>
      <c r="B123" s="39"/>
      <c r="C123" s="39"/>
      <c r="D123" s="39"/>
      <c r="E123" s="39"/>
      <c r="F123" s="39"/>
      <c r="G123" s="39"/>
      <c r="H123" s="39"/>
      <c r="I123" s="39"/>
      <c r="J123" s="39"/>
      <c r="K123" s="39"/>
      <c r="L123" s="39"/>
      <c r="M123" s="39"/>
      <c r="N123" s="39"/>
      <c r="O123" s="39"/>
      <c r="P123" s="39"/>
      <c r="Q123" s="39"/>
    </row>
    <row r="124" spans="1:17" x14ac:dyDescent="0.15">
      <c r="A124" s="30" t="s">
        <v>160</v>
      </c>
      <c r="B124" s="39"/>
      <c r="C124" s="39"/>
      <c r="D124" s="39"/>
      <c r="E124" s="39"/>
      <c r="F124" s="39"/>
      <c r="G124" s="39"/>
      <c r="H124" s="39"/>
      <c r="I124" s="39"/>
      <c r="J124" s="39"/>
      <c r="K124" s="39"/>
      <c r="L124" s="39"/>
      <c r="M124" s="39"/>
      <c r="N124" s="39"/>
      <c r="O124" s="39"/>
      <c r="P124" s="39"/>
      <c r="Q124" s="39"/>
    </row>
    <row r="125" spans="1:17" x14ac:dyDescent="0.15">
      <c r="A125" s="30" t="s">
        <v>198</v>
      </c>
      <c r="B125" s="39"/>
      <c r="C125" s="39"/>
      <c r="D125" s="39"/>
      <c r="E125" s="39"/>
      <c r="F125" s="39"/>
      <c r="G125" s="39"/>
      <c r="H125" s="39"/>
      <c r="I125" s="39"/>
      <c r="J125" s="39"/>
      <c r="K125" s="39"/>
      <c r="L125" s="39"/>
      <c r="M125" s="39"/>
      <c r="N125" s="39"/>
      <c r="O125" s="39"/>
      <c r="P125" s="39"/>
      <c r="Q125" s="39"/>
    </row>
    <row r="126" spans="1:17" x14ac:dyDescent="0.15">
      <c r="A126" s="30" t="s">
        <v>199</v>
      </c>
      <c r="B126" s="39"/>
      <c r="C126" s="39"/>
      <c r="D126" s="39"/>
      <c r="E126" s="39"/>
      <c r="F126" s="39"/>
      <c r="G126" s="39"/>
      <c r="H126" s="39"/>
      <c r="I126" s="39"/>
      <c r="J126" s="39"/>
      <c r="K126" s="39"/>
      <c r="L126" s="39"/>
      <c r="M126" s="39"/>
      <c r="N126" s="39"/>
      <c r="O126" s="39"/>
      <c r="P126" s="39"/>
      <c r="Q126" s="39"/>
    </row>
    <row r="127" spans="1:17" x14ac:dyDescent="0.15">
      <c r="A127" s="30" t="s">
        <v>161</v>
      </c>
      <c r="B127" s="39"/>
      <c r="C127" s="39"/>
      <c r="D127" s="39"/>
      <c r="E127" s="39"/>
      <c r="F127" s="39"/>
      <c r="G127" s="39"/>
      <c r="H127" s="39"/>
      <c r="I127" s="39"/>
      <c r="J127" s="39"/>
      <c r="K127" s="39"/>
      <c r="L127" s="39"/>
      <c r="M127" s="39"/>
      <c r="N127" s="39"/>
      <c r="O127" s="39"/>
      <c r="P127" s="39"/>
      <c r="Q127" s="39"/>
    </row>
    <row r="128" spans="1:17" x14ac:dyDescent="0.15">
      <c r="A128" s="30" t="s">
        <v>203</v>
      </c>
      <c r="B128" s="39"/>
      <c r="C128" s="39"/>
      <c r="D128" s="39"/>
      <c r="E128" s="39"/>
      <c r="F128" s="39"/>
      <c r="G128" s="39"/>
      <c r="H128" s="39"/>
      <c r="I128" s="39"/>
      <c r="J128" s="39"/>
      <c r="K128" s="39"/>
      <c r="L128" s="39"/>
      <c r="M128" s="39"/>
      <c r="N128" s="39"/>
      <c r="O128" s="39"/>
      <c r="P128" s="39"/>
      <c r="Q128" s="39"/>
    </row>
    <row r="129" spans="1:17" x14ac:dyDescent="0.15">
      <c r="A129" s="30"/>
      <c r="B129" s="39"/>
      <c r="C129" s="39"/>
      <c r="D129" s="39"/>
      <c r="E129" s="39"/>
      <c r="F129" s="39"/>
      <c r="G129" s="39"/>
      <c r="H129" s="39"/>
      <c r="I129" s="39"/>
      <c r="J129" s="39"/>
      <c r="K129" s="39"/>
      <c r="L129" s="39"/>
      <c r="M129" s="39"/>
      <c r="N129" s="39"/>
      <c r="O129" s="39"/>
      <c r="P129" s="39"/>
      <c r="Q129" s="39"/>
    </row>
    <row r="130" spans="1:17" x14ac:dyDescent="0.15">
      <c r="A130" s="30" t="s">
        <v>162</v>
      </c>
      <c r="B130" s="39"/>
      <c r="C130" s="39"/>
      <c r="D130" s="39"/>
      <c r="E130" s="39"/>
      <c r="F130" s="39"/>
      <c r="G130" s="39"/>
      <c r="H130" s="39"/>
      <c r="I130" s="39"/>
      <c r="J130" s="39"/>
      <c r="K130" s="39"/>
      <c r="L130" s="39"/>
      <c r="M130" s="39"/>
      <c r="N130" s="39"/>
      <c r="O130" s="39"/>
      <c r="P130" s="39"/>
      <c r="Q130" s="39"/>
    </row>
    <row r="131" spans="1:17" x14ac:dyDescent="0.15">
      <c r="A131" s="30" t="s">
        <v>163</v>
      </c>
      <c r="B131" s="39"/>
      <c r="C131" s="39"/>
      <c r="D131" s="39"/>
      <c r="E131" s="39"/>
      <c r="F131" s="39"/>
      <c r="G131" s="39"/>
      <c r="H131" s="39"/>
      <c r="I131" s="39"/>
      <c r="J131" s="39"/>
      <c r="K131" s="39"/>
      <c r="L131" s="39"/>
      <c r="M131" s="39"/>
      <c r="N131" s="39"/>
      <c r="O131" s="39"/>
      <c r="P131" s="39"/>
      <c r="Q131" s="39"/>
    </row>
    <row r="132" spans="1:17" x14ac:dyDescent="0.15">
      <c r="A132" s="30"/>
      <c r="B132" s="39"/>
      <c r="C132" s="39"/>
      <c r="D132" s="39"/>
      <c r="E132" s="39"/>
      <c r="F132" s="39"/>
      <c r="G132" s="39"/>
      <c r="H132" s="39"/>
      <c r="I132" s="39"/>
      <c r="J132" s="39"/>
      <c r="K132" s="39"/>
      <c r="L132" s="39"/>
      <c r="M132" s="39"/>
      <c r="N132" s="39"/>
      <c r="O132" s="39"/>
      <c r="P132" s="39"/>
      <c r="Q132" s="39"/>
    </row>
    <row r="133" spans="1:17" x14ac:dyDescent="0.15">
      <c r="A133" s="30" t="s">
        <v>164</v>
      </c>
      <c r="B133" s="39"/>
      <c r="C133" s="39"/>
      <c r="D133" s="39"/>
      <c r="E133" s="39"/>
      <c r="F133" s="39"/>
      <c r="G133" s="39"/>
      <c r="H133" s="39"/>
      <c r="I133" s="39"/>
      <c r="J133" s="39"/>
      <c r="K133" s="39"/>
      <c r="L133" s="39"/>
      <c r="M133" s="39"/>
      <c r="N133" s="39"/>
      <c r="O133" s="39"/>
      <c r="P133" s="39"/>
      <c r="Q133" s="39"/>
    </row>
    <row r="134" spans="1:17" x14ac:dyDescent="0.15">
      <c r="A134" s="30" t="s">
        <v>200</v>
      </c>
      <c r="B134" s="39"/>
      <c r="C134" s="39"/>
      <c r="D134" s="39"/>
      <c r="E134" s="39"/>
      <c r="F134" s="39"/>
      <c r="G134" s="39"/>
      <c r="H134" s="39"/>
      <c r="I134" s="39"/>
      <c r="J134" s="39"/>
      <c r="K134" s="39"/>
      <c r="L134" s="39"/>
      <c r="M134" s="39"/>
      <c r="N134" s="39"/>
      <c r="O134" s="39"/>
      <c r="P134" s="39"/>
      <c r="Q134" s="39"/>
    </row>
    <row r="135" spans="1:17" x14ac:dyDescent="0.15">
      <c r="A135" s="30" t="s">
        <v>165</v>
      </c>
      <c r="B135" s="39"/>
      <c r="C135" s="39"/>
      <c r="D135" s="39"/>
      <c r="E135" s="39"/>
      <c r="F135" s="39"/>
      <c r="G135" s="39"/>
      <c r="H135" s="39"/>
      <c r="I135" s="39"/>
      <c r="J135" s="39"/>
      <c r="K135" s="39"/>
      <c r="L135" s="39"/>
      <c r="M135" s="39"/>
      <c r="N135" s="39"/>
      <c r="O135" s="39"/>
      <c r="P135" s="39"/>
      <c r="Q135" s="39"/>
    </row>
    <row r="136" spans="1:17" x14ac:dyDescent="0.15">
      <c r="A136" s="30" t="s">
        <v>166</v>
      </c>
      <c r="B136" s="39"/>
      <c r="C136" s="39"/>
      <c r="D136" s="39"/>
      <c r="E136" s="39"/>
      <c r="F136" s="39"/>
      <c r="G136" s="39"/>
      <c r="H136" s="39"/>
      <c r="I136" s="39"/>
      <c r="J136" s="39"/>
      <c r="K136" s="39"/>
      <c r="L136" s="39"/>
      <c r="M136" s="39"/>
      <c r="N136" s="39"/>
      <c r="O136" s="39"/>
      <c r="P136" s="39"/>
      <c r="Q136" s="39"/>
    </row>
    <row r="137" spans="1:17" x14ac:dyDescent="0.15">
      <c r="A137" s="30" t="s">
        <v>167</v>
      </c>
      <c r="B137" s="39"/>
      <c r="C137" s="39"/>
      <c r="D137" s="39"/>
      <c r="E137" s="39"/>
      <c r="F137" s="39"/>
      <c r="G137" s="39"/>
      <c r="H137" s="39"/>
      <c r="I137" s="39"/>
      <c r="J137" s="39"/>
      <c r="K137" s="39"/>
      <c r="L137" s="39"/>
      <c r="M137" s="39"/>
      <c r="N137" s="39"/>
      <c r="O137" s="39"/>
      <c r="P137" s="39"/>
      <c r="Q137" s="39"/>
    </row>
    <row r="138" spans="1:17" x14ac:dyDescent="0.15">
      <c r="A138" s="30" t="s">
        <v>168</v>
      </c>
      <c r="B138" s="39"/>
      <c r="C138" s="39"/>
      <c r="D138" s="39"/>
      <c r="E138" s="39"/>
      <c r="F138" s="39"/>
      <c r="G138" s="39"/>
      <c r="H138" s="39"/>
      <c r="I138" s="39"/>
      <c r="J138" s="39"/>
      <c r="K138" s="39"/>
      <c r="L138" s="39"/>
      <c r="M138" s="39"/>
      <c r="N138" s="39"/>
      <c r="O138" s="39"/>
      <c r="P138" s="39"/>
      <c r="Q138" s="39"/>
    </row>
    <row r="139" spans="1:17" x14ac:dyDescent="0.15">
      <c r="A139" s="30" t="s">
        <v>169</v>
      </c>
      <c r="B139" s="39"/>
      <c r="C139" s="39"/>
      <c r="D139" s="39"/>
      <c r="E139" s="39"/>
      <c r="F139" s="39"/>
      <c r="G139" s="39"/>
      <c r="H139" s="39"/>
      <c r="I139" s="39"/>
      <c r="J139" s="39"/>
      <c r="K139" s="39"/>
      <c r="L139" s="39"/>
      <c r="M139" s="39"/>
      <c r="N139" s="39"/>
      <c r="O139" s="39"/>
      <c r="P139" s="39"/>
      <c r="Q139" s="39"/>
    </row>
    <row r="140" spans="1:17" x14ac:dyDescent="0.15">
      <c r="A140" s="30"/>
      <c r="B140" s="39"/>
      <c r="C140" s="39"/>
      <c r="D140" s="39"/>
      <c r="E140" s="39"/>
      <c r="F140" s="39"/>
      <c r="G140" s="39"/>
      <c r="H140" s="39"/>
      <c r="I140" s="39"/>
      <c r="J140" s="39"/>
      <c r="K140" s="39"/>
      <c r="L140" s="39"/>
      <c r="M140" s="39"/>
      <c r="N140" s="39"/>
      <c r="O140" s="39"/>
      <c r="P140" s="39"/>
      <c r="Q140" s="39"/>
    </row>
    <row r="141" spans="1:17" x14ac:dyDescent="0.15">
      <c r="A141" s="30" t="s">
        <v>170</v>
      </c>
      <c r="B141" s="39"/>
      <c r="C141" s="39"/>
      <c r="D141" s="39"/>
      <c r="E141" s="39"/>
      <c r="F141" s="39"/>
      <c r="G141" s="39"/>
      <c r="H141" s="39"/>
      <c r="I141" s="39"/>
      <c r="J141" s="39"/>
      <c r="K141" s="39"/>
      <c r="L141" s="39"/>
      <c r="M141" s="39"/>
      <c r="N141" s="39"/>
      <c r="O141" s="39"/>
      <c r="P141" s="39"/>
      <c r="Q141" s="39"/>
    </row>
    <row r="142" spans="1:17" x14ac:dyDescent="0.15">
      <c r="A142" s="30" t="s">
        <v>171</v>
      </c>
      <c r="B142" s="39"/>
      <c r="C142" s="39"/>
      <c r="D142" s="39"/>
      <c r="E142" s="39"/>
      <c r="F142" s="39"/>
      <c r="G142" s="39"/>
      <c r="H142" s="39"/>
      <c r="I142" s="39"/>
      <c r="J142" s="39"/>
      <c r="K142" s="39"/>
      <c r="L142" s="39"/>
      <c r="M142" s="39"/>
      <c r="N142" s="39"/>
      <c r="O142" s="39"/>
      <c r="P142" s="39"/>
      <c r="Q142" s="39"/>
    </row>
    <row r="143" spans="1:17" x14ac:dyDescent="0.15">
      <c r="A143" s="30"/>
      <c r="B143" s="39"/>
      <c r="C143" s="39"/>
      <c r="D143" s="39"/>
      <c r="E143" s="39"/>
      <c r="F143" s="39"/>
      <c r="G143" s="39"/>
      <c r="H143" s="39"/>
      <c r="I143" s="39"/>
      <c r="J143" s="39"/>
      <c r="K143" s="39"/>
      <c r="L143" s="39"/>
      <c r="M143" s="39"/>
      <c r="N143" s="39"/>
      <c r="O143" s="39"/>
      <c r="P143" s="39"/>
      <c r="Q143" s="39"/>
    </row>
    <row r="144" spans="1:17" x14ac:dyDescent="0.15">
      <c r="A144" s="30" t="s">
        <v>172</v>
      </c>
      <c r="B144" s="39"/>
      <c r="C144" s="39"/>
      <c r="D144" s="39"/>
      <c r="E144" s="39"/>
      <c r="F144" s="39"/>
      <c r="G144" s="39"/>
      <c r="H144" s="39"/>
      <c r="I144" s="39"/>
      <c r="J144" s="39"/>
      <c r="K144" s="39"/>
      <c r="L144" s="39"/>
      <c r="M144" s="39"/>
      <c r="N144" s="39"/>
      <c r="O144" s="39"/>
      <c r="P144" s="39"/>
      <c r="Q144" s="39"/>
    </row>
    <row r="145" spans="1:17" x14ac:dyDescent="0.15">
      <c r="A145" s="30" t="s">
        <v>173</v>
      </c>
      <c r="B145" s="39"/>
      <c r="C145" s="39"/>
      <c r="D145" s="39"/>
      <c r="E145" s="39"/>
      <c r="F145" s="39"/>
      <c r="G145" s="39"/>
      <c r="H145" s="39"/>
      <c r="I145" s="39"/>
      <c r="J145" s="39"/>
      <c r="K145" s="39"/>
      <c r="L145" s="39"/>
      <c r="M145" s="39"/>
      <c r="N145" s="39"/>
      <c r="O145" s="39"/>
      <c r="P145" s="39"/>
      <c r="Q145" s="39"/>
    </row>
    <row r="146" spans="1:17" x14ac:dyDescent="0.15">
      <c r="A146" s="30" t="s">
        <v>174</v>
      </c>
      <c r="B146" s="39"/>
      <c r="C146" s="39"/>
      <c r="D146" s="39"/>
      <c r="E146" s="39"/>
      <c r="F146" s="39"/>
      <c r="G146" s="39"/>
      <c r="H146" s="39"/>
      <c r="I146" s="39"/>
      <c r="J146" s="39"/>
      <c r="K146" s="39"/>
      <c r="L146" s="39"/>
      <c r="M146" s="39"/>
      <c r="N146" s="39"/>
      <c r="O146" s="39"/>
      <c r="P146" s="39"/>
      <c r="Q146" s="39"/>
    </row>
    <row r="147" spans="1:17" x14ac:dyDescent="0.15">
      <c r="A147" s="30" t="s">
        <v>175</v>
      </c>
      <c r="B147" s="39"/>
      <c r="C147" s="39"/>
      <c r="D147" s="39"/>
      <c r="E147" s="39"/>
      <c r="F147" s="39"/>
      <c r="G147" s="39"/>
      <c r="H147" s="39"/>
      <c r="I147" s="39"/>
      <c r="J147" s="39"/>
      <c r="K147" s="39"/>
      <c r="L147" s="39"/>
      <c r="M147" s="39"/>
      <c r="N147" s="39"/>
      <c r="O147" s="39"/>
      <c r="P147" s="39"/>
      <c r="Q147" s="39"/>
    </row>
    <row r="148" spans="1:17" x14ac:dyDescent="0.15">
      <c r="A148" s="30" t="s">
        <v>176</v>
      </c>
      <c r="B148" s="39"/>
      <c r="C148" s="39"/>
      <c r="D148" s="39"/>
      <c r="E148" s="39"/>
      <c r="F148" s="39"/>
      <c r="G148" s="39"/>
      <c r="H148" s="39"/>
      <c r="I148" s="39"/>
      <c r="J148" s="39"/>
      <c r="K148" s="39"/>
      <c r="L148" s="39"/>
      <c r="M148" s="39"/>
      <c r="N148" s="39"/>
      <c r="O148" s="39"/>
      <c r="P148" s="39"/>
      <c r="Q148" s="39"/>
    </row>
    <row r="149" spans="1:17" x14ac:dyDescent="0.15">
      <c r="A149" s="30"/>
      <c r="B149" s="39"/>
      <c r="C149" s="39"/>
      <c r="D149" s="39"/>
      <c r="E149" s="39"/>
      <c r="F149" s="39"/>
      <c r="G149" s="39"/>
      <c r="H149" s="39"/>
      <c r="I149" s="39"/>
      <c r="J149" s="39"/>
      <c r="K149" s="39"/>
      <c r="L149" s="39"/>
      <c r="M149" s="39"/>
      <c r="N149" s="39"/>
      <c r="O149" s="39"/>
      <c r="P149" s="39"/>
      <c r="Q149" s="39"/>
    </row>
    <row r="150" spans="1:17" x14ac:dyDescent="0.15">
      <c r="A150" s="30" t="s">
        <v>177</v>
      </c>
      <c r="B150" s="39"/>
      <c r="C150" s="39"/>
      <c r="D150" s="39"/>
      <c r="E150" s="39"/>
      <c r="F150" s="39"/>
      <c r="G150" s="39"/>
      <c r="H150" s="39"/>
      <c r="I150" s="39"/>
      <c r="J150" s="39"/>
      <c r="K150" s="39"/>
      <c r="L150" s="39"/>
      <c r="M150" s="39"/>
      <c r="N150" s="39"/>
      <c r="O150" s="39"/>
      <c r="P150" s="39"/>
      <c r="Q150" s="39"/>
    </row>
    <row r="151" spans="1:17" x14ac:dyDescent="0.15">
      <c r="A151" s="30" t="s">
        <v>214</v>
      </c>
      <c r="B151" s="39"/>
      <c r="C151" s="39"/>
      <c r="D151" s="39"/>
      <c r="E151" s="39"/>
      <c r="F151" s="39"/>
      <c r="G151" s="39"/>
      <c r="H151" s="39"/>
      <c r="I151" s="39"/>
      <c r="J151" s="39"/>
      <c r="K151" s="39"/>
      <c r="L151" s="39"/>
      <c r="M151" s="39"/>
      <c r="N151" s="39"/>
      <c r="O151" s="39"/>
      <c r="P151" s="39"/>
      <c r="Q151" s="39"/>
    </row>
    <row r="152" spans="1:17" x14ac:dyDescent="0.15">
      <c r="A152" s="30"/>
      <c r="B152" s="39"/>
      <c r="C152" s="39"/>
      <c r="D152" s="39"/>
      <c r="E152" s="39"/>
      <c r="F152" s="39"/>
      <c r="G152" s="39"/>
      <c r="H152" s="39"/>
      <c r="I152" s="39"/>
      <c r="J152" s="39"/>
      <c r="K152" s="39"/>
      <c r="L152" s="39"/>
      <c r="M152" s="39"/>
      <c r="N152" s="39"/>
      <c r="O152" s="39"/>
      <c r="P152" s="39"/>
      <c r="Q152" s="39"/>
    </row>
    <row r="153" spans="1:17" x14ac:dyDescent="0.15">
      <c r="A153" s="30" t="s">
        <v>178</v>
      </c>
      <c r="B153" s="39"/>
      <c r="C153" s="39"/>
      <c r="D153" s="39"/>
      <c r="E153" s="39"/>
      <c r="F153" s="39"/>
      <c r="G153" s="39"/>
      <c r="H153" s="39"/>
      <c r="I153" s="39"/>
      <c r="J153" s="39"/>
      <c r="K153" s="39"/>
      <c r="L153" s="39"/>
      <c r="M153" s="39"/>
      <c r="N153" s="39"/>
      <c r="O153" s="39"/>
      <c r="P153" s="39"/>
      <c r="Q153" s="39"/>
    </row>
    <row r="154" spans="1:17" x14ac:dyDescent="0.15">
      <c r="A154" s="30" t="s">
        <v>179</v>
      </c>
      <c r="B154" s="39"/>
      <c r="C154" s="39"/>
      <c r="D154" s="39"/>
      <c r="E154" s="39"/>
      <c r="F154" s="39"/>
      <c r="G154" s="39"/>
      <c r="H154" s="39"/>
      <c r="I154" s="39"/>
      <c r="J154" s="39"/>
      <c r="K154" s="39"/>
      <c r="L154" s="39"/>
      <c r="M154" s="39"/>
      <c r="N154" s="39"/>
      <c r="O154" s="39"/>
      <c r="P154" s="39"/>
      <c r="Q154" s="39"/>
    </row>
    <row r="155" spans="1:17" x14ac:dyDescent="0.15">
      <c r="A155" s="30" t="s">
        <v>180</v>
      </c>
      <c r="B155" s="39"/>
      <c r="C155" s="39"/>
      <c r="D155" s="39"/>
      <c r="E155" s="39"/>
      <c r="F155" s="39"/>
      <c r="G155" s="39"/>
      <c r="H155" s="39"/>
      <c r="I155" s="39"/>
      <c r="J155" s="39"/>
      <c r="K155" s="39"/>
      <c r="L155" s="39"/>
      <c r="M155" s="39"/>
      <c r="N155" s="39"/>
      <c r="O155" s="39"/>
      <c r="P155" s="39"/>
      <c r="Q155" s="39"/>
    </row>
    <row r="156" spans="1:17" x14ac:dyDescent="0.15">
      <c r="A156" s="30" t="s">
        <v>212</v>
      </c>
      <c r="B156" s="39"/>
      <c r="C156" s="39"/>
      <c r="D156" s="39"/>
      <c r="E156" s="39"/>
      <c r="F156" s="39"/>
      <c r="G156" s="39"/>
      <c r="H156" s="39"/>
      <c r="I156" s="39"/>
      <c r="J156" s="39"/>
      <c r="K156" s="39"/>
      <c r="L156" s="39"/>
      <c r="M156" s="39"/>
      <c r="N156" s="39"/>
      <c r="O156" s="39"/>
      <c r="P156" s="39"/>
      <c r="Q156" s="39"/>
    </row>
    <row r="157" spans="1:17" x14ac:dyDescent="0.15">
      <c r="A157" s="30" t="s">
        <v>181</v>
      </c>
      <c r="B157" s="39"/>
      <c r="C157" s="39"/>
      <c r="D157" s="39"/>
      <c r="E157" s="39"/>
      <c r="F157" s="39"/>
      <c r="G157" s="39"/>
      <c r="H157" s="39"/>
      <c r="I157" s="39"/>
      <c r="J157" s="39"/>
      <c r="K157" s="39"/>
      <c r="L157" s="39"/>
      <c r="M157" s="39"/>
      <c r="N157" s="39"/>
      <c r="O157" s="39"/>
      <c r="P157" s="39"/>
      <c r="Q157" s="39"/>
    </row>
    <row r="158" spans="1:17" x14ac:dyDescent="0.15">
      <c r="A158" s="30" t="s">
        <v>213</v>
      </c>
      <c r="B158" s="39"/>
      <c r="C158" s="39"/>
      <c r="D158" s="39"/>
      <c r="E158" s="39"/>
      <c r="F158" s="39"/>
      <c r="G158" s="39"/>
      <c r="H158" s="39"/>
      <c r="I158" s="39"/>
      <c r="J158" s="39"/>
      <c r="K158" s="39"/>
      <c r="L158" s="39"/>
      <c r="M158" s="39"/>
      <c r="N158" s="39"/>
      <c r="O158" s="39"/>
      <c r="P158" s="39"/>
      <c r="Q158" s="39"/>
    </row>
    <row r="159" spans="1:17" x14ac:dyDescent="0.15">
      <c r="A159" s="30"/>
      <c r="B159" s="39"/>
      <c r="C159" s="39"/>
      <c r="D159" s="39"/>
      <c r="E159" s="39"/>
      <c r="F159" s="39"/>
      <c r="G159" s="39"/>
      <c r="H159" s="39"/>
      <c r="I159" s="39"/>
      <c r="J159" s="39"/>
      <c r="K159" s="39"/>
      <c r="L159" s="39"/>
      <c r="M159" s="39"/>
      <c r="N159" s="39"/>
      <c r="O159" s="39"/>
      <c r="P159" s="39"/>
      <c r="Q159" s="39"/>
    </row>
    <row r="160" spans="1:17" x14ac:dyDescent="0.15">
      <c r="A160" s="30" t="s">
        <v>182</v>
      </c>
      <c r="B160" s="39"/>
      <c r="C160" s="39"/>
      <c r="D160" s="39"/>
      <c r="E160" s="39"/>
      <c r="F160" s="39"/>
      <c r="G160" s="39"/>
      <c r="H160" s="39"/>
      <c r="I160" s="39"/>
      <c r="J160" s="39"/>
      <c r="K160" s="39"/>
      <c r="L160" s="39"/>
      <c r="M160" s="39"/>
      <c r="N160" s="39"/>
      <c r="O160" s="39"/>
      <c r="P160" s="39"/>
      <c r="Q160" s="39"/>
    </row>
    <row r="161" spans="1:17" x14ac:dyDescent="0.15">
      <c r="A161" s="30" t="s">
        <v>202</v>
      </c>
      <c r="B161" s="39"/>
      <c r="C161" s="39"/>
      <c r="D161" s="39"/>
      <c r="E161" s="39"/>
      <c r="F161" s="39"/>
      <c r="G161" s="39"/>
      <c r="H161" s="39"/>
      <c r="I161" s="39"/>
      <c r="J161" s="39"/>
      <c r="K161" s="39"/>
      <c r="L161" s="39"/>
      <c r="M161" s="39"/>
      <c r="N161" s="39"/>
      <c r="O161" s="39"/>
      <c r="P161" s="39"/>
      <c r="Q161" s="39"/>
    </row>
    <row r="162" spans="1:17" x14ac:dyDescent="0.15">
      <c r="A162" s="30"/>
      <c r="B162" s="39"/>
      <c r="C162" s="39"/>
      <c r="D162" s="39"/>
      <c r="E162" s="39"/>
      <c r="F162" s="39"/>
      <c r="G162" s="39"/>
      <c r="H162" s="39"/>
      <c r="I162" s="39"/>
      <c r="J162" s="39"/>
      <c r="K162" s="39"/>
      <c r="L162" s="39"/>
      <c r="M162" s="39"/>
      <c r="N162" s="39"/>
      <c r="O162" s="39"/>
      <c r="P162" s="39"/>
      <c r="Q162" s="39"/>
    </row>
    <row r="163" spans="1:17" x14ac:dyDescent="0.15">
      <c r="A163" s="30" t="s">
        <v>183</v>
      </c>
      <c r="B163" s="39"/>
      <c r="C163" s="39"/>
      <c r="D163" s="39"/>
      <c r="E163" s="39"/>
      <c r="F163" s="39"/>
      <c r="G163" s="39"/>
      <c r="H163" s="39"/>
      <c r="I163" s="39"/>
      <c r="J163" s="39"/>
      <c r="K163" s="39"/>
      <c r="L163" s="39"/>
      <c r="M163" s="39"/>
      <c r="N163" s="39"/>
      <c r="O163" s="39"/>
      <c r="P163" s="39"/>
      <c r="Q163" s="39"/>
    </row>
    <row r="164" spans="1:17" x14ac:dyDescent="0.15">
      <c r="A164" s="30" t="s">
        <v>184</v>
      </c>
      <c r="B164" s="39"/>
      <c r="C164" s="39"/>
      <c r="D164" s="39"/>
      <c r="E164" s="39"/>
      <c r="F164" s="39"/>
      <c r="G164" s="39"/>
      <c r="H164" s="39"/>
      <c r="I164" s="39"/>
      <c r="J164" s="39"/>
      <c r="K164" s="39"/>
      <c r="L164" s="39"/>
      <c r="M164" s="39"/>
      <c r="N164" s="39"/>
      <c r="O164" s="39"/>
      <c r="P164" s="39"/>
      <c r="Q164" s="39"/>
    </row>
    <row r="165" spans="1:17" x14ac:dyDescent="0.15">
      <c r="A165" s="30" t="s">
        <v>185</v>
      </c>
      <c r="B165" s="39"/>
      <c r="C165" s="39"/>
      <c r="D165" s="39"/>
      <c r="E165" s="39"/>
      <c r="F165" s="39"/>
      <c r="G165" s="39"/>
      <c r="H165" s="39"/>
      <c r="I165" s="39"/>
      <c r="J165" s="39"/>
      <c r="K165" s="39"/>
      <c r="L165" s="39"/>
      <c r="M165" s="39"/>
      <c r="N165" s="39"/>
      <c r="O165" s="39"/>
      <c r="P165" s="39"/>
      <c r="Q165" s="39"/>
    </row>
    <row r="166" spans="1:17" x14ac:dyDescent="0.15">
      <c r="A166" s="30" t="s">
        <v>186</v>
      </c>
      <c r="B166" s="39"/>
      <c r="C166" s="39"/>
      <c r="D166" s="39"/>
      <c r="E166" s="39"/>
      <c r="F166" s="39"/>
      <c r="G166" s="39"/>
      <c r="H166" s="39"/>
      <c r="I166" s="39"/>
      <c r="J166" s="39"/>
      <c r="K166" s="39"/>
      <c r="L166" s="39"/>
      <c r="M166" s="39"/>
      <c r="N166" s="39"/>
      <c r="O166" s="39"/>
      <c r="P166" s="39"/>
      <c r="Q166" s="39"/>
    </row>
    <row r="167" spans="1:17" x14ac:dyDescent="0.15">
      <c r="A167" s="30" t="s">
        <v>187</v>
      </c>
      <c r="B167" s="39"/>
      <c r="C167" s="39"/>
      <c r="D167" s="39"/>
      <c r="E167" s="39"/>
      <c r="F167" s="39"/>
      <c r="G167" s="39"/>
      <c r="H167" s="39"/>
      <c r="I167" s="39"/>
      <c r="J167" s="39"/>
      <c r="K167" s="39"/>
      <c r="L167" s="39"/>
      <c r="M167" s="39"/>
      <c r="N167" s="39"/>
      <c r="O167" s="39"/>
      <c r="P167" s="39"/>
      <c r="Q167" s="39"/>
    </row>
    <row r="168" spans="1:17" x14ac:dyDescent="0.15">
      <c r="A168" s="30" t="s">
        <v>188</v>
      </c>
      <c r="B168" s="39"/>
      <c r="C168" s="39"/>
      <c r="D168" s="39"/>
      <c r="E168" s="39"/>
      <c r="F168" s="39"/>
      <c r="G168" s="39"/>
      <c r="H168" s="39"/>
      <c r="I168" s="39"/>
      <c r="J168" s="39"/>
      <c r="K168" s="39"/>
      <c r="L168" s="39"/>
      <c r="M168" s="39"/>
      <c r="N168" s="39"/>
      <c r="O168" s="39"/>
      <c r="P168" s="39"/>
      <c r="Q168" s="39"/>
    </row>
    <row r="169" spans="1:17" x14ac:dyDescent="0.15">
      <c r="A169" s="30" t="s">
        <v>189</v>
      </c>
      <c r="B169" s="39"/>
      <c r="C169" s="39"/>
      <c r="D169" s="39"/>
      <c r="E169" s="39"/>
      <c r="F169" s="39"/>
      <c r="G169" s="39"/>
      <c r="H169" s="39"/>
      <c r="I169" s="39"/>
      <c r="J169" s="39"/>
      <c r="K169" s="39"/>
      <c r="L169" s="39"/>
      <c r="M169" s="39"/>
      <c r="N169" s="39"/>
      <c r="O169" s="39"/>
      <c r="P169" s="39"/>
      <c r="Q169" s="39"/>
    </row>
    <row r="170" spans="1:17" x14ac:dyDescent="0.15">
      <c r="A170" s="31"/>
    </row>
    <row r="171" spans="1:17" x14ac:dyDescent="0.15">
      <c r="A171" s="31"/>
    </row>
    <row r="172" spans="1:17" x14ac:dyDescent="0.15">
      <c r="A172" s="31"/>
    </row>
    <row r="173" spans="1:17" x14ac:dyDescent="0.15">
      <c r="A173" s="31"/>
    </row>
    <row r="174" spans="1:17" x14ac:dyDescent="0.15">
      <c r="A174" s="31"/>
    </row>
    <row r="175" spans="1:17" x14ac:dyDescent="0.15">
      <c r="A175" s="31"/>
    </row>
    <row r="176" spans="1:17" x14ac:dyDescent="0.15">
      <c r="A176" s="31"/>
    </row>
    <row r="177" spans="1:1" x14ac:dyDescent="0.15">
      <c r="A177" s="31"/>
    </row>
    <row r="178" spans="1:1" x14ac:dyDescent="0.15">
      <c r="A178" s="31"/>
    </row>
    <row r="179" spans="1:1" x14ac:dyDescent="0.15">
      <c r="A179" s="31"/>
    </row>
    <row r="180" spans="1:1" x14ac:dyDescent="0.15">
      <c r="A180" s="31"/>
    </row>
    <row r="181" spans="1:1" x14ac:dyDescent="0.15">
      <c r="A181" s="31"/>
    </row>
    <row r="182" spans="1:1" x14ac:dyDescent="0.15">
      <c r="A182" s="31"/>
    </row>
    <row r="183" spans="1:1" x14ac:dyDescent="0.15">
      <c r="A183" s="31"/>
    </row>
    <row r="184" spans="1:1" x14ac:dyDescent="0.15">
      <c r="A184" s="31"/>
    </row>
    <row r="185" spans="1:1" x14ac:dyDescent="0.15">
      <c r="A185" s="31"/>
    </row>
    <row r="186" spans="1:1" x14ac:dyDescent="0.15">
      <c r="A186" s="31"/>
    </row>
    <row r="187" spans="1:1" x14ac:dyDescent="0.15">
      <c r="A187" s="31"/>
    </row>
    <row r="188" spans="1:1" x14ac:dyDescent="0.15">
      <c r="A188" s="31"/>
    </row>
    <row r="189" spans="1:1" x14ac:dyDescent="0.15">
      <c r="A189" s="31"/>
    </row>
    <row r="190" spans="1:1" x14ac:dyDescent="0.15">
      <c r="A190" s="31"/>
    </row>
    <row r="191" spans="1:1" x14ac:dyDescent="0.15">
      <c r="A191" s="31"/>
    </row>
    <row r="192" spans="1:1" x14ac:dyDescent="0.15">
      <c r="A192" s="31"/>
    </row>
    <row r="193" spans="1:1" x14ac:dyDescent="0.15">
      <c r="A193" s="31"/>
    </row>
    <row r="194" spans="1:1" x14ac:dyDescent="0.15">
      <c r="A194" s="31"/>
    </row>
    <row r="195" spans="1:1" x14ac:dyDescent="0.15">
      <c r="A195" s="31"/>
    </row>
    <row r="196" spans="1:1" x14ac:dyDescent="0.15">
      <c r="A196" s="31"/>
    </row>
    <row r="197" spans="1:1" x14ac:dyDescent="0.15">
      <c r="A197" s="31"/>
    </row>
  </sheetData>
  <mergeCells count="4">
    <mergeCell ref="A1:B1"/>
    <mergeCell ref="A3:B3"/>
    <mergeCell ref="B19:B21"/>
    <mergeCell ref="B22:B24"/>
  </mergeCells>
  <phoneticPr fontId="3"/>
  <pageMargins left="0.7" right="0.7" top="0.75" bottom="0.75" header="0.3" footer="0.3"/>
  <pageSetup paperSize="9" orientation="portrait" horizontalDpi="20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3:W147"/>
  <sheetViews>
    <sheetView showGridLines="0" workbookViewId="0">
      <selection activeCell="N23" sqref="N23"/>
    </sheetView>
  </sheetViews>
  <sheetFormatPr baseColWidth="12" defaultColWidth="13" defaultRowHeight="15" x14ac:dyDescent="0.15"/>
  <cols>
    <col min="1" max="3" width="3.83203125" customWidth="1"/>
    <col min="4" max="4" width="10.1640625" customWidth="1"/>
    <col min="5" max="5" width="9" customWidth="1"/>
    <col min="6" max="6" width="17.33203125" bestFit="1" customWidth="1"/>
    <col min="7" max="7" width="9.6640625" bestFit="1" customWidth="1"/>
    <col min="8" max="8" width="6.33203125" bestFit="1" customWidth="1"/>
    <col min="9" max="9" width="4.6640625" customWidth="1"/>
    <col min="10" max="10" width="17.33203125" bestFit="1" customWidth="1"/>
    <col min="11" max="11" width="9.6640625" bestFit="1" customWidth="1"/>
    <col min="12" max="12" width="6.33203125" bestFit="1" customWidth="1"/>
    <col min="13" max="13" width="4.6640625" customWidth="1"/>
    <col min="15" max="15" width="9.6640625" bestFit="1" customWidth="1"/>
    <col min="16" max="16" width="6.33203125" bestFit="1" customWidth="1"/>
    <col min="17" max="17" width="7.1640625" customWidth="1"/>
    <col min="19" max="19" width="4.6640625" customWidth="1"/>
    <col min="20" max="20" width="18.1640625" customWidth="1"/>
    <col min="21" max="21" width="9.6640625" bestFit="1" customWidth="1"/>
    <col min="22" max="22" width="6.33203125" bestFit="1" customWidth="1"/>
    <col min="23" max="23" width="7.1640625" customWidth="1"/>
  </cols>
  <sheetData>
    <row r="3" spans="3:18" x14ac:dyDescent="0.15">
      <c r="C3" t="s">
        <v>45</v>
      </c>
    </row>
    <row r="4" spans="3:18" x14ac:dyDescent="0.15">
      <c r="F4" t="s">
        <v>11</v>
      </c>
      <c r="G4" t="s">
        <v>17</v>
      </c>
      <c r="H4">
        <v>2</v>
      </c>
      <c r="J4" t="s">
        <v>26</v>
      </c>
      <c r="K4" t="s">
        <v>17</v>
      </c>
      <c r="L4">
        <v>2</v>
      </c>
    </row>
    <row r="5" spans="3:18" x14ac:dyDescent="0.15">
      <c r="E5" s="3"/>
      <c r="F5" s="3"/>
      <c r="G5" s="3"/>
      <c r="H5" s="3"/>
      <c r="I5" s="3"/>
    </row>
    <row r="6" spans="3:18" x14ac:dyDescent="0.15">
      <c r="E6" s="4"/>
      <c r="F6" s="4"/>
      <c r="G6" s="4"/>
      <c r="H6" s="4"/>
      <c r="I6" s="4"/>
      <c r="J6" s="4"/>
      <c r="K6" s="4"/>
      <c r="L6" s="4"/>
      <c r="P6" t="s">
        <v>37</v>
      </c>
    </row>
    <row r="7" spans="3:18" x14ac:dyDescent="0.15">
      <c r="F7" s="2" t="s">
        <v>5</v>
      </c>
      <c r="G7" s="2" t="s">
        <v>6</v>
      </c>
      <c r="H7" s="2" t="s">
        <v>7</v>
      </c>
      <c r="J7" s="2" t="s">
        <v>5</v>
      </c>
      <c r="K7" s="2" t="s">
        <v>6</v>
      </c>
      <c r="L7" s="2" t="s">
        <v>7</v>
      </c>
      <c r="P7" t="s">
        <v>39</v>
      </c>
      <c r="R7" t="s">
        <v>31</v>
      </c>
    </row>
    <row r="8" spans="3:18" x14ac:dyDescent="0.15">
      <c r="F8" s="1" t="s">
        <v>2</v>
      </c>
      <c r="G8" s="1">
        <v>2</v>
      </c>
      <c r="H8" s="1">
        <v>4</v>
      </c>
      <c r="J8" s="1" t="s">
        <v>2</v>
      </c>
      <c r="K8" s="1">
        <v>2</v>
      </c>
      <c r="L8" s="1">
        <v>4</v>
      </c>
      <c r="P8" t="s">
        <v>32</v>
      </c>
      <c r="R8" t="s">
        <v>33</v>
      </c>
    </row>
    <row r="9" spans="3:18" x14ac:dyDescent="0.15">
      <c r="F9" s="1" t="s">
        <v>23</v>
      </c>
      <c r="G9" s="1">
        <v>1</v>
      </c>
      <c r="H9" s="1">
        <v>1</v>
      </c>
      <c r="J9" s="1" t="s">
        <v>23</v>
      </c>
      <c r="K9" s="1">
        <v>1</v>
      </c>
      <c r="L9" s="1">
        <v>1</v>
      </c>
      <c r="P9" t="s">
        <v>34</v>
      </c>
      <c r="R9" t="s">
        <v>43</v>
      </c>
    </row>
    <row r="10" spans="3:18" x14ac:dyDescent="0.15">
      <c r="F10" s="1" t="s">
        <v>23</v>
      </c>
      <c r="G10" s="1">
        <v>1</v>
      </c>
      <c r="H10" s="1">
        <v>1</v>
      </c>
      <c r="J10" s="1" t="s">
        <v>23</v>
      </c>
      <c r="K10" s="1">
        <v>1</v>
      </c>
      <c r="L10" s="1">
        <v>1</v>
      </c>
      <c r="P10" t="s">
        <v>35</v>
      </c>
      <c r="R10" t="s">
        <v>36</v>
      </c>
    </row>
    <row r="11" spans="3:18" x14ac:dyDescent="0.15">
      <c r="F11" s="1" t="s">
        <v>25</v>
      </c>
      <c r="G11" s="1">
        <v>1</v>
      </c>
      <c r="H11" s="1">
        <v>2</v>
      </c>
      <c r="J11" s="1" t="s">
        <v>27</v>
      </c>
      <c r="K11" s="1">
        <v>1</v>
      </c>
      <c r="L11" s="1">
        <v>2</v>
      </c>
      <c r="P11" t="s">
        <v>38</v>
      </c>
      <c r="R11" t="s">
        <v>40</v>
      </c>
    </row>
    <row r="12" spans="3:18" x14ac:dyDescent="0.15">
      <c r="F12" s="1" t="s">
        <v>25</v>
      </c>
      <c r="G12" s="1">
        <v>1</v>
      </c>
      <c r="H12" s="1">
        <v>2</v>
      </c>
      <c r="J12" s="1" t="s">
        <v>25</v>
      </c>
      <c r="K12" s="1">
        <v>1</v>
      </c>
      <c r="L12" s="1">
        <v>2</v>
      </c>
      <c r="P12" t="s">
        <v>41</v>
      </c>
      <c r="R12" t="s">
        <v>42</v>
      </c>
    </row>
    <row r="13" spans="3:18" x14ac:dyDescent="0.15">
      <c r="F13" s="72" t="s">
        <v>10</v>
      </c>
      <c r="G13" s="73"/>
      <c r="H13" s="1">
        <f>SUM(H8:H12)</f>
        <v>10</v>
      </c>
      <c r="J13" s="8" t="s">
        <v>10</v>
      </c>
      <c r="K13" s="9"/>
      <c r="L13" s="1">
        <f>SUM(L8:L12)</f>
        <v>10</v>
      </c>
    </row>
    <row r="14" spans="3:18" x14ac:dyDescent="0.15">
      <c r="F14" s="72" t="s">
        <v>19</v>
      </c>
      <c r="G14" s="73"/>
      <c r="H14" s="1">
        <f>VLOOKUP(H$4,player_ranks_old!$A:$D,3,FALSE)</f>
        <v>41</v>
      </c>
      <c r="J14" s="8" t="s">
        <v>19</v>
      </c>
      <c r="K14" s="9"/>
      <c r="L14" s="1">
        <f>VLOOKUP(L$4,player_ranks_old!$A:$D,3,FALSE)</f>
        <v>41</v>
      </c>
    </row>
    <row r="15" spans="3:18" x14ac:dyDescent="0.15">
      <c r="F15" s="72" t="s">
        <v>18</v>
      </c>
      <c r="G15" s="73"/>
      <c r="H15" s="1">
        <f>H14-H13</f>
        <v>31</v>
      </c>
      <c r="J15" s="8" t="s">
        <v>18</v>
      </c>
      <c r="K15" s="9"/>
      <c r="L15" s="1">
        <f>L14-L13</f>
        <v>31</v>
      </c>
    </row>
    <row r="16" spans="3:18" x14ac:dyDescent="0.15">
      <c r="E16" s="3"/>
      <c r="F16" s="3"/>
      <c r="G16" s="3"/>
      <c r="H16" s="3"/>
      <c r="I16" s="3"/>
      <c r="J16" s="3"/>
      <c r="K16" s="3"/>
      <c r="L16" s="3"/>
    </row>
    <row r="17" spans="3:22" x14ac:dyDescent="0.15">
      <c r="E17" s="7"/>
      <c r="F17" s="7"/>
      <c r="G17" s="7"/>
      <c r="H17" s="7"/>
      <c r="I17" s="7"/>
    </row>
    <row r="18" spans="3:22" x14ac:dyDescent="0.15">
      <c r="C18" t="s">
        <v>46</v>
      </c>
      <c r="E18" s="7"/>
      <c r="F18" s="7"/>
      <c r="G18" s="7"/>
      <c r="H18" s="7"/>
      <c r="I18" s="7"/>
    </row>
    <row r="19" spans="3:22" ht="17" x14ac:dyDescent="0.15">
      <c r="F19" s="14" t="s">
        <v>48</v>
      </c>
      <c r="G19" t="s">
        <v>17</v>
      </c>
      <c r="H19">
        <v>2</v>
      </c>
      <c r="J19" s="14" t="s">
        <v>47</v>
      </c>
      <c r="K19" t="s">
        <v>17</v>
      </c>
      <c r="L19">
        <v>2</v>
      </c>
      <c r="T19" s="13" t="s">
        <v>59</v>
      </c>
      <c r="U19" t="s">
        <v>17</v>
      </c>
      <c r="V19">
        <v>2</v>
      </c>
    </row>
    <row r="20" spans="3:22" x14ac:dyDescent="0.15">
      <c r="E20" s="3"/>
      <c r="F20" s="3"/>
      <c r="G20" s="3"/>
      <c r="H20" s="3"/>
      <c r="I20" s="3"/>
      <c r="S20" s="3"/>
    </row>
    <row r="21" spans="3:22" x14ac:dyDescent="0.15">
      <c r="E21" s="4"/>
      <c r="F21" s="4"/>
      <c r="G21" s="4"/>
      <c r="H21" s="4"/>
      <c r="I21" s="4"/>
      <c r="J21" s="4"/>
      <c r="K21" s="4"/>
      <c r="L21" s="4"/>
      <c r="S21" s="4"/>
      <c r="T21" s="4"/>
      <c r="U21" s="4"/>
      <c r="V21" s="4"/>
    </row>
    <row r="22" spans="3:22" x14ac:dyDescent="0.15">
      <c r="F22" s="2" t="s">
        <v>5</v>
      </c>
      <c r="G22" s="2" t="s">
        <v>6</v>
      </c>
      <c r="H22" s="2" t="s">
        <v>7</v>
      </c>
      <c r="J22" s="2" t="s">
        <v>5</v>
      </c>
      <c r="K22" s="2" t="s">
        <v>6</v>
      </c>
      <c r="L22" s="2" t="s">
        <v>7</v>
      </c>
      <c r="T22" s="2" t="s">
        <v>5</v>
      </c>
      <c r="U22" s="2" t="s">
        <v>6</v>
      </c>
      <c r="V22" s="2" t="s">
        <v>7</v>
      </c>
    </row>
    <row r="23" spans="3:22" x14ac:dyDescent="0.15">
      <c r="F23" s="1" t="s">
        <v>2</v>
      </c>
      <c r="G23" s="1">
        <v>2</v>
      </c>
      <c r="H23" s="1">
        <v>4</v>
      </c>
      <c r="J23" s="1" t="s">
        <v>2</v>
      </c>
      <c r="K23" s="1">
        <v>2</v>
      </c>
      <c r="L23" s="1">
        <v>4</v>
      </c>
      <c r="T23" s="1" t="s">
        <v>2</v>
      </c>
      <c r="U23" s="1">
        <v>2</v>
      </c>
      <c r="V23" s="1">
        <v>4</v>
      </c>
    </row>
    <row r="24" spans="3:22" x14ac:dyDescent="0.15">
      <c r="F24" s="1" t="s">
        <v>28</v>
      </c>
      <c r="G24" s="1">
        <v>4</v>
      </c>
      <c r="H24" s="1">
        <v>15</v>
      </c>
      <c r="J24" s="1" t="s">
        <v>28</v>
      </c>
      <c r="K24" s="1">
        <v>5</v>
      </c>
      <c r="L24" s="1">
        <v>20</v>
      </c>
      <c r="T24" s="1" t="s">
        <v>28</v>
      </c>
      <c r="U24" s="1">
        <v>5</v>
      </c>
      <c r="V24" s="1">
        <v>20</v>
      </c>
    </row>
    <row r="25" spans="3:22" x14ac:dyDescent="0.15">
      <c r="F25" s="1" t="s">
        <v>23</v>
      </c>
      <c r="G25" s="1">
        <v>1</v>
      </c>
      <c r="H25" s="1">
        <v>1</v>
      </c>
      <c r="J25" s="1" t="s">
        <v>23</v>
      </c>
      <c r="K25" s="1">
        <v>1</v>
      </c>
      <c r="L25" s="1">
        <v>1</v>
      </c>
      <c r="T25" s="1" t="s">
        <v>28</v>
      </c>
      <c r="U25" s="1">
        <v>3</v>
      </c>
      <c r="V25" s="1">
        <v>10</v>
      </c>
    </row>
    <row r="26" spans="3:22" x14ac:dyDescent="0.15">
      <c r="F26" s="1" t="s">
        <v>25</v>
      </c>
      <c r="G26" s="1">
        <v>1</v>
      </c>
      <c r="H26" s="1">
        <v>2</v>
      </c>
      <c r="J26" s="1" t="s">
        <v>27</v>
      </c>
      <c r="K26" s="1">
        <v>1</v>
      </c>
      <c r="L26" s="1">
        <v>2</v>
      </c>
      <c r="T26" s="1" t="s">
        <v>27</v>
      </c>
      <c r="U26" s="1">
        <v>1</v>
      </c>
      <c r="V26" s="1">
        <v>2</v>
      </c>
    </row>
    <row r="27" spans="3:22" x14ac:dyDescent="0.15">
      <c r="F27" s="1" t="s">
        <v>25</v>
      </c>
      <c r="G27" s="1">
        <v>1</v>
      </c>
      <c r="H27" s="1">
        <v>2</v>
      </c>
      <c r="J27" s="1" t="s">
        <v>25</v>
      </c>
      <c r="K27" s="1">
        <v>1</v>
      </c>
      <c r="L27" s="1">
        <v>2</v>
      </c>
      <c r="T27" s="1" t="s">
        <v>25</v>
      </c>
      <c r="U27" s="1">
        <v>1</v>
      </c>
      <c r="V27" s="1">
        <v>2</v>
      </c>
    </row>
    <row r="28" spans="3:22" x14ac:dyDescent="0.15">
      <c r="F28" s="72" t="s">
        <v>10</v>
      </c>
      <c r="G28" s="73"/>
      <c r="H28" s="1">
        <f>SUM(H23:H27)</f>
        <v>24</v>
      </c>
      <c r="J28" s="8" t="s">
        <v>10</v>
      </c>
      <c r="K28" s="9"/>
      <c r="L28" s="15">
        <f>SUM(L23:L27)</f>
        <v>29</v>
      </c>
      <c r="N28" s="16" t="s">
        <v>29</v>
      </c>
      <c r="T28" s="8" t="s">
        <v>10</v>
      </c>
      <c r="U28" s="9"/>
      <c r="V28" s="15">
        <f>SUM(V23:V27)</f>
        <v>38</v>
      </c>
    </row>
    <row r="29" spans="3:22" x14ac:dyDescent="0.15">
      <c r="F29" s="72" t="s">
        <v>19</v>
      </c>
      <c r="G29" s="73"/>
      <c r="H29" s="1">
        <f>VLOOKUP(H$4,player_ranks_old!$A:$D,3,FALSE)</f>
        <v>41</v>
      </c>
      <c r="J29" s="8" t="s">
        <v>19</v>
      </c>
      <c r="K29" s="9"/>
      <c r="L29" s="1">
        <f>VLOOKUP(L$4,player_ranks_old!$A:$D,3,FALSE)</f>
        <v>41</v>
      </c>
      <c r="N29" t="s">
        <v>30</v>
      </c>
      <c r="T29" s="8" t="s">
        <v>19</v>
      </c>
      <c r="U29" s="9"/>
      <c r="V29" s="1">
        <f>VLOOKUP(V19,player_ranks_old!$A:$D,3,FALSE)</f>
        <v>41</v>
      </c>
    </row>
    <row r="30" spans="3:22" x14ac:dyDescent="0.15">
      <c r="F30" s="72" t="s">
        <v>18</v>
      </c>
      <c r="G30" s="73"/>
      <c r="H30" s="1">
        <f>H29-H28</f>
        <v>17</v>
      </c>
      <c r="J30" s="8" t="s">
        <v>18</v>
      </c>
      <c r="K30" s="9"/>
      <c r="L30" s="1">
        <f>L29-L28</f>
        <v>12</v>
      </c>
      <c r="N30" t="s">
        <v>44</v>
      </c>
      <c r="T30" s="8" t="s">
        <v>18</v>
      </c>
      <c r="U30" s="9"/>
      <c r="V30" s="1">
        <f>V29-V28</f>
        <v>3</v>
      </c>
    </row>
    <row r="31" spans="3:22" x14ac:dyDescent="0.15">
      <c r="E31" s="3"/>
      <c r="F31" s="3"/>
      <c r="G31" s="3"/>
      <c r="H31" s="3"/>
      <c r="I31" s="3"/>
      <c r="J31" s="3"/>
      <c r="K31" s="3"/>
      <c r="L31" s="3"/>
      <c r="S31" s="3"/>
      <c r="T31" s="3"/>
      <c r="U31" s="3"/>
      <c r="V31" s="3"/>
    </row>
    <row r="32" spans="3:22" x14ac:dyDescent="0.15">
      <c r="E32" s="7"/>
      <c r="F32" s="7"/>
      <c r="G32" s="7"/>
      <c r="H32" s="7"/>
      <c r="I32" s="7"/>
      <c r="S32" s="7"/>
    </row>
    <row r="33" spans="3:12" x14ac:dyDescent="0.15">
      <c r="E33" s="7"/>
      <c r="F33" s="7"/>
      <c r="G33" s="7"/>
      <c r="H33" s="7"/>
      <c r="I33" s="7"/>
    </row>
    <row r="34" spans="3:12" x14ac:dyDescent="0.15">
      <c r="E34" s="7"/>
      <c r="F34" s="7"/>
      <c r="G34" s="7"/>
      <c r="H34" s="7"/>
      <c r="I34" s="7"/>
    </row>
    <row r="35" spans="3:12" x14ac:dyDescent="0.15">
      <c r="E35" s="7"/>
      <c r="F35" s="7"/>
      <c r="G35" s="7"/>
      <c r="H35" s="7"/>
      <c r="I35" s="7"/>
    </row>
    <row r="36" spans="3:12" x14ac:dyDescent="0.15">
      <c r="E36" s="7"/>
      <c r="F36" s="7"/>
      <c r="G36" s="7"/>
      <c r="H36" s="7"/>
      <c r="I36" s="7"/>
    </row>
    <row r="37" spans="3:12" x14ac:dyDescent="0.15">
      <c r="E37" s="7"/>
      <c r="F37" s="7"/>
      <c r="G37" s="7"/>
      <c r="H37" s="7"/>
      <c r="I37" s="7"/>
    </row>
    <row r="38" spans="3:12" x14ac:dyDescent="0.15">
      <c r="E38" s="7"/>
      <c r="F38" s="7"/>
      <c r="G38" s="7"/>
      <c r="H38" s="7"/>
      <c r="I38" s="7"/>
    </row>
    <row r="39" spans="3:12" x14ac:dyDescent="0.15">
      <c r="E39" s="7"/>
      <c r="F39" s="7"/>
      <c r="G39" s="7"/>
      <c r="H39" s="7"/>
      <c r="I39" s="7"/>
    </row>
    <row r="40" spans="3:12" x14ac:dyDescent="0.15">
      <c r="E40" s="7"/>
      <c r="F40" s="7"/>
      <c r="G40" s="7"/>
      <c r="H40" s="7"/>
      <c r="I40" s="7"/>
    </row>
    <row r="41" spans="3:12" x14ac:dyDescent="0.15">
      <c r="E41" s="7"/>
      <c r="F41" s="7"/>
      <c r="G41" s="7"/>
      <c r="H41" s="7"/>
      <c r="I41" s="7"/>
    </row>
    <row r="42" spans="3:12" x14ac:dyDescent="0.15">
      <c r="E42" s="7"/>
      <c r="F42" s="7"/>
      <c r="G42" s="7"/>
      <c r="H42" s="7"/>
      <c r="I42" s="7"/>
    </row>
    <row r="43" spans="3:12" x14ac:dyDescent="0.15">
      <c r="E43" s="7"/>
      <c r="F43" s="7"/>
      <c r="G43" s="7"/>
      <c r="H43" s="7"/>
      <c r="I43" s="7"/>
    </row>
    <row r="44" spans="3:12" x14ac:dyDescent="0.15">
      <c r="E44" s="7"/>
      <c r="F44" s="7"/>
      <c r="G44" s="7"/>
      <c r="H44" s="7"/>
      <c r="I44" s="7"/>
    </row>
    <row r="45" spans="3:12" x14ac:dyDescent="0.15">
      <c r="E45" s="7"/>
      <c r="F45" s="7"/>
      <c r="G45" s="7"/>
      <c r="H45" s="7"/>
      <c r="I45" s="7"/>
    </row>
    <row r="46" spans="3:12" x14ac:dyDescent="0.15">
      <c r="E46" s="7"/>
      <c r="F46" s="7"/>
      <c r="G46" s="7"/>
      <c r="H46" s="7"/>
      <c r="I46" s="7"/>
    </row>
    <row r="47" spans="3:12" x14ac:dyDescent="0.15">
      <c r="C47" t="s">
        <v>49</v>
      </c>
      <c r="E47" s="7"/>
    </row>
    <row r="48" spans="3:12" x14ac:dyDescent="0.15">
      <c r="F48" s="19" t="s">
        <v>56</v>
      </c>
      <c r="G48" t="s">
        <v>17</v>
      </c>
      <c r="H48">
        <v>4</v>
      </c>
      <c r="J48" s="13" t="s">
        <v>59</v>
      </c>
      <c r="K48" t="s">
        <v>17</v>
      </c>
      <c r="L48">
        <v>4</v>
      </c>
    </row>
    <row r="49" spans="3:16" x14ac:dyDescent="0.15">
      <c r="E49" s="3"/>
      <c r="I49" s="3"/>
    </row>
    <row r="50" spans="3:16" x14ac:dyDescent="0.15">
      <c r="E50" s="4"/>
      <c r="F50" s="4"/>
      <c r="G50" s="4"/>
      <c r="H50" s="4"/>
      <c r="I50" s="4"/>
      <c r="J50" s="4"/>
      <c r="K50" s="4"/>
      <c r="L50" s="4"/>
    </row>
    <row r="51" spans="3:16" x14ac:dyDescent="0.15">
      <c r="F51" s="2" t="s">
        <v>5</v>
      </c>
      <c r="G51" s="2" t="s">
        <v>6</v>
      </c>
      <c r="H51" s="2" t="s">
        <v>7</v>
      </c>
      <c r="J51" s="2" t="s">
        <v>5</v>
      </c>
      <c r="K51" s="2" t="s">
        <v>6</v>
      </c>
      <c r="L51" s="2" t="s">
        <v>7</v>
      </c>
    </row>
    <row r="52" spans="3:16" x14ac:dyDescent="0.15">
      <c r="F52" s="1" t="s">
        <v>2</v>
      </c>
      <c r="G52" s="1">
        <v>2</v>
      </c>
      <c r="H52" s="1">
        <v>4</v>
      </c>
      <c r="J52" s="1" t="s">
        <v>2</v>
      </c>
      <c r="K52" s="1">
        <v>2</v>
      </c>
      <c r="L52" s="1">
        <v>4</v>
      </c>
    </row>
    <row r="53" spans="3:16" x14ac:dyDescent="0.15">
      <c r="F53" s="1" t="s">
        <v>28</v>
      </c>
      <c r="G53" s="1">
        <v>5</v>
      </c>
      <c r="H53" s="1">
        <v>20</v>
      </c>
      <c r="J53" s="1" t="s">
        <v>28</v>
      </c>
      <c r="K53" s="1">
        <v>5</v>
      </c>
      <c r="L53" s="1">
        <v>20</v>
      </c>
    </row>
    <row r="54" spans="3:16" x14ac:dyDescent="0.15">
      <c r="F54" s="1" t="s">
        <v>50</v>
      </c>
      <c r="G54" s="1">
        <v>1</v>
      </c>
      <c r="H54" s="1">
        <v>1</v>
      </c>
      <c r="J54" s="1" t="s">
        <v>28</v>
      </c>
      <c r="K54" s="1">
        <v>3</v>
      </c>
      <c r="L54" s="1">
        <v>10</v>
      </c>
    </row>
    <row r="55" spans="3:16" x14ac:dyDescent="0.15">
      <c r="F55" s="1" t="s">
        <v>27</v>
      </c>
      <c r="G55" s="1">
        <v>1</v>
      </c>
      <c r="H55" s="1">
        <v>2</v>
      </c>
      <c r="J55" s="1" t="s">
        <v>50</v>
      </c>
      <c r="K55" s="1">
        <v>1</v>
      </c>
      <c r="L55" s="1">
        <v>1</v>
      </c>
    </row>
    <row r="56" spans="3:16" x14ac:dyDescent="0.15">
      <c r="F56" s="1" t="s">
        <v>25</v>
      </c>
      <c r="G56" s="1">
        <v>1</v>
      </c>
      <c r="H56" s="1">
        <v>2</v>
      </c>
      <c r="J56" s="1" t="s">
        <v>25</v>
      </c>
      <c r="K56" s="1">
        <v>1</v>
      </c>
      <c r="L56" s="1">
        <v>2</v>
      </c>
    </row>
    <row r="57" spans="3:16" x14ac:dyDescent="0.15">
      <c r="F57" s="8" t="s">
        <v>10</v>
      </c>
      <c r="G57" s="9"/>
      <c r="H57" s="15">
        <f>SUM(H52:H56)</f>
        <v>29</v>
      </c>
      <c r="J57" s="8" t="s">
        <v>10</v>
      </c>
      <c r="K57" s="9"/>
      <c r="L57" s="15">
        <f>SUM(L52:L56)</f>
        <v>37</v>
      </c>
    </row>
    <row r="58" spans="3:16" x14ac:dyDescent="0.15">
      <c r="F58" s="8" t="s">
        <v>19</v>
      </c>
      <c r="G58" s="9"/>
      <c r="H58" s="1">
        <f>VLOOKUP(H48,player_ranks_old!$A:$D,3,FALSE)</f>
        <v>42</v>
      </c>
      <c r="J58" s="8" t="s">
        <v>19</v>
      </c>
      <c r="K58" s="9"/>
      <c r="L58" s="1">
        <f>VLOOKUP(L48,player_ranks_old!$A:$D,3,FALSE)</f>
        <v>42</v>
      </c>
    </row>
    <row r="59" spans="3:16" x14ac:dyDescent="0.15">
      <c r="F59" s="8" t="s">
        <v>18</v>
      </c>
      <c r="G59" s="9"/>
      <c r="H59" s="1">
        <f>H58-H57</f>
        <v>13</v>
      </c>
      <c r="J59" s="8" t="s">
        <v>18</v>
      </c>
      <c r="K59" s="9"/>
      <c r="L59" s="1">
        <f>L58-L57</f>
        <v>5</v>
      </c>
    </row>
    <row r="60" spans="3:16" x14ac:dyDescent="0.15">
      <c r="E60" s="3"/>
      <c r="F60" s="3"/>
      <c r="G60" s="3"/>
      <c r="H60" s="3"/>
      <c r="I60" s="3"/>
      <c r="J60" s="3"/>
      <c r="K60" s="3"/>
      <c r="L60" s="3"/>
    </row>
    <row r="61" spans="3:16" x14ac:dyDescent="0.15">
      <c r="E61" s="7"/>
      <c r="F61" s="7"/>
      <c r="G61" s="7"/>
      <c r="H61" s="7"/>
      <c r="I61" s="7"/>
    </row>
    <row r="62" spans="3:16" x14ac:dyDescent="0.15">
      <c r="C62" t="s">
        <v>51</v>
      </c>
      <c r="E62" s="7"/>
      <c r="I62" s="7"/>
    </row>
    <row r="63" spans="3:16" ht="17" x14ac:dyDescent="0.15">
      <c r="F63" s="18" t="s">
        <v>53</v>
      </c>
      <c r="G63" t="s">
        <v>17</v>
      </c>
      <c r="H63">
        <v>4</v>
      </c>
      <c r="J63" s="18" t="s">
        <v>54</v>
      </c>
      <c r="K63" t="s">
        <v>17</v>
      </c>
      <c r="L63">
        <v>4</v>
      </c>
      <c r="N63" s="13" t="s">
        <v>59</v>
      </c>
      <c r="O63" t="s">
        <v>17</v>
      </c>
      <c r="P63">
        <v>4</v>
      </c>
    </row>
    <row r="64" spans="3:16" x14ac:dyDescent="0.15">
      <c r="E64" s="3"/>
      <c r="I64" s="3"/>
      <c r="M64" s="3"/>
    </row>
    <row r="65" spans="3:20" x14ac:dyDescent="0.15">
      <c r="E65" s="4"/>
      <c r="F65" s="4"/>
      <c r="G65" s="4"/>
      <c r="H65" s="4"/>
      <c r="I65" s="4"/>
      <c r="J65" s="4"/>
      <c r="K65" s="4"/>
      <c r="L65" s="4"/>
      <c r="M65" s="4"/>
      <c r="N65" s="4"/>
      <c r="O65" s="4"/>
      <c r="P65" s="4"/>
    </row>
    <row r="66" spans="3:20" x14ac:dyDescent="0.15">
      <c r="F66" s="2" t="s">
        <v>5</v>
      </c>
      <c r="G66" s="2" t="s">
        <v>6</v>
      </c>
      <c r="H66" s="2" t="s">
        <v>7</v>
      </c>
      <c r="J66" s="2" t="s">
        <v>5</v>
      </c>
      <c r="K66" s="2" t="s">
        <v>6</v>
      </c>
      <c r="L66" s="2" t="s">
        <v>7</v>
      </c>
      <c r="N66" s="2" t="s">
        <v>5</v>
      </c>
      <c r="O66" s="2" t="s">
        <v>6</v>
      </c>
      <c r="P66" s="2" t="s">
        <v>7</v>
      </c>
    </row>
    <row r="67" spans="3:20" x14ac:dyDescent="0.15">
      <c r="F67" s="1" t="s">
        <v>2</v>
      </c>
      <c r="G67" s="1">
        <v>2</v>
      </c>
      <c r="H67" s="1">
        <v>4</v>
      </c>
      <c r="J67" s="1" t="s">
        <v>2</v>
      </c>
      <c r="K67" s="1">
        <v>2</v>
      </c>
      <c r="L67" s="1">
        <v>4</v>
      </c>
      <c r="N67" s="1" t="s">
        <v>2</v>
      </c>
      <c r="O67" s="1">
        <v>2</v>
      </c>
      <c r="P67" s="1">
        <v>4</v>
      </c>
    </row>
    <row r="68" spans="3:20" x14ac:dyDescent="0.15">
      <c r="F68" s="1" t="s">
        <v>28</v>
      </c>
      <c r="G68" s="1">
        <v>5</v>
      </c>
      <c r="H68" s="1">
        <v>20</v>
      </c>
      <c r="J68" s="1" t="s">
        <v>28</v>
      </c>
      <c r="K68" s="1">
        <v>5</v>
      </c>
      <c r="L68" s="1">
        <v>20</v>
      </c>
      <c r="N68" s="1" t="s">
        <v>28</v>
      </c>
      <c r="O68" s="1">
        <v>5</v>
      </c>
      <c r="P68" s="1">
        <v>20</v>
      </c>
    </row>
    <row r="69" spans="3:20" x14ac:dyDescent="0.15">
      <c r="F69" s="1" t="s">
        <v>50</v>
      </c>
      <c r="G69" s="1">
        <v>1</v>
      </c>
      <c r="H69" s="1">
        <v>1</v>
      </c>
      <c r="J69" s="1" t="s">
        <v>50</v>
      </c>
      <c r="K69" s="1">
        <v>1</v>
      </c>
      <c r="L69" s="1">
        <v>1</v>
      </c>
      <c r="N69" s="1" t="s">
        <v>28</v>
      </c>
      <c r="O69" s="1">
        <v>3</v>
      </c>
      <c r="P69" s="1">
        <v>10</v>
      </c>
    </row>
    <row r="70" spans="3:20" x14ac:dyDescent="0.15">
      <c r="F70" s="1" t="s">
        <v>28</v>
      </c>
      <c r="G70" s="1">
        <v>3</v>
      </c>
      <c r="H70" s="1">
        <v>10</v>
      </c>
      <c r="J70" s="1" t="s">
        <v>28</v>
      </c>
      <c r="K70" s="1">
        <v>4</v>
      </c>
      <c r="L70" s="1">
        <v>15</v>
      </c>
      <c r="N70" s="1" t="s">
        <v>28</v>
      </c>
      <c r="O70" s="1">
        <v>3</v>
      </c>
      <c r="P70" s="1">
        <v>10</v>
      </c>
    </row>
    <row r="71" spans="3:20" x14ac:dyDescent="0.15">
      <c r="F71" s="1" t="s">
        <v>25</v>
      </c>
      <c r="G71" s="1">
        <v>1</v>
      </c>
      <c r="H71" s="1">
        <v>2</v>
      </c>
      <c r="J71" s="1" t="s">
        <v>25</v>
      </c>
      <c r="K71" s="1">
        <v>1</v>
      </c>
      <c r="L71" s="1">
        <v>2</v>
      </c>
      <c r="N71" s="1" t="s">
        <v>50</v>
      </c>
      <c r="O71" s="1">
        <v>1</v>
      </c>
      <c r="P71" s="1">
        <v>1</v>
      </c>
    </row>
    <row r="72" spans="3:20" x14ac:dyDescent="0.15">
      <c r="F72" s="8" t="s">
        <v>10</v>
      </c>
      <c r="G72" s="9"/>
      <c r="H72" s="15">
        <f>SUM(H67:H71)</f>
        <v>37</v>
      </c>
      <c r="J72" s="8" t="s">
        <v>10</v>
      </c>
      <c r="K72" s="9"/>
      <c r="L72" s="15">
        <f>SUM(L67:L71)</f>
        <v>42</v>
      </c>
      <c r="N72" s="8" t="s">
        <v>10</v>
      </c>
      <c r="O72" s="9"/>
      <c r="P72" s="15">
        <f>SUM(P67:P71)</f>
        <v>45</v>
      </c>
    </row>
    <row r="73" spans="3:20" x14ac:dyDescent="0.15">
      <c r="F73" s="8" t="s">
        <v>19</v>
      </c>
      <c r="G73" s="9"/>
      <c r="H73" s="1">
        <f>VLOOKUP(H63,player_ranks_old!$A:$D,3,FALSE)</f>
        <v>42</v>
      </c>
      <c r="J73" s="8" t="s">
        <v>19</v>
      </c>
      <c r="K73" s="9"/>
      <c r="L73" s="1">
        <f>VLOOKUP(L63,player_ranks_old!$A:$D,3,FALSE)</f>
        <v>42</v>
      </c>
      <c r="N73" s="8" t="s">
        <v>19</v>
      </c>
      <c r="O73" s="9"/>
      <c r="P73" s="1">
        <f>VLOOKUP(P63,player_ranks_old!$A:$D,3,FALSE)</f>
        <v>42</v>
      </c>
    </row>
    <row r="74" spans="3:20" x14ac:dyDescent="0.15">
      <c r="F74" s="8" t="s">
        <v>18</v>
      </c>
      <c r="G74" s="9"/>
      <c r="H74" s="1">
        <f>H73-H72</f>
        <v>5</v>
      </c>
      <c r="J74" s="8" t="s">
        <v>18</v>
      </c>
      <c r="K74" s="9"/>
      <c r="L74" s="1">
        <f>L73-L72</f>
        <v>0</v>
      </c>
      <c r="N74" s="8" t="s">
        <v>18</v>
      </c>
      <c r="O74" s="9"/>
      <c r="P74" s="1">
        <f>P73-P72</f>
        <v>-3</v>
      </c>
    </row>
    <row r="75" spans="3:20" x14ac:dyDescent="0.15">
      <c r="E75" s="3"/>
      <c r="F75" s="3"/>
      <c r="G75" s="3"/>
      <c r="H75" s="3"/>
      <c r="I75" s="3"/>
      <c r="J75" s="3"/>
      <c r="K75" s="3"/>
      <c r="L75" s="3"/>
      <c r="M75" s="3"/>
      <c r="N75" s="3"/>
      <c r="O75" s="3"/>
      <c r="P75" s="3"/>
    </row>
    <row r="76" spans="3:20" x14ac:dyDescent="0.15">
      <c r="E76" s="7"/>
      <c r="F76" s="7"/>
      <c r="G76" s="7"/>
      <c r="H76" s="7"/>
      <c r="I76" s="7"/>
    </row>
    <row r="77" spans="3:20" x14ac:dyDescent="0.15">
      <c r="E77" s="7"/>
      <c r="F77" t="s">
        <v>52</v>
      </c>
      <c r="G77" s="7"/>
      <c r="H77" s="7"/>
      <c r="I77" s="7"/>
    </row>
    <row r="78" spans="3:20" x14ac:dyDescent="0.15">
      <c r="E78" s="7"/>
      <c r="G78" s="7"/>
      <c r="H78" s="7"/>
      <c r="I78" s="7"/>
    </row>
    <row r="79" spans="3:20" x14ac:dyDescent="0.15">
      <c r="C79" t="s">
        <v>55</v>
      </c>
      <c r="E79" s="7"/>
      <c r="I79" s="7"/>
    </row>
    <row r="80" spans="3:20" ht="17" x14ac:dyDescent="0.15">
      <c r="F80" s="18" t="s">
        <v>53</v>
      </c>
      <c r="G80" t="s">
        <v>17</v>
      </c>
      <c r="H80">
        <v>5</v>
      </c>
      <c r="J80" s="18" t="s">
        <v>54</v>
      </c>
      <c r="K80" t="s">
        <v>17</v>
      </c>
      <c r="L80">
        <v>5</v>
      </c>
      <c r="N80" s="18" t="s">
        <v>58</v>
      </c>
      <c r="O80" t="s">
        <v>17</v>
      </c>
      <c r="P80">
        <v>5</v>
      </c>
      <c r="R80" s="13" t="s">
        <v>59</v>
      </c>
      <c r="S80" t="s">
        <v>17</v>
      </c>
      <c r="T80">
        <v>5</v>
      </c>
    </row>
    <row r="81" spans="3:20" x14ac:dyDescent="0.15">
      <c r="E81" s="3"/>
      <c r="I81" s="3"/>
      <c r="M81" s="3"/>
      <c r="Q81" s="3"/>
    </row>
    <row r="82" spans="3:20" x14ac:dyDescent="0.15">
      <c r="E82" s="4"/>
      <c r="F82" s="4"/>
      <c r="G82" s="4"/>
      <c r="H82" s="4"/>
      <c r="I82" s="4"/>
      <c r="J82" s="4"/>
      <c r="K82" s="4"/>
      <c r="L82" s="4"/>
      <c r="M82" s="4"/>
      <c r="N82" s="4"/>
      <c r="O82" s="4"/>
      <c r="P82" s="4"/>
      <c r="Q82" s="4"/>
      <c r="R82" s="4"/>
      <c r="S82" s="4"/>
      <c r="T82" s="4"/>
    </row>
    <row r="83" spans="3:20" x14ac:dyDescent="0.15">
      <c r="F83" s="2" t="s">
        <v>5</v>
      </c>
      <c r="G83" s="2" t="s">
        <v>6</v>
      </c>
      <c r="H83" s="2" t="s">
        <v>7</v>
      </c>
      <c r="J83" s="2" t="s">
        <v>5</v>
      </c>
      <c r="K83" s="2" t="s">
        <v>6</v>
      </c>
      <c r="L83" s="2" t="s">
        <v>7</v>
      </c>
      <c r="N83" s="2" t="s">
        <v>5</v>
      </c>
      <c r="O83" s="2" t="s">
        <v>6</v>
      </c>
      <c r="P83" s="2" t="s">
        <v>7</v>
      </c>
      <c r="R83" s="2" t="s">
        <v>5</v>
      </c>
      <c r="S83" s="2" t="s">
        <v>6</v>
      </c>
      <c r="T83" s="2" t="s">
        <v>7</v>
      </c>
    </row>
    <row r="84" spans="3:20" x14ac:dyDescent="0.15">
      <c r="F84" s="1" t="s">
        <v>2</v>
      </c>
      <c r="G84" s="1">
        <v>2</v>
      </c>
      <c r="H84" s="1">
        <v>4</v>
      </c>
      <c r="J84" s="1" t="s">
        <v>2</v>
      </c>
      <c r="K84" s="1">
        <v>2</v>
      </c>
      <c r="L84" s="1">
        <v>4</v>
      </c>
      <c r="N84" s="1" t="s">
        <v>2</v>
      </c>
      <c r="O84" s="1">
        <v>2</v>
      </c>
      <c r="P84" s="1">
        <v>4</v>
      </c>
      <c r="R84" s="1" t="s">
        <v>2</v>
      </c>
      <c r="S84" s="1">
        <v>2</v>
      </c>
      <c r="T84" s="1">
        <v>4</v>
      </c>
    </row>
    <row r="85" spans="3:20" x14ac:dyDescent="0.15">
      <c r="F85" s="1" t="s">
        <v>28</v>
      </c>
      <c r="G85" s="1">
        <v>5</v>
      </c>
      <c r="H85" s="1">
        <v>20</v>
      </c>
      <c r="J85" s="1" t="s">
        <v>28</v>
      </c>
      <c r="K85" s="1">
        <v>5</v>
      </c>
      <c r="L85" s="1">
        <v>20</v>
      </c>
      <c r="N85" s="1" t="s">
        <v>28</v>
      </c>
      <c r="O85" s="1">
        <v>5</v>
      </c>
      <c r="P85" s="1">
        <v>20</v>
      </c>
      <c r="R85" s="1" t="s">
        <v>28</v>
      </c>
      <c r="S85" s="1">
        <v>5</v>
      </c>
      <c r="T85" s="1">
        <v>20</v>
      </c>
    </row>
    <row r="86" spans="3:20" x14ac:dyDescent="0.15">
      <c r="F86" s="1" t="s">
        <v>50</v>
      </c>
      <c r="G86" s="1">
        <v>1</v>
      </c>
      <c r="H86" s="1">
        <v>1</v>
      </c>
      <c r="J86" s="1" t="s">
        <v>50</v>
      </c>
      <c r="K86" s="1">
        <v>1</v>
      </c>
      <c r="L86" s="1">
        <v>1</v>
      </c>
      <c r="N86" s="1" t="s">
        <v>50</v>
      </c>
      <c r="O86" s="1">
        <v>1</v>
      </c>
      <c r="P86" s="1">
        <v>1</v>
      </c>
      <c r="R86" s="1" t="s">
        <v>28</v>
      </c>
      <c r="S86" s="1">
        <v>3</v>
      </c>
      <c r="T86" s="1">
        <v>10</v>
      </c>
    </row>
    <row r="87" spans="3:20" x14ac:dyDescent="0.15">
      <c r="F87" s="1" t="s">
        <v>28</v>
      </c>
      <c r="G87" s="1">
        <v>3</v>
      </c>
      <c r="H87" s="1">
        <v>10</v>
      </c>
      <c r="J87" s="1" t="s">
        <v>28</v>
      </c>
      <c r="K87" s="1">
        <v>4</v>
      </c>
      <c r="L87" s="1">
        <v>15</v>
      </c>
      <c r="N87" s="1" t="s">
        <v>28</v>
      </c>
      <c r="O87" s="1">
        <v>5</v>
      </c>
      <c r="P87" s="1">
        <v>20</v>
      </c>
      <c r="R87" s="1" t="s">
        <v>28</v>
      </c>
      <c r="S87" s="1">
        <v>3</v>
      </c>
      <c r="T87" s="1">
        <v>10</v>
      </c>
    </row>
    <row r="88" spans="3:20" x14ac:dyDescent="0.15">
      <c r="F88" s="1" t="s">
        <v>25</v>
      </c>
      <c r="G88" s="1">
        <v>1</v>
      </c>
      <c r="H88" s="1">
        <v>2</v>
      </c>
      <c r="J88" s="1" t="s">
        <v>25</v>
      </c>
      <c r="K88" s="1">
        <v>1</v>
      </c>
      <c r="L88" s="1">
        <v>2</v>
      </c>
      <c r="N88" s="1" t="s">
        <v>25</v>
      </c>
      <c r="O88" s="1">
        <v>1</v>
      </c>
      <c r="P88" s="1">
        <v>2</v>
      </c>
      <c r="R88" s="1" t="s">
        <v>28</v>
      </c>
      <c r="S88" s="1">
        <v>3</v>
      </c>
      <c r="T88" s="1">
        <v>10</v>
      </c>
    </row>
    <row r="89" spans="3:20" x14ac:dyDescent="0.15">
      <c r="F89" s="8" t="s">
        <v>10</v>
      </c>
      <c r="G89" s="9"/>
      <c r="H89" s="15">
        <f>SUM(H84:H88)</f>
        <v>37</v>
      </c>
      <c r="J89" s="8" t="s">
        <v>10</v>
      </c>
      <c r="K89" s="9"/>
      <c r="L89" s="15">
        <f>SUM(L84:L88)</f>
        <v>42</v>
      </c>
      <c r="N89" s="8" t="s">
        <v>10</v>
      </c>
      <c r="O89" s="9"/>
      <c r="P89" s="15">
        <f>SUM(P84:P88)</f>
        <v>47</v>
      </c>
      <c r="R89" s="8" t="s">
        <v>10</v>
      </c>
      <c r="S89" s="9"/>
      <c r="T89" s="15">
        <f>SUM(T84:T88)</f>
        <v>54</v>
      </c>
    </row>
    <row r="90" spans="3:20" x14ac:dyDescent="0.15">
      <c r="F90" s="8" t="s">
        <v>19</v>
      </c>
      <c r="G90" s="9"/>
      <c r="H90" s="1">
        <f>VLOOKUP(H80,player_ranks_old!$A:$D,3,FALSE)</f>
        <v>47</v>
      </c>
      <c r="J90" s="8" t="s">
        <v>19</v>
      </c>
      <c r="K90" s="9"/>
      <c r="L90" s="1">
        <f>VLOOKUP(L80,player_ranks_old!$A:$D,3,FALSE)</f>
        <v>47</v>
      </c>
      <c r="N90" s="8" t="s">
        <v>19</v>
      </c>
      <c r="O90" s="9"/>
      <c r="P90" s="1">
        <f>VLOOKUP(P80,player_ranks_old!$A:$D,3,FALSE)</f>
        <v>47</v>
      </c>
      <c r="R90" s="8" t="s">
        <v>19</v>
      </c>
      <c r="S90" s="9"/>
      <c r="T90" s="1">
        <f>VLOOKUP(T80,player_ranks_old!$A:$D,3,FALSE)</f>
        <v>47</v>
      </c>
    </row>
    <row r="91" spans="3:20" x14ac:dyDescent="0.15">
      <c r="F91" s="8" t="s">
        <v>18</v>
      </c>
      <c r="G91" s="9"/>
      <c r="H91" s="1">
        <f>H90-H89</f>
        <v>10</v>
      </c>
      <c r="J91" s="8" t="s">
        <v>18</v>
      </c>
      <c r="K91" s="9"/>
      <c r="L91" s="1">
        <f>L90-L89</f>
        <v>5</v>
      </c>
      <c r="N91" s="8" t="s">
        <v>18</v>
      </c>
      <c r="O91" s="9"/>
      <c r="P91" s="1">
        <f>P90-P89</f>
        <v>0</v>
      </c>
      <c r="R91" s="8" t="s">
        <v>18</v>
      </c>
      <c r="S91" s="9"/>
      <c r="T91" s="1">
        <f>T90-T89</f>
        <v>-7</v>
      </c>
    </row>
    <row r="92" spans="3:20" x14ac:dyDescent="0.15">
      <c r="E92" s="3"/>
      <c r="F92" s="3"/>
      <c r="G92" s="3"/>
      <c r="H92" s="3"/>
      <c r="I92" s="3"/>
      <c r="J92" s="3"/>
      <c r="K92" s="3"/>
      <c r="L92" s="3"/>
      <c r="M92" s="3"/>
      <c r="N92" s="3"/>
      <c r="O92" s="3"/>
      <c r="P92" s="3"/>
      <c r="Q92" s="3"/>
      <c r="R92" s="3"/>
      <c r="S92" s="3"/>
      <c r="T92" s="3"/>
    </row>
    <row r="93" spans="3:20" x14ac:dyDescent="0.15">
      <c r="E93" s="7"/>
      <c r="F93" s="7"/>
      <c r="G93" s="7"/>
      <c r="H93" s="7"/>
      <c r="I93" s="7"/>
      <c r="J93" s="7"/>
      <c r="K93" s="7"/>
      <c r="L93" s="7"/>
      <c r="M93" s="7"/>
      <c r="N93" s="7"/>
      <c r="O93" s="7"/>
      <c r="P93" s="7"/>
    </row>
    <row r="94" spans="3:20" x14ac:dyDescent="0.15">
      <c r="C94" t="s">
        <v>57</v>
      </c>
      <c r="E94" s="7"/>
      <c r="I94" s="7"/>
    </row>
    <row r="95" spans="3:20" ht="17" x14ac:dyDescent="0.15">
      <c r="F95" s="18" t="s">
        <v>53</v>
      </c>
      <c r="G95" t="s">
        <v>17</v>
      </c>
      <c r="H95">
        <v>6</v>
      </c>
      <c r="J95" s="18" t="s">
        <v>54</v>
      </c>
      <c r="K95" t="s">
        <v>17</v>
      </c>
      <c r="L95">
        <v>6</v>
      </c>
      <c r="N95" s="18" t="s">
        <v>58</v>
      </c>
      <c r="O95" t="s">
        <v>17</v>
      </c>
      <c r="P95">
        <v>6</v>
      </c>
      <c r="R95" s="13" t="s">
        <v>59</v>
      </c>
      <c r="S95" t="s">
        <v>17</v>
      </c>
      <c r="T95">
        <v>6</v>
      </c>
    </row>
    <row r="96" spans="3:20" x14ac:dyDescent="0.15">
      <c r="E96" s="3"/>
      <c r="I96" s="3"/>
      <c r="M96" s="3"/>
      <c r="Q96" s="3"/>
    </row>
    <row r="97" spans="5:20" x14ac:dyDescent="0.15">
      <c r="E97" s="4"/>
      <c r="F97" s="4"/>
      <c r="G97" s="4"/>
      <c r="H97" s="4"/>
      <c r="I97" s="4"/>
      <c r="J97" s="4"/>
      <c r="K97" s="4"/>
      <c r="L97" s="4"/>
      <c r="M97" s="4"/>
      <c r="N97" s="4"/>
      <c r="O97" s="4"/>
      <c r="P97" s="4"/>
      <c r="Q97" s="4"/>
      <c r="R97" s="4"/>
      <c r="S97" s="4"/>
      <c r="T97" s="4"/>
    </row>
    <row r="98" spans="5:20" x14ac:dyDescent="0.15">
      <c r="F98" s="2" t="s">
        <v>5</v>
      </c>
      <c r="G98" s="2" t="s">
        <v>6</v>
      </c>
      <c r="H98" s="2" t="s">
        <v>7</v>
      </c>
      <c r="J98" s="2" t="s">
        <v>5</v>
      </c>
      <c r="K98" s="2" t="s">
        <v>6</v>
      </c>
      <c r="L98" s="2" t="s">
        <v>7</v>
      </c>
      <c r="N98" s="2" t="s">
        <v>5</v>
      </c>
      <c r="O98" s="2" t="s">
        <v>6</v>
      </c>
      <c r="P98" s="2" t="s">
        <v>7</v>
      </c>
      <c r="R98" s="2" t="s">
        <v>5</v>
      </c>
      <c r="S98" s="2" t="s">
        <v>6</v>
      </c>
      <c r="T98" s="2" t="s">
        <v>7</v>
      </c>
    </row>
    <row r="99" spans="5:20" x14ac:dyDescent="0.15">
      <c r="F99" s="1" t="s">
        <v>2</v>
      </c>
      <c r="G99" s="1">
        <v>2</v>
      </c>
      <c r="H99" s="1">
        <v>4</v>
      </c>
      <c r="J99" s="1" t="s">
        <v>2</v>
      </c>
      <c r="K99" s="1">
        <v>2</v>
      </c>
      <c r="L99" s="1">
        <v>4</v>
      </c>
      <c r="N99" s="1" t="s">
        <v>2</v>
      </c>
      <c r="O99" s="1">
        <v>2</v>
      </c>
      <c r="P99" s="1">
        <v>4</v>
      </c>
      <c r="R99" s="1" t="s">
        <v>2</v>
      </c>
      <c r="S99" s="1">
        <v>2</v>
      </c>
      <c r="T99" s="1">
        <v>4</v>
      </c>
    </row>
    <row r="100" spans="5:20" x14ac:dyDescent="0.15">
      <c r="F100" s="1" t="s">
        <v>28</v>
      </c>
      <c r="G100" s="1">
        <v>5</v>
      </c>
      <c r="H100" s="1">
        <v>20</v>
      </c>
      <c r="J100" s="1" t="s">
        <v>28</v>
      </c>
      <c r="K100" s="1">
        <v>5</v>
      </c>
      <c r="L100" s="1">
        <v>20</v>
      </c>
      <c r="N100" s="1" t="s">
        <v>28</v>
      </c>
      <c r="O100" s="1">
        <v>5</v>
      </c>
      <c r="P100" s="1">
        <v>20</v>
      </c>
      <c r="R100" s="1" t="s">
        <v>28</v>
      </c>
      <c r="S100" s="1">
        <v>5</v>
      </c>
      <c r="T100" s="1">
        <v>20</v>
      </c>
    </row>
    <row r="101" spans="5:20" x14ac:dyDescent="0.15">
      <c r="F101" s="1" t="s">
        <v>50</v>
      </c>
      <c r="G101" s="1">
        <v>1</v>
      </c>
      <c r="H101" s="1">
        <v>1</v>
      </c>
      <c r="J101" s="1" t="s">
        <v>50</v>
      </c>
      <c r="K101" s="1">
        <v>1</v>
      </c>
      <c r="L101" s="1">
        <v>1</v>
      </c>
      <c r="N101" s="1" t="s">
        <v>50</v>
      </c>
      <c r="O101" s="1">
        <v>1</v>
      </c>
      <c r="P101" s="1">
        <v>1</v>
      </c>
      <c r="R101" s="1" t="s">
        <v>28</v>
      </c>
      <c r="S101" s="1">
        <v>3</v>
      </c>
      <c r="T101" s="1">
        <v>10</v>
      </c>
    </row>
    <row r="102" spans="5:20" x14ac:dyDescent="0.15">
      <c r="F102" s="1" t="s">
        <v>28</v>
      </c>
      <c r="G102" s="1">
        <v>3</v>
      </c>
      <c r="H102" s="1">
        <v>10</v>
      </c>
      <c r="J102" s="1" t="s">
        <v>28</v>
      </c>
      <c r="K102" s="1">
        <v>4</v>
      </c>
      <c r="L102" s="1">
        <v>15</v>
      </c>
      <c r="N102" s="1" t="s">
        <v>28</v>
      </c>
      <c r="O102" s="1">
        <v>5</v>
      </c>
      <c r="P102" s="1">
        <v>20</v>
      </c>
      <c r="R102" s="1" t="s">
        <v>28</v>
      </c>
      <c r="S102" s="1">
        <v>3</v>
      </c>
      <c r="T102" s="1">
        <v>10</v>
      </c>
    </row>
    <row r="103" spans="5:20" x14ac:dyDescent="0.15">
      <c r="F103" s="1" t="s">
        <v>25</v>
      </c>
      <c r="G103" s="1">
        <v>1</v>
      </c>
      <c r="H103" s="1">
        <v>2</v>
      </c>
      <c r="J103" s="1" t="s">
        <v>25</v>
      </c>
      <c r="K103" s="1">
        <v>1</v>
      </c>
      <c r="L103" s="1">
        <v>2</v>
      </c>
      <c r="N103" s="1" t="s">
        <v>25</v>
      </c>
      <c r="O103" s="1">
        <v>1</v>
      </c>
      <c r="P103" s="1">
        <v>2</v>
      </c>
      <c r="R103" s="1" t="s">
        <v>28</v>
      </c>
      <c r="S103" s="1">
        <v>3</v>
      </c>
      <c r="T103" s="1">
        <v>10</v>
      </c>
    </row>
    <row r="104" spans="5:20" x14ac:dyDescent="0.15">
      <c r="F104" s="8" t="s">
        <v>10</v>
      </c>
      <c r="G104" s="9"/>
      <c r="H104" s="15">
        <f>SUM(H99:H103)</f>
        <v>37</v>
      </c>
      <c r="J104" s="8" t="s">
        <v>10</v>
      </c>
      <c r="K104" s="9"/>
      <c r="L104" s="15">
        <f>SUM(L99:L103)</f>
        <v>42</v>
      </c>
      <c r="N104" s="8" t="s">
        <v>10</v>
      </c>
      <c r="O104" s="9"/>
      <c r="P104" s="15">
        <f>SUM(P99:P103)</f>
        <v>47</v>
      </c>
      <c r="R104" s="8" t="s">
        <v>10</v>
      </c>
      <c r="S104" s="9"/>
      <c r="T104" s="15">
        <f>SUM(T99:T103)</f>
        <v>54</v>
      </c>
    </row>
    <row r="105" spans="5:20" x14ac:dyDescent="0.15">
      <c r="F105" s="8" t="s">
        <v>19</v>
      </c>
      <c r="G105" s="9"/>
      <c r="H105" s="1">
        <f>VLOOKUP(H95,player_ranks_old!$A:$D,3,FALSE)</f>
        <v>48</v>
      </c>
      <c r="J105" s="8" t="s">
        <v>19</v>
      </c>
      <c r="K105" s="9"/>
      <c r="L105" s="1">
        <f>VLOOKUP(L95,player_ranks_old!$A:$D,3,FALSE)</f>
        <v>48</v>
      </c>
      <c r="N105" s="8" t="s">
        <v>19</v>
      </c>
      <c r="O105" s="9"/>
      <c r="P105" s="1">
        <f>VLOOKUP(P95,player_ranks_old!$A:$D,3,FALSE)</f>
        <v>48</v>
      </c>
      <c r="R105" s="8" t="s">
        <v>19</v>
      </c>
      <c r="S105" s="9"/>
      <c r="T105" s="1">
        <f>VLOOKUP(T95,player_ranks_old!$A:$D,3,FALSE)</f>
        <v>48</v>
      </c>
    </row>
    <row r="106" spans="5:20" x14ac:dyDescent="0.15">
      <c r="F106" s="8" t="s">
        <v>18</v>
      </c>
      <c r="G106" s="9"/>
      <c r="H106" s="1">
        <f>H105-H104</f>
        <v>11</v>
      </c>
      <c r="J106" s="8" t="s">
        <v>18</v>
      </c>
      <c r="K106" s="9"/>
      <c r="L106" s="1">
        <f>L105-L104</f>
        <v>6</v>
      </c>
      <c r="N106" s="8" t="s">
        <v>18</v>
      </c>
      <c r="O106" s="9"/>
      <c r="P106" s="1">
        <f>P105-P104</f>
        <v>1</v>
      </c>
      <c r="R106" s="8" t="s">
        <v>18</v>
      </c>
      <c r="S106" s="9"/>
      <c r="T106" s="1">
        <f>T105-T104</f>
        <v>-6</v>
      </c>
    </row>
    <row r="107" spans="5:20" x14ac:dyDescent="0.15">
      <c r="E107" s="3"/>
      <c r="F107" s="3"/>
      <c r="G107" s="3"/>
      <c r="H107" s="3"/>
      <c r="I107" s="3"/>
      <c r="J107" s="3"/>
      <c r="K107" s="3"/>
      <c r="L107" s="3"/>
      <c r="M107" s="3"/>
      <c r="N107" s="3"/>
      <c r="O107" s="3"/>
      <c r="P107" s="3"/>
      <c r="Q107" s="3"/>
      <c r="R107" s="3"/>
      <c r="S107" s="3"/>
      <c r="T107" s="3"/>
    </row>
    <row r="108" spans="5:20" x14ac:dyDescent="0.15">
      <c r="E108" s="7"/>
      <c r="F108" s="7"/>
      <c r="G108" s="7"/>
      <c r="H108" s="7"/>
      <c r="I108" s="7"/>
      <c r="J108" s="7"/>
      <c r="K108" s="7"/>
      <c r="L108" s="7"/>
    </row>
    <row r="109" spans="5:20" x14ac:dyDescent="0.15">
      <c r="E109" s="7"/>
      <c r="F109" s="7"/>
      <c r="G109" s="7"/>
      <c r="H109" s="7"/>
      <c r="I109" s="7"/>
    </row>
    <row r="110" spans="5:20" x14ac:dyDescent="0.15">
      <c r="E110" s="7"/>
      <c r="F110" s="7"/>
      <c r="G110" s="7"/>
      <c r="H110" s="7"/>
      <c r="I110" s="7"/>
    </row>
    <row r="111" spans="5:20" x14ac:dyDescent="0.15">
      <c r="E111" s="7"/>
      <c r="F111" s="7"/>
      <c r="G111" s="7"/>
      <c r="H111" s="7"/>
      <c r="I111" s="7"/>
    </row>
    <row r="112" spans="5:20" x14ac:dyDescent="0.15">
      <c r="E112" s="7"/>
      <c r="F112" s="7"/>
      <c r="G112" s="7"/>
      <c r="H112" s="7"/>
      <c r="I112" s="7"/>
    </row>
    <row r="113" spans="4:23" x14ac:dyDescent="0.15">
      <c r="E113" s="7"/>
      <c r="F113" s="7"/>
      <c r="G113" s="7"/>
      <c r="H113" s="7"/>
    </row>
    <row r="114" spans="4:23" x14ac:dyDescent="0.15">
      <c r="F114" t="s">
        <v>11</v>
      </c>
      <c r="G114" t="s">
        <v>17</v>
      </c>
      <c r="H114">
        <v>2</v>
      </c>
      <c r="J114" t="s">
        <v>8</v>
      </c>
      <c r="K114" t="s">
        <v>17</v>
      </c>
      <c r="L114">
        <v>9</v>
      </c>
      <c r="N114" t="s">
        <v>9</v>
      </c>
      <c r="O114" t="s">
        <v>17</v>
      </c>
      <c r="P114">
        <v>15</v>
      </c>
      <c r="T114" t="s">
        <v>16</v>
      </c>
    </row>
    <row r="115" spans="4:23" x14ac:dyDescent="0.15">
      <c r="E115" s="3"/>
      <c r="F115" s="3"/>
      <c r="G115" s="3"/>
      <c r="H115" s="3"/>
      <c r="I115" s="3"/>
      <c r="J115" s="3"/>
      <c r="K115" s="3"/>
      <c r="L115" s="3"/>
      <c r="M115" s="3"/>
      <c r="N115" s="3"/>
      <c r="O115" s="3"/>
      <c r="P115" s="3"/>
      <c r="Q115" s="3"/>
      <c r="S115" s="3"/>
      <c r="T115" s="3"/>
      <c r="U115" s="3"/>
      <c r="V115" s="3"/>
      <c r="W115" s="3"/>
    </row>
    <row r="116" spans="4:23" x14ac:dyDescent="0.15">
      <c r="E116" s="4"/>
      <c r="F116" s="4"/>
      <c r="G116" s="4"/>
      <c r="H116" s="4"/>
      <c r="I116" s="4"/>
      <c r="J116" s="4"/>
      <c r="K116" s="4"/>
      <c r="L116" s="4"/>
      <c r="M116" s="4"/>
      <c r="N116" s="4"/>
      <c r="O116" s="4"/>
      <c r="P116" s="4"/>
      <c r="Q116" s="4"/>
      <c r="S116" s="4"/>
      <c r="T116" s="4"/>
      <c r="U116" s="4"/>
      <c r="V116" s="4"/>
      <c r="W116" s="4"/>
    </row>
    <row r="117" spans="4:23" x14ac:dyDescent="0.15">
      <c r="D117" t="s">
        <v>12</v>
      </c>
      <c r="F117" s="2" t="s">
        <v>5</v>
      </c>
      <c r="G117" s="2" t="s">
        <v>6</v>
      </c>
      <c r="H117" s="2" t="s">
        <v>7</v>
      </c>
      <c r="J117" s="2" t="s">
        <v>5</v>
      </c>
      <c r="K117" s="2" t="s">
        <v>6</v>
      </c>
      <c r="L117" s="2" t="s">
        <v>7</v>
      </c>
      <c r="N117" s="2" t="s">
        <v>5</v>
      </c>
      <c r="O117" s="2" t="s">
        <v>6</v>
      </c>
      <c r="P117" s="2" t="s">
        <v>7</v>
      </c>
      <c r="T117" s="2" t="s">
        <v>5</v>
      </c>
      <c r="U117" s="2" t="s">
        <v>6</v>
      </c>
      <c r="V117" s="2" t="s">
        <v>7</v>
      </c>
    </row>
    <row r="118" spans="4:23" x14ac:dyDescent="0.15">
      <c r="F118" s="1" t="s">
        <v>2</v>
      </c>
      <c r="G118" s="1">
        <v>2</v>
      </c>
      <c r="H118" s="1">
        <v>4</v>
      </c>
      <c r="J118" s="1" t="s">
        <v>2</v>
      </c>
      <c r="K118" s="1">
        <v>2</v>
      </c>
      <c r="L118" s="1">
        <v>4</v>
      </c>
      <c r="N118" s="1" t="s">
        <v>2</v>
      </c>
      <c r="O118" s="1">
        <v>2</v>
      </c>
      <c r="P118" s="1">
        <v>10</v>
      </c>
      <c r="T118" s="1" t="s">
        <v>15</v>
      </c>
      <c r="U118" s="1">
        <v>5</v>
      </c>
      <c r="V118" s="1">
        <v>20</v>
      </c>
    </row>
    <row r="119" spans="4:23" x14ac:dyDescent="0.15">
      <c r="F119" s="1" t="s">
        <v>1</v>
      </c>
      <c r="G119" s="1">
        <v>3</v>
      </c>
      <c r="H119" s="1">
        <v>10</v>
      </c>
      <c r="J119" s="1" t="s">
        <v>1</v>
      </c>
      <c r="K119" s="1">
        <v>3</v>
      </c>
      <c r="L119" s="1">
        <v>10</v>
      </c>
      <c r="N119" s="1" t="s">
        <v>1</v>
      </c>
      <c r="O119" s="1">
        <v>3</v>
      </c>
      <c r="P119" s="1">
        <v>10</v>
      </c>
      <c r="T119" s="1" t="s">
        <v>15</v>
      </c>
      <c r="U119" s="1">
        <v>5</v>
      </c>
      <c r="V119" s="1">
        <v>20</v>
      </c>
    </row>
    <row r="120" spans="4:23" x14ac:dyDescent="0.15">
      <c r="F120" s="1" t="s">
        <v>23</v>
      </c>
      <c r="G120" s="1">
        <v>1</v>
      </c>
      <c r="H120" s="1">
        <v>1</v>
      </c>
      <c r="J120" s="1" t="s">
        <v>1</v>
      </c>
      <c r="K120" s="1">
        <v>3</v>
      </c>
      <c r="L120" s="1">
        <v>10</v>
      </c>
      <c r="N120" s="1" t="s">
        <v>1</v>
      </c>
      <c r="O120" s="1">
        <v>3</v>
      </c>
      <c r="P120" s="1">
        <v>10</v>
      </c>
      <c r="T120" s="1" t="s">
        <v>15</v>
      </c>
      <c r="U120" s="1">
        <v>5</v>
      </c>
      <c r="V120" s="1">
        <v>20</v>
      </c>
    </row>
    <row r="121" spans="4:23" x14ac:dyDescent="0.15">
      <c r="F121" s="1" t="s">
        <v>24</v>
      </c>
      <c r="G121" s="1">
        <v>1</v>
      </c>
      <c r="H121" s="1">
        <v>1</v>
      </c>
      <c r="J121" s="1" t="s">
        <v>3</v>
      </c>
      <c r="K121" s="1">
        <v>2</v>
      </c>
      <c r="L121" s="1">
        <v>4</v>
      </c>
      <c r="N121" s="1" t="s">
        <v>3</v>
      </c>
      <c r="O121" s="1">
        <v>2</v>
      </c>
      <c r="P121" s="1">
        <v>4</v>
      </c>
      <c r="T121" s="1" t="s">
        <v>15</v>
      </c>
      <c r="U121" s="1">
        <v>5</v>
      </c>
      <c r="V121" s="1">
        <v>20</v>
      </c>
    </row>
    <row r="122" spans="4:23" x14ac:dyDescent="0.15">
      <c r="F122" s="1" t="s">
        <v>4</v>
      </c>
      <c r="G122" s="1">
        <v>1</v>
      </c>
      <c r="H122" s="1">
        <v>1</v>
      </c>
      <c r="J122" s="1" t="s">
        <v>3</v>
      </c>
      <c r="K122" s="1">
        <v>1</v>
      </c>
      <c r="L122" s="1">
        <v>2</v>
      </c>
      <c r="N122" s="1" t="s">
        <v>3</v>
      </c>
      <c r="O122" s="1">
        <v>1</v>
      </c>
      <c r="P122" s="1">
        <v>2</v>
      </c>
      <c r="T122" s="1" t="s">
        <v>15</v>
      </c>
      <c r="U122" s="1">
        <v>5</v>
      </c>
      <c r="V122" s="1">
        <v>20</v>
      </c>
    </row>
    <row r="123" spans="4:23" x14ac:dyDescent="0.15">
      <c r="F123" s="72" t="s">
        <v>10</v>
      </c>
      <c r="G123" s="73"/>
      <c r="H123" s="1">
        <f>SUM(H118:H122)</f>
        <v>17</v>
      </c>
      <c r="J123" s="74" t="s">
        <v>10</v>
      </c>
      <c r="K123" s="74"/>
      <c r="L123" s="1">
        <f>SUM(L118:L122)</f>
        <v>30</v>
      </c>
      <c r="N123" s="72" t="s">
        <v>10</v>
      </c>
      <c r="O123" s="73"/>
      <c r="P123" s="1">
        <f>SUM(P118:P122)</f>
        <v>36</v>
      </c>
      <c r="U123" s="1" t="s">
        <v>10</v>
      </c>
      <c r="V123" s="1">
        <f>SUM(V118:V122)</f>
        <v>100</v>
      </c>
    </row>
    <row r="124" spans="4:23" x14ac:dyDescent="0.15">
      <c r="F124" s="72" t="s">
        <v>19</v>
      </c>
      <c r="G124" s="73"/>
      <c r="H124" s="1">
        <f>VLOOKUP(H$114,player_ranks_old!$A:$D,3,FALSE)</f>
        <v>41</v>
      </c>
      <c r="J124" s="74" t="s">
        <v>19</v>
      </c>
      <c r="K124" s="74"/>
      <c r="L124" s="1">
        <f>VLOOKUP(L$114,player_ranks_old!$A:$D,3,FALSE)</f>
        <v>49</v>
      </c>
      <c r="N124" s="72" t="s">
        <v>19</v>
      </c>
      <c r="O124" s="73"/>
      <c r="P124" s="1">
        <f>VLOOKUP(P$114,player_ranks_old!$A:$D,3,FALSE)</f>
        <v>61</v>
      </c>
      <c r="U124" s="7"/>
      <c r="V124" s="7"/>
    </row>
    <row r="125" spans="4:23" x14ac:dyDescent="0.15">
      <c r="F125" s="72" t="s">
        <v>18</v>
      </c>
      <c r="G125" s="73"/>
      <c r="H125" s="1">
        <f>H124-H123</f>
        <v>24</v>
      </c>
      <c r="J125" s="74" t="s">
        <v>18</v>
      </c>
      <c r="K125" s="74"/>
      <c r="L125" s="1">
        <f>L124-L123</f>
        <v>19</v>
      </c>
      <c r="N125" s="72" t="s">
        <v>18</v>
      </c>
      <c r="O125" s="73"/>
      <c r="P125" s="5">
        <f>P124-P123</f>
        <v>25</v>
      </c>
      <c r="U125" s="7"/>
      <c r="V125" s="7"/>
    </row>
    <row r="126" spans="4:23" x14ac:dyDescent="0.15">
      <c r="E126" s="3"/>
      <c r="F126" s="3"/>
      <c r="G126" s="3"/>
      <c r="H126" s="3"/>
      <c r="I126" s="3"/>
      <c r="J126" s="3"/>
      <c r="K126" s="3"/>
      <c r="L126" s="3"/>
      <c r="M126" s="3"/>
      <c r="N126" s="3"/>
      <c r="O126" s="3"/>
      <c r="P126" s="3"/>
      <c r="Q126" s="3"/>
      <c r="S126" s="3"/>
      <c r="T126" s="3"/>
      <c r="U126" s="3"/>
      <c r="V126" s="3"/>
      <c r="W126" s="3"/>
    </row>
    <row r="127" spans="4:23" x14ac:dyDescent="0.15">
      <c r="E127" s="4"/>
      <c r="F127" s="4"/>
      <c r="G127" s="4"/>
      <c r="H127" s="4"/>
      <c r="I127" s="4"/>
      <c r="J127" s="4"/>
      <c r="K127" s="4"/>
      <c r="L127" s="4"/>
      <c r="M127" s="4"/>
      <c r="N127" s="4"/>
      <c r="O127" s="4"/>
      <c r="P127" s="4"/>
      <c r="Q127" s="4"/>
      <c r="S127" s="4"/>
      <c r="T127" s="4"/>
      <c r="U127" s="4"/>
      <c r="V127" s="4"/>
      <c r="W127" s="4"/>
    </row>
    <row r="128" spans="4:23" x14ac:dyDescent="0.15">
      <c r="D128" t="s">
        <v>13</v>
      </c>
      <c r="F128" s="2" t="s">
        <v>5</v>
      </c>
      <c r="G128" s="2" t="s">
        <v>6</v>
      </c>
      <c r="H128" s="2" t="s">
        <v>7</v>
      </c>
      <c r="J128" s="2" t="s">
        <v>5</v>
      </c>
      <c r="K128" s="2" t="s">
        <v>6</v>
      </c>
      <c r="L128" s="2" t="s">
        <v>7</v>
      </c>
      <c r="N128" s="2" t="s">
        <v>5</v>
      </c>
      <c r="O128" s="2" t="s">
        <v>6</v>
      </c>
      <c r="P128" s="2" t="s">
        <v>7</v>
      </c>
      <c r="T128" s="2" t="s">
        <v>5</v>
      </c>
      <c r="U128" s="2" t="s">
        <v>6</v>
      </c>
      <c r="V128" s="2" t="s">
        <v>7</v>
      </c>
    </row>
    <row r="129" spans="4:23" x14ac:dyDescent="0.15">
      <c r="F129" s="1" t="s">
        <v>2</v>
      </c>
      <c r="G129" s="1">
        <v>2</v>
      </c>
      <c r="H129" s="1">
        <v>4</v>
      </c>
      <c r="J129" s="1" t="s">
        <v>2</v>
      </c>
      <c r="K129" s="1">
        <v>2</v>
      </c>
      <c r="L129" s="1">
        <v>4</v>
      </c>
      <c r="N129" s="1" t="s">
        <v>2</v>
      </c>
      <c r="O129" s="1">
        <v>2</v>
      </c>
      <c r="P129" s="1">
        <v>10</v>
      </c>
      <c r="T129" s="1" t="s">
        <v>15</v>
      </c>
      <c r="U129" s="1">
        <v>4</v>
      </c>
      <c r="V129" s="1">
        <v>15</v>
      </c>
    </row>
    <row r="130" spans="4:23" x14ac:dyDescent="0.15">
      <c r="F130" s="1" t="s">
        <v>1</v>
      </c>
      <c r="G130" s="1">
        <v>4</v>
      </c>
      <c r="H130" s="1">
        <v>15</v>
      </c>
      <c r="J130" s="1" t="s">
        <v>1</v>
      </c>
      <c r="K130" s="1">
        <v>4</v>
      </c>
      <c r="L130" s="1">
        <v>15</v>
      </c>
      <c r="N130" s="1" t="s">
        <v>1</v>
      </c>
      <c r="O130" s="1">
        <v>4</v>
      </c>
      <c r="P130" s="1">
        <v>15</v>
      </c>
      <c r="T130" s="1" t="s">
        <v>15</v>
      </c>
      <c r="U130" s="1">
        <v>4</v>
      </c>
      <c r="V130" s="1">
        <v>15</v>
      </c>
    </row>
    <row r="131" spans="4:23" x14ac:dyDescent="0.15">
      <c r="F131" s="1" t="s">
        <v>4</v>
      </c>
      <c r="G131" s="1">
        <v>1</v>
      </c>
      <c r="H131" s="1">
        <v>1</v>
      </c>
      <c r="J131" s="1" t="s">
        <v>1</v>
      </c>
      <c r="K131" s="1">
        <v>4</v>
      </c>
      <c r="L131" s="1">
        <v>15</v>
      </c>
      <c r="N131" s="1" t="s">
        <v>1</v>
      </c>
      <c r="O131" s="1">
        <v>4</v>
      </c>
      <c r="P131" s="1">
        <v>15</v>
      </c>
      <c r="T131" s="1" t="s">
        <v>15</v>
      </c>
      <c r="U131" s="1">
        <v>4</v>
      </c>
      <c r="V131" s="1">
        <v>15</v>
      </c>
    </row>
    <row r="132" spans="4:23" x14ac:dyDescent="0.15">
      <c r="F132" s="1" t="s">
        <v>4</v>
      </c>
      <c r="G132" s="1">
        <v>1</v>
      </c>
      <c r="H132" s="1">
        <v>1</v>
      </c>
      <c r="J132" s="1" t="s">
        <v>3</v>
      </c>
      <c r="K132" s="1">
        <v>2</v>
      </c>
      <c r="L132" s="1">
        <v>4</v>
      </c>
      <c r="N132" s="1" t="s">
        <v>3</v>
      </c>
      <c r="O132" s="1">
        <v>2</v>
      </c>
      <c r="P132" s="1">
        <v>4</v>
      </c>
      <c r="T132" s="1" t="s">
        <v>15</v>
      </c>
      <c r="U132" s="1">
        <v>4</v>
      </c>
      <c r="V132" s="1">
        <v>15</v>
      </c>
    </row>
    <row r="133" spans="4:23" x14ac:dyDescent="0.15">
      <c r="F133" s="1" t="s">
        <v>4</v>
      </c>
      <c r="G133" s="1">
        <v>1</v>
      </c>
      <c r="H133" s="1">
        <v>1</v>
      </c>
      <c r="J133" s="1" t="s">
        <v>3</v>
      </c>
      <c r="K133" s="1">
        <v>1</v>
      </c>
      <c r="L133" s="1">
        <v>2</v>
      </c>
      <c r="N133" s="1" t="s">
        <v>3</v>
      </c>
      <c r="O133" s="1">
        <v>1</v>
      </c>
      <c r="P133" s="1">
        <v>2</v>
      </c>
      <c r="T133" s="1" t="s">
        <v>15</v>
      </c>
      <c r="U133" s="1">
        <v>4</v>
      </c>
      <c r="V133" s="1">
        <v>15</v>
      </c>
    </row>
    <row r="134" spans="4:23" x14ac:dyDescent="0.15">
      <c r="F134" s="74" t="s">
        <v>10</v>
      </c>
      <c r="G134" s="74"/>
      <c r="H134" s="1">
        <f>SUM(H129:H133)</f>
        <v>22</v>
      </c>
      <c r="J134" s="74" t="s">
        <v>10</v>
      </c>
      <c r="K134" s="74"/>
      <c r="L134" s="1">
        <f>SUM(L129:L133)</f>
        <v>40</v>
      </c>
      <c r="N134" s="74" t="s">
        <v>10</v>
      </c>
      <c r="O134" s="74"/>
      <c r="P134" s="1">
        <f>SUM(P129:P133)</f>
        <v>46</v>
      </c>
      <c r="U134" s="1" t="s">
        <v>10</v>
      </c>
      <c r="V134" s="1">
        <f>SUM(V129:V133)</f>
        <v>75</v>
      </c>
    </row>
    <row r="135" spans="4:23" x14ac:dyDescent="0.15">
      <c r="F135" s="74" t="s">
        <v>19</v>
      </c>
      <c r="G135" s="74"/>
      <c r="H135" s="1">
        <f>VLOOKUP(H$114,player_ranks_old!$A:$D,3,FALSE)</f>
        <v>41</v>
      </c>
      <c r="J135" s="74" t="s">
        <v>19</v>
      </c>
      <c r="K135" s="74"/>
      <c r="L135" s="1">
        <f>VLOOKUP(L$114,player_ranks_old!$A:$D,3,FALSE)</f>
        <v>49</v>
      </c>
      <c r="N135" s="74" t="s">
        <v>19</v>
      </c>
      <c r="O135" s="74"/>
      <c r="P135" s="1">
        <f>VLOOKUP(P$114,player_ranks_old!$A:$D,3,FALSE)</f>
        <v>61</v>
      </c>
      <c r="U135" s="7"/>
      <c r="V135" s="7"/>
    </row>
    <row r="136" spans="4:23" x14ac:dyDescent="0.15">
      <c r="F136" s="74" t="s">
        <v>18</v>
      </c>
      <c r="G136" s="74"/>
      <c r="H136" s="1">
        <f>H135-H134</f>
        <v>19</v>
      </c>
      <c r="J136" s="74" t="s">
        <v>18</v>
      </c>
      <c r="K136" s="74"/>
      <c r="L136" s="1">
        <f>L135-L134</f>
        <v>9</v>
      </c>
      <c r="N136" s="74" t="s">
        <v>18</v>
      </c>
      <c r="O136" s="74"/>
      <c r="P136" s="1">
        <f>P135-P134</f>
        <v>15</v>
      </c>
      <c r="U136" s="7"/>
      <c r="V136" s="7"/>
    </row>
    <row r="137" spans="4:23" x14ac:dyDescent="0.15">
      <c r="E137" s="3"/>
      <c r="F137" s="3"/>
      <c r="G137" s="3"/>
      <c r="H137" s="3"/>
      <c r="I137" s="3"/>
      <c r="J137" s="3"/>
      <c r="K137" s="3"/>
      <c r="L137" s="3"/>
      <c r="M137" s="3"/>
      <c r="N137" s="3"/>
      <c r="O137" s="3"/>
      <c r="P137" s="3"/>
      <c r="Q137" s="3"/>
      <c r="S137" s="3"/>
      <c r="T137" s="3"/>
      <c r="U137" s="3"/>
      <c r="V137" s="3"/>
      <c r="W137" s="3"/>
    </row>
    <row r="138" spans="4:23" x14ac:dyDescent="0.15">
      <c r="E138" s="4"/>
      <c r="F138" s="4"/>
      <c r="G138" s="4"/>
      <c r="H138" s="4"/>
      <c r="I138" s="4"/>
      <c r="J138" s="4"/>
      <c r="K138" s="4"/>
      <c r="L138" s="4"/>
      <c r="M138" s="4"/>
      <c r="N138" s="4"/>
      <c r="O138" s="4"/>
      <c r="P138" s="4"/>
      <c r="Q138" s="4"/>
      <c r="S138" s="4"/>
      <c r="T138" s="4"/>
      <c r="U138" s="4"/>
      <c r="V138" s="4"/>
      <c r="W138" s="4"/>
    </row>
    <row r="139" spans="4:23" x14ac:dyDescent="0.15">
      <c r="D139" t="s">
        <v>14</v>
      </c>
      <c r="F139" s="2" t="s">
        <v>5</v>
      </c>
      <c r="G139" s="2" t="s">
        <v>6</v>
      </c>
      <c r="H139" s="2" t="s">
        <v>7</v>
      </c>
      <c r="J139" s="2" t="s">
        <v>5</v>
      </c>
      <c r="K139" s="2" t="s">
        <v>6</v>
      </c>
      <c r="L139" s="2" t="s">
        <v>7</v>
      </c>
      <c r="N139" s="2" t="s">
        <v>5</v>
      </c>
      <c r="O139" s="2" t="s">
        <v>6</v>
      </c>
      <c r="P139" s="2" t="s">
        <v>7</v>
      </c>
      <c r="T139" s="2" t="s">
        <v>5</v>
      </c>
      <c r="U139" s="2" t="s">
        <v>6</v>
      </c>
      <c r="V139" s="2" t="s">
        <v>7</v>
      </c>
    </row>
    <row r="140" spans="4:23" x14ac:dyDescent="0.15">
      <c r="F140" s="1" t="s">
        <v>2</v>
      </c>
      <c r="G140" s="1">
        <v>2</v>
      </c>
      <c r="H140" s="1">
        <v>4</v>
      </c>
      <c r="J140" s="1" t="s">
        <v>2</v>
      </c>
      <c r="K140" s="1">
        <v>2</v>
      </c>
      <c r="L140" s="1">
        <v>4</v>
      </c>
      <c r="N140" s="1" t="s">
        <v>2</v>
      </c>
      <c r="O140" s="1">
        <v>2</v>
      </c>
      <c r="P140" s="1">
        <v>10</v>
      </c>
      <c r="T140" s="1" t="s">
        <v>15</v>
      </c>
      <c r="U140" s="1">
        <v>3</v>
      </c>
      <c r="V140" s="1">
        <v>10</v>
      </c>
    </row>
    <row r="141" spans="4:23" x14ac:dyDescent="0.15">
      <c r="F141" s="1" t="s">
        <v>1</v>
      </c>
      <c r="G141" s="1">
        <v>5</v>
      </c>
      <c r="H141" s="1">
        <v>20</v>
      </c>
      <c r="J141" s="1" t="s">
        <v>1</v>
      </c>
      <c r="K141" s="1">
        <v>5</v>
      </c>
      <c r="L141" s="1">
        <v>20</v>
      </c>
      <c r="N141" s="1" t="s">
        <v>1</v>
      </c>
      <c r="O141" s="1">
        <v>5</v>
      </c>
      <c r="P141" s="1">
        <v>20</v>
      </c>
      <c r="T141" s="1" t="s">
        <v>15</v>
      </c>
      <c r="U141" s="1">
        <v>3</v>
      </c>
      <c r="V141" s="1">
        <v>10</v>
      </c>
    </row>
    <row r="142" spans="4:23" x14ac:dyDescent="0.15">
      <c r="F142" s="1" t="s">
        <v>4</v>
      </c>
      <c r="G142" s="1">
        <v>1</v>
      </c>
      <c r="H142" s="1">
        <v>1</v>
      </c>
      <c r="J142" s="1" t="s">
        <v>1</v>
      </c>
      <c r="K142" s="1">
        <v>4</v>
      </c>
      <c r="L142" s="1">
        <v>15</v>
      </c>
      <c r="N142" s="1" t="s">
        <v>1</v>
      </c>
      <c r="O142" s="1">
        <v>4</v>
      </c>
      <c r="P142" s="1">
        <v>15</v>
      </c>
      <c r="T142" s="1" t="s">
        <v>15</v>
      </c>
      <c r="U142" s="1">
        <v>3</v>
      </c>
      <c r="V142" s="1">
        <v>10</v>
      </c>
    </row>
    <row r="143" spans="4:23" x14ac:dyDescent="0.15">
      <c r="F143" s="1" t="s">
        <v>4</v>
      </c>
      <c r="G143" s="1">
        <v>1</v>
      </c>
      <c r="H143" s="1">
        <v>1</v>
      </c>
      <c r="J143" s="1" t="s">
        <v>3</v>
      </c>
      <c r="K143" s="1">
        <v>2</v>
      </c>
      <c r="L143" s="1">
        <v>4</v>
      </c>
      <c r="N143" s="1" t="s">
        <v>3</v>
      </c>
      <c r="O143" s="1">
        <v>2</v>
      </c>
      <c r="P143" s="1">
        <v>4</v>
      </c>
      <c r="T143" s="1" t="s">
        <v>15</v>
      </c>
      <c r="U143" s="1">
        <v>3</v>
      </c>
      <c r="V143" s="1">
        <v>10</v>
      </c>
    </row>
    <row r="144" spans="4:23" x14ac:dyDescent="0.15">
      <c r="F144" s="1" t="s">
        <v>4</v>
      </c>
      <c r="G144" s="1">
        <v>1</v>
      </c>
      <c r="H144" s="1">
        <v>1</v>
      </c>
      <c r="J144" s="1" t="s">
        <v>3</v>
      </c>
      <c r="K144" s="1">
        <v>1</v>
      </c>
      <c r="L144" s="1">
        <v>2</v>
      </c>
      <c r="N144" s="1" t="s">
        <v>3</v>
      </c>
      <c r="O144" s="1">
        <v>1</v>
      </c>
      <c r="P144" s="1">
        <v>2</v>
      </c>
      <c r="T144" s="1" t="s">
        <v>15</v>
      </c>
      <c r="U144" s="1">
        <v>3</v>
      </c>
      <c r="V144" s="1">
        <v>10</v>
      </c>
    </row>
    <row r="145" spans="6:22" x14ac:dyDescent="0.15">
      <c r="F145" s="74" t="s">
        <v>10</v>
      </c>
      <c r="G145" s="74"/>
      <c r="H145" s="1">
        <f>SUM(H140:H144)</f>
        <v>27</v>
      </c>
      <c r="J145" s="74" t="s">
        <v>10</v>
      </c>
      <c r="K145" s="74"/>
      <c r="L145" s="1">
        <f>SUM(L140:L144)</f>
        <v>45</v>
      </c>
      <c r="N145" s="74" t="s">
        <v>10</v>
      </c>
      <c r="O145" s="74"/>
      <c r="P145" s="1">
        <f>SUM(P140:P144)</f>
        <v>51</v>
      </c>
      <c r="U145" s="1" t="s">
        <v>10</v>
      </c>
      <c r="V145" s="1">
        <f>SUM(V140:V144)</f>
        <v>50</v>
      </c>
    </row>
    <row r="146" spans="6:22" x14ac:dyDescent="0.15">
      <c r="F146" s="74" t="s">
        <v>19</v>
      </c>
      <c r="G146" s="74"/>
      <c r="H146" s="1">
        <f>VLOOKUP(H$114,player_ranks_old!$A:$D,3,FALSE)</f>
        <v>41</v>
      </c>
      <c r="J146" s="74" t="s">
        <v>19</v>
      </c>
      <c r="K146" s="74"/>
      <c r="L146" s="1">
        <f>VLOOKUP(L$114,player_ranks_old!$A:$D,3,FALSE)</f>
        <v>49</v>
      </c>
      <c r="N146" s="74" t="s">
        <v>19</v>
      </c>
      <c r="O146" s="74"/>
      <c r="P146" s="1">
        <f>VLOOKUP(P$114,player_ranks_old!$A:$D,3,FALSE)</f>
        <v>61</v>
      </c>
    </row>
    <row r="147" spans="6:22" x14ac:dyDescent="0.15">
      <c r="F147" s="74" t="s">
        <v>18</v>
      </c>
      <c r="G147" s="74"/>
      <c r="H147" s="1">
        <f>H146-H145</f>
        <v>14</v>
      </c>
      <c r="J147" s="74" t="s">
        <v>18</v>
      </c>
      <c r="K147" s="74"/>
      <c r="L147" s="1">
        <f>L146-L145</f>
        <v>4</v>
      </c>
      <c r="N147" s="74" t="s">
        <v>18</v>
      </c>
      <c r="O147" s="74"/>
      <c r="P147" s="1">
        <f>P146-P145</f>
        <v>10</v>
      </c>
    </row>
  </sheetData>
  <mergeCells count="33">
    <mergeCell ref="J134:K134"/>
    <mergeCell ref="J135:K135"/>
    <mergeCell ref="J136:K136"/>
    <mergeCell ref="F134:G134"/>
    <mergeCell ref="N123:O123"/>
    <mergeCell ref="N124:O124"/>
    <mergeCell ref="N125:O125"/>
    <mergeCell ref="N134:O134"/>
    <mergeCell ref="N135:O135"/>
    <mergeCell ref="F123:G123"/>
    <mergeCell ref="F124:G124"/>
    <mergeCell ref="F125:G125"/>
    <mergeCell ref="J123:K123"/>
    <mergeCell ref="J124:K124"/>
    <mergeCell ref="J125:K125"/>
    <mergeCell ref="F135:G135"/>
    <mergeCell ref="F136:G136"/>
    <mergeCell ref="N145:O145"/>
    <mergeCell ref="N146:O146"/>
    <mergeCell ref="N147:O147"/>
    <mergeCell ref="F145:G145"/>
    <mergeCell ref="F146:G146"/>
    <mergeCell ref="F147:G147"/>
    <mergeCell ref="J145:K145"/>
    <mergeCell ref="J146:K146"/>
    <mergeCell ref="J147:K147"/>
    <mergeCell ref="N136:O136"/>
    <mergeCell ref="F30:G30"/>
    <mergeCell ref="F13:G13"/>
    <mergeCell ref="F14:G14"/>
    <mergeCell ref="F15:G15"/>
    <mergeCell ref="F28:G28"/>
    <mergeCell ref="F29:G29"/>
  </mergeCells>
  <phoneticPr fontId="3"/>
  <pageMargins left="0.7" right="0.7" top="0.75" bottom="0.75" header="0.3" footer="0.3"/>
  <pageSetup paperSize="9" orientation="portrait" horizontalDpi="4294967292" verticalDpi="429496729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3" tint="0.79998168889431442"/>
  </sheetPr>
  <dimension ref="A1:P401"/>
  <sheetViews>
    <sheetView showGridLines="0" workbookViewId="0">
      <selection activeCell="I33" sqref="I33"/>
    </sheetView>
  </sheetViews>
  <sheetFormatPr baseColWidth="12" defaultColWidth="13" defaultRowHeight="15" x14ac:dyDescent="0.15"/>
  <cols>
    <col min="1" max="1" width="7" bestFit="1" customWidth="1"/>
    <col min="2" max="2" width="9.5" bestFit="1" customWidth="1"/>
    <col min="3" max="3" width="7.1640625" bestFit="1" customWidth="1"/>
    <col min="4" max="4" width="11.6640625" bestFit="1" customWidth="1"/>
    <col min="5" max="5" width="11.1640625" bestFit="1" customWidth="1"/>
    <col min="6" max="6" width="7" style="66" bestFit="1" customWidth="1"/>
    <col min="8" max="9" width="12.83203125" customWidth="1"/>
    <col min="10" max="15" width="8.83203125" customWidth="1"/>
  </cols>
  <sheetData>
    <row r="1" spans="1:9" x14ac:dyDescent="0.15">
      <c r="A1" s="62" t="s">
        <v>0</v>
      </c>
      <c r="B1" s="62" t="s">
        <v>60</v>
      </c>
      <c r="C1" s="62" t="s">
        <v>61</v>
      </c>
      <c r="D1" s="63" t="s">
        <v>215</v>
      </c>
      <c r="E1" s="62" t="s">
        <v>62</v>
      </c>
      <c r="F1" s="64" t="s">
        <v>0</v>
      </c>
      <c r="G1" s="17" t="s">
        <v>20</v>
      </c>
      <c r="H1" s="17" t="s">
        <v>21</v>
      </c>
      <c r="I1" s="28" t="s">
        <v>63</v>
      </c>
    </row>
    <row r="2" spans="1:9" x14ac:dyDescent="0.15">
      <c r="A2" s="23">
        <v>1</v>
      </c>
      <c r="B2" s="20">
        <v>10</v>
      </c>
      <c r="C2" s="56">
        <f t="shared" ref="C2:C30" si="0">C3-H3</f>
        <v>121</v>
      </c>
      <c r="D2" s="24">
        <v>0</v>
      </c>
      <c r="E2" s="20">
        <v>20</v>
      </c>
      <c r="F2" s="65">
        <f t="shared" ref="F2:F65" si="1">A2</f>
        <v>1</v>
      </c>
      <c r="G2" s="60"/>
      <c r="H2" s="58">
        <v>1</v>
      </c>
      <c r="I2" s="58">
        <f>IF($A2&gt;=51,0,IF($A2&gt;=30,IF(MOD($A2,5)=0,1,0),IF($A2&gt;=11,IF(MOD($A2,5)=0,3,IF(MOD($A2,2)=0,1,0)),IF(MOD($A2,5)=0,5,IF(MOD($A2,2)=0,2,0)))))</f>
        <v>0</v>
      </c>
    </row>
    <row r="3" spans="1:9" x14ac:dyDescent="0.15">
      <c r="A3" s="23">
        <v>2</v>
      </c>
      <c r="B3" s="56">
        <f t="shared" ref="B3:B66" si="2">B2+G3</f>
        <v>10</v>
      </c>
      <c r="C3" s="56">
        <f t="shared" si="0"/>
        <v>122</v>
      </c>
      <c r="D3" s="26">
        <v>35</v>
      </c>
      <c r="E3" s="56">
        <f>E2+I3</f>
        <v>22</v>
      </c>
      <c r="F3" s="65">
        <f t="shared" si="1"/>
        <v>2</v>
      </c>
      <c r="G3" s="61">
        <f t="shared" ref="G3:G66" si="3">IF(A3&gt;=106, IF(MOD(A3,2)=0,0,1), IF(A3 &gt;= 65, IF(MOD(A3, 2) =0,0, IF(MOD(A3,5)= 0, 2, 1)), IF(MOD(A3, 2) =0,0, IF(MOD(A3,5)= 0, 5, 1))))</f>
        <v>0</v>
      </c>
      <c r="H3" s="58">
        <v>1</v>
      </c>
      <c r="I3" s="58">
        <f t="shared" ref="I3:I66" si="4">IF($A3&gt;=51,0,IF($A3&gt;=30,IF(MOD($A3,5)=0,1,0),IF($A3&gt;=11,IF(MOD($A3,5)=0,3,IF(MOD($A3,2)=0,1,0)),IF(MOD($A3,5)=0,5,IF(MOD($A3,2)=0,2,0)))))</f>
        <v>2</v>
      </c>
    </row>
    <row r="4" spans="1:9" x14ac:dyDescent="0.15">
      <c r="A4" s="23">
        <v>3</v>
      </c>
      <c r="B4" s="56">
        <f t="shared" si="2"/>
        <v>11</v>
      </c>
      <c r="C4" s="56">
        <f t="shared" si="0"/>
        <v>123</v>
      </c>
      <c r="D4" s="26">
        <v>81</v>
      </c>
      <c r="E4" s="56">
        <f t="shared" ref="E4:E67" si="5">E3+I4</f>
        <v>22</v>
      </c>
      <c r="F4" s="65">
        <f t="shared" si="1"/>
        <v>3</v>
      </c>
      <c r="G4" s="61">
        <f t="shared" si="3"/>
        <v>1</v>
      </c>
      <c r="H4" s="58">
        <v>1</v>
      </c>
      <c r="I4" s="58">
        <f t="shared" si="4"/>
        <v>0</v>
      </c>
    </row>
    <row r="5" spans="1:9" x14ac:dyDescent="0.15">
      <c r="A5" s="23">
        <v>4</v>
      </c>
      <c r="B5" s="56">
        <f t="shared" si="2"/>
        <v>11</v>
      </c>
      <c r="C5" s="56">
        <f t="shared" si="0"/>
        <v>124</v>
      </c>
      <c r="D5" s="26">
        <v>138</v>
      </c>
      <c r="E5" s="56">
        <f t="shared" si="5"/>
        <v>24</v>
      </c>
      <c r="F5" s="65">
        <f t="shared" si="1"/>
        <v>4</v>
      </c>
      <c r="G5" s="61">
        <f t="shared" si="3"/>
        <v>0</v>
      </c>
      <c r="H5" s="58">
        <v>1</v>
      </c>
      <c r="I5" s="58">
        <f t="shared" si="4"/>
        <v>2</v>
      </c>
    </row>
    <row r="6" spans="1:9" x14ac:dyDescent="0.15">
      <c r="A6" s="23">
        <v>5</v>
      </c>
      <c r="B6" s="56">
        <f t="shared" si="2"/>
        <v>16</v>
      </c>
      <c r="C6" s="56">
        <f t="shared" si="0"/>
        <v>125</v>
      </c>
      <c r="D6" s="26">
        <v>205</v>
      </c>
      <c r="E6" s="56">
        <f t="shared" si="5"/>
        <v>29</v>
      </c>
      <c r="F6" s="65">
        <f t="shared" si="1"/>
        <v>5</v>
      </c>
      <c r="G6" s="57">
        <f t="shared" si="3"/>
        <v>5</v>
      </c>
      <c r="H6" s="58">
        <v>1</v>
      </c>
      <c r="I6" s="58">
        <f t="shared" si="4"/>
        <v>5</v>
      </c>
    </row>
    <row r="7" spans="1:9" x14ac:dyDescent="0.15">
      <c r="A7" s="23">
        <v>6</v>
      </c>
      <c r="B7" s="56">
        <f t="shared" si="2"/>
        <v>16</v>
      </c>
      <c r="C7" s="56">
        <f t="shared" si="0"/>
        <v>126</v>
      </c>
      <c r="D7" s="26">
        <v>282</v>
      </c>
      <c r="E7" s="56">
        <f t="shared" si="5"/>
        <v>31</v>
      </c>
      <c r="F7" s="65">
        <f t="shared" si="1"/>
        <v>6</v>
      </c>
      <c r="G7" s="61">
        <f t="shared" si="3"/>
        <v>0</v>
      </c>
      <c r="H7" s="58">
        <v>1</v>
      </c>
      <c r="I7" s="58">
        <f t="shared" si="4"/>
        <v>2</v>
      </c>
    </row>
    <row r="8" spans="1:9" x14ac:dyDescent="0.15">
      <c r="A8" s="23">
        <v>7</v>
      </c>
      <c r="B8" s="56">
        <f t="shared" si="2"/>
        <v>17</v>
      </c>
      <c r="C8" s="56">
        <f t="shared" si="0"/>
        <v>127</v>
      </c>
      <c r="D8" s="26">
        <v>368</v>
      </c>
      <c r="E8" s="56">
        <f t="shared" si="5"/>
        <v>31</v>
      </c>
      <c r="F8" s="65">
        <f t="shared" si="1"/>
        <v>7</v>
      </c>
      <c r="G8" s="61">
        <f t="shared" si="3"/>
        <v>1</v>
      </c>
      <c r="H8" s="58">
        <v>1</v>
      </c>
      <c r="I8" s="58">
        <f t="shared" si="4"/>
        <v>0</v>
      </c>
    </row>
    <row r="9" spans="1:9" x14ac:dyDescent="0.15">
      <c r="A9" s="23">
        <v>8</v>
      </c>
      <c r="B9" s="56">
        <f t="shared" si="2"/>
        <v>17</v>
      </c>
      <c r="C9" s="56">
        <f t="shared" si="0"/>
        <v>128</v>
      </c>
      <c r="D9" s="26">
        <v>465</v>
      </c>
      <c r="E9" s="56">
        <f t="shared" si="5"/>
        <v>33</v>
      </c>
      <c r="F9" s="65">
        <f t="shared" si="1"/>
        <v>8</v>
      </c>
      <c r="G9" s="61">
        <f t="shared" si="3"/>
        <v>0</v>
      </c>
      <c r="H9" s="58">
        <v>1</v>
      </c>
      <c r="I9" s="58">
        <f t="shared" si="4"/>
        <v>2</v>
      </c>
    </row>
    <row r="10" spans="1:9" x14ac:dyDescent="0.15">
      <c r="A10" s="23">
        <v>9</v>
      </c>
      <c r="B10" s="56">
        <f t="shared" si="2"/>
        <v>18</v>
      </c>
      <c r="C10" s="56">
        <f t="shared" si="0"/>
        <v>129</v>
      </c>
      <c r="D10" s="26">
        <v>572</v>
      </c>
      <c r="E10" s="56">
        <f t="shared" si="5"/>
        <v>33</v>
      </c>
      <c r="F10" s="65">
        <f t="shared" si="1"/>
        <v>9</v>
      </c>
      <c r="G10" s="61">
        <f t="shared" si="3"/>
        <v>1</v>
      </c>
      <c r="H10" s="58">
        <v>1</v>
      </c>
      <c r="I10" s="58">
        <f t="shared" si="4"/>
        <v>0</v>
      </c>
    </row>
    <row r="11" spans="1:9" x14ac:dyDescent="0.15">
      <c r="A11" s="23">
        <v>10</v>
      </c>
      <c r="B11" s="56">
        <f t="shared" si="2"/>
        <v>18</v>
      </c>
      <c r="C11" s="55">
        <f t="shared" si="0"/>
        <v>130</v>
      </c>
      <c r="D11" s="26">
        <v>688</v>
      </c>
      <c r="E11" s="56">
        <f t="shared" si="5"/>
        <v>38</v>
      </c>
      <c r="F11" s="65">
        <f t="shared" si="1"/>
        <v>10</v>
      </c>
      <c r="G11" s="61">
        <f t="shared" si="3"/>
        <v>0</v>
      </c>
      <c r="H11" s="58">
        <v>1</v>
      </c>
      <c r="I11" s="58">
        <f t="shared" si="4"/>
        <v>5</v>
      </c>
    </row>
    <row r="12" spans="1:9" x14ac:dyDescent="0.15">
      <c r="A12" s="23">
        <v>11</v>
      </c>
      <c r="B12" s="56">
        <f t="shared" si="2"/>
        <v>19</v>
      </c>
      <c r="C12" s="56">
        <f t="shared" si="0"/>
        <v>131</v>
      </c>
      <c r="D12" s="26">
        <v>813</v>
      </c>
      <c r="E12" s="56">
        <f t="shared" si="5"/>
        <v>38</v>
      </c>
      <c r="F12" s="65">
        <f t="shared" si="1"/>
        <v>11</v>
      </c>
      <c r="G12" s="61">
        <f t="shared" si="3"/>
        <v>1</v>
      </c>
      <c r="H12" s="58">
        <v>1</v>
      </c>
      <c r="I12" s="58">
        <f t="shared" si="4"/>
        <v>0</v>
      </c>
    </row>
    <row r="13" spans="1:9" x14ac:dyDescent="0.15">
      <c r="A13" s="23">
        <v>12</v>
      </c>
      <c r="B13" s="56">
        <f t="shared" si="2"/>
        <v>19</v>
      </c>
      <c r="C13" s="56">
        <f t="shared" si="0"/>
        <v>132</v>
      </c>
      <c r="D13" s="26">
        <v>948</v>
      </c>
      <c r="E13" s="56">
        <f t="shared" si="5"/>
        <v>39</v>
      </c>
      <c r="F13" s="65">
        <f t="shared" si="1"/>
        <v>12</v>
      </c>
      <c r="G13" s="61">
        <f t="shared" si="3"/>
        <v>0</v>
      </c>
      <c r="H13" s="58">
        <v>1</v>
      </c>
      <c r="I13" s="58">
        <f t="shared" si="4"/>
        <v>1</v>
      </c>
    </row>
    <row r="14" spans="1:9" x14ac:dyDescent="0.15">
      <c r="A14" s="23">
        <v>13</v>
      </c>
      <c r="B14" s="56">
        <f t="shared" si="2"/>
        <v>20</v>
      </c>
      <c r="C14" s="56">
        <f t="shared" si="0"/>
        <v>133</v>
      </c>
      <c r="D14" s="26">
        <v>1091</v>
      </c>
      <c r="E14" s="56">
        <f t="shared" si="5"/>
        <v>39</v>
      </c>
      <c r="F14" s="65">
        <f t="shared" si="1"/>
        <v>13</v>
      </c>
      <c r="G14" s="61">
        <f t="shared" si="3"/>
        <v>1</v>
      </c>
      <c r="H14" s="58">
        <v>1</v>
      </c>
      <c r="I14" s="58">
        <f t="shared" si="4"/>
        <v>0</v>
      </c>
    </row>
    <row r="15" spans="1:9" x14ac:dyDescent="0.15">
      <c r="A15" s="23">
        <v>14</v>
      </c>
      <c r="B15" s="56">
        <f t="shared" si="2"/>
        <v>20</v>
      </c>
      <c r="C15" s="56">
        <f t="shared" si="0"/>
        <v>134</v>
      </c>
      <c r="D15" s="26">
        <v>1244</v>
      </c>
      <c r="E15" s="56">
        <f t="shared" si="5"/>
        <v>40</v>
      </c>
      <c r="F15" s="65">
        <f t="shared" si="1"/>
        <v>14</v>
      </c>
      <c r="G15" s="61">
        <f t="shared" si="3"/>
        <v>0</v>
      </c>
      <c r="H15" s="58">
        <v>1</v>
      </c>
      <c r="I15" s="58">
        <f t="shared" si="4"/>
        <v>1</v>
      </c>
    </row>
    <row r="16" spans="1:9" x14ac:dyDescent="0.15">
      <c r="A16" s="23">
        <v>15</v>
      </c>
      <c r="B16" s="56">
        <f t="shared" si="2"/>
        <v>25</v>
      </c>
      <c r="C16" s="56">
        <f t="shared" si="0"/>
        <v>135</v>
      </c>
      <c r="D16" s="26">
        <v>1405</v>
      </c>
      <c r="E16" s="56">
        <f t="shared" si="5"/>
        <v>43</v>
      </c>
      <c r="F16" s="65">
        <f t="shared" si="1"/>
        <v>15</v>
      </c>
      <c r="G16" s="57">
        <f t="shared" si="3"/>
        <v>5</v>
      </c>
      <c r="H16" s="58">
        <v>1</v>
      </c>
      <c r="I16" s="58">
        <f t="shared" si="4"/>
        <v>3</v>
      </c>
    </row>
    <row r="17" spans="1:9" x14ac:dyDescent="0.15">
      <c r="A17" s="23">
        <v>16</v>
      </c>
      <c r="B17" s="56">
        <f t="shared" si="2"/>
        <v>25</v>
      </c>
      <c r="C17" s="56">
        <f t="shared" si="0"/>
        <v>136</v>
      </c>
      <c r="D17" s="26">
        <v>1575</v>
      </c>
      <c r="E17" s="56">
        <f t="shared" si="5"/>
        <v>44</v>
      </c>
      <c r="F17" s="65">
        <f t="shared" si="1"/>
        <v>16</v>
      </c>
      <c r="G17" s="61">
        <f t="shared" si="3"/>
        <v>0</v>
      </c>
      <c r="H17" s="58">
        <v>1</v>
      </c>
      <c r="I17" s="58">
        <f t="shared" si="4"/>
        <v>1</v>
      </c>
    </row>
    <row r="18" spans="1:9" x14ac:dyDescent="0.15">
      <c r="A18" s="23">
        <v>17</v>
      </c>
      <c r="B18" s="56">
        <f t="shared" si="2"/>
        <v>26</v>
      </c>
      <c r="C18" s="56">
        <f t="shared" si="0"/>
        <v>137</v>
      </c>
      <c r="D18" s="26">
        <v>1754</v>
      </c>
      <c r="E18" s="56">
        <f t="shared" si="5"/>
        <v>44</v>
      </c>
      <c r="F18" s="65">
        <f t="shared" si="1"/>
        <v>17</v>
      </c>
      <c r="G18" s="61">
        <f t="shared" si="3"/>
        <v>1</v>
      </c>
      <c r="H18" s="58">
        <v>1</v>
      </c>
      <c r="I18" s="58">
        <f t="shared" si="4"/>
        <v>0</v>
      </c>
    </row>
    <row r="19" spans="1:9" x14ac:dyDescent="0.15">
      <c r="A19" s="23">
        <v>18</v>
      </c>
      <c r="B19" s="56">
        <f t="shared" si="2"/>
        <v>26</v>
      </c>
      <c r="C19" s="56">
        <f t="shared" si="0"/>
        <v>138</v>
      </c>
      <c r="D19" s="26">
        <v>1941</v>
      </c>
      <c r="E19" s="56">
        <f t="shared" si="5"/>
        <v>45</v>
      </c>
      <c r="F19" s="65">
        <f t="shared" si="1"/>
        <v>18</v>
      </c>
      <c r="G19" s="61">
        <f t="shared" si="3"/>
        <v>0</v>
      </c>
      <c r="H19" s="58">
        <v>1</v>
      </c>
      <c r="I19" s="58">
        <f t="shared" si="4"/>
        <v>1</v>
      </c>
    </row>
    <row r="20" spans="1:9" x14ac:dyDescent="0.15">
      <c r="A20" s="23">
        <v>19</v>
      </c>
      <c r="B20" s="56">
        <f t="shared" si="2"/>
        <v>27</v>
      </c>
      <c r="C20" s="56">
        <f t="shared" si="0"/>
        <v>139</v>
      </c>
      <c r="D20" s="26">
        <v>2136</v>
      </c>
      <c r="E20" s="56">
        <f t="shared" si="5"/>
        <v>45</v>
      </c>
      <c r="F20" s="65">
        <f t="shared" si="1"/>
        <v>19</v>
      </c>
      <c r="G20" s="61">
        <f t="shared" si="3"/>
        <v>1</v>
      </c>
      <c r="H20" s="58">
        <v>1</v>
      </c>
      <c r="I20" s="58">
        <f t="shared" si="4"/>
        <v>0</v>
      </c>
    </row>
    <row r="21" spans="1:9" x14ac:dyDescent="0.15">
      <c r="A21" s="23">
        <v>20</v>
      </c>
      <c r="B21" s="56">
        <f t="shared" si="2"/>
        <v>27</v>
      </c>
      <c r="C21" s="56">
        <f t="shared" si="0"/>
        <v>140</v>
      </c>
      <c r="D21" s="26">
        <v>2340</v>
      </c>
      <c r="E21" s="56">
        <f t="shared" si="5"/>
        <v>48</v>
      </c>
      <c r="F21" s="65">
        <f t="shared" si="1"/>
        <v>20</v>
      </c>
      <c r="G21" s="61">
        <f t="shared" si="3"/>
        <v>0</v>
      </c>
      <c r="H21" s="58">
        <v>1</v>
      </c>
      <c r="I21" s="58">
        <f t="shared" si="4"/>
        <v>3</v>
      </c>
    </row>
    <row r="22" spans="1:9" x14ac:dyDescent="0.15">
      <c r="A22" s="23">
        <v>21</v>
      </c>
      <c r="B22" s="56">
        <f t="shared" si="2"/>
        <v>28</v>
      </c>
      <c r="C22" s="56">
        <f t="shared" si="0"/>
        <v>141</v>
      </c>
      <c r="D22" s="27">
        <v>2551</v>
      </c>
      <c r="E22" s="56">
        <f t="shared" si="5"/>
        <v>48</v>
      </c>
      <c r="F22" s="65">
        <f t="shared" si="1"/>
        <v>21</v>
      </c>
      <c r="G22" s="61">
        <f t="shared" si="3"/>
        <v>1</v>
      </c>
      <c r="H22" s="58">
        <v>1</v>
      </c>
      <c r="I22" s="58">
        <f t="shared" si="4"/>
        <v>0</v>
      </c>
    </row>
    <row r="23" spans="1:9" x14ac:dyDescent="0.15">
      <c r="A23" s="23">
        <v>22</v>
      </c>
      <c r="B23" s="56">
        <f t="shared" si="2"/>
        <v>28</v>
      </c>
      <c r="C23" s="56">
        <f t="shared" si="0"/>
        <v>142</v>
      </c>
      <c r="D23" s="27">
        <v>2771</v>
      </c>
      <c r="E23" s="56">
        <f t="shared" si="5"/>
        <v>49</v>
      </c>
      <c r="F23" s="65">
        <f t="shared" si="1"/>
        <v>22</v>
      </c>
      <c r="G23" s="61">
        <f t="shared" si="3"/>
        <v>0</v>
      </c>
      <c r="H23" s="58">
        <v>1</v>
      </c>
      <c r="I23" s="58">
        <f t="shared" si="4"/>
        <v>1</v>
      </c>
    </row>
    <row r="24" spans="1:9" x14ac:dyDescent="0.15">
      <c r="A24" s="23">
        <v>23</v>
      </c>
      <c r="B24" s="56">
        <f t="shared" si="2"/>
        <v>29</v>
      </c>
      <c r="C24" s="56">
        <f t="shared" si="0"/>
        <v>143</v>
      </c>
      <c r="D24" s="27">
        <v>2998</v>
      </c>
      <c r="E24" s="56">
        <f t="shared" si="5"/>
        <v>49</v>
      </c>
      <c r="F24" s="65">
        <f t="shared" si="1"/>
        <v>23</v>
      </c>
      <c r="G24" s="61">
        <f t="shared" si="3"/>
        <v>1</v>
      </c>
      <c r="H24" s="58">
        <v>1</v>
      </c>
      <c r="I24" s="58">
        <f t="shared" si="4"/>
        <v>0</v>
      </c>
    </row>
    <row r="25" spans="1:9" x14ac:dyDescent="0.15">
      <c r="A25" s="23">
        <v>24</v>
      </c>
      <c r="B25" s="56">
        <f t="shared" si="2"/>
        <v>29</v>
      </c>
      <c r="C25" s="56">
        <f t="shared" si="0"/>
        <v>144</v>
      </c>
      <c r="D25" s="27">
        <v>3233</v>
      </c>
      <c r="E25" s="56">
        <f t="shared" si="5"/>
        <v>50</v>
      </c>
      <c r="F25" s="65">
        <f t="shared" si="1"/>
        <v>24</v>
      </c>
      <c r="G25" s="61">
        <f t="shared" si="3"/>
        <v>0</v>
      </c>
      <c r="H25" s="58">
        <v>1</v>
      </c>
      <c r="I25" s="58">
        <f t="shared" si="4"/>
        <v>1</v>
      </c>
    </row>
    <row r="26" spans="1:9" x14ac:dyDescent="0.15">
      <c r="A26" s="23">
        <v>25</v>
      </c>
      <c r="B26" s="56">
        <f t="shared" si="2"/>
        <v>34</v>
      </c>
      <c r="C26" s="56">
        <f t="shared" si="0"/>
        <v>145</v>
      </c>
      <c r="D26" s="27">
        <v>3475</v>
      </c>
      <c r="E26" s="56">
        <f t="shared" si="5"/>
        <v>53</v>
      </c>
      <c r="F26" s="65">
        <f t="shared" si="1"/>
        <v>25</v>
      </c>
      <c r="G26" s="57">
        <f t="shared" si="3"/>
        <v>5</v>
      </c>
      <c r="H26" s="58">
        <v>1</v>
      </c>
      <c r="I26" s="58">
        <f t="shared" si="4"/>
        <v>3</v>
      </c>
    </row>
    <row r="27" spans="1:9" x14ac:dyDescent="0.15">
      <c r="A27" s="23">
        <v>26</v>
      </c>
      <c r="B27" s="56">
        <f t="shared" si="2"/>
        <v>34</v>
      </c>
      <c r="C27" s="56">
        <f t="shared" si="0"/>
        <v>146</v>
      </c>
      <c r="D27" s="27">
        <v>3725</v>
      </c>
      <c r="E27" s="56">
        <f t="shared" si="5"/>
        <v>54</v>
      </c>
      <c r="F27" s="65">
        <f t="shared" si="1"/>
        <v>26</v>
      </c>
      <c r="G27" s="61">
        <f t="shared" si="3"/>
        <v>0</v>
      </c>
      <c r="H27" s="58">
        <v>1</v>
      </c>
      <c r="I27" s="58">
        <f t="shared" si="4"/>
        <v>1</v>
      </c>
    </row>
    <row r="28" spans="1:9" x14ac:dyDescent="0.15">
      <c r="A28" s="23">
        <v>27</v>
      </c>
      <c r="B28" s="56">
        <f t="shared" si="2"/>
        <v>35</v>
      </c>
      <c r="C28" s="56">
        <f t="shared" si="0"/>
        <v>147</v>
      </c>
      <c r="D28" s="27">
        <v>3982</v>
      </c>
      <c r="E28" s="56">
        <f t="shared" si="5"/>
        <v>54</v>
      </c>
      <c r="F28" s="65">
        <f t="shared" si="1"/>
        <v>27</v>
      </c>
      <c r="G28" s="61">
        <f t="shared" si="3"/>
        <v>1</v>
      </c>
      <c r="H28" s="58">
        <v>1</v>
      </c>
      <c r="I28" s="58">
        <f t="shared" si="4"/>
        <v>0</v>
      </c>
    </row>
    <row r="29" spans="1:9" x14ac:dyDescent="0.15">
      <c r="A29" s="23">
        <v>28</v>
      </c>
      <c r="B29" s="56">
        <f t="shared" si="2"/>
        <v>35</v>
      </c>
      <c r="C29" s="56">
        <f t="shared" si="0"/>
        <v>148</v>
      </c>
      <c r="D29" s="27">
        <v>4246</v>
      </c>
      <c r="E29" s="56">
        <f t="shared" si="5"/>
        <v>55</v>
      </c>
      <c r="F29" s="65">
        <f t="shared" si="1"/>
        <v>28</v>
      </c>
      <c r="G29" s="61">
        <f t="shared" si="3"/>
        <v>0</v>
      </c>
      <c r="H29" s="58">
        <v>1</v>
      </c>
      <c r="I29" s="58">
        <f t="shared" si="4"/>
        <v>1</v>
      </c>
    </row>
    <row r="30" spans="1:9" x14ac:dyDescent="0.15">
      <c r="A30" s="23">
        <v>29</v>
      </c>
      <c r="B30" s="56">
        <f t="shared" si="2"/>
        <v>36</v>
      </c>
      <c r="C30" s="56">
        <f t="shared" si="0"/>
        <v>149</v>
      </c>
      <c r="D30" s="27">
        <v>4517</v>
      </c>
      <c r="E30" s="56">
        <f t="shared" si="5"/>
        <v>55</v>
      </c>
      <c r="F30" s="65">
        <f t="shared" si="1"/>
        <v>29</v>
      </c>
      <c r="G30" s="61">
        <f t="shared" si="3"/>
        <v>1</v>
      </c>
      <c r="H30" s="58">
        <v>1</v>
      </c>
      <c r="I30" s="58">
        <f t="shared" si="4"/>
        <v>0</v>
      </c>
    </row>
    <row r="31" spans="1:9" x14ac:dyDescent="0.15">
      <c r="A31" s="23">
        <v>30</v>
      </c>
      <c r="B31" s="56">
        <f t="shared" si="2"/>
        <v>36</v>
      </c>
      <c r="C31" s="55">
        <v>150</v>
      </c>
      <c r="D31" s="27">
        <v>4796</v>
      </c>
      <c r="E31" s="56">
        <f t="shared" si="5"/>
        <v>56</v>
      </c>
      <c r="F31" s="65">
        <f t="shared" si="1"/>
        <v>30</v>
      </c>
      <c r="G31" s="61">
        <f t="shared" si="3"/>
        <v>0</v>
      </c>
      <c r="H31" s="58">
        <v>1</v>
      </c>
      <c r="I31" s="58">
        <f t="shared" si="4"/>
        <v>1</v>
      </c>
    </row>
    <row r="32" spans="1:9" x14ac:dyDescent="0.15">
      <c r="A32" s="23">
        <v>31</v>
      </c>
      <c r="B32" s="56">
        <f t="shared" si="2"/>
        <v>37</v>
      </c>
      <c r="C32" s="56">
        <f>C31+H32</f>
        <v>150</v>
      </c>
      <c r="D32" s="27">
        <v>5081</v>
      </c>
      <c r="E32" s="56">
        <f t="shared" si="5"/>
        <v>56</v>
      </c>
      <c r="F32" s="65">
        <f t="shared" si="1"/>
        <v>31</v>
      </c>
      <c r="G32" s="61">
        <f t="shared" si="3"/>
        <v>1</v>
      </c>
      <c r="H32" s="58">
        <v>0</v>
      </c>
      <c r="I32" s="58">
        <f t="shared" si="4"/>
        <v>0</v>
      </c>
    </row>
    <row r="33" spans="1:16" x14ac:dyDescent="0.15">
      <c r="A33" s="23">
        <v>32</v>
      </c>
      <c r="B33" s="56">
        <f t="shared" si="2"/>
        <v>37</v>
      </c>
      <c r="C33" s="56">
        <f t="shared" ref="C33:C96" si="6">C32+H33</f>
        <v>151</v>
      </c>
      <c r="D33" s="27">
        <v>5373</v>
      </c>
      <c r="E33" s="56">
        <f t="shared" si="5"/>
        <v>56</v>
      </c>
      <c r="F33" s="65">
        <f t="shared" si="1"/>
        <v>32</v>
      </c>
      <c r="G33" s="61">
        <f t="shared" si="3"/>
        <v>0</v>
      </c>
      <c r="H33" s="58">
        <v>1</v>
      </c>
      <c r="I33" s="58">
        <f t="shared" si="4"/>
        <v>0</v>
      </c>
    </row>
    <row r="34" spans="1:16" x14ac:dyDescent="0.15">
      <c r="A34" s="23">
        <v>33</v>
      </c>
      <c r="B34" s="56">
        <f t="shared" si="2"/>
        <v>38</v>
      </c>
      <c r="C34" s="56">
        <f t="shared" si="6"/>
        <v>152</v>
      </c>
      <c r="D34" s="27">
        <v>5671</v>
      </c>
      <c r="E34" s="56">
        <f t="shared" si="5"/>
        <v>56</v>
      </c>
      <c r="F34" s="65">
        <f t="shared" si="1"/>
        <v>33</v>
      </c>
      <c r="G34" s="61">
        <f t="shared" si="3"/>
        <v>1</v>
      </c>
      <c r="H34" s="58">
        <v>1</v>
      </c>
      <c r="I34" s="58">
        <f t="shared" si="4"/>
        <v>0</v>
      </c>
    </row>
    <row r="35" spans="1:16" x14ac:dyDescent="0.15">
      <c r="A35" s="23">
        <v>34</v>
      </c>
      <c r="B35" s="56">
        <f t="shared" si="2"/>
        <v>38</v>
      </c>
      <c r="C35" s="56">
        <f t="shared" si="6"/>
        <v>153</v>
      </c>
      <c r="D35" s="27">
        <v>5976</v>
      </c>
      <c r="E35" s="56">
        <f t="shared" si="5"/>
        <v>56</v>
      </c>
      <c r="F35" s="65">
        <f t="shared" si="1"/>
        <v>34</v>
      </c>
      <c r="G35" s="61">
        <f t="shared" si="3"/>
        <v>0</v>
      </c>
      <c r="H35" s="58">
        <v>1</v>
      </c>
      <c r="I35" s="58">
        <f t="shared" si="4"/>
        <v>0</v>
      </c>
    </row>
    <row r="36" spans="1:16" x14ac:dyDescent="0.15">
      <c r="A36" s="23">
        <v>35</v>
      </c>
      <c r="B36" s="56">
        <f t="shared" si="2"/>
        <v>43</v>
      </c>
      <c r="C36" s="56">
        <f t="shared" si="6"/>
        <v>153</v>
      </c>
      <c r="D36" s="27">
        <v>6288</v>
      </c>
      <c r="E36" s="56">
        <f t="shared" si="5"/>
        <v>57</v>
      </c>
      <c r="F36" s="65">
        <f t="shared" si="1"/>
        <v>35</v>
      </c>
      <c r="G36" s="57">
        <f t="shared" si="3"/>
        <v>5</v>
      </c>
      <c r="H36" s="58">
        <v>0</v>
      </c>
      <c r="I36" s="58">
        <f t="shared" si="4"/>
        <v>1</v>
      </c>
      <c r="L36" s="68" t="s">
        <v>236</v>
      </c>
      <c r="M36" s="68" t="s">
        <v>237</v>
      </c>
      <c r="N36" s="68"/>
      <c r="O36" s="68" t="s">
        <v>238</v>
      </c>
      <c r="P36" s="68" t="s">
        <v>239</v>
      </c>
    </row>
    <row r="37" spans="1:16" x14ac:dyDescent="0.15">
      <c r="A37" s="23">
        <v>36</v>
      </c>
      <c r="B37" s="56">
        <f t="shared" si="2"/>
        <v>43</v>
      </c>
      <c r="C37" s="56">
        <f t="shared" si="6"/>
        <v>154</v>
      </c>
      <c r="D37" s="27">
        <v>6606</v>
      </c>
      <c r="E37" s="56">
        <f t="shared" si="5"/>
        <v>57</v>
      </c>
      <c r="F37" s="65">
        <f t="shared" si="1"/>
        <v>36</v>
      </c>
      <c r="G37" s="61">
        <f t="shared" si="3"/>
        <v>0</v>
      </c>
      <c r="H37" s="58">
        <v>1</v>
      </c>
      <c r="I37" s="58">
        <f t="shared" si="4"/>
        <v>0</v>
      </c>
      <c r="L37">
        <v>1</v>
      </c>
      <c r="M37">
        <v>2</v>
      </c>
      <c r="N37">
        <v>3</v>
      </c>
      <c r="O37">
        <v>4</v>
      </c>
      <c r="P37">
        <v>5</v>
      </c>
    </row>
    <row r="38" spans="1:16" x14ac:dyDescent="0.15">
      <c r="A38" s="23">
        <v>37</v>
      </c>
      <c r="B38" s="56">
        <f t="shared" si="2"/>
        <v>44</v>
      </c>
      <c r="C38" s="56">
        <f t="shared" si="6"/>
        <v>155</v>
      </c>
      <c r="D38" s="27">
        <v>6930</v>
      </c>
      <c r="E38" s="56">
        <f t="shared" si="5"/>
        <v>57</v>
      </c>
      <c r="F38" s="65">
        <f t="shared" si="1"/>
        <v>37</v>
      </c>
      <c r="G38" s="61">
        <f t="shared" si="3"/>
        <v>1</v>
      </c>
      <c r="H38" s="58">
        <v>1</v>
      </c>
      <c r="I38" s="58">
        <f t="shared" si="4"/>
        <v>0</v>
      </c>
      <c r="J38" s="67" t="s">
        <v>233</v>
      </c>
      <c r="K38">
        <v>91</v>
      </c>
      <c r="L38">
        <v>0</v>
      </c>
      <c r="O38">
        <v>1</v>
      </c>
    </row>
    <row r="39" spans="1:16" x14ac:dyDescent="0.15">
      <c r="A39" s="23">
        <v>38</v>
      </c>
      <c r="B39" s="56">
        <f t="shared" si="2"/>
        <v>44</v>
      </c>
      <c r="C39" s="56">
        <f t="shared" si="6"/>
        <v>156</v>
      </c>
      <c r="D39" s="27">
        <v>7260</v>
      </c>
      <c r="E39" s="56">
        <f t="shared" si="5"/>
        <v>57</v>
      </c>
      <c r="F39" s="65">
        <f t="shared" si="1"/>
        <v>38</v>
      </c>
      <c r="G39" s="61">
        <f t="shared" si="3"/>
        <v>0</v>
      </c>
      <c r="H39" s="58">
        <v>1</v>
      </c>
      <c r="I39" s="58">
        <f t="shared" si="4"/>
        <v>0</v>
      </c>
      <c r="J39" s="67" t="s">
        <v>234</v>
      </c>
      <c r="K39">
        <v>30</v>
      </c>
      <c r="L39">
        <v>0</v>
      </c>
      <c r="M39">
        <v>1</v>
      </c>
      <c r="O39">
        <v>1</v>
      </c>
      <c r="P39">
        <v>2</v>
      </c>
    </row>
    <row r="40" spans="1:16" x14ac:dyDescent="0.15">
      <c r="A40" s="23">
        <v>39</v>
      </c>
      <c r="B40" s="56">
        <f t="shared" si="2"/>
        <v>45</v>
      </c>
      <c r="C40" s="56">
        <f t="shared" si="6"/>
        <v>156</v>
      </c>
      <c r="D40" s="27">
        <v>7596</v>
      </c>
      <c r="E40" s="56">
        <f t="shared" si="5"/>
        <v>57</v>
      </c>
      <c r="F40" s="65">
        <f t="shared" si="1"/>
        <v>39</v>
      </c>
      <c r="G40" s="61">
        <f t="shared" si="3"/>
        <v>1</v>
      </c>
      <c r="H40" s="58">
        <v>0</v>
      </c>
      <c r="I40" s="58">
        <f t="shared" si="4"/>
        <v>0</v>
      </c>
      <c r="J40" s="67" t="s">
        <v>235</v>
      </c>
      <c r="L40">
        <v>0</v>
      </c>
      <c r="M40">
        <v>1</v>
      </c>
      <c r="O40">
        <v>2</v>
      </c>
      <c r="P40">
        <v>5</v>
      </c>
    </row>
    <row r="41" spans="1:16" x14ac:dyDescent="0.15">
      <c r="A41" s="23">
        <v>40</v>
      </c>
      <c r="B41" s="56">
        <f t="shared" si="2"/>
        <v>45</v>
      </c>
      <c r="C41" s="56">
        <f t="shared" si="6"/>
        <v>157</v>
      </c>
      <c r="D41" s="27">
        <v>7938</v>
      </c>
      <c r="E41" s="56">
        <f t="shared" si="5"/>
        <v>58</v>
      </c>
      <c r="F41" s="65">
        <f t="shared" si="1"/>
        <v>40</v>
      </c>
      <c r="G41" s="61">
        <f t="shared" si="3"/>
        <v>0</v>
      </c>
      <c r="H41" s="58">
        <v>1</v>
      </c>
      <c r="I41" s="58">
        <f t="shared" si="4"/>
        <v>1</v>
      </c>
    </row>
    <row r="42" spans="1:16" x14ac:dyDescent="0.15">
      <c r="A42" s="23">
        <v>41</v>
      </c>
      <c r="B42" s="56">
        <f t="shared" si="2"/>
        <v>46</v>
      </c>
      <c r="C42" s="56">
        <f t="shared" si="6"/>
        <v>158</v>
      </c>
      <c r="D42" s="27">
        <v>8287</v>
      </c>
      <c r="E42" s="56">
        <f t="shared" si="5"/>
        <v>58</v>
      </c>
      <c r="F42" s="65">
        <f t="shared" si="1"/>
        <v>41</v>
      </c>
      <c r="G42" s="61">
        <f t="shared" si="3"/>
        <v>1</v>
      </c>
      <c r="H42" s="58">
        <v>1</v>
      </c>
      <c r="I42" s="58">
        <f t="shared" si="4"/>
        <v>0</v>
      </c>
      <c r="J42" s="68" t="s">
        <v>231</v>
      </c>
      <c r="K42" s="68" t="s">
        <v>232</v>
      </c>
      <c r="L42" s="68" t="s">
        <v>240</v>
      </c>
      <c r="M42" s="68" t="s">
        <v>241</v>
      </c>
      <c r="N42" s="68" t="s">
        <v>242</v>
      </c>
    </row>
    <row r="43" spans="1:16" x14ac:dyDescent="0.15">
      <c r="A43" s="23">
        <v>42</v>
      </c>
      <c r="B43" s="56">
        <f t="shared" si="2"/>
        <v>46</v>
      </c>
      <c r="C43" s="56">
        <f t="shared" si="6"/>
        <v>159</v>
      </c>
      <c r="D43" s="27">
        <v>8640</v>
      </c>
      <c r="E43" s="56">
        <f t="shared" si="5"/>
        <v>58</v>
      </c>
      <c r="F43" s="65">
        <f t="shared" si="1"/>
        <v>42</v>
      </c>
      <c r="G43" s="61">
        <f t="shared" si="3"/>
        <v>0</v>
      </c>
      <c r="H43" s="58">
        <v>1</v>
      </c>
      <c r="I43" s="58">
        <f t="shared" si="4"/>
        <v>0</v>
      </c>
      <c r="J43">
        <v>105</v>
      </c>
      <c r="K43" t="e">
        <f>IFERROR(VLOOKUP(J43,$C$2:$F$401,4,FALSE),VLOOKUP(J43,$C$2:$F$401,4,TRUE)+1)</f>
        <v>#N/A</v>
      </c>
      <c r="L43" s="69" t="s">
        <v>229</v>
      </c>
      <c r="M43" s="69" t="s">
        <v>229</v>
      </c>
      <c r="N43" s="69" t="s">
        <v>229</v>
      </c>
    </row>
    <row r="44" spans="1:16" x14ac:dyDescent="0.15">
      <c r="A44" s="23">
        <v>43</v>
      </c>
      <c r="B44" s="56">
        <f t="shared" si="2"/>
        <v>47</v>
      </c>
      <c r="C44" s="56">
        <f t="shared" si="6"/>
        <v>159</v>
      </c>
      <c r="D44" s="27">
        <v>9000</v>
      </c>
      <c r="E44" s="56">
        <f t="shared" si="5"/>
        <v>58</v>
      </c>
      <c r="F44" s="65">
        <f t="shared" si="1"/>
        <v>43</v>
      </c>
      <c r="G44" s="61">
        <f t="shared" si="3"/>
        <v>1</v>
      </c>
      <c r="H44" s="58">
        <v>0</v>
      </c>
      <c r="I44" s="58">
        <f t="shared" si="4"/>
        <v>0</v>
      </c>
      <c r="J44">
        <v>110</v>
      </c>
      <c r="K44" t="e">
        <f t="shared" ref="K44:K48" si="7">IFERROR(VLOOKUP(J44,$C$2:$F$401,4,FALSE),VLOOKUP(J44,$C$2:$F$401,4,TRUE)+1)</f>
        <v>#N/A</v>
      </c>
      <c r="L44" s="69" t="s">
        <v>230</v>
      </c>
      <c r="M44" s="69" t="s">
        <v>229</v>
      </c>
      <c r="N44" s="69" t="s">
        <v>229</v>
      </c>
    </row>
    <row r="45" spans="1:16" x14ac:dyDescent="0.15">
      <c r="A45" s="23">
        <v>44</v>
      </c>
      <c r="B45" s="56">
        <f t="shared" si="2"/>
        <v>47</v>
      </c>
      <c r="C45" s="56">
        <f t="shared" si="6"/>
        <v>160</v>
      </c>
      <c r="D45" s="27">
        <v>9365</v>
      </c>
      <c r="E45" s="56">
        <f t="shared" si="5"/>
        <v>58</v>
      </c>
      <c r="F45" s="65">
        <f t="shared" si="1"/>
        <v>44</v>
      </c>
      <c r="G45" s="61">
        <f t="shared" si="3"/>
        <v>0</v>
      </c>
      <c r="H45" s="58">
        <v>1</v>
      </c>
      <c r="I45" s="58">
        <f t="shared" si="4"/>
        <v>0</v>
      </c>
      <c r="J45">
        <v>125</v>
      </c>
      <c r="K45">
        <f t="shared" si="7"/>
        <v>5</v>
      </c>
      <c r="L45" s="69" t="s">
        <v>227</v>
      </c>
      <c r="M45" s="69" t="s">
        <v>229</v>
      </c>
      <c r="N45" s="69" t="s">
        <v>229</v>
      </c>
    </row>
    <row r="46" spans="1:16" x14ac:dyDescent="0.15">
      <c r="A46" s="23">
        <v>45</v>
      </c>
      <c r="B46" s="56">
        <f t="shared" si="2"/>
        <v>52</v>
      </c>
      <c r="C46" s="56">
        <f t="shared" si="6"/>
        <v>161</v>
      </c>
      <c r="D46" s="27">
        <v>9736</v>
      </c>
      <c r="E46" s="56">
        <f t="shared" si="5"/>
        <v>59</v>
      </c>
      <c r="F46" s="65">
        <f t="shared" si="1"/>
        <v>45</v>
      </c>
      <c r="G46" s="57">
        <f t="shared" si="3"/>
        <v>5</v>
      </c>
      <c r="H46" s="58">
        <v>1</v>
      </c>
      <c r="I46" s="58">
        <f t="shared" si="4"/>
        <v>1</v>
      </c>
      <c r="J46">
        <v>140</v>
      </c>
      <c r="K46">
        <f t="shared" si="7"/>
        <v>20</v>
      </c>
      <c r="L46" s="69" t="s">
        <v>227</v>
      </c>
      <c r="M46" s="69" t="s">
        <v>228</v>
      </c>
      <c r="N46" s="69" t="s">
        <v>229</v>
      </c>
    </row>
    <row r="47" spans="1:16" x14ac:dyDescent="0.15">
      <c r="A47" s="23">
        <v>46</v>
      </c>
      <c r="B47" s="56">
        <f t="shared" si="2"/>
        <v>52</v>
      </c>
      <c r="C47" s="56">
        <f t="shared" si="6"/>
        <v>162</v>
      </c>
      <c r="D47" s="27">
        <v>10112</v>
      </c>
      <c r="E47" s="56">
        <f t="shared" si="5"/>
        <v>59</v>
      </c>
      <c r="F47" s="65">
        <f t="shared" si="1"/>
        <v>46</v>
      </c>
      <c r="G47" s="61">
        <f t="shared" si="3"/>
        <v>0</v>
      </c>
      <c r="H47" s="58">
        <v>1</v>
      </c>
      <c r="I47" s="58">
        <f t="shared" si="4"/>
        <v>0</v>
      </c>
      <c r="J47">
        <v>155</v>
      </c>
      <c r="K47">
        <f t="shared" si="7"/>
        <v>37</v>
      </c>
      <c r="L47" s="69" t="s">
        <v>227</v>
      </c>
      <c r="M47" s="69" t="s">
        <v>228</v>
      </c>
      <c r="N47" s="69" t="s">
        <v>228</v>
      </c>
    </row>
    <row r="48" spans="1:16" x14ac:dyDescent="0.15">
      <c r="A48" s="23">
        <v>47</v>
      </c>
      <c r="B48" s="56">
        <f t="shared" si="2"/>
        <v>53</v>
      </c>
      <c r="C48" s="56">
        <f t="shared" si="6"/>
        <v>162</v>
      </c>
      <c r="D48" s="27">
        <v>10494</v>
      </c>
      <c r="E48" s="56">
        <f t="shared" si="5"/>
        <v>59</v>
      </c>
      <c r="F48" s="65">
        <f t="shared" si="1"/>
        <v>47</v>
      </c>
      <c r="G48" s="61">
        <f t="shared" si="3"/>
        <v>1</v>
      </c>
      <c r="H48" s="58">
        <v>0</v>
      </c>
      <c r="I48" s="58">
        <f t="shared" si="4"/>
        <v>0</v>
      </c>
      <c r="J48">
        <v>165</v>
      </c>
      <c r="K48">
        <f t="shared" si="7"/>
        <v>50</v>
      </c>
      <c r="L48" s="69" t="s">
        <v>227</v>
      </c>
      <c r="M48" s="69" t="s">
        <v>227</v>
      </c>
      <c r="N48" s="69" t="s">
        <v>227</v>
      </c>
    </row>
    <row r="49" spans="1:9" x14ac:dyDescent="0.15">
      <c r="A49" s="23">
        <v>48</v>
      </c>
      <c r="B49" s="56">
        <f t="shared" si="2"/>
        <v>53</v>
      </c>
      <c r="C49" s="56">
        <f t="shared" si="6"/>
        <v>163</v>
      </c>
      <c r="D49" s="27">
        <v>10881</v>
      </c>
      <c r="E49" s="56">
        <f t="shared" si="5"/>
        <v>59</v>
      </c>
      <c r="F49" s="65">
        <f t="shared" si="1"/>
        <v>48</v>
      </c>
      <c r="G49" s="61">
        <f t="shared" si="3"/>
        <v>0</v>
      </c>
      <c r="H49" s="58">
        <v>1</v>
      </c>
      <c r="I49" s="58">
        <f t="shared" si="4"/>
        <v>0</v>
      </c>
    </row>
    <row r="50" spans="1:9" x14ac:dyDescent="0.15">
      <c r="A50" s="23">
        <v>49</v>
      </c>
      <c r="B50" s="56">
        <f t="shared" si="2"/>
        <v>54</v>
      </c>
      <c r="C50" s="56">
        <f t="shared" si="6"/>
        <v>164</v>
      </c>
      <c r="D50" s="27">
        <v>11273</v>
      </c>
      <c r="E50" s="56">
        <f t="shared" si="5"/>
        <v>59</v>
      </c>
      <c r="F50" s="65">
        <f t="shared" si="1"/>
        <v>49</v>
      </c>
      <c r="G50" s="61">
        <f t="shared" si="3"/>
        <v>1</v>
      </c>
      <c r="H50" s="58">
        <v>1</v>
      </c>
      <c r="I50" s="58">
        <f t="shared" si="4"/>
        <v>0</v>
      </c>
    </row>
    <row r="51" spans="1:9" x14ac:dyDescent="0.15">
      <c r="A51" s="23">
        <v>50</v>
      </c>
      <c r="B51" s="56">
        <f t="shared" si="2"/>
        <v>54</v>
      </c>
      <c r="C51" s="55">
        <f t="shared" si="6"/>
        <v>165</v>
      </c>
      <c r="D51" s="27">
        <v>11670</v>
      </c>
      <c r="E51" s="56">
        <f t="shared" si="5"/>
        <v>60</v>
      </c>
      <c r="F51" s="65">
        <f t="shared" si="1"/>
        <v>50</v>
      </c>
      <c r="G51" s="61">
        <f t="shared" si="3"/>
        <v>0</v>
      </c>
      <c r="H51" s="58">
        <v>1</v>
      </c>
      <c r="I51" s="58">
        <f t="shared" si="4"/>
        <v>1</v>
      </c>
    </row>
    <row r="52" spans="1:9" x14ac:dyDescent="0.15">
      <c r="A52" s="23">
        <v>51</v>
      </c>
      <c r="B52" s="56">
        <f t="shared" si="2"/>
        <v>55</v>
      </c>
      <c r="C52" s="56">
        <f t="shared" si="6"/>
        <v>165</v>
      </c>
      <c r="D52" s="27">
        <v>12072</v>
      </c>
      <c r="E52" s="56">
        <f t="shared" si="5"/>
        <v>60</v>
      </c>
      <c r="F52" s="65">
        <f t="shared" si="1"/>
        <v>51</v>
      </c>
      <c r="G52" s="61">
        <f t="shared" si="3"/>
        <v>1</v>
      </c>
      <c r="H52" s="58">
        <f t="shared" ref="H52:H54" si="8">IF($A52&gt;=slow,IF(MOD($A52,upper)=0,slow_upper,0),IF($A52&gt;medium,IF(MOD($A52,bonus)=0,medium_bonus,IF(MOD($A52,upper)=0,medium_upper,IF(MOD($A52,up)=0,medium_up,0))),IF(MOD($A52,bonus)=0,fast_bonus,IF(MOD($A52,upper)=0,fast_upper,IF(MOD($A52,up)=0,fast_up,0)))))</f>
        <v>0</v>
      </c>
      <c r="I52" s="58">
        <f t="shared" si="4"/>
        <v>0</v>
      </c>
    </row>
    <row r="53" spans="1:9" x14ac:dyDescent="0.15">
      <c r="A53" s="23">
        <v>52</v>
      </c>
      <c r="B53" s="56">
        <f t="shared" si="2"/>
        <v>55</v>
      </c>
      <c r="C53" s="56">
        <f t="shared" si="6"/>
        <v>166</v>
      </c>
      <c r="D53" s="27">
        <v>12479</v>
      </c>
      <c r="E53" s="56">
        <f t="shared" si="5"/>
        <v>60</v>
      </c>
      <c r="F53" s="65">
        <f t="shared" si="1"/>
        <v>52</v>
      </c>
      <c r="G53" s="61">
        <f t="shared" si="3"/>
        <v>0</v>
      </c>
      <c r="H53" s="58">
        <f t="shared" si="8"/>
        <v>1</v>
      </c>
      <c r="I53" s="58">
        <f t="shared" si="4"/>
        <v>0</v>
      </c>
    </row>
    <row r="54" spans="1:9" x14ac:dyDescent="0.15">
      <c r="A54" s="23">
        <v>53</v>
      </c>
      <c r="B54" s="56">
        <f t="shared" si="2"/>
        <v>56</v>
      </c>
      <c r="C54" s="56">
        <f t="shared" si="6"/>
        <v>166</v>
      </c>
      <c r="D54" s="27">
        <v>12891</v>
      </c>
      <c r="E54" s="56">
        <f t="shared" si="5"/>
        <v>60</v>
      </c>
      <c r="F54" s="65">
        <f t="shared" si="1"/>
        <v>53</v>
      </c>
      <c r="G54" s="61">
        <f t="shared" si="3"/>
        <v>1</v>
      </c>
      <c r="H54" s="58">
        <f t="shared" si="8"/>
        <v>0</v>
      </c>
      <c r="I54" s="58">
        <f t="shared" si="4"/>
        <v>0</v>
      </c>
    </row>
    <row r="55" spans="1:9" x14ac:dyDescent="0.15">
      <c r="A55" s="23">
        <v>54</v>
      </c>
      <c r="B55" s="56">
        <f t="shared" si="2"/>
        <v>56</v>
      </c>
      <c r="C55" s="56">
        <f t="shared" si="6"/>
        <v>166</v>
      </c>
      <c r="D55" s="27">
        <v>13308</v>
      </c>
      <c r="E55" s="56">
        <f t="shared" si="5"/>
        <v>60</v>
      </c>
      <c r="F55" s="65">
        <f t="shared" si="1"/>
        <v>54</v>
      </c>
      <c r="G55" s="61">
        <f t="shared" si="3"/>
        <v>0</v>
      </c>
      <c r="H55" s="58">
        <v>0</v>
      </c>
      <c r="I55" s="58">
        <f t="shared" si="4"/>
        <v>0</v>
      </c>
    </row>
    <row r="56" spans="1:9" x14ac:dyDescent="0.15">
      <c r="A56" s="23">
        <v>55</v>
      </c>
      <c r="B56" s="56">
        <f t="shared" si="2"/>
        <v>61</v>
      </c>
      <c r="C56" s="56">
        <f t="shared" si="6"/>
        <v>166</v>
      </c>
      <c r="D56" s="27">
        <v>13730</v>
      </c>
      <c r="E56" s="56">
        <f t="shared" si="5"/>
        <v>60</v>
      </c>
      <c r="F56" s="65">
        <f t="shared" si="1"/>
        <v>55</v>
      </c>
      <c r="G56" s="57">
        <f t="shared" si="3"/>
        <v>5</v>
      </c>
      <c r="H56" s="58">
        <v>0</v>
      </c>
      <c r="I56" s="58">
        <f t="shared" si="4"/>
        <v>0</v>
      </c>
    </row>
    <row r="57" spans="1:9" x14ac:dyDescent="0.15">
      <c r="A57" s="23">
        <v>56</v>
      </c>
      <c r="B57" s="56">
        <f t="shared" si="2"/>
        <v>61</v>
      </c>
      <c r="C57" s="56">
        <f t="shared" si="6"/>
        <v>167</v>
      </c>
      <c r="D57" s="27">
        <v>14156</v>
      </c>
      <c r="E57" s="56">
        <f t="shared" si="5"/>
        <v>60</v>
      </c>
      <c r="F57" s="65">
        <f t="shared" si="1"/>
        <v>56</v>
      </c>
      <c r="G57" s="61">
        <f t="shared" si="3"/>
        <v>0</v>
      </c>
      <c r="H57" s="58">
        <v>1</v>
      </c>
      <c r="I57" s="58">
        <f t="shared" si="4"/>
        <v>0</v>
      </c>
    </row>
    <row r="58" spans="1:9" x14ac:dyDescent="0.15">
      <c r="A58" s="23">
        <v>57</v>
      </c>
      <c r="B58" s="56">
        <f t="shared" si="2"/>
        <v>62</v>
      </c>
      <c r="C58" s="56">
        <f t="shared" si="6"/>
        <v>167</v>
      </c>
      <c r="D58" s="27">
        <v>14587</v>
      </c>
      <c r="E58" s="56">
        <f t="shared" si="5"/>
        <v>60</v>
      </c>
      <c r="F58" s="65">
        <f t="shared" si="1"/>
        <v>57</v>
      </c>
      <c r="G58" s="61">
        <f t="shared" si="3"/>
        <v>1</v>
      </c>
      <c r="H58" s="58">
        <f>IF(MOD(A58,4)=0,1,0)</f>
        <v>0</v>
      </c>
      <c r="I58" s="58">
        <f t="shared" si="4"/>
        <v>0</v>
      </c>
    </row>
    <row r="59" spans="1:9" x14ac:dyDescent="0.15">
      <c r="A59" s="23">
        <v>58</v>
      </c>
      <c r="B59" s="56">
        <f t="shared" si="2"/>
        <v>62</v>
      </c>
      <c r="C59" s="56">
        <f t="shared" si="6"/>
        <v>167</v>
      </c>
      <c r="D59" s="27">
        <v>15023</v>
      </c>
      <c r="E59" s="56">
        <f t="shared" si="5"/>
        <v>60</v>
      </c>
      <c r="F59" s="65">
        <f t="shared" si="1"/>
        <v>58</v>
      </c>
      <c r="G59" s="61">
        <f t="shared" si="3"/>
        <v>0</v>
      </c>
      <c r="H59" s="58">
        <f t="shared" ref="H59:H122" si="9">IF(MOD(A59,4)=0,1,0)</f>
        <v>0</v>
      </c>
      <c r="I59" s="58">
        <f t="shared" si="4"/>
        <v>0</v>
      </c>
    </row>
    <row r="60" spans="1:9" x14ac:dyDescent="0.15">
      <c r="A60" s="23">
        <v>59</v>
      </c>
      <c r="B60" s="56">
        <f t="shared" si="2"/>
        <v>63</v>
      </c>
      <c r="C60" s="56">
        <f t="shared" si="6"/>
        <v>167</v>
      </c>
      <c r="D60" s="27">
        <v>15463</v>
      </c>
      <c r="E60" s="56">
        <f t="shared" si="5"/>
        <v>60</v>
      </c>
      <c r="F60" s="65">
        <f t="shared" si="1"/>
        <v>59</v>
      </c>
      <c r="G60" s="61">
        <f t="shared" si="3"/>
        <v>1</v>
      </c>
      <c r="H60" s="58">
        <f t="shared" si="9"/>
        <v>0</v>
      </c>
      <c r="I60" s="58">
        <f t="shared" si="4"/>
        <v>0</v>
      </c>
    </row>
    <row r="61" spans="1:9" x14ac:dyDescent="0.15">
      <c r="A61" s="23">
        <v>60</v>
      </c>
      <c r="B61" s="56">
        <f t="shared" si="2"/>
        <v>63</v>
      </c>
      <c r="C61" s="56">
        <f t="shared" si="6"/>
        <v>168</v>
      </c>
      <c r="D61" s="27">
        <v>15907</v>
      </c>
      <c r="E61" s="56">
        <f t="shared" si="5"/>
        <v>60</v>
      </c>
      <c r="F61" s="65">
        <f t="shared" si="1"/>
        <v>60</v>
      </c>
      <c r="G61" s="61">
        <f t="shared" si="3"/>
        <v>0</v>
      </c>
      <c r="H61" s="58">
        <f t="shared" si="9"/>
        <v>1</v>
      </c>
      <c r="I61" s="58">
        <f t="shared" si="4"/>
        <v>0</v>
      </c>
    </row>
    <row r="62" spans="1:9" x14ac:dyDescent="0.15">
      <c r="A62" s="23">
        <v>61</v>
      </c>
      <c r="B62" s="56">
        <f t="shared" si="2"/>
        <v>64</v>
      </c>
      <c r="C62" s="56">
        <f t="shared" si="6"/>
        <v>168</v>
      </c>
      <c r="D62" s="27">
        <v>16356</v>
      </c>
      <c r="E62" s="56">
        <f t="shared" si="5"/>
        <v>60</v>
      </c>
      <c r="F62" s="65">
        <f t="shared" si="1"/>
        <v>61</v>
      </c>
      <c r="G62" s="61">
        <f t="shared" si="3"/>
        <v>1</v>
      </c>
      <c r="H62" s="58">
        <f t="shared" si="9"/>
        <v>0</v>
      </c>
      <c r="I62" s="58">
        <f t="shared" si="4"/>
        <v>0</v>
      </c>
    </row>
    <row r="63" spans="1:9" x14ac:dyDescent="0.15">
      <c r="A63" s="23">
        <v>62</v>
      </c>
      <c r="B63" s="56">
        <f t="shared" si="2"/>
        <v>64</v>
      </c>
      <c r="C63" s="56">
        <f t="shared" si="6"/>
        <v>168</v>
      </c>
      <c r="D63" s="27">
        <v>16809</v>
      </c>
      <c r="E63" s="56">
        <f t="shared" si="5"/>
        <v>60</v>
      </c>
      <c r="F63" s="65">
        <f t="shared" si="1"/>
        <v>62</v>
      </c>
      <c r="G63" s="61">
        <f t="shared" si="3"/>
        <v>0</v>
      </c>
      <c r="H63" s="58">
        <f t="shared" si="9"/>
        <v>0</v>
      </c>
      <c r="I63" s="58">
        <f t="shared" si="4"/>
        <v>0</v>
      </c>
    </row>
    <row r="64" spans="1:9" x14ac:dyDescent="0.15">
      <c r="A64" s="23">
        <v>63</v>
      </c>
      <c r="B64" s="56">
        <f t="shared" si="2"/>
        <v>65</v>
      </c>
      <c r="C64" s="56">
        <f t="shared" si="6"/>
        <v>168</v>
      </c>
      <c r="D64" s="27">
        <v>17266</v>
      </c>
      <c r="E64" s="56">
        <f t="shared" si="5"/>
        <v>60</v>
      </c>
      <c r="F64" s="65">
        <f t="shared" si="1"/>
        <v>63</v>
      </c>
      <c r="G64" s="61">
        <f t="shared" si="3"/>
        <v>1</v>
      </c>
      <c r="H64" s="58">
        <f t="shared" si="9"/>
        <v>0</v>
      </c>
      <c r="I64" s="58">
        <f t="shared" si="4"/>
        <v>0</v>
      </c>
    </row>
    <row r="65" spans="1:9" x14ac:dyDescent="0.15">
      <c r="A65" s="23">
        <v>64</v>
      </c>
      <c r="B65" s="56">
        <f t="shared" si="2"/>
        <v>65</v>
      </c>
      <c r="C65" s="56">
        <f t="shared" si="6"/>
        <v>169</v>
      </c>
      <c r="D65" s="27">
        <v>17728</v>
      </c>
      <c r="E65" s="56">
        <f t="shared" si="5"/>
        <v>60</v>
      </c>
      <c r="F65" s="65">
        <f t="shared" si="1"/>
        <v>64</v>
      </c>
      <c r="G65" s="61">
        <f t="shared" si="3"/>
        <v>0</v>
      </c>
      <c r="H65" s="58">
        <f t="shared" si="9"/>
        <v>1</v>
      </c>
      <c r="I65" s="58">
        <f t="shared" si="4"/>
        <v>0</v>
      </c>
    </row>
    <row r="66" spans="1:9" x14ac:dyDescent="0.15">
      <c r="A66" s="23">
        <v>65</v>
      </c>
      <c r="B66" s="56">
        <f t="shared" si="2"/>
        <v>67</v>
      </c>
      <c r="C66" s="56">
        <f t="shared" si="6"/>
        <v>169</v>
      </c>
      <c r="D66" s="27">
        <v>18194</v>
      </c>
      <c r="E66" s="56">
        <f t="shared" si="5"/>
        <v>60</v>
      </c>
      <c r="F66" s="65">
        <f t="shared" ref="F66:F129" si="10">A66</f>
        <v>65</v>
      </c>
      <c r="G66" s="61">
        <f t="shared" si="3"/>
        <v>2</v>
      </c>
      <c r="H66" s="58">
        <f t="shared" si="9"/>
        <v>0</v>
      </c>
      <c r="I66" s="58">
        <f t="shared" si="4"/>
        <v>0</v>
      </c>
    </row>
    <row r="67" spans="1:9" x14ac:dyDescent="0.15">
      <c r="A67" s="23">
        <v>66</v>
      </c>
      <c r="B67" s="56">
        <f t="shared" ref="B67:C130" si="11">B66+G67</f>
        <v>67</v>
      </c>
      <c r="C67" s="56">
        <f t="shared" si="6"/>
        <v>169</v>
      </c>
      <c r="D67" s="27">
        <v>18663</v>
      </c>
      <c r="E67" s="56">
        <f t="shared" si="5"/>
        <v>60</v>
      </c>
      <c r="F67" s="65">
        <f t="shared" si="10"/>
        <v>66</v>
      </c>
      <c r="G67" s="61">
        <f t="shared" ref="G67:G130" si="12">IF(A67&gt;=106, IF(MOD(A67,2)=0,0,1), IF(A67 &gt;= 65, IF(MOD(A67, 2) =0,0, IF(MOD(A67,5)= 0, 2, 1)), IF(MOD(A67, 2) =0,0, IF(MOD(A67,5)= 0, 5, 1))))</f>
        <v>0</v>
      </c>
      <c r="H67" s="58">
        <f t="shared" si="9"/>
        <v>0</v>
      </c>
      <c r="I67" s="58">
        <f t="shared" ref="I67:I130" si="13">IF($A67&gt;=51,0,IF($A67&gt;=30,IF(MOD($A67,5)=0,1,0),IF($A67&gt;=11,IF(MOD($A67,5)=0,3,IF(MOD($A67,2)=0,1,0)),IF(MOD($A67,5)=0,5,IF(MOD($A67,2)=0,2,0)))))</f>
        <v>0</v>
      </c>
    </row>
    <row r="68" spans="1:9" x14ac:dyDescent="0.15">
      <c r="A68" s="23">
        <v>67</v>
      </c>
      <c r="B68" s="56">
        <f t="shared" si="11"/>
        <v>68</v>
      </c>
      <c r="C68" s="56">
        <f t="shared" si="6"/>
        <v>169</v>
      </c>
      <c r="D68" s="27">
        <v>19137</v>
      </c>
      <c r="E68" s="56">
        <f t="shared" ref="E68:E131" si="14">E67+I68</f>
        <v>60</v>
      </c>
      <c r="F68" s="65">
        <f t="shared" si="10"/>
        <v>67</v>
      </c>
      <c r="G68" s="61">
        <f t="shared" si="12"/>
        <v>1</v>
      </c>
      <c r="H68" s="58">
        <f t="shared" si="9"/>
        <v>0</v>
      </c>
      <c r="I68" s="58">
        <f t="shared" si="13"/>
        <v>0</v>
      </c>
    </row>
    <row r="69" spans="1:9" x14ac:dyDescent="0.15">
      <c r="A69" s="23">
        <v>68</v>
      </c>
      <c r="B69" s="56">
        <f t="shared" si="11"/>
        <v>68</v>
      </c>
      <c r="C69" s="56">
        <f t="shared" si="6"/>
        <v>170</v>
      </c>
      <c r="D69" s="27">
        <v>19615</v>
      </c>
      <c r="E69" s="56">
        <f t="shared" si="14"/>
        <v>60</v>
      </c>
      <c r="F69" s="65">
        <f t="shared" si="10"/>
        <v>68</v>
      </c>
      <c r="G69" s="61">
        <f t="shared" si="12"/>
        <v>0</v>
      </c>
      <c r="H69" s="58">
        <f t="shared" si="9"/>
        <v>1</v>
      </c>
      <c r="I69" s="58">
        <f t="shared" si="13"/>
        <v>0</v>
      </c>
    </row>
    <row r="70" spans="1:9" x14ac:dyDescent="0.15">
      <c r="A70" s="23">
        <v>69</v>
      </c>
      <c r="B70" s="56">
        <f t="shared" si="11"/>
        <v>69</v>
      </c>
      <c r="C70" s="56">
        <f t="shared" si="6"/>
        <v>170</v>
      </c>
      <c r="D70" s="27">
        <v>20096</v>
      </c>
      <c r="E70" s="56">
        <f t="shared" si="14"/>
        <v>60</v>
      </c>
      <c r="F70" s="65">
        <f t="shared" si="10"/>
        <v>69</v>
      </c>
      <c r="G70" s="61">
        <f t="shared" si="12"/>
        <v>1</v>
      </c>
      <c r="H70" s="58">
        <f t="shared" si="9"/>
        <v>0</v>
      </c>
      <c r="I70" s="58">
        <f t="shared" si="13"/>
        <v>0</v>
      </c>
    </row>
    <row r="71" spans="1:9" x14ac:dyDescent="0.15">
      <c r="A71" s="23">
        <v>70</v>
      </c>
      <c r="B71" s="56">
        <f t="shared" si="11"/>
        <v>69</v>
      </c>
      <c r="C71" s="56">
        <f t="shared" si="6"/>
        <v>170</v>
      </c>
      <c r="D71" s="27">
        <v>20582</v>
      </c>
      <c r="E71" s="56">
        <f t="shared" si="14"/>
        <v>60</v>
      </c>
      <c r="F71" s="65">
        <f t="shared" si="10"/>
        <v>70</v>
      </c>
      <c r="G71" s="61">
        <f t="shared" si="12"/>
        <v>0</v>
      </c>
      <c r="H71" s="58">
        <f t="shared" si="9"/>
        <v>0</v>
      </c>
      <c r="I71" s="58">
        <f t="shared" si="13"/>
        <v>0</v>
      </c>
    </row>
    <row r="72" spans="1:9" x14ac:dyDescent="0.15">
      <c r="A72" s="23">
        <v>71</v>
      </c>
      <c r="B72" s="56">
        <f t="shared" si="11"/>
        <v>70</v>
      </c>
      <c r="C72" s="56">
        <f t="shared" si="6"/>
        <v>170</v>
      </c>
      <c r="D72" s="27">
        <v>21071</v>
      </c>
      <c r="E72" s="56">
        <f t="shared" si="14"/>
        <v>60</v>
      </c>
      <c r="F72" s="65">
        <f t="shared" si="10"/>
        <v>71</v>
      </c>
      <c r="G72" s="61">
        <f t="shared" si="12"/>
        <v>1</v>
      </c>
      <c r="H72" s="58">
        <f t="shared" si="9"/>
        <v>0</v>
      </c>
      <c r="I72" s="58">
        <f t="shared" si="13"/>
        <v>0</v>
      </c>
    </row>
    <row r="73" spans="1:9" x14ac:dyDescent="0.15">
      <c r="A73" s="23">
        <v>72</v>
      </c>
      <c r="B73" s="56">
        <f t="shared" si="11"/>
        <v>70</v>
      </c>
      <c r="C73" s="56">
        <f t="shared" si="6"/>
        <v>171</v>
      </c>
      <c r="D73" s="27">
        <v>21564</v>
      </c>
      <c r="E73" s="56">
        <f t="shared" si="14"/>
        <v>60</v>
      </c>
      <c r="F73" s="65">
        <f t="shared" si="10"/>
        <v>72</v>
      </c>
      <c r="G73" s="61">
        <f t="shared" si="12"/>
        <v>0</v>
      </c>
      <c r="H73" s="58">
        <f t="shared" si="9"/>
        <v>1</v>
      </c>
      <c r="I73" s="58">
        <f t="shared" si="13"/>
        <v>0</v>
      </c>
    </row>
    <row r="74" spans="1:9" x14ac:dyDescent="0.15">
      <c r="A74" s="23">
        <v>73</v>
      </c>
      <c r="B74" s="56">
        <f t="shared" si="11"/>
        <v>71</v>
      </c>
      <c r="C74" s="56">
        <f t="shared" si="6"/>
        <v>171</v>
      </c>
      <c r="D74" s="27">
        <v>22061</v>
      </c>
      <c r="E74" s="56">
        <f t="shared" si="14"/>
        <v>60</v>
      </c>
      <c r="F74" s="65">
        <f t="shared" si="10"/>
        <v>73</v>
      </c>
      <c r="G74" s="61">
        <f t="shared" si="12"/>
        <v>1</v>
      </c>
      <c r="H74" s="58">
        <f t="shared" si="9"/>
        <v>0</v>
      </c>
      <c r="I74" s="58">
        <f t="shared" si="13"/>
        <v>0</v>
      </c>
    </row>
    <row r="75" spans="1:9" x14ac:dyDescent="0.15">
      <c r="A75" s="23">
        <v>74</v>
      </c>
      <c r="B75" s="56">
        <f t="shared" si="11"/>
        <v>71</v>
      </c>
      <c r="C75" s="56">
        <f t="shared" si="6"/>
        <v>171</v>
      </c>
      <c r="D75" s="27">
        <v>22562</v>
      </c>
      <c r="E75" s="56">
        <f t="shared" si="14"/>
        <v>60</v>
      </c>
      <c r="F75" s="65">
        <f t="shared" si="10"/>
        <v>74</v>
      </c>
      <c r="G75" s="61">
        <f t="shared" si="12"/>
        <v>0</v>
      </c>
      <c r="H75" s="58">
        <f t="shared" si="9"/>
        <v>0</v>
      </c>
      <c r="I75" s="58">
        <f t="shared" si="13"/>
        <v>0</v>
      </c>
    </row>
    <row r="76" spans="1:9" x14ac:dyDescent="0.15">
      <c r="A76" s="23">
        <v>75</v>
      </c>
      <c r="B76" s="56">
        <f t="shared" si="11"/>
        <v>73</v>
      </c>
      <c r="C76" s="56">
        <f t="shared" si="6"/>
        <v>171</v>
      </c>
      <c r="D76" s="27">
        <v>23066</v>
      </c>
      <c r="E76" s="56">
        <f t="shared" si="14"/>
        <v>60</v>
      </c>
      <c r="F76" s="65">
        <f t="shared" si="10"/>
        <v>75</v>
      </c>
      <c r="G76" s="61">
        <f t="shared" si="12"/>
        <v>2</v>
      </c>
      <c r="H76" s="58">
        <f t="shared" si="9"/>
        <v>0</v>
      </c>
      <c r="I76" s="58">
        <f t="shared" si="13"/>
        <v>0</v>
      </c>
    </row>
    <row r="77" spans="1:9" x14ac:dyDescent="0.15">
      <c r="A77" s="23">
        <v>76</v>
      </c>
      <c r="B77" s="56">
        <f t="shared" si="11"/>
        <v>73</v>
      </c>
      <c r="C77" s="56">
        <f t="shared" si="6"/>
        <v>172</v>
      </c>
      <c r="D77" s="27">
        <v>23573</v>
      </c>
      <c r="E77" s="56">
        <f t="shared" si="14"/>
        <v>60</v>
      </c>
      <c r="F77" s="65">
        <f t="shared" si="10"/>
        <v>76</v>
      </c>
      <c r="G77" s="61">
        <f t="shared" si="12"/>
        <v>0</v>
      </c>
      <c r="H77" s="58">
        <f t="shared" si="9"/>
        <v>1</v>
      </c>
      <c r="I77" s="58">
        <f t="shared" si="13"/>
        <v>0</v>
      </c>
    </row>
    <row r="78" spans="1:9" x14ac:dyDescent="0.15">
      <c r="A78" s="23">
        <v>77</v>
      </c>
      <c r="B78" s="56">
        <f t="shared" si="11"/>
        <v>74</v>
      </c>
      <c r="C78" s="56">
        <f t="shared" si="6"/>
        <v>172</v>
      </c>
      <c r="D78" s="27">
        <v>24084</v>
      </c>
      <c r="E78" s="56">
        <f t="shared" si="14"/>
        <v>60</v>
      </c>
      <c r="F78" s="65">
        <f t="shared" si="10"/>
        <v>77</v>
      </c>
      <c r="G78" s="61">
        <f t="shared" si="12"/>
        <v>1</v>
      </c>
      <c r="H78" s="58">
        <f t="shared" si="9"/>
        <v>0</v>
      </c>
      <c r="I78" s="58">
        <f t="shared" si="13"/>
        <v>0</v>
      </c>
    </row>
    <row r="79" spans="1:9" x14ac:dyDescent="0.15">
      <c r="A79" s="23">
        <v>78</v>
      </c>
      <c r="B79" s="56">
        <f t="shared" si="11"/>
        <v>74</v>
      </c>
      <c r="C79" s="56">
        <f t="shared" si="6"/>
        <v>172</v>
      </c>
      <c r="D79" s="27">
        <v>24599</v>
      </c>
      <c r="E79" s="56">
        <f t="shared" si="14"/>
        <v>60</v>
      </c>
      <c r="F79" s="65">
        <f t="shared" si="10"/>
        <v>78</v>
      </c>
      <c r="G79" s="61">
        <f t="shared" si="12"/>
        <v>0</v>
      </c>
      <c r="H79" s="58">
        <f t="shared" si="9"/>
        <v>0</v>
      </c>
      <c r="I79" s="58">
        <f t="shared" si="13"/>
        <v>0</v>
      </c>
    </row>
    <row r="80" spans="1:9" x14ac:dyDescent="0.15">
      <c r="A80" s="23">
        <v>79</v>
      </c>
      <c r="B80" s="56">
        <f t="shared" si="11"/>
        <v>75</v>
      </c>
      <c r="C80" s="56">
        <f t="shared" si="6"/>
        <v>172</v>
      </c>
      <c r="D80" s="27">
        <v>25117</v>
      </c>
      <c r="E80" s="56">
        <f t="shared" si="14"/>
        <v>60</v>
      </c>
      <c r="F80" s="65">
        <f t="shared" si="10"/>
        <v>79</v>
      </c>
      <c r="G80" s="61">
        <f t="shared" si="12"/>
        <v>1</v>
      </c>
      <c r="H80" s="58">
        <f t="shared" si="9"/>
        <v>0</v>
      </c>
      <c r="I80" s="58">
        <f t="shared" si="13"/>
        <v>0</v>
      </c>
    </row>
    <row r="81" spans="1:9" x14ac:dyDescent="0.15">
      <c r="A81" s="23">
        <v>80</v>
      </c>
      <c r="B81" s="56">
        <f t="shared" si="11"/>
        <v>75</v>
      </c>
      <c r="C81" s="56">
        <f t="shared" si="6"/>
        <v>173</v>
      </c>
      <c r="D81" s="27">
        <v>25638</v>
      </c>
      <c r="E81" s="56">
        <f t="shared" si="14"/>
        <v>60</v>
      </c>
      <c r="F81" s="65">
        <f t="shared" si="10"/>
        <v>80</v>
      </c>
      <c r="G81" s="61">
        <f t="shared" si="12"/>
        <v>0</v>
      </c>
      <c r="H81" s="58">
        <f t="shared" si="9"/>
        <v>1</v>
      </c>
      <c r="I81" s="58">
        <f t="shared" si="13"/>
        <v>0</v>
      </c>
    </row>
    <row r="82" spans="1:9" x14ac:dyDescent="0.15">
      <c r="A82" s="23">
        <v>81</v>
      </c>
      <c r="B82" s="56">
        <f t="shared" si="11"/>
        <v>76</v>
      </c>
      <c r="C82" s="56">
        <f t="shared" si="6"/>
        <v>173</v>
      </c>
      <c r="D82" s="27">
        <v>26163</v>
      </c>
      <c r="E82" s="56">
        <f t="shared" si="14"/>
        <v>60</v>
      </c>
      <c r="F82" s="65">
        <f t="shared" si="10"/>
        <v>81</v>
      </c>
      <c r="G82" s="61">
        <f t="shared" si="12"/>
        <v>1</v>
      </c>
      <c r="H82" s="58">
        <f t="shared" si="9"/>
        <v>0</v>
      </c>
      <c r="I82" s="58">
        <f t="shared" si="13"/>
        <v>0</v>
      </c>
    </row>
    <row r="83" spans="1:9" x14ac:dyDescent="0.15">
      <c r="A83" s="23">
        <v>82</v>
      </c>
      <c r="B83" s="56">
        <f t="shared" si="11"/>
        <v>76</v>
      </c>
      <c r="C83" s="56">
        <f t="shared" si="6"/>
        <v>173</v>
      </c>
      <c r="D83" s="27">
        <v>26691</v>
      </c>
      <c r="E83" s="56">
        <f t="shared" si="14"/>
        <v>60</v>
      </c>
      <c r="F83" s="65">
        <f t="shared" si="10"/>
        <v>82</v>
      </c>
      <c r="G83" s="61">
        <f t="shared" si="12"/>
        <v>0</v>
      </c>
      <c r="H83" s="58">
        <f t="shared" si="9"/>
        <v>0</v>
      </c>
      <c r="I83" s="58">
        <f t="shared" si="13"/>
        <v>0</v>
      </c>
    </row>
    <row r="84" spans="1:9" x14ac:dyDescent="0.15">
      <c r="A84" s="23">
        <v>83</v>
      </c>
      <c r="B84" s="56">
        <f t="shared" si="11"/>
        <v>77</v>
      </c>
      <c r="C84" s="56">
        <f t="shared" si="6"/>
        <v>173</v>
      </c>
      <c r="D84" s="27">
        <v>27222</v>
      </c>
      <c r="E84" s="56">
        <f t="shared" si="14"/>
        <v>60</v>
      </c>
      <c r="F84" s="65">
        <f t="shared" si="10"/>
        <v>83</v>
      </c>
      <c r="G84" s="61">
        <f t="shared" si="12"/>
        <v>1</v>
      </c>
      <c r="H84" s="58">
        <f t="shared" si="9"/>
        <v>0</v>
      </c>
      <c r="I84" s="58">
        <f t="shared" si="13"/>
        <v>0</v>
      </c>
    </row>
    <row r="85" spans="1:9" x14ac:dyDescent="0.15">
      <c r="A85" s="23">
        <v>84</v>
      </c>
      <c r="B85" s="56">
        <f t="shared" si="11"/>
        <v>77</v>
      </c>
      <c r="C85" s="56">
        <f t="shared" si="6"/>
        <v>174</v>
      </c>
      <c r="D85" s="27">
        <v>27757</v>
      </c>
      <c r="E85" s="56">
        <f t="shared" si="14"/>
        <v>60</v>
      </c>
      <c r="F85" s="65">
        <f t="shared" si="10"/>
        <v>84</v>
      </c>
      <c r="G85" s="61">
        <f t="shared" si="12"/>
        <v>0</v>
      </c>
      <c r="H85" s="58">
        <f t="shared" si="9"/>
        <v>1</v>
      </c>
      <c r="I85" s="58">
        <f t="shared" si="13"/>
        <v>0</v>
      </c>
    </row>
    <row r="86" spans="1:9" x14ac:dyDescent="0.15">
      <c r="A86" s="23">
        <v>85</v>
      </c>
      <c r="B86" s="56">
        <f t="shared" si="11"/>
        <v>79</v>
      </c>
      <c r="C86" s="56">
        <f t="shared" si="6"/>
        <v>174</v>
      </c>
      <c r="D86" s="27">
        <v>28294</v>
      </c>
      <c r="E86" s="56">
        <f t="shared" si="14"/>
        <v>60</v>
      </c>
      <c r="F86" s="65">
        <f t="shared" si="10"/>
        <v>85</v>
      </c>
      <c r="G86" s="61">
        <f t="shared" si="12"/>
        <v>2</v>
      </c>
      <c r="H86" s="58">
        <f t="shared" si="9"/>
        <v>0</v>
      </c>
      <c r="I86" s="58">
        <f t="shared" si="13"/>
        <v>0</v>
      </c>
    </row>
    <row r="87" spans="1:9" x14ac:dyDescent="0.15">
      <c r="A87" s="23">
        <v>86</v>
      </c>
      <c r="B87" s="56">
        <f t="shared" si="11"/>
        <v>79</v>
      </c>
      <c r="C87" s="56">
        <f t="shared" si="6"/>
        <v>174</v>
      </c>
      <c r="D87" s="27">
        <v>28835</v>
      </c>
      <c r="E87" s="56">
        <f t="shared" si="14"/>
        <v>60</v>
      </c>
      <c r="F87" s="65">
        <f t="shared" si="10"/>
        <v>86</v>
      </c>
      <c r="G87" s="61">
        <f t="shared" si="12"/>
        <v>0</v>
      </c>
      <c r="H87" s="58">
        <f t="shared" si="9"/>
        <v>0</v>
      </c>
      <c r="I87" s="58">
        <f t="shared" si="13"/>
        <v>0</v>
      </c>
    </row>
    <row r="88" spans="1:9" x14ac:dyDescent="0.15">
      <c r="A88" s="23">
        <v>87</v>
      </c>
      <c r="B88" s="56">
        <f t="shared" si="11"/>
        <v>80</v>
      </c>
      <c r="C88" s="56">
        <f t="shared" si="6"/>
        <v>174</v>
      </c>
      <c r="D88" s="27">
        <v>29379</v>
      </c>
      <c r="E88" s="56">
        <f t="shared" si="14"/>
        <v>60</v>
      </c>
      <c r="F88" s="65">
        <f t="shared" si="10"/>
        <v>87</v>
      </c>
      <c r="G88" s="61">
        <f t="shared" si="12"/>
        <v>1</v>
      </c>
      <c r="H88" s="58">
        <f t="shared" si="9"/>
        <v>0</v>
      </c>
      <c r="I88" s="58">
        <f t="shared" si="13"/>
        <v>0</v>
      </c>
    </row>
    <row r="89" spans="1:9" x14ac:dyDescent="0.15">
      <c r="A89" s="23">
        <v>88</v>
      </c>
      <c r="B89" s="56">
        <f t="shared" si="11"/>
        <v>80</v>
      </c>
      <c r="C89" s="56">
        <f t="shared" si="6"/>
        <v>175</v>
      </c>
      <c r="D89" s="27">
        <v>29926</v>
      </c>
      <c r="E89" s="56">
        <f t="shared" si="14"/>
        <v>60</v>
      </c>
      <c r="F89" s="65">
        <f t="shared" si="10"/>
        <v>88</v>
      </c>
      <c r="G89" s="61">
        <f t="shared" si="12"/>
        <v>0</v>
      </c>
      <c r="H89" s="58">
        <f t="shared" si="9"/>
        <v>1</v>
      </c>
      <c r="I89" s="58">
        <f t="shared" si="13"/>
        <v>0</v>
      </c>
    </row>
    <row r="90" spans="1:9" x14ac:dyDescent="0.15">
      <c r="A90" s="23">
        <v>89</v>
      </c>
      <c r="B90" s="56">
        <f t="shared" si="11"/>
        <v>81</v>
      </c>
      <c r="C90" s="56">
        <f t="shared" si="6"/>
        <v>175</v>
      </c>
      <c r="D90" s="27">
        <v>30476</v>
      </c>
      <c r="E90" s="56">
        <f t="shared" si="14"/>
        <v>60</v>
      </c>
      <c r="F90" s="65">
        <f t="shared" si="10"/>
        <v>89</v>
      </c>
      <c r="G90" s="61">
        <f t="shared" si="12"/>
        <v>1</v>
      </c>
      <c r="H90" s="58">
        <f t="shared" si="9"/>
        <v>0</v>
      </c>
      <c r="I90" s="58">
        <f t="shared" si="13"/>
        <v>0</v>
      </c>
    </row>
    <row r="91" spans="1:9" x14ac:dyDescent="0.15">
      <c r="A91" s="23">
        <v>90</v>
      </c>
      <c r="B91" s="56">
        <f t="shared" si="11"/>
        <v>81</v>
      </c>
      <c r="C91" s="56">
        <f t="shared" si="6"/>
        <v>175</v>
      </c>
      <c r="D91" s="27">
        <v>31029</v>
      </c>
      <c r="E91" s="56">
        <f t="shared" si="14"/>
        <v>60</v>
      </c>
      <c r="F91" s="65">
        <f t="shared" si="10"/>
        <v>90</v>
      </c>
      <c r="G91" s="61">
        <f t="shared" si="12"/>
        <v>0</v>
      </c>
      <c r="H91" s="58">
        <f t="shared" si="9"/>
        <v>0</v>
      </c>
      <c r="I91" s="58">
        <f t="shared" si="13"/>
        <v>0</v>
      </c>
    </row>
    <row r="92" spans="1:9" x14ac:dyDescent="0.15">
      <c r="A92" s="23">
        <v>91</v>
      </c>
      <c r="B92" s="56">
        <f t="shared" si="11"/>
        <v>82</v>
      </c>
      <c r="C92" s="56">
        <f t="shared" si="6"/>
        <v>175</v>
      </c>
      <c r="D92" s="27">
        <v>31585</v>
      </c>
      <c r="E92" s="56">
        <f t="shared" si="14"/>
        <v>60</v>
      </c>
      <c r="F92" s="65">
        <f t="shared" si="10"/>
        <v>91</v>
      </c>
      <c r="G92" s="61">
        <f t="shared" si="12"/>
        <v>1</v>
      </c>
      <c r="H92" s="58">
        <f t="shared" si="9"/>
        <v>0</v>
      </c>
      <c r="I92" s="58">
        <f t="shared" si="13"/>
        <v>0</v>
      </c>
    </row>
    <row r="93" spans="1:9" x14ac:dyDescent="0.15">
      <c r="A93" s="23">
        <v>92</v>
      </c>
      <c r="B93" s="56">
        <f t="shared" si="11"/>
        <v>82</v>
      </c>
      <c r="C93" s="56">
        <f t="shared" si="6"/>
        <v>176</v>
      </c>
      <c r="D93" s="27">
        <v>32144</v>
      </c>
      <c r="E93" s="56">
        <f t="shared" si="14"/>
        <v>60</v>
      </c>
      <c r="F93" s="65">
        <f t="shared" si="10"/>
        <v>92</v>
      </c>
      <c r="G93" s="61">
        <f t="shared" si="12"/>
        <v>0</v>
      </c>
      <c r="H93" s="58">
        <f t="shared" si="9"/>
        <v>1</v>
      </c>
      <c r="I93" s="58">
        <f t="shared" si="13"/>
        <v>0</v>
      </c>
    </row>
    <row r="94" spans="1:9" x14ac:dyDescent="0.15">
      <c r="A94" s="23">
        <v>93</v>
      </c>
      <c r="B94" s="56">
        <f t="shared" si="11"/>
        <v>83</v>
      </c>
      <c r="C94" s="56">
        <f t="shared" si="6"/>
        <v>176</v>
      </c>
      <c r="D94" s="27">
        <v>32706</v>
      </c>
      <c r="E94" s="56">
        <f t="shared" si="14"/>
        <v>60</v>
      </c>
      <c r="F94" s="65">
        <f t="shared" si="10"/>
        <v>93</v>
      </c>
      <c r="G94" s="61">
        <f t="shared" si="12"/>
        <v>1</v>
      </c>
      <c r="H94" s="58">
        <f t="shared" si="9"/>
        <v>0</v>
      </c>
      <c r="I94" s="58">
        <f t="shared" si="13"/>
        <v>0</v>
      </c>
    </row>
    <row r="95" spans="1:9" x14ac:dyDescent="0.15">
      <c r="A95" s="23">
        <v>94</v>
      </c>
      <c r="B95" s="56">
        <f t="shared" si="11"/>
        <v>83</v>
      </c>
      <c r="C95" s="56">
        <f t="shared" si="6"/>
        <v>176</v>
      </c>
      <c r="D95" s="27">
        <v>33270</v>
      </c>
      <c r="E95" s="56">
        <f t="shared" si="14"/>
        <v>60</v>
      </c>
      <c r="F95" s="65">
        <f t="shared" si="10"/>
        <v>94</v>
      </c>
      <c r="G95" s="61">
        <f t="shared" si="12"/>
        <v>0</v>
      </c>
      <c r="H95" s="58">
        <f t="shared" si="9"/>
        <v>0</v>
      </c>
      <c r="I95" s="58">
        <f t="shared" si="13"/>
        <v>0</v>
      </c>
    </row>
    <row r="96" spans="1:9" x14ac:dyDescent="0.15">
      <c r="A96" s="23">
        <v>95</v>
      </c>
      <c r="B96" s="56">
        <f t="shared" si="11"/>
        <v>85</v>
      </c>
      <c r="C96" s="56">
        <f t="shared" si="6"/>
        <v>176</v>
      </c>
      <c r="D96" s="27">
        <v>33838</v>
      </c>
      <c r="E96" s="56">
        <f t="shared" si="14"/>
        <v>60</v>
      </c>
      <c r="F96" s="65">
        <f t="shared" si="10"/>
        <v>95</v>
      </c>
      <c r="G96" s="61">
        <f t="shared" si="12"/>
        <v>2</v>
      </c>
      <c r="H96" s="58">
        <f t="shared" si="9"/>
        <v>0</v>
      </c>
      <c r="I96" s="58">
        <f t="shared" si="13"/>
        <v>0</v>
      </c>
    </row>
    <row r="97" spans="1:10" x14ac:dyDescent="0.15">
      <c r="A97" s="23">
        <v>96</v>
      </c>
      <c r="B97" s="56">
        <f t="shared" si="11"/>
        <v>85</v>
      </c>
      <c r="C97" s="56">
        <f t="shared" si="11"/>
        <v>177</v>
      </c>
      <c r="D97" s="27">
        <v>34408</v>
      </c>
      <c r="E97" s="56">
        <f t="shared" si="14"/>
        <v>60</v>
      </c>
      <c r="F97" s="65">
        <f t="shared" si="10"/>
        <v>96</v>
      </c>
      <c r="G97" s="61">
        <f t="shared" si="12"/>
        <v>0</v>
      </c>
      <c r="H97" s="58">
        <f t="shared" si="9"/>
        <v>1</v>
      </c>
      <c r="I97" s="58">
        <f t="shared" si="13"/>
        <v>0</v>
      </c>
    </row>
    <row r="98" spans="1:10" x14ac:dyDescent="0.15">
      <c r="A98" s="23">
        <v>97</v>
      </c>
      <c r="B98" s="56">
        <f t="shared" si="11"/>
        <v>86</v>
      </c>
      <c r="C98" s="56">
        <f t="shared" si="11"/>
        <v>177</v>
      </c>
      <c r="D98" s="27">
        <v>34981</v>
      </c>
      <c r="E98" s="56">
        <f t="shared" si="14"/>
        <v>60</v>
      </c>
      <c r="F98" s="65">
        <f t="shared" si="10"/>
        <v>97</v>
      </c>
      <c r="G98" s="61">
        <f t="shared" si="12"/>
        <v>1</v>
      </c>
      <c r="H98" s="58">
        <f t="shared" si="9"/>
        <v>0</v>
      </c>
      <c r="I98" s="58">
        <f t="shared" si="13"/>
        <v>0</v>
      </c>
    </row>
    <row r="99" spans="1:10" x14ac:dyDescent="0.15">
      <c r="A99" s="23">
        <v>98</v>
      </c>
      <c r="B99" s="56">
        <f t="shared" si="11"/>
        <v>86</v>
      </c>
      <c r="C99" s="56">
        <f t="shared" si="11"/>
        <v>177</v>
      </c>
      <c r="D99" s="27">
        <v>35557</v>
      </c>
      <c r="E99" s="56">
        <f t="shared" si="14"/>
        <v>60</v>
      </c>
      <c r="F99" s="65">
        <f t="shared" si="10"/>
        <v>98</v>
      </c>
      <c r="G99" s="61">
        <f t="shared" si="12"/>
        <v>0</v>
      </c>
      <c r="H99" s="58">
        <f t="shared" si="9"/>
        <v>0</v>
      </c>
      <c r="I99" s="58">
        <f t="shared" si="13"/>
        <v>0</v>
      </c>
      <c r="J99">
        <f>MOD(A99,4)</f>
        <v>2</v>
      </c>
    </row>
    <row r="100" spans="1:10" x14ac:dyDescent="0.15">
      <c r="A100" s="23">
        <v>99</v>
      </c>
      <c r="B100" s="56">
        <f t="shared" si="11"/>
        <v>87</v>
      </c>
      <c r="C100" s="56">
        <f t="shared" si="11"/>
        <v>177</v>
      </c>
      <c r="D100" s="27">
        <v>36135</v>
      </c>
      <c r="E100" s="56">
        <f t="shared" si="14"/>
        <v>60</v>
      </c>
      <c r="F100" s="65">
        <f t="shared" si="10"/>
        <v>99</v>
      </c>
      <c r="G100" s="61">
        <f t="shared" si="12"/>
        <v>1</v>
      </c>
      <c r="H100" s="58">
        <f t="shared" si="9"/>
        <v>0</v>
      </c>
      <c r="I100" s="58">
        <f t="shared" si="13"/>
        <v>0</v>
      </c>
    </row>
    <row r="101" spans="1:10" x14ac:dyDescent="0.15">
      <c r="A101" s="23">
        <v>100</v>
      </c>
      <c r="B101" s="56">
        <f t="shared" si="11"/>
        <v>87</v>
      </c>
      <c r="C101" s="56">
        <f t="shared" si="11"/>
        <v>178</v>
      </c>
      <c r="D101" s="27">
        <v>36716</v>
      </c>
      <c r="E101" s="56">
        <f t="shared" si="14"/>
        <v>60</v>
      </c>
      <c r="F101" s="65">
        <f t="shared" si="10"/>
        <v>100</v>
      </c>
      <c r="G101" s="61">
        <f t="shared" si="12"/>
        <v>0</v>
      </c>
      <c r="H101" s="58">
        <f t="shared" si="9"/>
        <v>1</v>
      </c>
      <c r="I101" s="58">
        <f t="shared" si="13"/>
        <v>0</v>
      </c>
    </row>
    <row r="102" spans="1:10" x14ac:dyDescent="0.15">
      <c r="A102" s="23">
        <v>101</v>
      </c>
      <c r="B102" s="56">
        <f t="shared" si="11"/>
        <v>88</v>
      </c>
      <c r="C102" s="56">
        <f t="shared" si="11"/>
        <v>178</v>
      </c>
      <c r="D102" s="27">
        <v>37300</v>
      </c>
      <c r="E102" s="56">
        <f t="shared" si="14"/>
        <v>60</v>
      </c>
      <c r="F102" s="65">
        <f t="shared" si="10"/>
        <v>101</v>
      </c>
      <c r="G102" s="61">
        <f t="shared" si="12"/>
        <v>1</v>
      </c>
      <c r="H102" s="58">
        <f t="shared" si="9"/>
        <v>0</v>
      </c>
      <c r="I102" s="58">
        <f t="shared" si="13"/>
        <v>0</v>
      </c>
    </row>
    <row r="103" spans="1:10" x14ac:dyDescent="0.15">
      <c r="A103" s="23">
        <v>102</v>
      </c>
      <c r="B103" s="56">
        <f t="shared" si="11"/>
        <v>88</v>
      </c>
      <c r="C103" s="56">
        <f t="shared" si="11"/>
        <v>178</v>
      </c>
      <c r="D103" s="27">
        <v>37886</v>
      </c>
      <c r="E103" s="56">
        <f t="shared" si="14"/>
        <v>60</v>
      </c>
      <c r="F103" s="65">
        <f t="shared" si="10"/>
        <v>102</v>
      </c>
      <c r="G103" s="61">
        <f t="shared" si="12"/>
        <v>0</v>
      </c>
      <c r="H103" s="58">
        <f t="shared" si="9"/>
        <v>0</v>
      </c>
      <c r="I103" s="58">
        <f t="shared" si="13"/>
        <v>0</v>
      </c>
    </row>
    <row r="104" spans="1:10" x14ac:dyDescent="0.15">
      <c r="A104" s="23">
        <v>103</v>
      </c>
      <c r="B104" s="56">
        <f t="shared" si="11"/>
        <v>89</v>
      </c>
      <c r="C104" s="56">
        <f t="shared" si="11"/>
        <v>178</v>
      </c>
      <c r="D104" s="27">
        <v>38475</v>
      </c>
      <c r="E104" s="56">
        <f t="shared" si="14"/>
        <v>60</v>
      </c>
      <c r="F104" s="65">
        <f t="shared" si="10"/>
        <v>103</v>
      </c>
      <c r="G104" s="61">
        <f t="shared" si="12"/>
        <v>1</v>
      </c>
      <c r="H104" s="58">
        <f t="shared" si="9"/>
        <v>0</v>
      </c>
      <c r="I104" s="58">
        <f t="shared" si="13"/>
        <v>0</v>
      </c>
    </row>
    <row r="105" spans="1:10" x14ac:dyDescent="0.15">
      <c r="A105" s="23">
        <v>104</v>
      </c>
      <c r="B105" s="56">
        <f t="shared" si="11"/>
        <v>89</v>
      </c>
      <c r="C105" s="56">
        <f t="shared" si="11"/>
        <v>179</v>
      </c>
      <c r="D105" s="27">
        <v>39067</v>
      </c>
      <c r="E105" s="56">
        <f t="shared" si="14"/>
        <v>60</v>
      </c>
      <c r="F105" s="65">
        <f t="shared" si="10"/>
        <v>104</v>
      </c>
      <c r="G105" s="61">
        <f t="shared" si="12"/>
        <v>0</v>
      </c>
      <c r="H105" s="58">
        <f t="shared" si="9"/>
        <v>1</v>
      </c>
      <c r="I105" s="58">
        <f t="shared" si="13"/>
        <v>0</v>
      </c>
    </row>
    <row r="106" spans="1:10" x14ac:dyDescent="0.15">
      <c r="A106" s="23">
        <v>105</v>
      </c>
      <c r="B106" s="56">
        <f t="shared" si="11"/>
        <v>91</v>
      </c>
      <c r="C106" s="56">
        <f t="shared" si="11"/>
        <v>179</v>
      </c>
      <c r="D106" s="27">
        <v>39660</v>
      </c>
      <c r="E106" s="56">
        <f t="shared" si="14"/>
        <v>60</v>
      </c>
      <c r="F106" s="65">
        <f t="shared" si="10"/>
        <v>105</v>
      </c>
      <c r="G106" s="61">
        <f t="shared" si="12"/>
        <v>2</v>
      </c>
      <c r="H106" s="58">
        <f t="shared" si="9"/>
        <v>0</v>
      </c>
      <c r="I106" s="58">
        <f t="shared" si="13"/>
        <v>0</v>
      </c>
    </row>
    <row r="107" spans="1:10" x14ac:dyDescent="0.15">
      <c r="A107" s="23">
        <v>106</v>
      </c>
      <c r="B107" s="56">
        <f t="shared" si="11"/>
        <v>91</v>
      </c>
      <c r="C107" s="56">
        <f t="shared" si="11"/>
        <v>179</v>
      </c>
      <c r="D107" s="27">
        <v>40257</v>
      </c>
      <c r="E107" s="56">
        <f t="shared" si="14"/>
        <v>60</v>
      </c>
      <c r="F107" s="65">
        <f t="shared" si="10"/>
        <v>106</v>
      </c>
      <c r="G107" s="61">
        <f t="shared" si="12"/>
        <v>0</v>
      </c>
      <c r="H107" s="58">
        <f t="shared" si="9"/>
        <v>0</v>
      </c>
      <c r="I107" s="58">
        <f t="shared" si="13"/>
        <v>0</v>
      </c>
    </row>
    <row r="108" spans="1:10" x14ac:dyDescent="0.15">
      <c r="A108" s="23">
        <v>107</v>
      </c>
      <c r="B108" s="56">
        <f t="shared" si="11"/>
        <v>92</v>
      </c>
      <c r="C108" s="56">
        <f t="shared" si="11"/>
        <v>179</v>
      </c>
      <c r="D108" s="27">
        <v>40856</v>
      </c>
      <c r="E108" s="56">
        <f t="shared" si="14"/>
        <v>60</v>
      </c>
      <c r="F108" s="65">
        <f t="shared" si="10"/>
        <v>107</v>
      </c>
      <c r="G108" s="61">
        <f t="shared" si="12"/>
        <v>1</v>
      </c>
      <c r="H108" s="58">
        <f t="shared" si="9"/>
        <v>0</v>
      </c>
      <c r="I108" s="58">
        <f t="shared" si="13"/>
        <v>0</v>
      </c>
    </row>
    <row r="109" spans="1:10" x14ac:dyDescent="0.15">
      <c r="A109" s="23">
        <v>108</v>
      </c>
      <c r="B109" s="56">
        <f t="shared" si="11"/>
        <v>92</v>
      </c>
      <c r="C109" s="56">
        <f t="shared" si="11"/>
        <v>180</v>
      </c>
      <c r="D109" s="27">
        <v>41457</v>
      </c>
      <c r="E109" s="56">
        <f t="shared" si="14"/>
        <v>60</v>
      </c>
      <c r="F109" s="65">
        <f t="shared" si="10"/>
        <v>108</v>
      </c>
      <c r="G109" s="61">
        <f t="shared" si="12"/>
        <v>0</v>
      </c>
      <c r="H109" s="58">
        <f t="shared" si="9"/>
        <v>1</v>
      </c>
      <c r="I109" s="58">
        <f t="shared" si="13"/>
        <v>0</v>
      </c>
    </row>
    <row r="110" spans="1:10" x14ac:dyDescent="0.15">
      <c r="A110" s="23">
        <v>109</v>
      </c>
      <c r="B110" s="56">
        <f t="shared" si="11"/>
        <v>93</v>
      </c>
      <c r="C110" s="56">
        <f t="shared" si="11"/>
        <v>180</v>
      </c>
      <c r="D110" s="27">
        <v>42061</v>
      </c>
      <c r="E110" s="56">
        <f t="shared" si="14"/>
        <v>60</v>
      </c>
      <c r="F110" s="65">
        <f t="shared" si="10"/>
        <v>109</v>
      </c>
      <c r="G110" s="61">
        <f t="shared" si="12"/>
        <v>1</v>
      </c>
      <c r="H110" s="58">
        <f t="shared" si="9"/>
        <v>0</v>
      </c>
      <c r="I110" s="58">
        <f t="shared" si="13"/>
        <v>0</v>
      </c>
    </row>
    <row r="111" spans="1:10" x14ac:dyDescent="0.15">
      <c r="A111" s="23">
        <v>110</v>
      </c>
      <c r="B111" s="56">
        <f t="shared" si="11"/>
        <v>93</v>
      </c>
      <c r="C111" s="56">
        <f t="shared" si="11"/>
        <v>180</v>
      </c>
      <c r="D111" s="27">
        <v>42667</v>
      </c>
      <c r="E111" s="56">
        <f t="shared" si="14"/>
        <v>60</v>
      </c>
      <c r="F111" s="65">
        <f t="shared" si="10"/>
        <v>110</v>
      </c>
      <c r="G111" s="61">
        <f t="shared" si="12"/>
        <v>0</v>
      </c>
      <c r="H111" s="58">
        <f t="shared" si="9"/>
        <v>0</v>
      </c>
      <c r="I111" s="58">
        <f t="shared" si="13"/>
        <v>0</v>
      </c>
    </row>
    <row r="112" spans="1:10" x14ac:dyDescent="0.15">
      <c r="A112" s="23">
        <v>111</v>
      </c>
      <c r="B112" s="56">
        <f t="shared" si="11"/>
        <v>94</v>
      </c>
      <c r="C112" s="56">
        <f t="shared" si="11"/>
        <v>180</v>
      </c>
      <c r="D112" s="27">
        <v>43275</v>
      </c>
      <c r="E112" s="56">
        <f t="shared" si="14"/>
        <v>60</v>
      </c>
      <c r="F112" s="65">
        <f t="shared" si="10"/>
        <v>111</v>
      </c>
      <c r="G112" s="61">
        <f t="shared" si="12"/>
        <v>1</v>
      </c>
      <c r="H112" s="58">
        <f t="shared" si="9"/>
        <v>0</v>
      </c>
      <c r="I112" s="58">
        <f t="shared" si="13"/>
        <v>0</v>
      </c>
    </row>
    <row r="113" spans="1:9" x14ac:dyDescent="0.15">
      <c r="A113" s="23">
        <v>112</v>
      </c>
      <c r="B113" s="56">
        <f t="shared" si="11"/>
        <v>94</v>
      </c>
      <c r="C113" s="56">
        <f t="shared" si="11"/>
        <v>181</v>
      </c>
      <c r="D113" s="27">
        <v>43886</v>
      </c>
      <c r="E113" s="56">
        <f t="shared" si="14"/>
        <v>60</v>
      </c>
      <c r="F113" s="65">
        <f t="shared" si="10"/>
        <v>112</v>
      </c>
      <c r="G113" s="61">
        <f t="shared" si="12"/>
        <v>0</v>
      </c>
      <c r="H113" s="58">
        <f t="shared" si="9"/>
        <v>1</v>
      </c>
      <c r="I113" s="58">
        <f t="shared" si="13"/>
        <v>0</v>
      </c>
    </row>
    <row r="114" spans="1:9" x14ac:dyDescent="0.15">
      <c r="A114" s="23">
        <v>113</v>
      </c>
      <c r="B114" s="56">
        <f t="shared" si="11"/>
        <v>95</v>
      </c>
      <c r="C114" s="56">
        <f t="shared" si="11"/>
        <v>181</v>
      </c>
      <c r="D114" s="27">
        <v>44499</v>
      </c>
      <c r="E114" s="56">
        <f t="shared" si="14"/>
        <v>60</v>
      </c>
      <c r="F114" s="65">
        <f t="shared" si="10"/>
        <v>113</v>
      </c>
      <c r="G114" s="61">
        <f t="shared" si="12"/>
        <v>1</v>
      </c>
      <c r="H114" s="58">
        <f t="shared" si="9"/>
        <v>0</v>
      </c>
      <c r="I114" s="58">
        <f t="shared" si="13"/>
        <v>0</v>
      </c>
    </row>
    <row r="115" spans="1:9" x14ac:dyDescent="0.15">
      <c r="A115" s="23">
        <v>114</v>
      </c>
      <c r="B115" s="56">
        <f t="shared" si="11"/>
        <v>95</v>
      </c>
      <c r="C115" s="56">
        <f t="shared" si="11"/>
        <v>181</v>
      </c>
      <c r="D115" s="27">
        <v>45114</v>
      </c>
      <c r="E115" s="56">
        <f t="shared" si="14"/>
        <v>60</v>
      </c>
      <c r="F115" s="65">
        <f t="shared" si="10"/>
        <v>114</v>
      </c>
      <c r="G115" s="61">
        <f t="shared" si="12"/>
        <v>0</v>
      </c>
      <c r="H115" s="58">
        <f t="shared" si="9"/>
        <v>0</v>
      </c>
      <c r="I115" s="58">
        <f t="shared" si="13"/>
        <v>0</v>
      </c>
    </row>
    <row r="116" spans="1:9" x14ac:dyDescent="0.15">
      <c r="A116" s="23">
        <v>115</v>
      </c>
      <c r="B116" s="56">
        <f t="shared" si="11"/>
        <v>96</v>
      </c>
      <c r="C116" s="56">
        <f t="shared" si="11"/>
        <v>181</v>
      </c>
      <c r="D116" s="27">
        <v>45732</v>
      </c>
      <c r="E116" s="56">
        <f t="shared" si="14"/>
        <v>60</v>
      </c>
      <c r="F116" s="65">
        <f t="shared" si="10"/>
        <v>115</v>
      </c>
      <c r="G116" s="61">
        <f t="shared" si="12"/>
        <v>1</v>
      </c>
      <c r="H116" s="58">
        <f t="shared" si="9"/>
        <v>0</v>
      </c>
      <c r="I116" s="58">
        <f t="shared" si="13"/>
        <v>0</v>
      </c>
    </row>
    <row r="117" spans="1:9" x14ac:dyDescent="0.15">
      <c r="A117" s="23">
        <v>116</v>
      </c>
      <c r="B117" s="56">
        <f t="shared" si="11"/>
        <v>96</v>
      </c>
      <c r="C117" s="56">
        <f t="shared" si="11"/>
        <v>182</v>
      </c>
      <c r="D117" s="27">
        <v>46351</v>
      </c>
      <c r="E117" s="56">
        <f t="shared" si="14"/>
        <v>60</v>
      </c>
      <c r="F117" s="65">
        <f t="shared" si="10"/>
        <v>116</v>
      </c>
      <c r="G117" s="61">
        <f t="shared" si="12"/>
        <v>0</v>
      </c>
      <c r="H117" s="58">
        <f t="shared" si="9"/>
        <v>1</v>
      </c>
      <c r="I117" s="58">
        <f t="shared" si="13"/>
        <v>0</v>
      </c>
    </row>
    <row r="118" spans="1:9" x14ac:dyDescent="0.15">
      <c r="A118" s="23">
        <v>117</v>
      </c>
      <c r="B118" s="56">
        <f t="shared" si="11"/>
        <v>97</v>
      </c>
      <c r="C118" s="56">
        <f t="shared" si="11"/>
        <v>182</v>
      </c>
      <c r="D118" s="27">
        <v>46973</v>
      </c>
      <c r="E118" s="56">
        <f t="shared" si="14"/>
        <v>60</v>
      </c>
      <c r="F118" s="65">
        <f t="shared" si="10"/>
        <v>117</v>
      </c>
      <c r="G118" s="61">
        <f t="shared" si="12"/>
        <v>1</v>
      </c>
      <c r="H118" s="58">
        <f t="shared" si="9"/>
        <v>0</v>
      </c>
      <c r="I118" s="58">
        <f t="shared" si="13"/>
        <v>0</v>
      </c>
    </row>
    <row r="119" spans="1:9" x14ac:dyDescent="0.15">
      <c r="A119" s="23">
        <v>118</v>
      </c>
      <c r="B119" s="56">
        <f t="shared" si="11"/>
        <v>97</v>
      </c>
      <c r="C119" s="56">
        <f t="shared" si="11"/>
        <v>182</v>
      </c>
      <c r="D119" s="27">
        <v>47597</v>
      </c>
      <c r="E119" s="56">
        <f t="shared" si="14"/>
        <v>60</v>
      </c>
      <c r="F119" s="65">
        <f t="shared" si="10"/>
        <v>118</v>
      </c>
      <c r="G119" s="61">
        <f t="shared" si="12"/>
        <v>0</v>
      </c>
      <c r="H119" s="58">
        <f t="shared" si="9"/>
        <v>0</v>
      </c>
      <c r="I119" s="58">
        <f t="shared" si="13"/>
        <v>0</v>
      </c>
    </row>
    <row r="120" spans="1:9" x14ac:dyDescent="0.15">
      <c r="A120" s="23">
        <v>119</v>
      </c>
      <c r="B120" s="56">
        <f t="shared" si="11"/>
        <v>98</v>
      </c>
      <c r="C120" s="56">
        <f t="shared" si="11"/>
        <v>182</v>
      </c>
      <c r="D120" s="27">
        <v>48223</v>
      </c>
      <c r="E120" s="56">
        <f t="shared" si="14"/>
        <v>60</v>
      </c>
      <c r="F120" s="65">
        <f t="shared" si="10"/>
        <v>119</v>
      </c>
      <c r="G120" s="61">
        <f t="shared" si="12"/>
        <v>1</v>
      </c>
      <c r="H120" s="58">
        <f t="shared" si="9"/>
        <v>0</v>
      </c>
      <c r="I120" s="58">
        <f t="shared" si="13"/>
        <v>0</v>
      </c>
    </row>
    <row r="121" spans="1:9" x14ac:dyDescent="0.15">
      <c r="A121" s="23">
        <v>120</v>
      </c>
      <c r="B121" s="56">
        <f t="shared" si="11"/>
        <v>98</v>
      </c>
      <c r="C121" s="56">
        <f t="shared" si="11"/>
        <v>183</v>
      </c>
      <c r="D121" s="27">
        <v>48852</v>
      </c>
      <c r="E121" s="56">
        <f t="shared" si="14"/>
        <v>60</v>
      </c>
      <c r="F121" s="65">
        <f t="shared" si="10"/>
        <v>120</v>
      </c>
      <c r="G121" s="61">
        <f t="shared" si="12"/>
        <v>0</v>
      </c>
      <c r="H121" s="58">
        <f t="shared" si="9"/>
        <v>1</v>
      </c>
      <c r="I121" s="58">
        <f t="shared" si="13"/>
        <v>0</v>
      </c>
    </row>
    <row r="122" spans="1:9" x14ac:dyDescent="0.15">
      <c r="A122" s="23">
        <v>121</v>
      </c>
      <c r="B122" s="56">
        <f t="shared" si="11"/>
        <v>99</v>
      </c>
      <c r="C122" s="56">
        <f t="shared" si="11"/>
        <v>183</v>
      </c>
      <c r="D122" s="27">
        <v>49482</v>
      </c>
      <c r="E122" s="56">
        <f t="shared" si="14"/>
        <v>60</v>
      </c>
      <c r="F122" s="65">
        <f t="shared" si="10"/>
        <v>121</v>
      </c>
      <c r="G122" s="61">
        <f t="shared" si="12"/>
        <v>1</v>
      </c>
      <c r="H122" s="58">
        <f t="shared" si="9"/>
        <v>0</v>
      </c>
      <c r="I122" s="58">
        <f t="shared" si="13"/>
        <v>0</v>
      </c>
    </row>
    <row r="123" spans="1:9" x14ac:dyDescent="0.15">
      <c r="A123" s="23">
        <v>122</v>
      </c>
      <c r="B123" s="56">
        <f t="shared" si="11"/>
        <v>99</v>
      </c>
      <c r="C123" s="56">
        <f t="shared" si="11"/>
        <v>183</v>
      </c>
      <c r="D123" s="27">
        <v>50114</v>
      </c>
      <c r="E123" s="56">
        <f t="shared" si="14"/>
        <v>60</v>
      </c>
      <c r="F123" s="65">
        <f t="shared" si="10"/>
        <v>122</v>
      </c>
      <c r="G123" s="61">
        <f t="shared" si="12"/>
        <v>0</v>
      </c>
      <c r="H123" s="58">
        <f t="shared" ref="H123:H186" si="15">IF(MOD(A123,4)=0,1,0)</f>
        <v>0</v>
      </c>
      <c r="I123" s="58">
        <f t="shared" si="13"/>
        <v>0</v>
      </c>
    </row>
    <row r="124" spans="1:9" x14ac:dyDescent="0.15">
      <c r="A124" s="23">
        <v>123</v>
      </c>
      <c r="B124" s="56">
        <f t="shared" si="11"/>
        <v>100</v>
      </c>
      <c r="C124" s="56">
        <f t="shared" si="11"/>
        <v>183</v>
      </c>
      <c r="D124" s="27">
        <v>50749</v>
      </c>
      <c r="E124" s="56">
        <f t="shared" si="14"/>
        <v>60</v>
      </c>
      <c r="F124" s="65">
        <f t="shared" si="10"/>
        <v>123</v>
      </c>
      <c r="G124" s="61">
        <f t="shared" si="12"/>
        <v>1</v>
      </c>
      <c r="H124" s="58">
        <f t="shared" si="15"/>
        <v>0</v>
      </c>
      <c r="I124" s="58">
        <f t="shared" si="13"/>
        <v>0</v>
      </c>
    </row>
    <row r="125" spans="1:9" x14ac:dyDescent="0.15">
      <c r="A125" s="23">
        <v>124</v>
      </c>
      <c r="B125" s="56">
        <f t="shared" si="11"/>
        <v>100</v>
      </c>
      <c r="C125" s="56">
        <f t="shared" si="11"/>
        <v>184</v>
      </c>
      <c r="D125" s="27">
        <v>51385</v>
      </c>
      <c r="E125" s="56">
        <f t="shared" si="14"/>
        <v>60</v>
      </c>
      <c r="F125" s="65">
        <f t="shared" si="10"/>
        <v>124</v>
      </c>
      <c r="G125" s="61">
        <f t="shared" si="12"/>
        <v>0</v>
      </c>
      <c r="H125" s="58">
        <f t="shared" si="15"/>
        <v>1</v>
      </c>
      <c r="I125" s="58">
        <f t="shared" si="13"/>
        <v>0</v>
      </c>
    </row>
    <row r="126" spans="1:9" x14ac:dyDescent="0.15">
      <c r="A126" s="23">
        <v>125</v>
      </c>
      <c r="B126" s="56">
        <f t="shared" si="11"/>
        <v>101</v>
      </c>
      <c r="C126" s="56">
        <f t="shared" si="11"/>
        <v>184</v>
      </c>
      <c r="D126" s="27">
        <v>52023</v>
      </c>
      <c r="E126" s="56">
        <f t="shared" si="14"/>
        <v>60</v>
      </c>
      <c r="F126" s="65">
        <f t="shared" si="10"/>
        <v>125</v>
      </c>
      <c r="G126" s="61">
        <f t="shared" si="12"/>
        <v>1</v>
      </c>
      <c r="H126" s="58">
        <f t="shared" si="15"/>
        <v>0</v>
      </c>
      <c r="I126" s="58">
        <f t="shared" si="13"/>
        <v>0</v>
      </c>
    </row>
    <row r="127" spans="1:9" x14ac:dyDescent="0.15">
      <c r="A127" s="23">
        <v>126</v>
      </c>
      <c r="B127" s="56">
        <f t="shared" si="11"/>
        <v>101</v>
      </c>
      <c r="C127" s="56">
        <f t="shared" si="11"/>
        <v>184</v>
      </c>
      <c r="D127" s="27">
        <v>52664</v>
      </c>
      <c r="E127" s="56">
        <f t="shared" si="14"/>
        <v>60</v>
      </c>
      <c r="F127" s="65">
        <f t="shared" si="10"/>
        <v>126</v>
      </c>
      <c r="G127" s="61">
        <f t="shared" si="12"/>
        <v>0</v>
      </c>
      <c r="H127" s="58">
        <f t="shared" si="15"/>
        <v>0</v>
      </c>
      <c r="I127" s="58">
        <f t="shared" si="13"/>
        <v>0</v>
      </c>
    </row>
    <row r="128" spans="1:9" x14ac:dyDescent="0.15">
      <c r="A128" s="23">
        <v>127</v>
      </c>
      <c r="B128" s="56">
        <f t="shared" si="11"/>
        <v>102</v>
      </c>
      <c r="C128" s="56">
        <f t="shared" si="11"/>
        <v>184</v>
      </c>
      <c r="D128" s="27">
        <v>53306</v>
      </c>
      <c r="E128" s="56">
        <f t="shared" si="14"/>
        <v>60</v>
      </c>
      <c r="F128" s="65">
        <f t="shared" si="10"/>
        <v>127</v>
      </c>
      <c r="G128" s="61">
        <f t="shared" si="12"/>
        <v>1</v>
      </c>
      <c r="H128" s="58">
        <f t="shared" si="15"/>
        <v>0</v>
      </c>
      <c r="I128" s="58">
        <f t="shared" si="13"/>
        <v>0</v>
      </c>
    </row>
    <row r="129" spans="1:9" x14ac:dyDescent="0.15">
      <c r="A129" s="23">
        <v>128</v>
      </c>
      <c r="B129" s="56">
        <f t="shared" si="11"/>
        <v>102</v>
      </c>
      <c r="C129" s="56">
        <f t="shared" si="11"/>
        <v>185</v>
      </c>
      <c r="D129" s="27">
        <v>53950</v>
      </c>
      <c r="E129" s="56">
        <f t="shared" si="14"/>
        <v>60</v>
      </c>
      <c r="F129" s="65">
        <f t="shared" si="10"/>
        <v>128</v>
      </c>
      <c r="G129" s="61">
        <f t="shared" si="12"/>
        <v>0</v>
      </c>
      <c r="H129" s="58">
        <f t="shared" si="15"/>
        <v>1</v>
      </c>
      <c r="I129" s="58">
        <f t="shared" si="13"/>
        <v>0</v>
      </c>
    </row>
    <row r="130" spans="1:9" x14ac:dyDescent="0.15">
      <c r="A130" s="23">
        <v>129</v>
      </c>
      <c r="B130" s="56">
        <f t="shared" si="11"/>
        <v>103</v>
      </c>
      <c r="C130" s="56">
        <f t="shared" si="11"/>
        <v>185</v>
      </c>
      <c r="D130" s="27">
        <v>54596</v>
      </c>
      <c r="E130" s="56">
        <f t="shared" si="14"/>
        <v>60</v>
      </c>
      <c r="F130" s="65">
        <f t="shared" ref="F130:F193" si="16">A130</f>
        <v>129</v>
      </c>
      <c r="G130" s="61">
        <f t="shared" si="12"/>
        <v>1</v>
      </c>
      <c r="H130" s="58">
        <f t="shared" si="15"/>
        <v>0</v>
      </c>
      <c r="I130" s="58">
        <f t="shared" si="13"/>
        <v>0</v>
      </c>
    </row>
    <row r="131" spans="1:9" x14ac:dyDescent="0.15">
      <c r="A131" s="23">
        <v>130</v>
      </c>
      <c r="B131" s="56">
        <f t="shared" ref="B131:C194" si="17">B130+G131</f>
        <v>103</v>
      </c>
      <c r="C131" s="56">
        <f t="shared" si="17"/>
        <v>185</v>
      </c>
      <c r="D131" s="27">
        <v>55243</v>
      </c>
      <c r="E131" s="56">
        <f t="shared" si="14"/>
        <v>60</v>
      </c>
      <c r="F131" s="65">
        <f t="shared" si="16"/>
        <v>130</v>
      </c>
      <c r="G131" s="61">
        <f t="shared" ref="G131:G194" si="18">IF(A131&gt;=106, IF(MOD(A131,2)=0,0,1), IF(A131 &gt;= 65, IF(MOD(A131, 2) =0,0, IF(MOD(A131,5)= 0, 2, 1)), IF(MOD(A131, 2) =0,0, IF(MOD(A131,5)= 0, 5, 1))))</f>
        <v>0</v>
      </c>
      <c r="H131" s="58">
        <f t="shared" si="15"/>
        <v>0</v>
      </c>
      <c r="I131" s="58">
        <f t="shared" ref="I131:I194" si="19">IF($A131&gt;=51,0,IF($A131&gt;=30,IF(MOD($A131,5)=0,1,0),IF($A131&gt;=11,IF(MOD($A131,5)=0,3,IF(MOD($A131,2)=0,1,0)),IF(MOD($A131,5)=0,5,IF(MOD($A131,2)=0,2,0)))))</f>
        <v>0</v>
      </c>
    </row>
    <row r="132" spans="1:9" x14ac:dyDescent="0.15">
      <c r="A132" s="23">
        <v>131</v>
      </c>
      <c r="B132" s="56">
        <f t="shared" si="17"/>
        <v>104</v>
      </c>
      <c r="C132" s="56">
        <f t="shared" si="17"/>
        <v>185</v>
      </c>
      <c r="D132" s="27">
        <v>55893</v>
      </c>
      <c r="E132" s="56">
        <f t="shared" ref="E132:E195" si="20">E131+I132</f>
        <v>60</v>
      </c>
      <c r="F132" s="65">
        <f t="shared" si="16"/>
        <v>131</v>
      </c>
      <c r="G132" s="61">
        <f t="shared" si="18"/>
        <v>1</v>
      </c>
      <c r="H132" s="58">
        <f t="shared" si="15"/>
        <v>0</v>
      </c>
      <c r="I132" s="58">
        <f t="shared" si="19"/>
        <v>0</v>
      </c>
    </row>
    <row r="133" spans="1:9" x14ac:dyDescent="0.15">
      <c r="A133" s="23">
        <v>132</v>
      </c>
      <c r="B133" s="56">
        <f t="shared" si="17"/>
        <v>104</v>
      </c>
      <c r="C133" s="56">
        <f t="shared" si="17"/>
        <v>186</v>
      </c>
      <c r="D133" s="27">
        <v>56544</v>
      </c>
      <c r="E133" s="56">
        <f t="shared" si="20"/>
        <v>60</v>
      </c>
      <c r="F133" s="65">
        <f t="shared" si="16"/>
        <v>132</v>
      </c>
      <c r="G133" s="61">
        <f t="shared" si="18"/>
        <v>0</v>
      </c>
      <c r="H133" s="58">
        <f t="shared" si="15"/>
        <v>1</v>
      </c>
      <c r="I133" s="58">
        <f t="shared" si="19"/>
        <v>0</v>
      </c>
    </row>
    <row r="134" spans="1:9" x14ac:dyDescent="0.15">
      <c r="A134" s="23">
        <v>133</v>
      </c>
      <c r="B134" s="56">
        <f t="shared" si="17"/>
        <v>105</v>
      </c>
      <c r="C134" s="56">
        <f t="shared" si="17"/>
        <v>186</v>
      </c>
      <c r="D134" s="27">
        <v>57197</v>
      </c>
      <c r="E134" s="56">
        <f t="shared" si="20"/>
        <v>60</v>
      </c>
      <c r="F134" s="65">
        <f t="shared" si="16"/>
        <v>133</v>
      </c>
      <c r="G134" s="61">
        <f t="shared" si="18"/>
        <v>1</v>
      </c>
      <c r="H134" s="58">
        <f t="shared" si="15"/>
        <v>0</v>
      </c>
      <c r="I134" s="58">
        <f t="shared" si="19"/>
        <v>0</v>
      </c>
    </row>
    <row r="135" spans="1:9" x14ac:dyDescent="0.15">
      <c r="A135" s="23">
        <v>134</v>
      </c>
      <c r="B135" s="56">
        <f t="shared" si="17"/>
        <v>105</v>
      </c>
      <c r="C135" s="56">
        <f t="shared" si="17"/>
        <v>186</v>
      </c>
      <c r="D135" s="27">
        <v>57852</v>
      </c>
      <c r="E135" s="56">
        <f t="shared" si="20"/>
        <v>60</v>
      </c>
      <c r="F135" s="65">
        <f t="shared" si="16"/>
        <v>134</v>
      </c>
      <c r="G135" s="61">
        <f t="shared" si="18"/>
        <v>0</v>
      </c>
      <c r="H135" s="58">
        <f t="shared" si="15"/>
        <v>0</v>
      </c>
      <c r="I135" s="58">
        <f t="shared" si="19"/>
        <v>0</v>
      </c>
    </row>
    <row r="136" spans="1:9" x14ac:dyDescent="0.15">
      <c r="A136" s="23">
        <v>135</v>
      </c>
      <c r="B136" s="56">
        <f t="shared" si="17"/>
        <v>106</v>
      </c>
      <c r="C136" s="56">
        <f t="shared" si="17"/>
        <v>186</v>
      </c>
      <c r="D136" s="27">
        <v>58509</v>
      </c>
      <c r="E136" s="56">
        <f t="shared" si="20"/>
        <v>60</v>
      </c>
      <c r="F136" s="65">
        <f t="shared" si="16"/>
        <v>135</v>
      </c>
      <c r="G136" s="61">
        <f t="shared" si="18"/>
        <v>1</v>
      </c>
      <c r="H136" s="58">
        <f t="shared" si="15"/>
        <v>0</v>
      </c>
      <c r="I136" s="58">
        <f t="shared" si="19"/>
        <v>0</v>
      </c>
    </row>
    <row r="137" spans="1:9" x14ac:dyDescent="0.15">
      <c r="A137" s="23">
        <v>136</v>
      </c>
      <c r="B137" s="56">
        <f t="shared" si="17"/>
        <v>106</v>
      </c>
      <c r="C137" s="56">
        <f t="shared" si="17"/>
        <v>187</v>
      </c>
      <c r="D137" s="27">
        <v>59167</v>
      </c>
      <c r="E137" s="56">
        <f t="shared" si="20"/>
        <v>60</v>
      </c>
      <c r="F137" s="65">
        <f t="shared" si="16"/>
        <v>136</v>
      </c>
      <c r="G137" s="61">
        <f t="shared" si="18"/>
        <v>0</v>
      </c>
      <c r="H137" s="58">
        <f t="shared" si="15"/>
        <v>1</v>
      </c>
      <c r="I137" s="58">
        <f t="shared" si="19"/>
        <v>0</v>
      </c>
    </row>
    <row r="138" spans="1:9" x14ac:dyDescent="0.15">
      <c r="A138" s="23">
        <v>137</v>
      </c>
      <c r="B138" s="56">
        <f t="shared" si="17"/>
        <v>107</v>
      </c>
      <c r="C138" s="56">
        <f t="shared" si="17"/>
        <v>187</v>
      </c>
      <c r="D138" s="27">
        <v>59826</v>
      </c>
      <c r="E138" s="56">
        <f t="shared" si="20"/>
        <v>60</v>
      </c>
      <c r="F138" s="65">
        <f t="shared" si="16"/>
        <v>137</v>
      </c>
      <c r="G138" s="61">
        <f t="shared" si="18"/>
        <v>1</v>
      </c>
      <c r="H138" s="58">
        <f t="shared" si="15"/>
        <v>0</v>
      </c>
      <c r="I138" s="58">
        <f t="shared" si="19"/>
        <v>0</v>
      </c>
    </row>
    <row r="139" spans="1:9" x14ac:dyDescent="0.15">
      <c r="A139" s="23">
        <v>138</v>
      </c>
      <c r="B139" s="56">
        <f t="shared" si="17"/>
        <v>107</v>
      </c>
      <c r="C139" s="56">
        <f t="shared" si="17"/>
        <v>187</v>
      </c>
      <c r="D139" s="27">
        <v>60488</v>
      </c>
      <c r="E139" s="56">
        <f t="shared" si="20"/>
        <v>60</v>
      </c>
      <c r="F139" s="65">
        <f t="shared" si="16"/>
        <v>138</v>
      </c>
      <c r="G139" s="61">
        <f t="shared" si="18"/>
        <v>0</v>
      </c>
      <c r="H139" s="58">
        <f t="shared" si="15"/>
        <v>0</v>
      </c>
      <c r="I139" s="58">
        <f t="shared" si="19"/>
        <v>0</v>
      </c>
    </row>
    <row r="140" spans="1:9" x14ac:dyDescent="0.15">
      <c r="A140" s="23">
        <v>139</v>
      </c>
      <c r="B140" s="56">
        <f t="shared" si="17"/>
        <v>108</v>
      </c>
      <c r="C140" s="56">
        <f t="shared" si="17"/>
        <v>187</v>
      </c>
      <c r="D140" s="27">
        <v>61151</v>
      </c>
      <c r="E140" s="56">
        <f t="shared" si="20"/>
        <v>60</v>
      </c>
      <c r="F140" s="65">
        <f t="shared" si="16"/>
        <v>139</v>
      </c>
      <c r="G140" s="61">
        <f t="shared" si="18"/>
        <v>1</v>
      </c>
      <c r="H140" s="58">
        <f t="shared" si="15"/>
        <v>0</v>
      </c>
      <c r="I140" s="58">
        <f t="shared" si="19"/>
        <v>0</v>
      </c>
    </row>
    <row r="141" spans="1:9" x14ac:dyDescent="0.15">
      <c r="A141" s="23">
        <v>140</v>
      </c>
      <c r="B141" s="56">
        <f t="shared" si="17"/>
        <v>108</v>
      </c>
      <c r="C141" s="56">
        <f t="shared" si="17"/>
        <v>188</v>
      </c>
      <c r="D141" s="27">
        <v>61815</v>
      </c>
      <c r="E141" s="56">
        <f t="shared" si="20"/>
        <v>60</v>
      </c>
      <c r="F141" s="65">
        <f t="shared" si="16"/>
        <v>140</v>
      </c>
      <c r="G141" s="61">
        <f t="shared" si="18"/>
        <v>0</v>
      </c>
      <c r="H141" s="58">
        <f t="shared" si="15"/>
        <v>1</v>
      </c>
      <c r="I141" s="58">
        <f t="shared" si="19"/>
        <v>0</v>
      </c>
    </row>
    <row r="142" spans="1:9" x14ac:dyDescent="0.15">
      <c r="A142" s="23">
        <v>141</v>
      </c>
      <c r="B142" s="56">
        <f t="shared" si="17"/>
        <v>109</v>
      </c>
      <c r="C142" s="56">
        <f t="shared" si="17"/>
        <v>188</v>
      </c>
      <c r="D142" s="27">
        <v>62481</v>
      </c>
      <c r="E142" s="56">
        <f t="shared" si="20"/>
        <v>60</v>
      </c>
      <c r="F142" s="65">
        <f t="shared" si="16"/>
        <v>141</v>
      </c>
      <c r="G142" s="61">
        <f t="shared" si="18"/>
        <v>1</v>
      </c>
      <c r="H142" s="58">
        <f t="shared" si="15"/>
        <v>0</v>
      </c>
      <c r="I142" s="58">
        <f t="shared" si="19"/>
        <v>0</v>
      </c>
    </row>
    <row r="143" spans="1:9" x14ac:dyDescent="0.15">
      <c r="A143" s="23">
        <v>142</v>
      </c>
      <c r="B143" s="56">
        <f t="shared" si="17"/>
        <v>109</v>
      </c>
      <c r="C143" s="56">
        <f t="shared" si="17"/>
        <v>188</v>
      </c>
      <c r="D143" s="27">
        <v>63148</v>
      </c>
      <c r="E143" s="56">
        <f t="shared" si="20"/>
        <v>60</v>
      </c>
      <c r="F143" s="65">
        <f t="shared" si="16"/>
        <v>142</v>
      </c>
      <c r="G143" s="61">
        <f t="shared" si="18"/>
        <v>0</v>
      </c>
      <c r="H143" s="58">
        <f t="shared" si="15"/>
        <v>0</v>
      </c>
      <c r="I143" s="58">
        <f t="shared" si="19"/>
        <v>0</v>
      </c>
    </row>
    <row r="144" spans="1:9" x14ac:dyDescent="0.15">
      <c r="A144" s="23">
        <v>143</v>
      </c>
      <c r="B144" s="56">
        <f t="shared" si="17"/>
        <v>110</v>
      </c>
      <c r="C144" s="56">
        <f t="shared" si="17"/>
        <v>188</v>
      </c>
      <c r="D144" s="27">
        <v>63817</v>
      </c>
      <c r="E144" s="56">
        <f t="shared" si="20"/>
        <v>60</v>
      </c>
      <c r="F144" s="65">
        <f t="shared" si="16"/>
        <v>143</v>
      </c>
      <c r="G144" s="61">
        <f t="shared" si="18"/>
        <v>1</v>
      </c>
      <c r="H144" s="58">
        <f t="shared" si="15"/>
        <v>0</v>
      </c>
      <c r="I144" s="58">
        <f t="shared" si="19"/>
        <v>0</v>
      </c>
    </row>
    <row r="145" spans="1:9" x14ac:dyDescent="0.15">
      <c r="A145" s="23">
        <v>144</v>
      </c>
      <c r="B145" s="56">
        <f t="shared" si="17"/>
        <v>110</v>
      </c>
      <c r="C145" s="56">
        <f t="shared" si="17"/>
        <v>189</v>
      </c>
      <c r="D145" s="27">
        <v>64487</v>
      </c>
      <c r="E145" s="56">
        <f t="shared" si="20"/>
        <v>60</v>
      </c>
      <c r="F145" s="65">
        <f t="shared" si="16"/>
        <v>144</v>
      </c>
      <c r="G145" s="61">
        <f t="shared" si="18"/>
        <v>0</v>
      </c>
      <c r="H145" s="58">
        <f t="shared" si="15"/>
        <v>1</v>
      </c>
      <c r="I145" s="58">
        <f t="shared" si="19"/>
        <v>0</v>
      </c>
    </row>
    <row r="146" spans="1:9" x14ac:dyDescent="0.15">
      <c r="A146" s="23">
        <v>145</v>
      </c>
      <c r="B146" s="56">
        <f t="shared" si="17"/>
        <v>111</v>
      </c>
      <c r="C146" s="56">
        <f t="shared" si="17"/>
        <v>189</v>
      </c>
      <c r="D146" s="27">
        <v>65159</v>
      </c>
      <c r="E146" s="56">
        <f t="shared" si="20"/>
        <v>60</v>
      </c>
      <c r="F146" s="65">
        <f t="shared" si="16"/>
        <v>145</v>
      </c>
      <c r="G146" s="61">
        <f t="shared" si="18"/>
        <v>1</v>
      </c>
      <c r="H146" s="58">
        <f t="shared" si="15"/>
        <v>0</v>
      </c>
      <c r="I146" s="58">
        <f t="shared" si="19"/>
        <v>0</v>
      </c>
    </row>
    <row r="147" spans="1:9" x14ac:dyDescent="0.15">
      <c r="A147" s="23">
        <v>146</v>
      </c>
      <c r="B147" s="56">
        <f t="shared" si="17"/>
        <v>111</v>
      </c>
      <c r="C147" s="56">
        <f t="shared" si="17"/>
        <v>189</v>
      </c>
      <c r="D147" s="27">
        <v>65832</v>
      </c>
      <c r="E147" s="56">
        <f t="shared" si="20"/>
        <v>60</v>
      </c>
      <c r="F147" s="65">
        <f t="shared" si="16"/>
        <v>146</v>
      </c>
      <c r="G147" s="61">
        <f t="shared" si="18"/>
        <v>0</v>
      </c>
      <c r="H147" s="58">
        <f t="shared" si="15"/>
        <v>0</v>
      </c>
      <c r="I147" s="58">
        <f t="shared" si="19"/>
        <v>0</v>
      </c>
    </row>
    <row r="148" spans="1:9" x14ac:dyDescent="0.15">
      <c r="A148" s="23">
        <v>147</v>
      </c>
      <c r="B148" s="56">
        <f t="shared" si="17"/>
        <v>112</v>
      </c>
      <c r="C148" s="56">
        <f t="shared" si="17"/>
        <v>189</v>
      </c>
      <c r="D148" s="27">
        <v>66506</v>
      </c>
      <c r="E148" s="56">
        <f t="shared" si="20"/>
        <v>60</v>
      </c>
      <c r="F148" s="65">
        <f t="shared" si="16"/>
        <v>147</v>
      </c>
      <c r="G148" s="61">
        <f t="shared" si="18"/>
        <v>1</v>
      </c>
      <c r="H148" s="58">
        <f t="shared" si="15"/>
        <v>0</v>
      </c>
      <c r="I148" s="58">
        <f t="shared" si="19"/>
        <v>0</v>
      </c>
    </row>
    <row r="149" spans="1:9" x14ac:dyDescent="0.15">
      <c r="A149" s="23">
        <v>148</v>
      </c>
      <c r="B149" s="56">
        <f t="shared" si="17"/>
        <v>112</v>
      </c>
      <c r="C149" s="56">
        <f t="shared" si="17"/>
        <v>190</v>
      </c>
      <c r="D149" s="27">
        <v>67182</v>
      </c>
      <c r="E149" s="56">
        <f t="shared" si="20"/>
        <v>60</v>
      </c>
      <c r="F149" s="65">
        <f t="shared" si="16"/>
        <v>148</v>
      </c>
      <c r="G149" s="61">
        <f t="shared" si="18"/>
        <v>0</v>
      </c>
      <c r="H149" s="58">
        <f t="shared" si="15"/>
        <v>1</v>
      </c>
      <c r="I149" s="58">
        <f t="shared" si="19"/>
        <v>0</v>
      </c>
    </row>
    <row r="150" spans="1:9" x14ac:dyDescent="0.15">
      <c r="A150" s="23">
        <v>149</v>
      </c>
      <c r="B150" s="56">
        <f t="shared" si="17"/>
        <v>113</v>
      </c>
      <c r="C150" s="56">
        <f t="shared" si="17"/>
        <v>190</v>
      </c>
      <c r="D150" s="27">
        <v>67859</v>
      </c>
      <c r="E150" s="56">
        <f t="shared" si="20"/>
        <v>60</v>
      </c>
      <c r="F150" s="65">
        <f t="shared" si="16"/>
        <v>149</v>
      </c>
      <c r="G150" s="61">
        <f t="shared" si="18"/>
        <v>1</v>
      </c>
      <c r="H150" s="58">
        <f t="shared" si="15"/>
        <v>0</v>
      </c>
      <c r="I150" s="58">
        <f t="shared" si="19"/>
        <v>0</v>
      </c>
    </row>
    <row r="151" spans="1:9" x14ac:dyDescent="0.15">
      <c r="A151" s="23">
        <v>150</v>
      </c>
      <c r="B151" s="56">
        <f t="shared" si="17"/>
        <v>113</v>
      </c>
      <c r="C151" s="56">
        <f t="shared" si="17"/>
        <v>190</v>
      </c>
      <c r="D151" s="27">
        <v>68537</v>
      </c>
      <c r="E151" s="56">
        <f t="shared" si="20"/>
        <v>60</v>
      </c>
      <c r="F151" s="65">
        <f t="shared" si="16"/>
        <v>150</v>
      </c>
      <c r="G151" s="61">
        <f t="shared" si="18"/>
        <v>0</v>
      </c>
      <c r="H151" s="58">
        <f t="shared" si="15"/>
        <v>0</v>
      </c>
      <c r="I151" s="58">
        <f t="shared" si="19"/>
        <v>0</v>
      </c>
    </row>
    <row r="152" spans="1:9" x14ac:dyDescent="0.15">
      <c r="A152" s="23">
        <v>151</v>
      </c>
      <c r="B152" s="56">
        <f t="shared" si="17"/>
        <v>114</v>
      </c>
      <c r="C152" s="56">
        <f t="shared" si="17"/>
        <v>190</v>
      </c>
      <c r="D152" s="27">
        <v>69216</v>
      </c>
      <c r="E152" s="56">
        <f t="shared" si="20"/>
        <v>60</v>
      </c>
      <c r="F152" s="65">
        <f t="shared" si="16"/>
        <v>151</v>
      </c>
      <c r="G152" s="61">
        <f t="shared" si="18"/>
        <v>1</v>
      </c>
      <c r="H152" s="58">
        <f t="shared" si="15"/>
        <v>0</v>
      </c>
      <c r="I152" s="58">
        <f t="shared" si="19"/>
        <v>0</v>
      </c>
    </row>
    <row r="153" spans="1:9" x14ac:dyDescent="0.15">
      <c r="A153" s="23">
        <v>152</v>
      </c>
      <c r="B153" s="56">
        <f t="shared" si="17"/>
        <v>114</v>
      </c>
      <c r="C153" s="56">
        <f t="shared" si="17"/>
        <v>191</v>
      </c>
      <c r="D153" s="27">
        <v>69896</v>
      </c>
      <c r="E153" s="56">
        <f t="shared" si="20"/>
        <v>60</v>
      </c>
      <c r="F153" s="65">
        <f t="shared" si="16"/>
        <v>152</v>
      </c>
      <c r="G153" s="61">
        <f t="shared" si="18"/>
        <v>0</v>
      </c>
      <c r="H153" s="58">
        <f t="shared" si="15"/>
        <v>1</v>
      </c>
      <c r="I153" s="58">
        <f t="shared" si="19"/>
        <v>0</v>
      </c>
    </row>
    <row r="154" spans="1:9" x14ac:dyDescent="0.15">
      <c r="A154" s="23">
        <v>153</v>
      </c>
      <c r="B154" s="56">
        <f t="shared" si="17"/>
        <v>115</v>
      </c>
      <c r="C154" s="56">
        <f t="shared" si="17"/>
        <v>191</v>
      </c>
      <c r="D154" s="27">
        <v>70577</v>
      </c>
      <c r="E154" s="56">
        <f t="shared" si="20"/>
        <v>60</v>
      </c>
      <c r="F154" s="65">
        <f t="shared" si="16"/>
        <v>153</v>
      </c>
      <c r="G154" s="61">
        <f t="shared" si="18"/>
        <v>1</v>
      </c>
      <c r="H154" s="58">
        <f t="shared" si="15"/>
        <v>0</v>
      </c>
      <c r="I154" s="58">
        <f t="shared" si="19"/>
        <v>0</v>
      </c>
    </row>
    <row r="155" spans="1:9" x14ac:dyDescent="0.15">
      <c r="A155" s="23">
        <v>154</v>
      </c>
      <c r="B155" s="56">
        <f t="shared" si="17"/>
        <v>115</v>
      </c>
      <c r="C155" s="56">
        <f t="shared" si="17"/>
        <v>191</v>
      </c>
      <c r="D155" s="27">
        <v>71260</v>
      </c>
      <c r="E155" s="56">
        <f t="shared" si="20"/>
        <v>60</v>
      </c>
      <c r="F155" s="65">
        <f t="shared" si="16"/>
        <v>154</v>
      </c>
      <c r="G155" s="61">
        <f t="shared" si="18"/>
        <v>0</v>
      </c>
      <c r="H155" s="58">
        <f t="shared" si="15"/>
        <v>0</v>
      </c>
      <c r="I155" s="58">
        <f t="shared" si="19"/>
        <v>0</v>
      </c>
    </row>
    <row r="156" spans="1:9" x14ac:dyDescent="0.15">
      <c r="A156" s="23">
        <v>155</v>
      </c>
      <c r="B156" s="56">
        <f t="shared" si="17"/>
        <v>116</v>
      </c>
      <c r="C156" s="56">
        <f t="shared" si="17"/>
        <v>191</v>
      </c>
      <c r="D156" s="27">
        <v>71943</v>
      </c>
      <c r="E156" s="56">
        <f t="shared" si="20"/>
        <v>60</v>
      </c>
      <c r="F156" s="65">
        <f t="shared" si="16"/>
        <v>155</v>
      </c>
      <c r="G156" s="61">
        <f t="shared" si="18"/>
        <v>1</v>
      </c>
      <c r="H156" s="58">
        <f t="shared" si="15"/>
        <v>0</v>
      </c>
      <c r="I156" s="58">
        <f t="shared" si="19"/>
        <v>0</v>
      </c>
    </row>
    <row r="157" spans="1:9" x14ac:dyDescent="0.15">
      <c r="A157" s="23">
        <v>156</v>
      </c>
      <c r="B157" s="56">
        <f t="shared" si="17"/>
        <v>116</v>
      </c>
      <c r="C157" s="56">
        <f t="shared" si="17"/>
        <v>192</v>
      </c>
      <c r="D157" s="27">
        <v>72627</v>
      </c>
      <c r="E157" s="56">
        <f t="shared" si="20"/>
        <v>60</v>
      </c>
      <c r="F157" s="65">
        <f t="shared" si="16"/>
        <v>156</v>
      </c>
      <c r="G157" s="61">
        <f t="shared" si="18"/>
        <v>0</v>
      </c>
      <c r="H157" s="58">
        <f t="shared" si="15"/>
        <v>1</v>
      </c>
      <c r="I157" s="58">
        <f t="shared" si="19"/>
        <v>0</v>
      </c>
    </row>
    <row r="158" spans="1:9" x14ac:dyDescent="0.15">
      <c r="A158" s="23">
        <v>157</v>
      </c>
      <c r="B158" s="56">
        <f t="shared" si="17"/>
        <v>117</v>
      </c>
      <c r="C158" s="56">
        <f t="shared" si="17"/>
        <v>192</v>
      </c>
      <c r="D158" s="27">
        <v>73313</v>
      </c>
      <c r="E158" s="56">
        <f t="shared" si="20"/>
        <v>60</v>
      </c>
      <c r="F158" s="65">
        <f t="shared" si="16"/>
        <v>157</v>
      </c>
      <c r="G158" s="61">
        <f t="shared" si="18"/>
        <v>1</v>
      </c>
      <c r="H158" s="58">
        <f t="shared" si="15"/>
        <v>0</v>
      </c>
      <c r="I158" s="58">
        <f t="shared" si="19"/>
        <v>0</v>
      </c>
    </row>
    <row r="159" spans="1:9" x14ac:dyDescent="0.15">
      <c r="A159" s="23">
        <v>158</v>
      </c>
      <c r="B159" s="56">
        <f t="shared" si="17"/>
        <v>117</v>
      </c>
      <c r="C159" s="56">
        <f t="shared" si="17"/>
        <v>192</v>
      </c>
      <c r="D159" s="27">
        <v>73999</v>
      </c>
      <c r="E159" s="56">
        <f t="shared" si="20"/>
        <v>60</v>
      </c>
      <c r="F159" s="65">
        <f t="shared" si="16"/>
        <v>158</v>
      </c>
      <c r="G159" s="61">
        <f t="shared" si="18"/>
        <v>0</v>
      </c>
      <c r="H159" s="58">
        <f t="shared" si="15"/>
        <v>0</v>
      </c>
      <c r="I159" s="58">
        <f t="shared" si="19"/>
        <v>0</v>
      </c>
    </row>
    <row r="160" spans="1:9" x14ac:dyDescent="0.15">
      <c r="A160" s="23">
        <v>159</v>
      </c>
      <c r="B160" s="56">
        <f t="shared" si="17"/>
        <v>118</v>
      </c>
      <c r="C160" s="56">
        <f t="shared" si="17"/>
        <v>192</v>
      </c>
      <c r="D160" s="27">
        <v>74686</v>
      </c>
      <c r="E160" s="56">
        <f t="shared" si="20"/>
        <v>60</v>
      </c>
      <c r="F160" s="65">
        <f t="shared" si="16"/>
        <v>159</v>
      </c>
      <c r="G160" s="61">
        <f t="shared" si="18"/>
        <v>1</v>
      </c>
      <c r="H160" s="58">
        <f t="shared" si="15"/>
        <v>0</v>
      </c>
      <c r="I160" s="58">
        <f t="shared" si="19"/>
        <v>0</v>
      </c>
    </row>
    <row r="161" spans="1:9" x14ac:dyDescent="0.15">
      <c r="A161" s="23">
        <v>160</v>
      </c>
      <c r="B161" s="56">
        <f t="shared" si="17"/>
        <v>118</v>
      </c>
      <c r="C161" s="56">
        <f t="shared" si="17"/>
        <v>193</v>
      </c>
      <c r="D161" s="27">
        <v>75374</v>
      </c>
      <c r="E161" s="56">
        <f t="shared" si="20"/>
        <v>60</v>
      </c>
      <c r="F161" s="65">
        <f t="shared" si="16"/>
        <v>160</v>
      </c>
      <c r="G161" s="61">
        <f t="shared" si="18"/>
        <v>0</v>
      </c>
      <c r="H161" s="58">
        <f t="shared" si="15"/>
        <v>1</v>
      </c>
      <c r="I161" s="58">
        <f t="shared" si="19"/>
        <v>0</v>
      </c>
    </row>
    <row r="162" spans="1:9" x14ac:dyDescent="0.15">
      <c r="A162" s="23">
        <v>161</v>
      </c>
      <c r="B162" s="56">
        <f t="shared" si="17"/>
        <v>119</v>
      </c>
      <c r="C162" s="56">
        <f t="shared" si="17"/>
        <v>193</v>
      </c>
      <c r="D162" s="27">
        <v>76062</v>
      </c>
      <c r="E162" s="56">
        <f t="shared" si="20"/>
        <v>60</v>
      </c>
      <c r="F162" s="65">
        <f t="shared" si="16"/>
        <v>161</v>
      </c>
      <c r="G162" s="61">
        <f t="shared" si="18"/>
        <v>1</v>
      </c>
      <c r="H162" s="58">
        <f t="shared" si="15"/>
        <v>0</v>
      </c>
      <c r="I162" s="58">
        <f t="shared" si="19"/>
        <v>0</v>
      </c>
    </row>
    <row r="163" spans="1:9" x14ac:dyDescent="0.15">
      <c r="A163" s="23">
        <v>162</v>
      </c>
      <c r="B163" s="56">
        <f t="shared" si="17"/>
        <v>119</v>
      </c>
      <c r="C163" s="56">
        <f t="shared" si="17"/>
        <v>193</v>
      </c>
      <c r="D163" s="27">
        <v>76752</v>
      </c>
      <c r="E163" s="56">
        <f t="shared" si="20"/>
        <v>60</v>
      </c>
      <c r="F163" s="65">
        <f t="shared" si="16"/>
        <v>162</v>
      </c>
      <c r="G163" s="61">
        <f t="shared" si="18"/>
        <v>0</v>
      </c>
      <c r="H163" s="58">
        <f t="shared" si="15"/>
        <v>0</v>
      </c>
      <c r="I163" s="58">
        <f t="shared" si="19"/>
        <v>0</v>
      </c>
    </row>
    <row r="164" spans="1:9" x14ac:dyDescent="0.15">
      <c r="A164" s="23">
        <v>163</v>
      </c>
      <c r="B164" s="56">
        <f t="shared" si="17"/>
        <v>120</v>
      </c>
      <c r="C164" s="56">
        <f t="shared" si="17"/>
        <v>193</v>
      </c>
      <c r="D164" s="27">
        <v>77441</v>
      </c>
      <c r="E164" s="56">
        <f t="shared" si="20"/>
        <v>60</v>
      </c>
      <c r="F164" s="65">
        <f t="shared" si="16"/>
        <v>163</v>
      </c>
      <c r="G164" s="61">
        <f t="shared" si="18"/>
        <v>1</v>
      </c>
      <c r="H164" s="58">
        <f t="shared" si="15"/>
        <v>0</v>
      </c>
      <c r="I164" s="58">
        <f t="shared" si="19"/>
        <v>0</v>
      </c>
    </row>
    <row r="165" spans="1:9" x14ac:dyDescent="0.15">
      <c r="A165" s="23">
        <v>164</v>
      </c>
      <c r="B165" s="56">
        <f t="shared" si="17"/>
        <v>120</v>
      </c>
      <c r="C165" s="56">
        <f t="shared" si="17"/>
        <v>194</v>
      </c>
      <c r="D165" s="27">
        <v>78132</v>
      </c>
      <c r="E165" s="56">
        <f t="shared" si="20"/>
        <v>60</v>
      </c>
      <c r="F165" s="65">
        <f t="shared" si="16"/>
        <v>164</v>
      </c>
      <c r="G165" s="61">
        <f t="shared" si="18"/>
        <v>0</v>
      </c>
      <c r="H165" s="58">
        <f t="shared" si="15"/>
        <v>1</v>
      </c>
      <c r="I165" s="58">
        <f t="shared" si="19"/>
        <v>0</v>
      </c>
    </row>
    <row r="166" spans="1:9" x14ac:dyDescent="0.15">
      <c r="A166" s="23">
        <v>165</v>
      </c>
      <c r="B166" s="56">
        <f t="shared" si="17"/>
        <v>121</v>
      </c>
      <c r="C166" s="56">
        <f t="shared" si="17"/>
        <v>194</v>
      </c>
      <c r="D166" s="27">
        <v>78823</v>
      </c>
      <c r="E166" s="56">
        <f t="shared" si="20"/>
        <v>60</v>
      </c>
      <c r="F166" s="65">
        <f t="shared" si="16"/>
        <v>165</v>
      </c>
      <c r="G166" s="61">
        <f t="shared" si="18"/>
        <v>1</v>
      </c>
      <c r="H166" s="58">
        <f t="shared" si="15"/>
        <v>0</v>
      </c>
      <c r="I166" s="58">
        <f t="shared" si="19"/>
        <v>0</v>
      </c>
    </row>
    <row r="167" spans="1:9" x14ac:dyDescent="0.15">
      <c r="A167" s="23">
        <v>166</v>
      </c>
      <c r="B167" s="56">
        <f t="shared" si="17"/>
        <v>121</v>
      </c>
      <c r="C167" s="56">
        <f t="shared" si="17"/>
        <v>194</v>
      </c>
      <c r="D167" s="27">
        <v>79515</v>
      </c>
      <c r="E167" s="56">
        <f t="shared" si="20"/>
        <v>60</v>
      </c>
      <c r="F167" s="65">
        <f t="shared" si="16"/>
        <v>166</v>
      </c>
      <c r="G167" s="61">
        <f t="shared" si="18"/>
        <v>0</v>
      </c>
      <c r="H167" s="58">
        <f t="shared" si="15"/>
        <v>0</v>
      </c>
      <c r="I167" s="58">
        <f t="shared" si="19"/>
        <v>0</v>
      </c>
    </row>
    <row r="168" spans="1:9" x14ac:dyDescent="0.15">
      <c r="A168" s="23">
        <v>167</v>
      </c>
      <c r="B168" s="56">
        <f t="shared" si="17"/>
        <v>122</v>
      </c>
      <c r="C168" s="56">
        <f t="shared" si="17"/>
        <v>194</v>
      </c>
      <c r="D168" s="27">
        <v>80207</v>
      </c>
      <c r="E168" s="56">
        <f t="shared" si="20"/>
        <v>60</v>
      </c>
      <c r="F168" s="65">
        <f t="shared" si="16"/>
        <v>167</v>
      </c>
      <c r="G168" s="61">
        <f t="shared" si="18"/>
        <v>1</v>
      </c>
      <c r="H168" s="58">
        <f t="shared" si="15"/>
        <v>0</v>
      </c>
      <c r="I168" s="58">
        <f t="shared" si="19"/>
        <v>0</v>
      </c>
    </row>
    <row r="169" spans="1:9" x14ac:dyDescent="0.15">
      <c r="A169" s="23">
        <v>168</v>
      </c>
      <c r="B169" s="56">
        <f t="shared" si="17"/>
        <v>122</v>
      </c>
      <c r="C169" s="56">
        <f t="shared" si="17"/>
        <v>195</v>
      </c>
      <c r="D169" s="27">
        <v>80900</v>
      </c>
      <c r="E169" s="56">
        <f t="shared" si="20"/>
        <v>60</v>
      </c>
      <c r="F169" s="65">
        <f t="shared" si="16"/>
        <v>168</v>
      </c>
      <c r="G169" s="61">
        <f t="shared" si="18"/>
        <v>0</v>
      </c>
      <c r="H169" s="58">
        <f t="shared" si="15"/>
        <v>1</v>
      </c>
      <c r="I169" s="58">
        <f t="shared" si="19"/>
        <v>0</v>
      </c>
    </row>
    <row r="170" spans="1:9" x14ac:dyDescent="0.15">
      <c r="A170" s="23">
        <v>169</v>
      </c>
      <c r="B170" s="56">
        <f t="shared" si="17"/>
        <v>123</v>
      </c>
      <c r="C170" s="56">
        <f t="shared" si="17"/>
        <v>195</v>
      </c>
      <c r="D170" s="27">
        <v>81593</v>
      </c>
      <c r="E170" s="56">
        <f t="shared" si="20"/>
        <v>60</v>
      </c>
      <c r="F170" s="65">
        <f t="shared" si="16"/>
        <v>169</v>
      </c>
      <c r="G170" s="61">
        <f t="shared" si="18"/>
        <v>1</v>
      </c>
      <c r="H170" s="58">
        <f t="shared" si="15"/>
        <v>0</v>
      </c>
      <c r="I170" s="58">
        <f t="shared" si="19"/>
        <v>0</v>
      </c>
    </row>
    <row r="171" spans="1:9" x14ac:dyDescent="0.15">
      <c r="A171" s="23">
        <v>170</v>
      </c>
      <c r="B171" s="56">
        <f t="shared" si="17"/>
        <v>123</v>
      </c>
      <c r="C171" s="56">
        <f t="shared" si="17"/>
        <v>195</v>
      </c>
      <c r="D171" s="27">
        <v>82286</v>
      </c>
      <c r="E171" s="56">
        <f t="shared" si="20"/>
        <v>60</v>
      </c>
      <c r="F171" s="65">
        <f t="shared" si="16"/>
        <v>170</v>
      </c>
      <c r="G171" s="61">
        <f t="shared" si="18"/>
        <v>0</v>
      </c>
      <c r="H171" s="58">
        <f t="shared" si="15"/>
        <v>0</v>
      </c>
      <c r="I171" s="58">
        <f t="shared" si="19"/>
        <v>0</v>
      </c>
    </row>
    <row r="172" spans="1:9" x14ac:dyDescent="0.15">
      <c r="A172" s="23">
        <v>171</v>
      </c>
      <c r="B172" s="56">
        <f t="shared" si="17"/>
        <v>124</v>
      </c>
      <c r="C172" s="56">
        <f t="shared" si="17"/>
        <v>195</v>
      </c>
      <c r="D172" s="27">
        <v>82979</v>
      </c>
      <c r="E172" s="56">
        <f t="shared" si="20"/>
        <v>60</v>
      </c>
      <c r="F172" s="65">
        <f t="shared" si="16"/>
        <v>171</v>
      </c>
      <c r="G172" s="61">
        <f t="shared" si="18"/>
        <v>1</v>
      </c>
      <c r="H172" s="58">
        <f t="shared" si="15"/>
        <v>0</v>
      </c>
      <c r="I172" s="58">
        <f t="shared" si="19"/>
        <v>0</v>
      </c>
    </row>
    <row r="173" spans="1:9" x14ac:dyDescent="0.15">
      <c r="A173" s="23">
        <v>172</v>
      </c>
      <c r="B173" s="56">
        <f t="shared" si="17"/>
        <v>124</v>
      </c>
      <c r="C173" s="56">
        <f t="shared" si="17"/>
        <v>196</v>
      </c>
      <c r="D173" s="27">
        <v>83673</v>
      </c>
      <c r="E173" s="56">
        <f t="shared" si="20"/>
        <v>60</v>
      </c>
      <c r="F173" s="65">
        <f t="shared" si="16"/>
        <v>172</v>
      </c>
      <c r="G173" s="61">
        <f t="shared" si="18"/>
        <v>0</v>
      </c>
      <c r="H173" s="58">
        <f t="shared" si="15"/>
        <v>1</v>
      </c>
      <c r="I173" s="58">
        <f t="shared" si="19"/>
        <v>0</v>
      </c>
    </row>
    <row r="174" spans="1:9" x14ac:dyDescent="0.15">
      <c r="A174" s="23">
        <v>173</v>
      </c>
      <c r="B174" s="56">
        <f t="shared" si="17"/>
        <v>125</v>
      </c>
      <c r="C174" s="56">
        <f t="shared" si="17"/>
        <v>196</v>
      </c>
      <c r="D174" s="27">
        <v>84367</v>
      </c>
      <c r="E174" s="56">
        <f t="shared" si="20"/>
        <v>60</v>
      </c>
      <c r="F174" s="65">
        <f t="shared" si="16"/>
        <v>173</v>
      </c>
      <c r="G174" s="61">
        <f t="shared" si="18"/>
        <v>1</v>
      </c>
      <c r="H174" s="58">
        <f t="shared" si="15"/>
        <v>0</v>
      </c>
      <c r="I174" s="58">
        <f t="shared" si="19"/>
        <v>0</v>
      </c>
    </row>
    <row r="175" spans="1:9" x14ac:dyDescent="0.15">
      <c r="A175" s="23">
        <v>174</v>
      </c>
      <c r="B175" s="56">
        <f t="shared" si="17"/>
        <v>125</v>
      </c>
      <c r="C175" s="56">
        <f t="shared" si="17"/>
        <v>196</v>
      </c>
      <c r="D175" s="27">
        <v>85061</v>
      </c>
      <c r="E175" s="56">
        <f t="shared" si="20"/>
        <v>60</v>
      </c>
      <c r="F175" s="65">
        <f t="shared" si="16"/>
        <v>174</v>
      </c>
      <c r="G175" s="61">
        <f t="shared" si="18"/>
        <v>0</v>
      </c>
      <c r="H175" s="58">
        <f t="shared" si="15"/>
        <v>0</v>
      </c>
      <c r="I175" s="58">
        <f t="shared" si="19"/>
        <v>0</v>
      </c>
    </row>
    <row r="176" spans="1:9" x14ac:dyDescent="0.15">
      <c r="A176" s="23">
        <v>175</v>
      </c>
      <c r="B176" s="56">
        <f t="shared" si="17"/>
        <v>126</v>
      </c>
      <c r="C176" s="56">
        <f t="shared" si="17"/>
        <v>196</v>
      </c>
      <c r="D176" s="27">
        <v>85755</v>
      </c>
      <c r="E176" s="56">
        <f t="shared" si="20"/>
        <v>60</v>
      </c>
      <c r="F176" s="65">
        <f t="shared" si="16"/>
        <v>175</v>
      </c>
      <c r="G176" s="61">
        <f t="shared" si="18"/>
        <v>1</v>
      </c>
      <c r="H176" s="58">
        <f t="shared" si="15"/>
        <v>0</v>
      </c>
      <c r="I176" s="58">
        <f t="shared" si="19"/>
        <v>0</v>
      </c>
    </row>
    <row r="177" spans="1:9" x14ac:dyDescent="0.15">
      <c r="A177" s="23">
        <v>176</v>
      </c>
      <c r="B177" s="56">
        <f t="shared" si="17"/>
        <v>126</v>
      </c>
      <c r="C177" s="56">
        <f t="shared" si="17"/>
        <v>197</v>
      </c>
      <c r="D177" s="27">
        <v>86449</v>
      </c>
      <c r="E177" s="56">
        <f t="shared" si="20"/>
        <v>60</v>
      </c>
      <c r="F177" s="65">
        <f t="shared" si="16"/>
        <v>176</v>
      </c>
      <c r="G177" s="61">
        <f t="shared" si="18"/>
        <v>0</v>
      </c>
      <c r="H177" s="58">
        <f t="shared" si="15"/>
        <v>1</v>
      </c>
      <c r="I177" s="58">
        <f t="shared" si="19"/>
        <v>0</v>
      </c>
    </row>
    <row r="178" spans="1:9" x14ac:dyDescent="0.15">
      <c r="A178" s="23">
        <v>177</v>
      </c>
      <c r="B178" s="56">
        <f t="shared" si="17"/>
        <v>127</v>
      </c>
      <c r="C178" s="56">
        <f t="shared" si="17"/>
        <v>197</v>
      </c>
      <c r="D178" s="27">
        <v>87143</v>
      </c>
      <c r="E178" s="56">
        <f t="shared" si="20"/>
        <v>60</v>
      </c>
      <c r="F178" s="65">
        <f t="shared" si="16"/>
        <v>177</v>
      </c>
      <c r="G178" s="61">
        <f t="shared" si="18"/>
        <v>1</v>
      </c>
      <c r="H178" s="58">
        <f t="shared" si="15"/>
        <v>0</v>
      </c>
      <c r="I178" s="58">
        <f t="shared" si="19"/>
        <v>0</v>
      </c>
    </row>
    <row r="179" spans="1:9" x14ac:dyDescent="0.15">
      <c r="A179" s="23">
        <v>178</v>
      </c>
      <c r="B179" s="56">
        <f t="shared" si="17"/>
        <v>127</v>
      </c>
      <c r="C179" s="56">
        <f t="shared" si="17"/>
        <v>197</v>
      </c>
      <c r="D179" s="27">
        <v>87837</v>
      </c>
      <c r="E179" s="56">
        <f t="shared" si="20"/>
        <v>60</v>
      </c>
      <c r="F179" s="65">
        <f t="shared" si="16"/>
        <v>178</v>
      </c>
      <c r="G179" s="61">
        <f t="shared" si="18"/>
        <v>0</v>
      </c>
      <c r="H179" s="58">
        <f t="shared" si="15"/>
        <v>0</v>
      </c>
      <c r="I179" s="58">
        <f t="shared" si="19"/>
        <v>0</v>
      </c>
    </row>
    <row r="180" spans="1:9" x14ac:dyDescent="0.15">
      <c r="A180" s="23">
        <v>179</v>
      </c>
      <c r="B180" s="56">
        <f t="shared" si="17"/>
        <v>128</v>
      </c>
      <c r="C180" s="56">
        <f t="shared" si="17"/>
        <v>197</v>
      </c>
      <c r="D180" s="27">
        <v>88531</v>
      </c>
      <c r="E180" s="56">
        <f t="shared" si="20"/>
        <v>60</v>
      </c>
      <c r="F180" s="65">
        <f t="shared" si="16"/>
        <v>179</v>
      </c>
      <c r="G180" s="61">
        <f t="shared" si="18"/>
        <v>1</v>
      </c>
      <c r="H180" s="58">
        <f t="shared" si="15"/>
        <v>0</v>
      </c>
      <c r="I180" s="58">
        <f t="shared" si="19"/>
        <v>0</v>
      </c>
    </row>
    <row r="181" spans="1:9" x14ac:dyDescent="0.15">
      <c r="A181" s="23">
        <v>180</v>
      </c>
      <c r="B181" s="56">
        <f t="shared" si="17"/>
        <v>128</v>
      </c>
      <c r="C181" s="56">
        <f t="shared" si="17"/>
        <v>198</v>
      </c>
      <c r="D181" s="27">
        <v>89224</v>
      </c>
      <c r="E181" s="56">
        <f t="shared" si="20"/>
        <v>60</v>
      </c>
      <c r="F181" s="65">
        <f t="shared" si="16"/>
        <v>180</v>
      </c>
      <c r="G181" s="61">
        <f t="shared" si="18"/>
        <v>0</v>
      </c>
      <c r="H181" s="58">
        <f t="shared" si="15"/>
        <v>1</v>
      </c>
      <c r="I181" s="58">
        <f t="shared" si="19"/>
        <v>0</v>
      </c>
    </row>
    <row r="182" spans="1:9" x14ac:dyDescent="0.15">
      <c r="A182" s="23">
        <v>181</v>
      </c>
      <c r="B182" s="56">
        <f t="shared" si="17"/>
        <v>129</v>
      </c>
      <c r="C182" s="56">
        <f t="shared" si="17"/>
        <v>198</v>
      </c>
      <c r="D182" s="27">
        <v>89917</v>
      </c>
      <c r="E182" s="56">
        <f t="shared" si="20"/>
        <v>60</v>
      </c>
      <c r="F182" s="65">
        <f t="shared" si="16"/>
        <v>181</v>
      </c>
      <c r="G182" s="61">
        <f t="shared" si="18"/>
        <v>1</v>
      </c>
      <c r="H182" s="58">
        <f t="shared" si="15"/>
        <v>0</v>
      </c>
      <c r="I182" s="58">
        <f t="shared" si="19"/>
        <v>0</v>
      </c>
    </row>
    <row r="183" spans="1:9" x14ac:dyDescent="0.15">
      <c r="A183" s="23">
        <v>182</v>
      </c>
      <c r="B183" s="56">
        <f t="shared" si="17"/>
        <v>129</v>
      </c>
      <c r="C183" s="56">
        <f t="shared" si="17"/>
        <v>198</v>
      </c>
      <c r="D183" s="27">
        <v>90610</v>
      </c>
      <c r="E183" s="56">
        <f t="shared" si="20"/>
        <v>60</v>
      </c>
      <c r="F183" s="65">
        <f t="shared" si="16"/>
        <v>182</v>
      </c>
      <c r="G183" s="61">
        <f t="shared" si="18"/>
        <v>0</v>
      </c>
      <c r="H183" s="58">
        <f t="shared" si="15"/>
        <v>0</v>
      </c>
      <c r="I183" s="58">
        <f t="shared" si="19"/>
        <v>0</v>
      </c>
    </row>
    <row r="184" spans="1:9" x14ac:dyDescent="0.15">
      <c r="A184" s="23">
        <v>183</v>
      </c>
      <c r="B184" s="56">
        <f t="shared" si="17"/>
        <v>130</v>
      </c>
      <c r="C184" s="56">
        <f t="shared" si="17"/>
        <v>198</v>
      </c>
      <c r="D184" s="27">
        <v>91302</v>
      </c>
      <c r="E184" s="56">
        <f t="shared" si="20"/>
        <v>60</v>
      </c>
      <c r="F184" s="65">
        <f t="shared" si="16"/>
        <v>183</v>
      </c>
      <c r="G184" s="61">
        <f t="shared" si="18"/>
        <v>1</v>
      </c>
      <c r="H184" s="58">
        <f t="shared" si="15"/>
        <v>0</v>
      </c>
      <c r="I184" s="58">
        <f t="shared" si="19"/>
        <v>0</v>
      </c>
    </row>
    <row r="185" spans="1:9" x14ac:dyDescent="0.15">
      <c r="A185" s="23">
        <v>184</v>
      </c>
      <c r="B185" s="56">
        <f t="shared" si="17"/>
        <v>130</v>
      </c>
      <c r="C185" s="56">
        <f t="shared" si="17"/>
        <v>199</v>
      </c>
      <c r="D185" s="27">
        <v>91994</v>
      </c>
      <c r="E185" s="56">
        <f t="shared" si="20"/>
        <v>60</v>
      </c>
      <c r="F185" s="65">
        <f t="shared" si="16"/>
        <v>184</v>
      </c>
      <c r="G185" s="61">
        <f t="shared" si="18"/>
        <v>0</v>
      </c>
      <c r="H185" s="58">
        <f t="shared" si="15"/>
        <v>1</v>
      </c>
      <c r="I185" s="58">
        <f t="shared" si="19"/>
        <v>0</v>
      </c>
    </row>
    <row r="186" spans="1:9" x14ac:dyDescent="0.15">
      <c r="A186" s="23">
        <v>185</v>
      </c>
      <c r="B186" s="56">
        <f t="shared" si="17"/>
        <v>131</v>
      </c>
      <c r="C186" s="56">
        <f t="shared" si="17"/>
        <v>199</v>
      </c>
      <c r="D186" s="27">
        <v>92685</v>
      </c>
      <c r="E186" s="56">
        <f t="shared" si="20"/>
        <v>60</v>
      </c>
      <c r="F186" s="65">
        <f t="shared" si="16"/>
        <v>185</v>
      </c>
      <c r="G186" s="61">
        <f t="shared" si="18"/>
        <v>1</v>
      </c>
      <c r="H186" s="58">
        <f t="shared" si="15"/>
        <v>0</v>
      </c>
      <c r="I186" s="58">
        <f t="shared" si="19"/>
        <v>0</v>
      </c>
    </row>
    <row r="187" spans="1:9" x14ac:dyDescent="0.15">
      <c r="A187" s="23">
        <v>186</v>
      </c>
      <c r="B187" s="56">
        <f t="shared" si="17"/>
        <v>131</v>
      </c>
      <c r="C187" s="56">
        <f t="shared" si="17"/>
        <v>199</v>
      </c>
      <c r="D187" s="27">
        <v>93376</v>
      </c>
      <c r="E187" s="56">
        <f t="shared" si="20"/>
        <v>60</v>
      </c>
      <c r="F187" s="65">
        <f t="shared" si="16"/>
        <v>186</v>
      </c>
      <c r="G187" s="61">
        <f t="shared" si="18"/>
        <v>0</v>
      </c>
      <c r="H187" s="58">
        <f t="shared" ref="H187:H250" si="21">IF(MOD(A187,4)=0,1,0)</f>
        <v>0</v>
      </c>
      <c r="I187" s="58">
        <f t="shared" si="19"/>
        <v>0</v>
      </c>
    </row>
    <row r="188" spans="1:9" x14ac:dyDescent="0.15">
      <c r="A188" s="23">
        <v>187</v>
      </c>
      <c r="B188" s="56">
        <f t="shared" si="17"/>
        <v>132</v>
      </c>
      <c r="C188" s="56">
        <f t="shared" si="17"/>
        <v>199</v>
      </c>
      <c r="D188" s="27">
        <v>94065</v>
      </c>
      <c r="E188" s="56">
        <f t="shared" si="20"/>
        <v>60</v>
      </c>
      <c r="F188" s="65">
        <f t="shared" si="16"/>
        <v>187</v>
      </c>
      <c r="G188" s="61">
        <f t="shared" si="18"/>
        <v>1</v>
      </c>
      <c r="H188" s="58">
        <f t="shared" si="21"/>
        <v>0</v>
      </c>
      <c r="I188" s="58">
        <f t="shared" si="19"/>
        <v>0</v>
      </c>
    </row>
    <row r="189" spans="1:9" x14ac:dyDescent="0.15">
      <c r="A189" s="23">
        <v>188</v>
      </c>
      <c r="B189" s="56">
        <f t="shared" si="17"/>
        <v>132</v>
      </c>
      <c r="C189" s="56">
        <f t="shared" si="17"/>
        <v>200</v>
      </c>
      <c r="D189" s="27">
        <v>94754</v>
      </c>
      <c r="E189" s="56">
        <f t="shared" si="20"/>
        <v>60</v>
      </c>
      <c r="F189" s="65">
        <f t="shared" si="16"/>
        <v>188</v>
      </c>
      <c r="G189" s="61">
        <f t="shared" si="18"/>
        <v>0</v>
      </c>
      <c r="H189" s="58">
        <f t="shared" si="21"/>
        <v>1</v>
      </c>
      <c r="I189" s="58">
        <f t="shared" si="19"/>
        <v>0</v>
      </c>
    </row>
    <row r="190" spans="1:9" x14ac:dyDescent="0.15">
      <c r="A190" s="23">
        <v>189</v>
      </c>
      <c r="B190" s="56">
        <f t="shared" si="17"/>
        <v>133</v>
      </c>
      <c r="C190" s="56">
        <f t="shared" si="17"/>
        <v>200</v>
      </c>
      <c r="D190" s="27">
        <v>95442</v>
      </c>
      <c r="E190" s="56">
        <f t="shared" si="20"/>
        <v>60</v>
      </c>
      <c r="F190" s="65">
        <f t="shared" si="16"/>
        <v>189</v>
      </c>
      <c r="G190" s="61">
        <f t="shared" si="18"/>
        <v>1</v>
      </c>
      <c r="H190" s="58">
        <f t="shared" si="21"/>
        <v>0</v>
      </c>
      <c r="I190" s="58">
        <f t="shared" si="19"/>
        <v>0</v>
      </c>
    </row>
    <row r="191" spans="1:9" x14ac:dyDescent="0.15">
      <c r="A191" s="23">
        <v>190</v>
      </c>
      <c r="B191" s="56">
        <f t="shared" si="17"/>
        <v>133</v>
      </c>
      <c r="C191" s="56">
        <f t="shared" si="17"/>
        <v>200</v>
      </c>
      <c r="D191" s="27">
        <v>96129</v>
      </c>
      <c r="E191" s="56">
        <f t="shared" si="20"/>
        <v>60</v>
      </c>
      <c r="F191" s="65">
        <f t="shared" si="16"/>
        <v>190</v>
      </c>
      <c r="G191" s="61">
        <f t="shared" si="18"/>
        <v>0</v>
      </c>
      <c r="H191" s="58">
        <f t="shared" si="21"/>
        <v>0</v>
      </c>
      <c r="I191" s="58">
        <f t="shared" si="19"/>
        <v>0</v>
      </c>
    </row>
    <row r="192" spans="1:9" x14ac:dyDescent="0.15">
      <c r="A192" s="23">
        <v>191</v>
      </c>
      <c r="B192" s="56">
        <f t="shared" si="17"/>
        <v>134</v>
      </c>
      <c r="C192" s="56">
        <f t="shared" si="17"/>
        <v>200</v>
      </c>
      <c r="D192" s="27">
        <v>96815</v>
      </c>
      <c r="E192" s="56">
        <f t="shared" si="20"/>
        <v>60</v>
      </c>
      <c r="F192" s="65">
        <f t="shared" si="16"/>
        <v>191</v>
      </c>
      <c r="G192" s="61">
        <f t="shared" si="18"/>
        <v>1</v>
      </c>
      <c r="H192" s="58">
        <f t="shared" si="21"/>
        <v>0</v>
      </c>
      <c r="I192" s="58">
        <f t="shared" si="19"/>
        <v>0</v>
      </c>
    </row>
    <row r="193" spans="1:9" x14ac:dyDescent="0.15">
      <c r="A193" s="23">
        <v>192</v>
      </c>
      <c r="B193" s="56">
        <f t="shared" si="17"/>
        <v>134</v>
      </c>
      <c r="C193" s="56">
        <f t="shared" si="17"/>
        <v>201</v>
      </c>
      <c r="D193" s="27">
        <v>97500</v>
      </c>
      <c r="E193" s="56">
        <f t="shared" si="20"/>
        <v>60</v>
      </c>
      <c r="F193" s="65">
        <f t="shared" si="16"/>
        <v>192</v>
      </c>
      <c r="G193" s="61">
        <f t="shared" si="18"/>
        <v>0</v>
      </c>
      <c r="H193" s="58">
        <f t="shared" si="21"/>
        <v>1</v>
      </c>
      <c r="I193" s="58">
        <f t="shared" si="19"/>
        <v>0</v>
      </c>
    </row>
    <row r="194" spans="1:9" x14ac:dyDescent="0.15">
      <c r="A194" s="23">
        <v>193</v>
      </c>
      <c r="B194" s="56">
        <f t="shared" si="17"/>
        <v>135</v>
      </c>
      <c r="C194" s="56">
        <f t="shared" si="17"/>
        <v>201</v>
      </c>
      <c r="D194" s="27">
        <v>98184</v>
      </c>
      <c r="E194" s="56">
        <f t="shared" si="20"/>
        <v>60</v>
      </c>
      <c r="F194" s="65">
        <f t="shared" ref="F194:F257" si="22">A194</f>
        <v>193</v>
      </c>
      <c r="G194" s="61">
        <f t="shared" si="18"/>
        <v>1</v>
      </c>
      <c r="H194" s="58">
        <f t="shared" si="21"/>
        <v>0</v>
      </c>
      <c r="I194" s="58">
        <f t="shared" si="19"/>
        <v>0</v>
      </c>
    </row>
    <row r="195" spans="1:9" x14ac:dyDescent="0.15">
      <c r="A195" s="23">
        <v>194</v>
      </c>
      <c r="B195" s="56">
        <f t="shared" ref="B195:C258" si="23">B194+G195</f>
        <v>135</v>
      </c>
      <c r="C195" s="56">
        <f t="shared" si="23"/>
        <v>201</v>
      </c>
      <c r="D195" s="27">
        <v>98866</v>
      </c>
      <c r="E195" s="56">
        <f t="shared" si="20"/>
        <v>60</v>
      </c>
      <c r="F195" s="65">
        <f t="shared" si="22"/>
        <v>194</v>
      </c>
      <c r="G195" s="61">
        <f t="shared" ref="G195:G258" si="24">IF(A195&gt;=106, IF(MOD(A195,2)=0,0,1), IF(A195 &gt;= 65, IF(MOD(A195, 2) =0,0, IF(MOD(A195,5)= 0, 2, 1)), IF(MOD(A195, 2) =0,0, IF(MOD(A195,5)= 0, 5, 1))))</f>
        <v>0</v>
      </c>
      <c r="H195" s="58">
        <f t="shared" si="21"/>
        <v>0</v>
      </c>
      <c r="I195" s="58">
        <f t="shared" ref="I195:I258" si="25">IF($A195&gt;=51,0,IF($A195&gt;=30,IF(MOD($A195,5)=0,1,0),IF($A195&gt;=11,IF(MOD($A195,5)=0,3,IF(MOD($A195,2)=0,1,0)),IF(MOD($A195,5)=0,5,IF(MOD($A195,2)=0,2,0)))))</f>
        <v>0</v>
      </c>
    </row>
    <row r="196" spans="1:9" x14ac:dyDescent="0.15">
      <c r="A196" s="23">
        <v>195</v>
      </c>
      <c r="B196" s="56">
        <f t="shared" si="23"/>
        <v>136</v>
      </c>
      <c r="C196" s="56">
        <f t="shared" si="23"/>
        <v>201</v>
      </c>
      <c r="D196" s="27">
        <v>99547</v>
      </c>
      <c r="E196" s="56">
        <f t="shared" ref="E196:E259" si="26">E195+I196</f>
        <v>60</v>
      </c>
      <c r="F196" s="65">
        <f t="shared" si="22"/>
        <v>195</v>
      </c>
      <c r="G196" s="61">
        <f t="shared" si="24"/>
        <v>1</v>
      </c>
      <c r="H196" s="58">
        <f t="shared" si="21"/>
        <v>0</v>
      </c>
      <c r="I196" s="58">
        <f t="shared" si="25"/>
        <v>0</v>
      </c>
    </row>
    <row r="197" spans="1:9" x14ac:dyDescent="0.15">
      <c r="A197" s="23">
        <v>196</v>
      </c>
      <c r="B197" s="56">
        <f t="shared" si="23"/>
        <v>136</v>
      </c>
      <c r="C197" s="56">
        <f t="shared" si="23"/>
        <v>202</v>
      </c>
      <c r="D197" s="27">
        <v>100227</v>
      </c>
      <c r="E197" s="56">
        <f t="shared" si="26"/>
        <v>60</v>
      </c>
      <c r="F197" s="65">
        <f t="shared" si="22"/>
        <v>196</v>
      </c>
      <c r="G197" s="61">
        <f t="shared" si="24"/>
        <v>0</v>
      </c>
      <c r="H197" s="58">
        <f t="shared" si="21"/>
        <v>1</v>
      </c>
      <c r="I197" s="58">
        <f t="shared" si="25"/>
        <v>0</v>
      </c>
    </row>
    <row r="198" spans="1:9" x14ac:dyDescent="0.15">
      <c r="A198" s="23">
        <v>197</v>
      </c>
      <c r="B198" s="56">
        <f t="shared" si="23"/>
        <v>137</v>
      </c>
      <c r="C198" s="56">
        <f t="shared" si="23"/>
        <v>202</v>
      </c>
      <c r="D198" s="27">
        <v>100905</v>
      </c>
      <c r="E198" s="56">
        <f t="shared" si="26"/>
        <v>60</v>
      </c>
      <c r="F198" s="65">
        <f t="shared" si="22"/>
        <v>197</v>
      </c>
      <c r="G198" s="61">
        <f t="shared" si="24"/>
        <v>1</v>
      </c>
      <c r="H198" s="58">
        <f t="shared" si="21"/>
        <v>0</v>
      </c>
      <c r="I198" s="58">
        <f t="shared" si="25"/>
        <v>0</v>
      </c>
    </row>
    <row r="199" spans="1:9" x14ac:dyDescent="0.15">
      <c r="A199" s="23">
        <v>198</v>
      </c>
      <c r="B199" s="56">
        <f t="shared" si="23"/>
        <v>137</v>
      </c>
      <c r="C199" s="56">
        <f t="shared" si="23"/>
        <v>202</v>
      </c>
      <c r="D199" s="27">
        <v>101581</v>
      </c>
      <c r="E199" s="56">
        <f t="shared" si="26"/>
        <v>60</v>
      </c>
      <c r="F199" s="65">
        <f t="shared" si="22"/>
        <v>198</v>
      </c>
      <c r="G199" s="61">
        <f t="shared" si="24"/>
        <v>0</v>
      </c>
      <c r="H199" s="58">
        <f t="shared" si="21"/>
        <v>0</v>
      </c>
      <c r="I199" s="58">
        <f t="shared" si="25"/>
        <v>0</v>
      </c>
    </row>
    <row r="200" spans="1:9" x14ac:dyDescent="0.15">
      <c r="A200" s="23">
        <v>199</v>
      </c>
      <c r="B200" s="56">
        <f t="shared" si="23"/>
        <v>138</v>
      </c>
      <c r="C200" s="56">
        <f t="shared" si="23"/>
        <v>202</v>
      </c>
      <c r="D200" s="27">
        <v>102256</v>
      </c>
      <c r="E200" s="56">
        <f t="shared" si="26"/>
        <v>60</v>
      </c>
      <c r="F200" s="65">
        <f t="shared" si="22"/>
        <v>199</v>
      </c>
      <c r="G200" s="61">
        <f t="shared" si="24"/>
        <v>1</v>
      </c>
      <c r="H200" s="58">
        <f t="shared" si="21"/>
        <v>0</v>
      </c>
      <c r="I200" s="58">
        <f t="shared" si="25"/>
        <v>0</v>
      </c>
    </row>
    <row r="201" spans="1:9" x14ac:dyDescent="0.15">
      <c r="A201" s="23">
        <v>200</v>
      </c>
      <c r="B201" s="56">
        <f t="shared" si="23"/>
        <v>138</v>
      </c>
      <c r="C201" s="56">
        <f t="shared" si="23"/>
        <v>203</v>
      </c>
      <c r="D201" s="27">
        <v>102929</v>
      </c>
      <c r="E201" s="56">
        <f t="shared" si="26"/>
        <v>60</v>
      </c>
      <c r="F201" s="65">
        <f t="shared" si="22"/>
        <v>200</v>
      </c>
      <c r="G201" s="61">
        <f t="shared" si="24"/>
        <v>0</v>
      </c>
      <c r="H201" s="58">
        <f t="shared" si="21"/>
        <v>1</v>
      </c>
      <c r="I201" s="58">
        <f t="shared" si="25"/>
        <v>0</v>
      </c>
    </row>
    <row r="202" spans="1:9" x14ac:dyDescent="0.15">
      <c r="A202" s="23">
        <v>201</v>
      </c>
      <c r="B202" s="56">
        <f t="shared" si="23"/>
        <v>139</v>
      </c>
      <c r="C202" s="56">
        <f t="shared" si="23"/>
        <v>203</v>
      </c>
      <c r="D202" s="52">
        <v>103600</v>
      </c>
      <c r="E202" s="56">
        <f t="shared" si="26"/>
        <v>60</v>
      </c>
      <c r="F202" s="65">
        <f t="shared" si="22"/>
        <v>201</v>
      </c>
      <c r="G202" s="61">
        <f t="shared" si="24"/>
        <v>1</v>
      </c>
      <c r="H202" s="58">
        <f t="shared" si="21"/>
        <v>0</v>
      </c>
      <c r="I202" s="58">
        <f t="shared" si="25"/>
        <v>0</v>
      </c>
    </row>
    <row r="203" spans="1:9" x14ac:dyDescent="0.15">
      <c r="A203" s="23">
        <v>202</v>
      </c>
      <c r="B203" s="56">
        <f t="shared" si="23"/>
        <v>139</v>
      </c>
      <c r="C203" s="56">
        <f t="shared" si="23"/>
        <v>203</v>
      </c>
      <c r="D203" s="52">
        <v>104480</v>
      </c>
      <c r="E203" s="56">
        <f t="shared" si="26"/>
        <v>60</v>
      </c>
      <c r="F203" s="65">
        <f t="shared" si="22"/>
        <v>202</v>
      </c>
      <c r="G203" s="61">
        <f t="shared" si="24"/>
        <v>0</v>
      </c>
      <c r="H203" s="58">
        <f t="shared" si="21"/>
        <v>0</v>
      </c>
      <c r="I203" s="58">
        <f t="shared" si="25"/>
        <v>0</v>
      </c>
    </row>
    <row r="204" spans="1:9" x14ac:dyDescent="0.15">
      <c r="A204" s="23">
        <v>203</v>
      </c>
      <c r="B204" s="56">
        <f t="shared" si="23"/>
        <v>140</v>
      </c>
      <c r="C204" s="56">
        <f t="shared" si="23"/>
        <v>203</v>
      </c>
      <c r="D204" s="52">
        <v>105368</v>
      </c>
      <c r="E204" s="56">
        <f t="shared" si="26"/>
        <v>60</v>
      </c>
      <c r="F204" s="65">
        <f t="shared" si="22"/>
        <v>203</v>
      </c>
      <c r="G204" s="61">
        <f t="shared" si="24"/>
        <v>1</v>
      </c>
      <c r="H204" s="58">
        <f t="shared" si="21"/>
        <v>0</v>
      </c>
      <c r="I204" s="58">
        <f t="shared" si="25"/>
        <v>0</v>
      </c>
    </row>
    <row r="205" spans="1:9" x14ac:dyDescent="0.15">
      <c r="A205" s="23">
        <v>204</v>
      </c>
      <c r="B205" s="56">
        <f t="shared" si="23"/>
        <v>140</v>
      </c>
      <c r="C205" s="56">
        <f t="shared" si="23"/>
        <v>204</v>
      </c>
      <c r="D205" s="52">
        <v>106264</v>
      </c>
      <c r="E205" s="56">
        <f t="shared" si="26"/>
        <v>60</v>
      </c>
      <c r="F205" s="65">
        <f t="shared" si="22"/>
        <v>204</v>
      </c>
      <c r="G205" s="61">
        <f t="shared" si="24"/>
        <v>0</v>
      </c>
      <c r="H205" s="58">
        <f t="shared" si="21"/>
        <v>1</v>
      </c>
      <c r="I205" s="58">
        <f t="shared" si="25"/>
        <v>0</v>
      </c>
    </row>
    <row r="206" spans="1:9" x14ac:dyDescent="0.15">
      <c r="A206" s="23">
        <v>205</v>
      </c>
      <c r="B206" s="56">
        <f t="shared" si="23"/>
        <v>141</v>
      </c>
      <c r="C206" s="56">
        <f t="shared" si="23"/>
        <v>204</v>
      </c>
      <c r="D206" s="52">
        <v>107167</v>
      </c>
      <c r="E206" s="56">
        <f t="shared" si="26"/>
        <v>60</v>
      </c>
      <c r="F206" s="65">
        <f t="shared" si="22"/>
        <v>205</v>
      </c>
      <c r="G206" s="61">
        <f t="shared" si="24"/>
        <v>1</v>
      </c>
      <c r="H206" s="58">
        <f t="shared" si="21"/>
        <v>0</v>
      </c>
      <c r="I206" s="58">
        <f t="shared" si="25"/>
        <v>0</v>
      </c>
    </row>
    <row r="207" spans="1:9" x14ac:dyDescent="0.15">
      <c r="A207" s="23">
        <v>206</v>
      </c>
      <c r="B207" s="56">
        <f t="shared" si="23"/>
        <v>141</v>
      </c>
      <c r="C207" s="56">
        <f t="shared" si="23"/>
        <v>204</v>
      </c>
      <c r="D207" s="52">
        <v>108078</v>
      </c>
      <c r="E207" s="56">
        <f t="shared" si="26"/>
        <v>60</v>
      </c>
      <c r="F207" s="65">
        <f t="shared" si="22"/>
        <v>206</v>
      </c>
      <c r="G207" s="61">
        <f t="shared" si="24"/>
        <v>0</v>
      </c>
      <c r="H207" s="58">
        <f t="shared" si="21"/>
        <v>0</v>
      </c>
      <c r="I207" s="58">
        <f t="shared" si="25"/>
        <v>0</v>
      </c>
    </row>
    <row r="208" spans="1:9" x14ac:dyDescent="0.15">
      <c r="A208" s="23">
        <v>207</v>
      </c>
      <c r="B208" s="56">
        <f t="shared" si="23"/>
        <v>142</v>
      </c>
      <c r="C208" s="56">
        <f t="shared" si="23"/>
        <v>204</v>
      </c>
      <c r="D208" s="52">
        <v>108997</v>
      </c>
      <c r="E208" s="56">
        <f t="shared" si="26"/>
        <v>60</v>
      </c>
      <c r="F208" s="65">
        <f t="shared" si="22"/>
        <v>207</v>
      </c>
      <c r="G208" s="61">
        <f t="shared" si="24"/>
        <v>1</v>
      </c>
      <c r="H208" s="58">
        <f t="shared" si="21"/>
        <v>0</v>
      </c>
      <c r="I208" s="58">
        <f t="shared" si="25"/>
        <v>0</v>
      </c>
    </row>
    <row r="209" spans="1:9" x14ac:dyDescent="0.15">
      <c r="A209" s="23">
        <v>208</v>
      </c>
      <c r="B209" s="56">
        <f t="shared" si="23"/>
        <v>142</v>
      </c>
      <c r="C209" s="56">
        <f t="shared" si="23"/>
        <v>205</v>
      </c>
      <c r="D209" s="52">
        <v>109923</v>
      </c>
      <c r="E209" s="56">
        <f t="shared" si="26"/>
        <v>60</v>
      </c>
      <c r="F209" s="65">
        <f t="shared" si="22"/>
        <v>208</v>
      </c>
      <c r="G209" s="61">
        <f t="shared" si="24"/>
        <v>0</v>
      </c>
      <c r="H209" s="58">
        <f t="shared" si="21"/>
        <v>1</v>
      </c>
      <c r="I209" s="58">
        <f t="shared" si="25"/>
        <v>0</v>
      </c>
    </row>
    <row r="210" spans="1:9" x14ac:dyDescent="0.15">
      <c r="A210" s="23">
        <v>209</v>
      </c>
      <c r="B210" s="56">
        <f t="shared" si="23"/>
        <v>143</v>
      </c>
      <c r="C210" s="56">
        <f t="shared" si="23"/>
        <v>205</v>
      </c>
      <c r="D210" s="52">
        <v>110857</v>
      </c>
      <c r="E210" s="56">
        <f t="shared" si="26"/>
        <v>60</v>
      </c>
      <c r="F210" s="65">
        <f t="shared" si="22"/>
        <v>209</v>
      </c>
      <c r="G210" s="61">
        <f t="shared" si="24"/>
        <v>1</v>
      </c>
      <c r="H210" s="58">
        <f t="shared" si="21"/>
        <v>0</v>
      </c>
      <c r="I210" s="58">
        <f t="shared" si="25"/>
        <v>0</v>
      </c>
    </row>
    <row r="211" spans="1:9" x14ac:dyDescent="0.15">
      <c r="A211" s="23">
        <v>210</v>
      </c>
      <c r="B211" s="56">
        <f t="shared" si="23"/>
        <v>143</v>
      </c>
      <c r="C211" s="56">
        <f t="shared" si="23"/>
        <v>205</v>
      </c>
      <c r="D211" s="52">
        <v>111800</v>
      </c>
      <c r="E211" s="56">
        <f t="shared" si="26"/>
        <v>60</v>
      </c>
      <c r="F211" s="65">
        <f t="shared" si="22"/>
        <v>210</v>
      </c>
      <c r="G211" s="61">
        <f t="shared" si="24"/>
        <v>0</v>
      </c>
      <c r="H211" s="58">
        <f t="shared" si="21"/>
        <v>0</v>
      </c>
      <c r="I211" s="58">
        <f t="shared" si="25"/>
        <v>0</v>
      </c>
    </row>
    <row r="212" spans="1:9" x14ac:dyDescent="0.15">
      <c r="A212" s="23">
        <v>211</v>
      </c>
      <c r="B212" s="56">
        <f t="shared" si="23"/>
        <v>144</v>
      </c>
      <c r="C212" s="56">
        <f t="shared" si="23"/>
        <v>205</v>
      </c>
      <c r="D212" s="52">
        <v>112750</v>
      </c>
      <c r="E212" s="56">
        <f t="shared" si="26"/>
        <v>60</v>
      </c>
      <c r="F212" s="65">
        <f t="shared" si="22"/>
        <v>211</v>
      </c>
      <c r="G212" s="61">
        <f t="shared" si="24"/>
        <v>1</v>
      </c>
      <c r="H212" s="58">
        <f t="shared" si="21"/>
        <v>0</v>
      </c>
      <c r="I212" s="58">
        <f t="shared" si="25"/>
        <v>0</v>
      </c>
    </row>
    <row r="213" spans="1:9" x14ac:dyDescent="0.15">
      <c r="A213" s="23">
        <v>212</v>
      </c>
      <c r="B213" s="56">
        <f t="shared" si="23"/>
        <v>144</v>
      </c>
      <c r="C213" s="56">
        <f t="shared" si="23"/>
        <v>206</v>
      </c>
      <c r="D213" s="52">
        <v>113708</v>
      </c>
      <c r="E213" s="56">
        <f t="shared" si="26"/>
        <v>60</v>
      </c>
      <c r="F213" s="65">
        <f t="shared" si="22"/>
        <v>212</v>
      </c>
      <c r="G213" s="61">
        <f t="shared" si="24"/>
        <v>0</v>
      </c>
      <c r="H213" s="58">
        <f t="shared" si="21"/>
        <v>1</v>
      </c>
      <c r="I213" s="58">
        <f t="shared" si="25"/>
        <v>0</v>
      </c>
    </row>
    <row r="214" spans="1:9" x14ac:dyDescent="0.15">
      <c r="A214" s="23">
        <v>213</v>
      </c>
      <c r="B214" s="56">
        <f t="shared" si="23"/>
        <v>145</v>
      </c>
      <c r="C214" s="56">
        <f t="shared" si="23"/>
        <v>206</v>
      </c>
      <c r="D214" s="52">
        <v>114675</v>
      </c>
      <c r="E214" s="56">
        <f t="shared" si="26"/>
        <v>60</v>
      </c>
      <c r="F214" s="65">
        <f t="shared" si="22"/>
        <v>213</v>
      </c>
      <c r="G214" s="61">
        <f t="shared" si="24"/>
        <v>1</v>
      </c>
      <c r="H214" s="58">
        <f t="shared" si="21"/>
        <v>0</v>
      </c>
      <c r="I214" s="58">
        <f t="shared" si="25"/>
        <v>0</v>
      </c>
    </row>
    <row r="215" spans="1:9" x14ac:dyDescent="0.15">
      <c r="A215" s="23">
        <v>214</v>
      </c>
      <c r="B215" s="56">
        <f t="shared" si="23"/>
        <v>145</v>
      </c>
      <c r="C215" s="56">
        <f t="shared" si="23"/>
        <v>206</v>
      </c>
      <c r="D215" s="52">
        <v>115650</v>
      </c>
      <c r="E215" s="56">
        <f t="shared" si="26"/>
        <v>60</v>
      </c>
      <c r="F215" s="65">
        <f t="shared" si="22"/>
        <v>214</v>
      </c>
      <c r="G215" s="61">
        <f t="shared" si="24"/>
        <v>0</v>
      </c>
      <c r="H215" s="58">
        <f t="shared" si="21"/>
        <v>0</v>
      </c>
      <c r="I215" s="58">
        <f t="shared" si="25"/>
        <v>0</v>
      </c>
    </row>
    <row r="216" spans="1:9" x14ac:dyDescent="0.15">
      <c r="A216" s="23">
        <v>215</v>
      </c>
      <c r="B216" s="56">
        <f t="shared" si="23"/>
        <v>146</v>
      </c>
      <c r="C216" s="56">
        <f t="shared" si="23"/>
        <v>206</v>
      </c>
      <c r="D216" s="52">
        <v>116633</v>
      </c>
      <c r="E216" s="56">
        <f t="shared" si="26"/>
        <v>60</v>
      </c>
      <c r="F216" s="65">
        <f t="shared" si="22"/>
        <v>215</v>
      </c>
      <c r="G216" s="61">
        <f t="shared" si="24"/>
        <v>1</v>
      </c>
      <c r="H216" s="58">
        <f t="shared" si="21"/>
        <v>0</v>
      </c>
      <c r="I216" s="58">
        <f t="shared" si="25"/>
        <v>0</v>
      </c>
    </row>
    <row r="217" spans="1:9" x14ac:dyDescent="0.15">
      <c r="A217" s="23">
        <v>216</v>
      </c>
      <c r="B217" s="56">
        <f t="shared" si="23"/>
        <v>146</v>
      </c>
      <c r="C217" s="56">
        <f t="shared" si="23"/>
        <v>207</v>
      </c>
      <c r="D217" s="52">
        <v>117624</v>
      </c>
      <c r="E217" s="56">
        <f t="shared" si="26"/>
        <v>60</v>
      </c>
      <c r="F217" s="65">
        <f t="shared" si="22"/>
        <v>216</v>
      </c>
      <c r="G217" s="61">
        <f t="shared" si="24"/>
        <v>0</v>
      </c>
      <c r="H217" s="58">
        <f t="shared" si="21"/>
        <v>1</v>
      </c>
      <c r="I217" s="58">
        <f t="shared" si="25"/>
        <v>0</v>
      </c>
    </row>
    <row r="218" spans="1:9" x14ac:dyDescent="0.15">
      <c r="A218" s="23">
        <v>217</v>
      </c>
      <c r="B218" s="56">
        <f t="shared" si="23"/>
        <v>147</v>
      </c>
      <c r="C218" s="56">
        <f t="shared" si="23"/>
        <v>207</v>
      </c>
      <c r="D218" s="52">
        <v>118624</v>
      </c>
      <c r="E218" s="56">
        <f t="shared" si="26"/>
        <v>60</v>
      </c>
      <c r="F218" s="65">
        <f t="shared" si="22"/>
        <v>217</v>
      </c>
      <c r="G218" s="61">
        <f t="shared" si="24"/>
        <v>1</v>
      </c>
      <c r="H218" s="58">
        <f t="shared" si="21"/>
        <v>0</v>
      </c>
      <c r="I218" s="58">
        <f t="shared" si="25"/>
        <v>0</v>
      </c>
    </row>
    <row r="219" spans="1:9" x14ac:dyDescent="0.15">
      <c r="A219" s="23">
        <v>218</v>
      </c>
      <c r="B219" s="56">
        <f t="shared" si="23"/>
        <v>147</v>
      </c>
      <c r="C219" s="56">
        <f t="shared" si="23"/>
        <v>207</v>
      </c>
      <c r="D219" s="52">
        <v>119632</v>
      </c>
      <c r="E219" s="56">
        <f t="shared" si="26"/>
        <v>60</v>
      </c>
      <c r="F219" s="65">
        <f t="shared" si="22"/>
        <v>218</v>
      </c>
      <c r="G219" s="61">
        <f t="shared" si="24"/>
        <v>0</v>
      </c>
      <c r="H219" s="58">
        <f t="shared" si="21"/>
        <v>0</v>
      </c>
      <c r="I219" s="58">
        <f t="shared" si="25"/>
        <v>0</v>
      </c>
    </row>
    <row r="220" spans="1:9" x14ac:dyDescent="0.15">
      <c r="A220" s="23">
        <v>219</v>
      </c>
      <c r="B220" s="56">
        <f t="shared" si="23"/>
        <v>148</v>
      </c>
      <c r="C220" s="56">
        <f t="shared" si="23"/>
        <v>207</v>
      </c>
      <c r="D220" s="52">
        <v>120649</v>
      </c>
      <c r="E220" s="56">
        <f t="shared" si="26"/>
        <v>60</v>
      </c>
      <c r="F220" s="65">
        <f t="shared" si="22"/>
        <v>219</v>
      </c>
      <c r="G220" s="61">
        <f t="shared" si="24"/>
        <v>1</v>
      </c>
      <c r="H220" s="58">
        <f t="shared" si="21"/>
        <v>0</v>
      </c>
      <c r="I220" s="58">
        <f t="shared" si="25"/>
        <v>0</v>
      </c>
    </row>
    <row r="221" spans="1:9" x14ac:dyDescent="0.15">
      <c r="A221" s="23">
        <v>220</v>
      </c>
      <c r="B221" s="56">
        <f t="shared" si="23"/>
        <v>148</v>
      </c>
      <c r="C221" s="56">
        <f t="shared" si="23"/>
        <v>208</v>
      </c>
      <c r="D221" s="52">
        <v>121675</v>
      </c>
      <c r="E221" s="56">
        <f t="shared" si="26"/>
        <v>60</v>
      </c>
      <c r="F221" s="65">
        <f t="shared" si="22"/>
        <v>220</v>
      </c>
      <c r="G221" s="61">
        <f t="shared" si="24"/>
        <v>0</v>
      </c>
      <c r="H221" s="58">
        <f t="shared" si="21"/>
        <v>1</v>
      </c>
      <c r="I221" s="58">
        <f t="shared" si="25"/>
        <v>0</v>
      </c>
    </row>
    <row r="222" spans="1:9" x14ac:dyDescent="0.15">
      <c r="A222" s="23">
        <v>221</v>
      </c>
      <c r="B222" s="56">
        <f t="shared" si="23"/>
        <v>149</v>
      </c>
      <c r="C222" s="56">
        <f t="shared" si="23"/>
        <v>208</v>
      </c>
      <c r="D222" s="52">
        <v>122648</v>
      </c>
      <c r="E222" s="56">
        <f t="shared" si="26"/>
        <v>60</v>
      </c>
      <c r="F222" s="65">
        <f t="shared" si="22"/>
        <v>221</v>
      </c>
      <c r="G222" s="61">
        <f t="shared" si="24"/>
        <v>1</v>
      </c>
      <c r="H222" s="58">
        <f t="shared" si="21"/>
        <v>0</v>
      </c>
      <c r="I222" s="58">
        <f t="shared" si="25"/>
        <v>0</v>
      </c>
    </row>
    <row r="223" spans="1:9" x14ac:dyDescent="0.15">
      <c r="A223" s="23">
        <v>222</v>
      </c>
      <c r="B223" s="56">
        <f t="shared" si="23"/>
        <v>149</v>
      </c>
      <c r="C223" s="56">
        <f t="shared" si="23"/>
        <v>208</v>
      </c>
      <c r="D223" s="52">
        <v>123629</v>
      </c>
      <c r="E223" s="56">
        <f t="shared" si="26"/>
        <v>60</v>
      </c>
      <c r="F223" s="65">
        <f t="shared" si="22"/>
        <v>222</v>
      </c>
      <c r="G223" s="61">
        <f t="shared" si="24"/>
        <v>0</v>
      </c>
      <c r="H223" s="58">
        <f t="shared" si="21"/>
        <v>0</v>
      </c>
      <c r="I223" s="58">
        <f t="shared" si="25"/>
        <v>0</v>
      </c>
    </row>
    <row r="224" spans="1:9" x14ac:dyDescent="0.15">
      <c r="A224" s="23">
        <v>223</v>
      </c>
      <c r="B224" s="56">
        <f t="shared" si="23"/>
        <v>150</v>
      </c>
      <c r="C224" s="56">
        <f t="shared" si="23"/>
        <v>208</v>
      </c>
      <c r="D224" s="52">
        <v>124618</v>
      </c>
      <c r="E224" s="56">
        <f t="shared" si="26"/>
        <v>60</v>
      </c>
      <c r="F224" s="65">
        <f t="shared" si="22"/>
        <v>223</v>
      </c>
      <c r="G224" s="61">
        <f t="shared" si="24"/>
        <v>1</v>
      </c>
      <c r="H224" s="58">
        <f t="shared" si="21"/>
        <v>0</v>
      </c>
      <c r="I224" s="58">
        <f t="shared" si="25"/>
        <v>0</v>
      </c>
    </row>
    <row r="225" spans="1:9" x14ac:dyDescent="0.15">
      <c r="A225" s="23">
        <v>224</v>
      </c>
      <c r="B225" s="56">
        <f t="shared" si="23"/>
        <v>150</v>
      </c>
      <c r="C225" s="56">
        <f t="shared" si="23"/>
        <v>209</v>
      </c>
      <c r="D225" s="52">
        <v>125615</v>
      </c>
      <c r="E225" s="56">
        <f t="shared" si="26"/>
        <v>60</v>
      </c>
      <c r="F225" s="65">
        <f t="shared" si="22"/>
        <v>224</v>
      </c>
      <c r="G225" s="61">
        <f t="shared" si="24"/>
        <v>0</v>
      </c>
      <c r="H225" s="58">
        <f t="shared" si="21"/>
        <v>1</v>
      </c>
      <c r="I225" s="58">
        <f t="shared" si="25"/>
        <v>0</v>
      </c>
    </row>
    <row r="226" spans="1:9" x14ac:dyDescent="0.15">
      <c r="A226" s="23">
        <v>225</v>
      </c>
      <c r="B226" s="56">
        <f t="shared" si="23"/>
        <v>151</v>
      </c>
      <c r="C226" s="56">
        <f t="shared" si="23"/>
        <v>209</v>
      </c>
      <c r="D226" s="52">
        <v>126620</v>
      </c>
      <c r="E226" s="56">
        <f t="shared" si="26"/>
        <v>60</v>
      </c>
      <c r="F226" s="65">
        <f t="shared" si="22"/>
        <v>225</v>
      </c>
      <c r="G226" s="61">
        <f t="shared" si="24"/>
        <v>1</v>
      </c>
      <c r="H226" s="58">
        <f t="shared" si="21"/>
        <v>0</v>
      </c>
      <c r="I226" s="58">
        <f t="shared" si="25"/>
        <v>0</v>
      </c>
    </row>
    <row r="227" spans="1:9" x14ac:dyDescent="0.15">
      <c r="A227" s="23">
        <v>226</v>
      </c>
      <c r="B227" s="56">
        <f t="shared" si="23"/>
        <v>151</v>
      </c>
      <c r="C227" s="56">
        <f t="shared" si="23"/>
        <v>209</v>
      </c>
      <c r="D227" s="52">
        <v>127633</v>
      </c>
      <c r="E227" s="56">
        <f t="shared" si="26"/>
        <v>60</v>
      </c>
      <c r="F227" s="65">
        <f t="shared" si="22"/>
        <v>226</v>
      </c>
      <c r="G227" s="61">
        <f t="shared" si="24"/>
        <v>0</v>
      </c>
      <c r="H227" s="58">
        <f t="shared" si="21"/>
        <v>0</v>
      </c>
      <c r="I227" s="58">
        <f t="shared" si="25"/>
        <v>0</v>
      </c>
    </row>
    <row r="228" spans="1:9" x14ac:dyDescent="0.15">
      <c r="A228" s="23">
        <v>227</v>
      </c>
      <c r="B228" s="56">
        <f t="shared" si="23"/>
        <v>152</v>
      </c>
      <c r="C228" s="56">
        <f t="shared" si="23"/>
        <v>209</v>
      </c>
      <c r="D228" s="52">
        <v>128654</v>
      </c>
      <c r="E228" s="56">
        <f t="shared" si="26"/>
        <v>60</v>
      </c>
      <c r="F228" s="65">
        <f t="shared" si="22"/>
        <v>227</v>
      </c>
      <c r="G228" s="61">
        <f t="shared" si="24"/>
        <v>1</v>
      </c>
      <c r="H228" s="58">
        <f t="shared" si="21"/>
        <v>0</v>
      </c>
      <c r="I228" s="58">
        <f t="shared" si="25"/>
        <v>0</v>
      </c>
    </row>
    <row r="229" spans="1:9" x14ac:dyDescent="0.15">
      <c r="A229" s="23">
        <v>228</v>
      </c>
      <c r="B229" s="56">
        <f t="shared" si="23"/>
        <v>152</v>
      </c>
      <c r="C229" s="56">
        <f t="shared" si="23"/>
        <v>210</v>
      </c>
      <c r="D229" s="52">
        <v>129683</v>
      </c>
      <c r="E229" s="56">
        <f t="shared" si="26"/>
        <v>60</v>
      </c>
      <c r="F229" s="65">
        <f t="shared" si="22"/>
        <v>228</v>
      </c>
      <c r="G229" s="61">
        <f t="shared" si="24"/>
        <v>0</v>
      </c>
      <c r="H229" s="58">
        <f t="shared" si="21"/>
        <v>1</v>
      </c>
      <c r="I229" s="58">
        <f t="shared" si="25"/>
        <v>0</v>
      </c>
    </row>
    <row r="230" spans="1:9" x14ac:dyDescent="0.15">
      <c r="A230" s="23">
        <v>229</v>
      </c>
      <c r="B230" s="56">
        <f t="shared" si="23"/>
        <v>153</v>
      </c>
      <c r="C230" s="56">
        <f t="shared" si="23"/>
        <v>210</v>
      </c>
      <c r="D230" s="52">
        <v>130721</v>
      </c>
      <c r="E230" s="56">
        <f t="shared" si="26"/>
        <v>60</v>
      </c>
      <c r="F230" s="65">
        <f t="shared" si="22"/>
        <v>229</v>
      </c>
      <c r="G230" s="61">
        <f t="shared" si="24"/>
        <v>1</v>
      </c>
      <c r="H230" s="58">
        <f t="shared" si="21"/>
        <v>0</v>
      </c>
      <c r="I230" s="58">
        <f t="shared" si="25"/>
        <v>0</v>
      </c>
    </row>
    <row r="231" spans="1:9" x14ac:dyDescent="0.15">
      <c r="A231" s="23">
        <v>230</v>
      </c>
      <c r="B231" s="56">
        <f t="shared" si="23"/>
        <v>153</v>
      </c>
      <c r="C231" s="56">
        <f t="shared" si="23"/>
        <v>210</v>
      </c>
      <c r="D231" s="52">
        <v>131767</v>
      </c>
      <c r="E231" s="56">
        <f t="shared" si="26"/>
        <v>60</v>
      </c>
      <c r="F231" s="65">
        <f t="shared" si="22"/>
        <v>230</v>
      </c>
      <c r="G231" s="61">
        <f t="shared" si="24"/>
        <v>0</v>
      </c>
      <c r="H231" s="58">
        <f t="shared" si="21"/>
        <v>0</v>
      </c>
      <c r="I231" s="58">
        <f t="shared" si="25"/>
        <v>0</v>
      </c>
    </row>
    <row r="232" spans="1:9" x14ac:dyDescent="0.15">
      <c r="A232" s="23">
        <v>231</v>
      </c>
      <c r="B232" s="56">
        <f t="shared" si="23"/>
        <v>154</v>
      </c>
      <c r="C232" s="56">
        <f t="shared" si="23"/>
        <v>210</v>
      </c>
      <c r="D232" s="52">
        <v>132821</v>
      </c>
      <c r="E232" s="56">
        <f t="shared" si="26"/>
        <v>60</v>
      </c>
      <c r="F232" s="65">
        <f t="shared" si="22"/>
        <v>231</v>
      </c>
      <c r="G232" s="61">
        <f t="shared" si="24"/>
        <v>1</v>
      </c>
      <c r="H232" s="58">
        <f t="shared" si="21"/>
        <v>0</v>
      </c>
      <c r="I232" s="58">
        <f t="shared" si="25"/>
        <v>0</v>
      </c>
    </row>
    <row r="233" spans="1:9" x14ac:dyDescent="0.15">
      <c r="A233" s="23">
        <v>232</v>
      </c>
      <c r="B233" s="56">
        <f t="shared" si="23"/>
        <v>154</v>
      </c>
      <c r="C233" s="56">
        <f t="shared" si="23"/>
        <v>211</v>
      </c>
      <c r="D233" s="52">
        <v>133883</v>
      </c>
      <c r="E233" s="56">
        <f t="shared" si="26"/>
        <v>60</v>
      </c>
      <c r="F233" s="65">
        <f t="shared" si="22"/>
        <v>232</v>
      </c>
      <c r="G233" s="61">
        <f t="shared" si="24"/>
        <v>0</v>
      </c>
      <c r="H233" s="58">
        <f t="shared" si="21"/>
        <v>1</v>
      </c>
      <c r="I233" s="58">
        <f t="shared" si="25"/>
        <v>0</v>
      </c>
    </row>
    <row r="234" spans="1:9" x14ac:dyDescent="0.15">
      <c r="A234" s="23">
        <v>233</v>
      </c>
      <c r="B234" s="56">
        <f t="shared" si="23"/>
        <v>155</v>
      </c>
      <c r="C234" s="56">
        <f t="shared" si="23"/>
        <v>211</v>
      </c>
      <c r="D234" s="52">
        <v>134954</v>
      </c>
      <c r="E234" s="56">
        <f t="shared" si="26"/>
        <v>60</v>
      </c>
      <c r="F234" s="65">
        <f t="shared" si="22"/>
        <v>233</v>
      </c>
      <c r="G234" s="61">
        <f t="shared" si="24"/>
        <v>1</v>
      </c>
      <c r="H234" s="58">
        <f t="shared" si="21"/>
        <v>0</v>
      </c>
      <c r="I234" s="58">
        <f t="shared" si="25"/>
        <v>0</v>
      </c>
    </row>
    <row r="235" spans="1:9" x14ac:dyDescent="0.15">
      <c r="A235" s="23">
        <v>234</v>
      </c>
      <c r="B235" s="56">
        <f t="shared" si="23"/>
        <v>155</v>
      </c>
      <c r="C235" s="56">
        <f t="shared" si="23"/>
        <v>211</v>
      </c>
      <c r="D235" s="52">
        <v>136034</v>
      </c>
      <c r="E235" s="56">
        <f t="shared" si="26"/>
        <v>60</v>
      </c>
      <c r="F235" s="65">
        <f t="shared" si="22"/>
        <v>234</v>
      </c>
      <c r="G235" s="61">
        <f t="shared" si="24"/>
        <v>0</v>
      </c>
      <c r="H235" s="58">
        <f t="shared" si="21"/>
        <v>0</v>
      </c>
      <c r="I235" s="58">
        <f t="shared" si="25"/>
        <v>0</v>
      </c>
    </row>
    <row r="236" spans="1:9" x14ac:dyDescent="0.15">
      <c r="A236" s="23">
        <v>235</v>
      </c>
      <c r="B236" s="56">
        <f t="shared" si="23"/>
        <v>156</v>
      </c>
      <c r="C236" s="56">
        <f t="shared" si="23"/>
        <v>211</v>
      </c>
      <c r="D236" s="52">
        <v>137122</v>
      </c>
      <c r="E236" s="56">
        <f t="shared" si="26"/>
        <v>60</v>
      </c>
      <c r="F236" s="65">
        <f t="shared" si="22"/>
        <v>235</v>
      </c>
      <c r="G236" s="61">
        <f t="shared" si="24"/>
        <v>1</v>
      </c>
      <c r="H236" s="58">
        <f t="shared" si="21"/>
        <v>0</v>
      </c>
      <c r="I236" s="58">
        <f t="shared" si="25"/>
        <v>0</v>
      </c>
    </row>
    <row r="237" spans="1:9" x14ac:dyDescent="0.15">
      <c r="A237" s="23">
        <v>236</v>
      </c>
      <c r="B237" s="56">
        <f t="shared" si="23"/>
        <v>156</v>
      </c>
      <c r="C237" s="56">
        <f t="shared" si="23"/>
        <v>212</v>
      </c>
      <c r="D237" s="52">
        <v>138219</v>
      </c>
      <c r="E237" s="56">
        <f t="shared" si="26"/>
        <v>60</v>
      </c>
      <c r="F237" s="65">
        <f t="shared" si="22"/>
        <v>236</v>
      </c>
      <c r="G237" s="61">
        <f t="shared" si="24"/>
        <v>0</v>
      </c>
      <c r="H237" s="58">
        <f t="shared" si="21"/>
        <v>1</v>
      </c>
      <c r="I237" s="58">
        <f t="shared" si="25"/>
        <v>0</v>
      </c>
    </row>
    <row r="238" spans="1:9" x14ac:dyDescent="0.15">
      <c r="A238" s="23">
        <v>237</v>
      </c>
      <c r="B238" s="56">
        <f t="shared" si="23"/>
        <v>157</v>
      </c>
      <c r="C238" s="56">
        <f t="shared" si="23"/>
        <v>212</v>
      </c>
      <c r="D238" s="52">
        <v>139325</v>
      </c>
      <c r="E238" s="56">
        <f t="shared" si="26"/>
        <v>60</v>
      </c>
      <c r="F238" s="65">
        <f t="shared" si="22"/>
        <v>237</v>
      </c>
      <c r="G238" s="61">
        <f t="shared" si="24"/>
        <v>1</v>
      </c>
      <c r="H238" s="58">
        <f t="shared" si="21"/>
        <v>0</v>
      </c>
      <c r="I238" s="58">
        <f t="shared" si="25"/>
        <v>0</v>
      </c>
    </row>
    <row r="239" spans="1:9" x14ac:dyDescent="0.15">
      <c r="A239" s="23">
        <v>238</v>
      </c>
      <c r="B239" s="56">
        <f t="shared" si="23"/>
        <v>157</v>
      </c>
      <c r="C239" s="56">
        <f t="shared" si="23"/>
        <v>212</v>
      </c>
      <c r="D239" s="52">
        <v>140440</v>
      </c>
      <c r="E239" s="56">
        <f t="shared" si="26"/>
        <v>60</v>
      </c>
      <c r="F239" s="65">
        <f t="shared" si="22"/>
        <v>238</v>
      </c>
      <c r="G239" s="61">
        <f t="shared" si="24"/>
        <v>0</v>
      </c>
      <c r="H239" s="58">
        <f t="shared" si="21"/>
        <v>0</v>
      </c>
      <c r="I239" s="58">
        <f t="shared" si="25"/>
        <v>0</v>
      </c>
    </row>
    <row r="240" spans="1:9" x14ac:dyDescent="0.15">
      <c r="A240" s="23">
        <v>239</v>
      </c>
      <c r="B240" s="56">
        <f t="shared" si="23"/>
        <v>158</v>
      </c>
      <c r="C240" s="56">
        <f t="shared" si="23"/>
        <v>212</v>
      </c>
      <c r="D240" s="52">
        <v>141563</v>
      </c>
      <c r="E240" s="56">
        <f t="shared" si="26"/>
        <v>60</v>
      </c>
      <c r="F240" s="65">
        <f t="shared" si="22"/>
        <v>239</v>
      </c>
      <c r="G240" s="61">
        <f t="shared" si="24"/>
        <v>1</v>
      </c>
      <c r="H240" s="58">
        <f t="shared" si="21"/>
        <v>0</v>
      </c>
      <c r="I240" s="58">
        <f t="shared" si="25"/>
        <v>0</v>
      </c>
    </row>
    <row r="241" spans="1:9" x14ac:dyDescent="0.15">
      <c r="A241" s="23">
        <v>240</v>
      </c>
      <c r="B241" s="56">
        <f t="shared" si="23"/>
        <v>158</v>
      </c>
      <c r="C241" s="56">
        <f t="shared" si="23"/>
        <v>213</v>
      </c>
      <c r="D241" s="52">
        <v>142696</v>
      </c>
      <c r="E241" s="56">
        <f t="shared" si="26"/>
        <v>60</v>
      </c>
      <c r="F241" s="65">
        <f t="shared" si="22"/>
        <v>240</v>
      </c>
      <c r="G241" s="61">
        <f t="shared" si="24"/>
        <v>0</v>
      </c>
      <c r="H241" s="58">
        <f t="shared" si="21"/>
        <v>1</v>
      </c>
      <c r="I241" s="58">
        <f t="shared" si="25"/>
        <v>0</v>
      </c>
    </row>
    <row r="242" spans="1:9" x14ac:dyDescent="0.15">
      <c r="A242" s="23">
        <v>241</v>
      </c>
      <c r="B242" s="56">
        <f t="shared" si="23"/>
        <v>159</v>
      </c>
      <c r="C242" s="56">
        <f t="shared" si="23"/>
        <v>213</v>
      </c>
      <c r="D242" s="52">
        <v>143766</v>
      </c>
      <c r="E242" s="56">
        <f t="shared" si="26"/>
        <v>60</v>
      </c>
      <c r="F242" s="65">
        <f t="shared" si="22"/>
        <v>241</v>
      </c>
      <c r="G242" s="61">
        <f t="shared" si="24"/>
        <v>1</v>
      </c>
      <c r="H242" s="58">
        <f t="shared" si="21"/>
        <v>0</v>
      </c>
      <c r="I242" s="58">
        <f t="shared" si="25"/>
        <v>0</v>
      </c>
    </row>
    <row r="243" spans="1:9" x14ac:dyDescent="0.15">
      <c r="A243" s="23">
        <v>242</v>
      </c>
      <c r="B243" s="56">
        <f t="shared" si="23"/>
        <v>159</v>
      </c>
      <c r="C243" s="56">
        <f t="shared" si="23"/>
        <v>213</v>
      </c>
      <c r="D243" s="52">
        <v>144844</v>
      </c>
      <c r="E243" s="56">
        <f t="shared" si="26"/>
        <v>60</v>
      </c>
      <c r="F243" s="65">
        <f t="shared" si="22"/>
        <v>242</v>
      </c>
      <c r="G243" s="61">
        <f t="shared" si="24"/>
        <v>0</v>
      </c>
      <c r="H243" s="58">
        <f t="shared" si="21"/>
        <v>0</v>
      </c>
      <c r="I243" s="58">
        <f t="shared" si="25"/>
        <v>0</v>
      </c>
    </row>
    <row r="244" spans="1:9" x14ac:dyDescent="0.15">
      <c r="A244" s="23">
        <v>243</v>
      </c>
      <c r="B244" s="56">
        <f t="shared" si="23"/>
        <v>160</v>
      </c>
      <c r="C244" s="56">
        <f t="shared" si="23"/>
        <v>213</v>
      </c>
      <c r="D244" s="52">
        <v>145931</v>
      </c>
      <c r="E244" s="56">
        <f t="shared" si="26"/>
        <v>60</v>
      </c>
      <c r="F244" s="65">
        <f t="shared" si="22"/>
        <v>243</v>
      </c>
      <c r="G244" s="61">
        <f t="shared" si="24"/>
        <v>1</v>
      </c>
      <c r="H244" s="58">
        <f t="shared" si="21"/>
        <v>0</v>
      </c>
      <c r="I244" s="58">
        <f t="shared" si="25"/>
        <v>0</v>
      </c>
    </row>
    <row r="245" spans="1:9" x14ac:dyDescent="0.15">
      <c r="A245" s="23">
        <v>244</v>
      </c>
      <c r="B245" s="56">
        <f t="shared" si="23"/>
        <v>160</v>
      </c>
      <c r="C245" s="56">
        <f t="shared" si="23"/>
        <v>214</v>
      </c>
      <c r="D245" s="52">
        <v>147025</v>
      </c>
      <c r="E245" s="56">
        <f t="shared" si="26"/>
        <v>60</v>
      </c>
      <c r="F245" s="65">
        <f t="shared" si="22"/>
        <v>244</v>
      </c>
      <c r="G245" s="61">
        <f t="shared" si="24"/>
        <v>0</v>
      </c>
      <c r="H245" s="58">
        <f t="shared" si="21"/>
        <v>1</v>
      </c>
      <c r="I245" s="58">
        <f t="shared" si="25"/>
        <v>0</v>
      </c>
    </row>
    <row r="246" spans="1:9" x14ac:dyDescent="0.15">
      <c r="A246" s="23">
        <v>245</v>
      </c>
      <c r="B246" s="56">
        <f t="shared" si="23"/>
        <v>161</v>
      </c>
      <c r="C246" s="56">
        <f t="shared" si="23"/>
        <v>214</v>
      </c>
      <c r="D246" s="52">
        <v>148128</v>
      </c>
      <c r="E246" s="56">
        <f t="shared" si="26"/>
        <v>60</v>
      </c>
      <c r="F246" s="65">
        <f t="shared" si="22"/>
        <v>245</v>
      </c>
      <c r="G246" s="61">
        <f t="shared" si="24"/>
        <v>1</v>
      </c>
      <c r="H246" s="58">
        <f t="shared" si="21"/>
        <v>0</v>
      </c>
      <c r="I246" s="58">
        <f t="shared" si="25"/>
        <v>0</v>
      </c>
    </row>
    <row r="247" spans="1:9" x14ac:dyDescent="0.15">
      <c r="A247" s="23">
        <v>246</v>
      </c>
      <c r="B247" s="56">
        <f t="shared" si="23"/>
        <v>161</v>
      </c>
      <c r="C247" s="56">
        <f t="shared" si="23"/>
        <v>214</v>
      </c>
      <c r="D247" s="52">
        <v>149239</v>
      </c>
      <c r="E247" s="56">
        <f t="shared" si="26"/>
        <v>60</v>
      </c>
      <c r="F247" s="65">
        <f t="shared" si="22"/>
        <v>246</v>
      </c>
      <c r="G247" s="61">
        <f t="shared" si="24"/>
        <v>0</v>
      </c>
      <c r="H247" s="58">
        <f t="shared" si="21"/>
        <v>0</v>
      </c>
      <c r="I247" s="58">
        <f t="shared" si="25"/>
        <v>0</v>
      </c>
    </row>
    <row r="248" spans="1:9" x14ac:dyDescent="0.15">
      <c r="A248" s="23">
        <v>247</v>
      </c>
      <c r="B248" s="56">
        <f t="shared" si="23"/>
        <v>162</v>
      </c>
      <c r="C248" s="56">
        <f t="shared" si="23"/>
        <v>214</v>
      </c>
      <c r="D248" s="52">
        <v>150358</v>
      </c>
      <c r="E248" s="56">
        <f t="shared" si="26"/>
        <v>60</v>
      </c>
      <c r="F248" s="65">
        <f t="shared" si="22"/>
        <v>247</v>
      </c>
      <c r="G248" s="61">
        <f t="shared" si="24"/>
        <v>1</v>
      </c>
      <c r="H248" s="58">
        <f t="shared" si="21"/>
        <v>0</v>
      </c>
      <c r="I248" s="58">
        <f t="shared" si="25"/>
        <v>0</v>
      </c>
    </row>
    <row r="249" spans="1:9" x14ac:dyDescent="0.15">
      <c r="A249" s="23">
        <v>248</v>
      </c>
      <c r="B249" s="56">
        <f t="shared" si="23"/>
        <v>162</v>
      </c>
      <c r="C249" s="56">
        <f t="shared" si="23"/>
        <v>215</v>
      </c>
      <c r="D249" s="52">
        <v>151486</v>
      </c>
      <c r="E249" s="56">
        <f t="shared" si="26"/>
        <v>60</v>
      </c>
      <c r="F249" s="65">
        <f t="shared" si="22"/>
        <v>248</v>
      </c>
      <c r="G249" s="61">
        <f t="shared" si="24"/>
        <v>0</v>
      </c>
      <c r="H249" s="58">
        <f t="shared" si="21"/>
        <v>1</v>
      </c>
      <c r="I249" s="58">
        <f t="shared" si="25"/>
        <v>0</v>
      </c>
    </row>
    <row r="250" spans="1:9" x14ac:dyDescent="0.15">
      <c r="A250" s="23">
        <v>249</v>
      </c>
      <c r="B250" s="56">
        <f t="shared" si="23"/>
        <v>163</v>
      </c>
      <c r="C250" s="56">
        <f t="shared" si="23"/>
        <v>215</v>
      </c>
      <c r="D250" s="52">
        <v>152622</v>
      </c>
      <c r="E250" s="56">
        <f t="shared" si="26"/>
        <v>60</v>
      </c>
      <c r="F250" s="65">
        <f t="shared" si="22"/>
        <v>249</v>
      </c>
      <c r="G250" s="61">
        <f t="shared" si="24"/>
        <v>1</v>
      </c>
      <c r="H250" s="58">
        <f t="shared" si="21"/>
        <v>0</v>
      </c>
      <c r="I250" s="58">
        <f t="shared" si="25"/>
        <v>0</v>
      </c>
    </row>
    <row r="251" spans="1:9" x14ac:dyDescent="0.15">
      <c r="A251" s="23">
        <v>250</v>
      </c>
      <c r="B251" s="56">
        <f t="shared" si="23"/>
        <v>163</v>
      </c>
      <c r="C251" s="56">
        <f t="shared" si="23"/>
        <v>215</v>
      </c>
      <c r="D251" s="52">
        <v>153766</v>
      </c>
      <c r="E251" s="56">
        <f t="shared" si="26"/>
        <v>60</v>
      </c>
      <c r="F251" s="65">
        <f t="shared" si="22"/>
        <v>250</v>
      </c>
      <c r="G251" s="61">
        <f t="shared" si="24"/>
        <v>0</v>
      </c>
      <c r="H251" s="58">
        <f t="shared" ref="H251:H314" si="27">IF(MOD(A251,4)=0,1,0)</f>
        <v>0</v>
      </c>
      <c r="I251" s="58">
        <f t="shared" si="25"/>
        <v>0</v>
      </c>
    </row>
    <row r="252" spans="1:9" x14ac:dyDescent="0.15">
      <c r="A252" s="23">
        <v>251</v>
      </c>
      <c r="B252" s="56">
        <f t="shared" si="23"/>
        <v>164</v>
      </c>
      <c r="C252" s="56">
        <f t="shared" si="23"/>
        <v>215</v>
      </c>
      <c r="D252" s="52">
        <v>154920</v>
      </c>
      <c r="E252" s="56">
        <f t="shared" si="26"/>
        <v>60</v>
      </c>
      <c r="F252" s="65">
        <f t="shared" si="22"/>
        <v>251</v>
      </c>
      <c r="G252" s="61">
        <f t="shared" si="24"/>
        <v>1</v>
      </c>
      <c r="H252" s="58">
        <f t="shared" si="27"/>
        <v>0</v>
      </c>
      <c r="I252" s="58">
        <f t="shared" si="25"/>
        <v>0</v>
      </c>
    </row>
    <row r="253" spans="1:9" x14ac:dyDescent="0.15">
      <c r="A253" s="23">
        <v>252</v>
      </c>
      <c r="B253" s="56">
        <f t="shared" si="23"/>
        <v>164</v>
      </c>
      <c r="C253" s="56">
        <f t="shared" si="23"/>
        <v>216</v>
      </c>
      <c r="D253" s="52">
        <v>156082</v>
      </c>
      <c r="E253" s="56">
        <f t="shared" si="26"/>
        <v>60</v>
      </c>
      <c r="F253" s="65">
        <f t="shared" si="22"/>
        <v>252</v>
      </c>
      <c r="G253" s="61">
        <f t="shared" si="24"/>
        <v>0</v>
      </c>
      <c r="H253" s="58">
        <f t="shared" si="27"/>
        <v>1</v>
      </c>
      <c r="I253" s="58">
        <f t="shared" si="25"/>
        <v>0</v>
      </c>
    </row>
    <row r="254" spans="1:9" x14ac:dyDescent="0.15">
      <c r="A254" s="23">
        <v>253</v>
      </c>
      <c r="B254" s="56">
        <f t="shared" si="23"/>
        <v>165</v>
      </c>
      <c r="C254" s="56">
        <f t="shared" si="23"/>
        <v>216</v>
      </c>
      <c r="D254" s="52">
        <v>157252</v>
      </c>
      <c r="E254" s="56">
        <f t="shared" si="26"/>
        <v>60</v>
      </c>
      <c r="F254" s="65">
        <f t="shared" si="22"/>
        <v>253</v>
      </c>
      <c r="G254" s="61">
        <f t="shared" si="24"/>
        <v>1</v>
      </c>
      <c r="H254" s="58">
        <f t="shared" si="27"/>
        <v>0</v>
      </c>
      <c r="I254" s="58">
        <f t="shared" si="25"/>
        <v>0</v>
      </c>
    </row>
    <row r="255" spans="1:9" x14ac:dyDescent="0.15">
      <c r="A255" s="23">
        <v>254</v>
      </c>
      <c r="B255" s="56">
        <f t="shared" si="23"/>
        <v>165</v>
      </c>
      <c r="C255" s="56">
        <f t="shared" si="23"/>
        <v>216</v>
      </c>
      <c r="D255" s="52">
        <v>158432</v>
      </c>
      <c r="E255" s="56">
        <f t="shared" si="26"/>
        <v>60</v>
      </c>
      <c r="F255" s="65">
        <f t="shared" si="22"/>
        <v>254</v>
      </c>
      <c r="G255" s="61">
        <f t="shared" si="24"/>
        <v>0</v>
      </c>
      <c r="H255" s="58">
        <f t="shared" si="27"/>
        <v>0</v>
      </c>
      <c r="I255" s="58">
        <f t="shared" si="25"/>
        <v>0</v>
      </c>
    </row>
    <row r="256" spans="1:9" x14ac:dyDescent="0.15">
      <c r="A256" s="23">
        <v>255</v>
      </c>
      <c r="B256" s="56">
        <f t="shared" si="23"/>
        <v>166</v>
      </c>
      <c r="C256" s="56">
        <f t="shared" si="23"/>
        <v>216</v>
      </c>
      <c r="D256" s="52">
        <v>159620</v>
      </c>
      <c r="E256" s="56">
        <f t="shared" si="26"/>
        <v>60</v>
      </c>
      <c r="F256" s="65">
        <f t="shared" si="22"/>
        <v>255</v>
      </c>
      <c r="G256" s="61">
        <f t="shared" si="24"/>
        <v>1</v>
      </c>
      <c r="H256" s="58">
        <f t="shared" si="27"/>
        <v>0</v>
      </c>
      <c r="I256" s="58">
        <f t="shared" si="25"/>
        <v>0</v>
      </c>
    </row>
    <row r="257" spans="1:9" x14ac:dyDescent="0.15">
      <c r="A257" s="23">
        <v>256</v>
      </c>
      <c r="B257" s="56">
        <f t="shared" si="23"/>
        <v>166</v>
      </c>
      <c r="C257" s="56">
        <f t="shared" si="23"/>
        <v>217</v>
      </c>
      <c r="D257" s="52">
        <v>160817</v>
      </c>
      <c r="E257" s="56">
        <f t="shared" si="26"/>
        <v>60</v>
      </c>
      <c r="F257" s="65">
        <f t="shared" si="22"/>
        <v>256</v>
      </c>
      <c r="G257" s="61">
        <f t="shared" si="24"/>
        <v>0</v>
      </c>
      <c r="H257" s="58">
        <f t="shared" si="27"/>
        <v>1</v>
      </c>
      <c r="I257" s="58">
        <f t="shared" si="25"/>
        <v>0</v>
      </c>
    </row>
    <row r="258" spans="1:9" x14ac:dyDescent="0.15">
      <c r="A258" s="23">
        <v>257</v>
      </c>
      <c r="B258" s="56">
        <f t="shared" si="23"/>
        <v>167</v>
      </c>
      <c r="C258" s="56">
        <f t="shared" si="23"/>
        <v>217</v>
      </c>
      <c r="D258" s="52">
        <v>162023</v>
      </c>
      <c r="E258" s="56">
        <f t="shared" si="26"/>
        <v>60</v>
      </c>
      <c r="F258" s="65">
        <f t="shared" ref="F258:F321" si="28">A258</f>
        <v>257</v>
      </c>
      <c r="G258" s="61">
        <f t="shared" si="24"/>
        <v>1</v>
      </c>
      <c r="H258" s="58">
        <f t="shared" si="27"/>
        <v>0</v>
      </c>
      <c r="I258" s="58">
        <f t="shared" si="25"/>
        <v>0</v>
      </c>
    </row>
    <row r="259" spans="1:9" x14ac:dyDescent="0.15">
      <c r="A259" s="23">
        <v>258</v>
      </c>
      <c r="B259" s="56">
        <f t="shared" ref="B259:C322" si="29">B258+G259</f>
        <v>167</v>
      </c>
      <c r="C259" s="56">
        <f t="shared" si="29"/>
        <v>217</v>
      </c>
      <c r="D259" s="52">
        <v>163238</v>
      </c>
      <c r="E259" s="56">
        <f t="shared" si="26"/>
        <v>60</v>
      </c>
      <c r="F259" s="65">
        <f t="shared" si="28"/>
        <v>258</v>
      </c>
      <c r="G259" s="61">
        <f t="shared" ref="G259:G322" si="30">IF(A259&gt;=106, IF(MOD(A259,2)=0,0,1), IF(A259 &gt;= 65, IF(MOD(A259, 2) =0,0, IF(MOD(A259,5)= 0, 2, 1)), IF(MOD(A259, 2) =0,0, IF(MOD(A259,5)= 0, 5, 1))))</f>
        <v>0</v>
      </c>
      <c r="H259" s="58">
        <f t="shared" si="27"/>
        <v>0</v>
      </c>
      <c r="I259" s="58">
        <f t="shared" ref="I259:I322" si="31">IF($A259&gt;=51,0,IF($A259&gt;=30,IF(MOD($A259,5)=0,1,0),IF($A259&gt;=11,IF(MOD($A259,5)=0,3,IF(MOD($A259,2)=0,1,0)),IF(MOD($A259,5)=0,5,IF(MOD($A259,2)=0,2,0)))))</f>
        <v>0</v>
      </c>
    </row>
    <row r="260" spans="1:9" x14ac:dyDescent="0.15">
      <c r="A260" s="23">
        <v>259</v>
      </c>
      <c r="B260" s="56">
        <f t="shared" si="29"/>
        <v>168</v>
      </c>
      <c r="C260" s="56">
        <f t="shared" si="29"/>
        <v>217</v>
      </c>
      <c r="D260" s="52">
        <v>164463</v>
      </c>
      <c r="E260" s="56">
        <f t="shared" ref="E260:E323" si="32">E259+I260</f>
        <v>60</v>
      </c>
      <c r="F260" s="65">
        <f t="shared" si="28"/>
        <v>259</v>
      </c>
      <c r="G260" s="61">
        <f t="shared" si="30"/>
        <v>1</v>
      </c>
      <c r="H260" s="58">
        <f t="shared" si="27"/>
        <v>0</v>
      </c>
      <c r="I260" s="58">
        <f t="shared" si="31"/>
        <v>0</v>
      </c>
    </row>
    <row r="261" spans="1:9" x14ac:dyDescent="0.15">
      <c r="A261" s="23">
        <v>260</v>
      </c>
      <c r="B261" s="56">
        <f t="shared" si="29"/>
        <v>168</v>
      </c>
      <c r="C261" s="56">
        <f t="shared" si="29"/>
        <v>218</v>
      </c>
      <c r="D261" s="52">
        <v>165696</v>
      </c>
      <c r="E261" s="56">
        <f t="shared" si="32"/>
        <v>60</v>
      </c>
      <c r="F261" s="65">
        <f t="shared" si="28"/>
        <v>260</v>
      </c>
      <c r="G261" s="61">
        <f t="shared" si="30"/>
        <v>0</v>
      </c>
      <c r="H261" s="58">
        <f t="shared" si="27"/>
        <v>1</v>
      </c>
      <c r="I261" s="58">
        <f t="shared" si="31"/>
        <v>0</v>
      </c>
    </row>
    <row r="262" spans="1:9" x14ac:dyDescent="0.15">
      <c r="A262" s="23">
        <v>261</v>
      </c>
      <c r="B262" s="56">
        <f t="shared" si="29"/>
        <v>169</v>
      </c>
      <c r="C262" s="56">
        <f t="shared" si="29"/>
        <v>218</v>
      </c>
      <c r="D262" s="52">
        <v>166856</v>
      </c>
      <c r="E262" s="56">
        <f t="shared" si="32"/>
        <v>60</v>
      </c>
      <c r="F262" s="65">
        <f t="shared" si="28"/>
        <v>261</v>
      </c>
      <c r="G262" s="61">
        <f t="shared" si="30"/>
        <v>1</v>
      </c>
      <c r="H262" s="58">
        <f t="shared" si="27"/>
        <v>0</v>
      </c>
      <c r="I262" s="58">
        <f t="shared" si="31"/>
        <v>0</v>
      </c>
    </row>
    <row r="263" spans="1:9" x14ac:dyDescent="0.15">
      <c r="A263" s="23">
        <v>262</v>
      </c>
      <c r="B263" s="56">
        <f t="shared" si="29"/>
        <v>169</v>
      </c>
      <c r="C263" s="56">
        <f t="shared" si="29"/>
        <v>218</v>
      </c>
      <c r="D263" s="52">
        <v>168024</v>
      </c>
      <c r="E263" s="56">
        <f t="shared" si="32"/>
        <v>60</v>
      </c>
      <c r="F263" s="65">
        <f t="shared" si="28"/>
        <v>262</v>
      </c>
      <c r="G263" s="61">
        <f t="shared" si="30"/>
        <v>0</v>
      </c>
      <c r="H263" s="58">
        <f t="shared" si="27"/>
        <v>0</v>
      </c>
      <c r="I263" s="58">
        <f t="shared" si="31"/>
        <v>0</v>
      </c>
    </row>
    <row r="264" spans="1:9" x14ac:dyDescent="0.15">
      <c r="A264" s="23">
        <v>263</v>
      </c>
      <c r="B264" s="56">
        <f t="shared" si="29"/>
        <v>170</v>
      </c>
      <c r="C264" s="56">
        <f t="shared" si="29"/>
        <v>218</v>
      </c>
      <c r="D264" s="52">
        <v>169200</v>
      </c>
      <c r="E264" s="56">
        <f t="shared" si="32"/>
        <v>60</v>
      </c>
      <c r="F264" s="65">
        <f t="shared" si="28"/>
        <v>263</v>
      </c>
      <c r="G264" s="61">
        <f t="shared" si="30"/>
        <v>1</v>
      </c>
      <c r="H264" s="58">
        <f t="shared" si="27"/>
        <v>0</v>
      </c>
      <c r="I264" s="58">
        <f t="shared" si="31"/>
        <v>0</v>
      </c>
    </row>
    <row r="265" spans="1:9" x14ac:dyDescent="0.15">
      <c r="A265" s="23">
        <v>264</v>
      </c>
      <c r="B265" s="56">
        <f t="shared" si="29"/>
        <v>170</v>
      </c>
      <c r="C265" s="56">
        <f t="shared" si="29"/>
        <v>219</v>
      </c>
      <c r="D265" s="52">
        <v>170385</v>
      </c>
      <c r="E265" s="56">
        <f t="shared" si="32"/>
        <v>60</v>
      </c>
      <c r="F265" s="65">
        <f t="shared" si="28"/>
        <v>264</v>
      </c>
      <c r="G265" s="61">
        <f t="shared" si="30"/>
        <v>0</v>
      </c>
      <c r="H265" s="58">
        <f t="shared" si="27"/>
        <v>1</v>
      </c>
      <c r="I265" s="58">
        <f t="shared" si="31"/>
        <v>0</v>
      </c>
    </row>
    <row r="266" spans="1:9" x14ac:dyDescent="0.15">
      <c r="A266" s="23">
        <v>265</v>
      </c>
      <c r="B266" s="56">
        <f t="shared" si="29"/>
        <v>171</v>
      </c>
      <c r="C266" s="56">
        <f t="shared" si="29"/>
        <v>219</v>
      </c>
      <c r="D266" s="52">
        <v>171577</v>
      </c>
      <c r="E266" s="56">
        <f t="shared" si="32"/>
        <v>60</v>
      </c>
      <c r="F266" s="65">
        <f t="shared" si="28"/>
        <v>265</v>
      </c>
      <c r="G266" s="61">
        <f t="shared" si="30"/>
        <v>1</v>
      </c>
      <c r="H266" s="58">
        <f t="shared" si="27"/>
        <v>0</v>
      </c>
      <c r="I266" s="58">
        <f t="shared" si="31"/>
        <v>0</v>
      </c>
    </row>
    <row r="267" spans="1:9" x14ac:dyDescent="0.15">
      <c r="A267" s="23">
        <v>266</v>
      </c>
      <c r="B267" s="56">
        <f t="shared" si="29"/>
        <v>171</v>
      </c>
      <c r="C267" s="56">
        <f t="shared" si="29"/>
        <v>219</v>
      </c>
      <c r="D267" s="52">
        <v>172778</v>
      </c>
      <c r="E267" s="56">
        <f t="shared" si="32"/>
        <v>60</v>
      </c>
      <c r="F267" s="65">
        <f t="shared" si="28"/>
        <v>266</v>
      </c>
      <c r="G267" s="61">
        <f t="shared" si="30"/>
        <v>0</v>
      </c>
      <c r="H267" s="58">
        <f t="shared" si="27"/>
        <v>0</v>
      </c>
      <c r="I267" s="58">
        <f t="shared" si="31"/>
        <v>0</v>
      </c>
    </row>
    <row r="268" spans="1:9" x14ac:dyDescent="0.15">
      <c r="A268" s="23">
        <v>267</v>
      </c>
      <c r="B268" s="56">
        <f t="shared" si="29"/>
        <v>172</v>
      </c>
      <c r="C268" s="56">
        <f t="shared" si="29"/>
        <v>219</v>
      </c>
      <c r="D268" s="52">
        <v>173988</v>
      </c>
      <c r="E268" s="56">
        <f t="shared" si="32"/>
        <v>60</v>
      </c>
      <c r="F268" s="65">
        <f t="shared" si="28"/>
        <v>267</v>
      </c>
      <c r="G268" s="61">
        <f t="shared" si="30"/>
        <v>1</v>
      </c>
      <c r="H268" s="58">
        <f t="shared" si="27"/>
        <v>0</v>
      </c>
      <c r="I268" s="58">
        <f t="shared" si="31"/>
        <v>0</v>
      </c>
    </row>
    <row r="269" spans="1:9" x14ac:dyDescent="0.15">
      <c r="A269" s="23">
        <v>268</v>
      </c>
      <c r="B269" s="56">
        <f t="shared" si="29"/>
        <v>172</v>
      </c>
      <c r="C269" s="56">
        <f t="shared" si="29"/>
        <v>220</v>
      </c>
      <c r="D269" s="52">
        <v>175206</v>
      </c>
      <c r="E269" s="56">
        <f t="shared" si="32"/>
        <v>60</v>
      </c>
      <c r="F269" s="65">
        <f t="shared" si="28"/>
        <v>268</v>
      </c>
      <c r="G269" s="61">
        <f t="shared" si="30"/>
        <v>0</v>
      </c>
      <c r="H269" s="58">
        <f t="shared" si="27"/>
        <v>1</v>
      </c>
      <c r="I269" s="58">
        <f t="shared" si="31"/>
        <v>0</v>
      </c>
    </row>
    <row r="270" spans="1:9" x14ac:dyDescent="0.15">
      <c r="A270" s="23">
        <v>269</v>
      </c>
      <c r="B270" s="56">
        <f t="shared" si="29"/>
        <v>173</v>
      </c>
      <c r="C270" s="56">
        <f t="shared" si="29"/>
        <v>220</v>
      </c>
      <c r="D270" s="52">
        <v>176432</v>
      </c>
      <c r="E270" s="56">
        <f t="shared" si="32"/>
        <v>60</v>
      </c>
      <c r="F270" s="65">
        <f t="shared" si="28"/>
        <v>269</v>
      </c>
      <c r="G270" s="61">
        <f t="shared" si="30"/>
        <v>1</v>
      </c>
      <c r="H270" s="58">
        <f t="shared" si="27"/>
        <v>0</v>
      </c>
      <c r="I270" s="58">
        <f t="shared" si="31"/>
        <v>0</v>
      </c>
    </row>
    <row r="271" spans="1:9" x14ac:dyDescent="0.15">
      <c r="A271" s="23">
        <v>270</v>
      </c>
      <c r="B271" s="56">
        <f t="shared" si="29"/>
        <v>173</v>
      </c>
      <c r="C271" s="56">
        <f t="shared" si="29"/>
        <v>220</v>
      </c>
      <c r="D271" s="52">
        <v>177667</v>
      </c>
      <c r="E271" s="56">
        <f t="shared" si="32"/>
        <v>60</v>
      </c>
      <c r="F271" s="65">
        <f t="shared" si="28"/>
        <v>270</v>
      </c>
      <c r="G271" s="61">
        <f t="shared" si="30"/>
        <v>0</v>
      </c>
      <c r="H271" s="58">
        <f t="shared" si="27"/>
        <v>0</v>
      </c>
      <c r="I271" s="58">
        <f t="shared" si="31"/>
        <v>0</v>
      </c>
    </row>
    <row r="272" spans="1:9" x14ac:dyDescent="0.15">
      <c r="A272" s="23">
        <v>271</v>
      </c>
      <c r="B272" s="56">
        <f t="shared" si="29"/>
        <v>174</v>
      </c>
      <c r="C272" s="56">
        <f t="shared" si="29"/>
        <v>220</v>
      </c>
      <c r="D272" s="52">
        <v>178911</v>
      </c>
      <c r="E272" s="56">
        <f t="shared" si="32"/>
        <v>60</v>
      </c>
      <c r="F272" s="65">
        <f t="shared" si="28"/>
        <v>271</v>
      </c>
      <c r="G272" s="61">
        <f t="shared" si="30"/>
        <v>1</v>
      </c>
      <c r="H272" s="58">
        <f t="shared" si="27"/>
        <v>0</v>
      </c>
      <c r="I272" s="58">
        <f t="shared" si="31"/>
        <v>0</v>
      </c>
    </row>
    <row r="273" spans="1:9" x14ac:dyDescent="0.15">
      <c r="A273" s="23">
        <v>272</v>
      </c>
      <c r="B273" s="56">
        <f t="shared" si="29"/>
        <v>174</v>
      </c>
      <c r="C273" s="56">
        <f t="shared" si="29"/>
        <v>221</v>
      </c>
      <c r="D273" s="52">
        <v>180163</v>
      </c>
      <c r="E273" s="56">
        <f t="shared" si="32"/>
        <v>60</v>
      </c>
      <c r="F273" s="65">
        <f t="shared" si="28"/>
        <v>272</v>
      </c>
      <c r="G273" s="61">
        <f t="shared" si="30"/>
        <v>0</v>
      </c>
      <c r="H273" s="58">
        <f t="shared" si="27"/>
        <v>1</v>
      </c>
      <c r="I273" s="58">
        <f t="shared" si="31"/>
        <v>0</v>
      </c>
    </row>
    <row r="274" spans="1:9" x14ac:dyDescent="0.15">
      <c r="A274" s="23">
        <v>273</v>
      </c>
      <c r="B274" s="56">
        <f t="shared" si="29"/>
        <v>175</v>
      </c>
      <c r="C274" s="56">
        <f t="shared" si="29"/>
        <v>221</v>
      </c>
      <c r="D274" s="52">
        <v>181424</v>
      </c>
      <c r="E274" s="56">
        <f t="shared" si="32"/>
        <v>60</v>
      </c>
      <c r="F274" s="65">
        <f t="shared" si="28"/>
        <v>273</v>
      </c>
      <c r="G274" s="61">
        <f t="shared" si="30"/>
        <v>1</v>
      </c>
      <c r="H274" s="58">
        <f t="shared" si="27"/>
        <v>0</v>
      </c>
      <c r="I274" s="58">
        <f t="shared" si="31"/>
        <v>0</v>
      </c>
    </row>
    <row r="275" spans="1:9" x14ac:dyDescent="0.15">
      <c r="A275" s="23">
        <v>274</v>
      </c>
      <c r="B275" s="56">
        <f t="shared" si="29"/>
        <v>175</v>
      </c>
      <c r="C275" s="56">
        <f t="shared" si="29"/>
        <v>221</v>
      </c>
      <c r="D275" s="52">
        <v>182694</v>
      </c>
      <c r="E275" s="56">
        <f t="shared" si="32"/>
        <v>60</v>
      </c>
      <c r="F275" s="65">
        <f t="shared" si="28"/>
        <v>274</v>
      </c>
      <c r="G275" s="61">
        <f t="shared" si="30"/>
        <v>0</v>
      </c>
      <c r="H275" s="58">
        <f t="shared" si="27"/>
        <v>0</v>
      </c>
      <c r="I275" s="58">
        <f t="shared" si="31"/>
        <v>0</v>
      </c>
    </row>
    <row r="276" spans="1:9" x14ac:dyDescent="0.15">
      <c r="A276" s="23">
        <v>275</v>
      </c>
      <c r="B276" s="56">
        <f t="shared" si="29"/>
        <v>176</v>
      </c>
      <c r="C276" s="56">
        <f t="shared" si="29"/>
        <v>221</v>
      </c>
      <c r="D276" s="52">
        <v>183973</v>
      </c>
      <c r="E276" s="56">
        <f t="shared" si="32"/>
        <v>60</v>
      </c>
      <c r="F276" s="65">
        <f t="shared" si="28"/>
        <v>275</v>
      </c>
      <c r="G276" s="61">
        <f t="shared" si="30"/>
        <v>1</v>
      </c>
      <c r="H276" s="58">
        <f t="shared" si="27"/>
        <v>0</v>
      </c>
      <c r="I276" s="58">
        <f t="shared" si="31"/>
        <v>0</v>
      </c>
    </row>
    <row r="277" spans="1:9" x14ac:dyDescent="0.15">
      <c r="A277" s="23">
        <v>276</v>
      </c>
      <c r="B277" s="56">
        <f t="shared" si="29"/>
        <v>176</v>
      </c>
      <c r="C277" s="56">
        <f t="shared" si="29"/>
        <v>222</v>
      </c>
      <c r="D277" s="52">
        <v>185261</v>
      </c>
      <c r="E277" s="56">
        <f t="shared" si="32"/>
        <v>60</v>
      </c>
      <c r="F277" s="65">
        <f t="shared" si="28"/>
        <v>276</v>
      </c>
      <c r="G277" s="61">
        <f t="shared" si="30"/>
        <v>0</v>
      </c>
      <c r="H277" s="58">
        <f t="shared" si="27"/>
        <v>1</v>
      </c>
      <c r="I277" s="58">
        <f t="shared" si="31"/>
        <v>0</v>
      </c>
    </row>
    <row r="278" spans="1:9" x14ac:dyDescent="0.15">
      <c r="A278" s="23">
        <v>277</v>
      </c>
      <c r="B278" s="56">
        <f t="shared" si="29"/>
        <v>177</v>
      </c>
      <c r="C278" s="56">
        <f t="shared" si="29"/>
        <v>222</v>
      </c>
      <c r="D278" s="52">
        <v>186558</v>
      </c>
      <c r="E278" s="56">
        <f t="shared" si="32"/>
        <v>60</v>
      </c>
      <c r="F278" s="65">
        <f t="shared" si="28"/>
        <v>277</v>
      </c>
      <c r="G278" s="61">
        <f t="shared" si="30"/>
        <v>1</v>
      </c>
      <c r="H278" s="58">
        <f t="shared" si="27"/>
        <v>0</v>
      </c>
      <c r="I278" s="58">
        <f t="shared" si="31"/>
        <v>0</v>
      </c>
    </row>
    <row r="279" spans="1:9" x14ac:dyDescent="0.15">
      <c r="A279" s="23">
        <v>278</v>
      </c>
      <c r="B279" s="56">
        <f t="shared" si="29"/>
        <v>177</v>
      </c>
      <c r="C279" s="56">
        <f t="shared" si="29"/>
        <v>222</v>
      </c>
      <c r="D279" s="52">
        <v>187864</v>
      </c>
      <c r="E279" s="56">
        <f t="shared" si="32"/>
        <v>60</v>
      </c>
      <c r="F279" s="65">
        <f t="shared" si="28"/>
        <v>278</v>
      </c>
      <c r="G279" s="61">
        <f t="shared" si="30"/>
        <v>0</v>
      </c>
      <c r="H279" s="58">
        <f t="shared" si="27"/>
        <v>0</v>
      </c>
      <c r="I279" s="58">
        <f t="shared" si="31"/>
        <v>0</v>
      </c>
    </row>
    <row r="280" spans="1:9" x14ac:dyDescent="0.15">
      <c r="A280" s="23">
        <v>279</v>
      </c>
      <c r="B280" s="56">
        <f t="shared" si="29"/>
        <v>178</v>
      </c>
      <c r="C280" s="56">
        <f t="shared" si="29"/>
        <v>222</v>
      </c>
      <c r="D280" s="52">
        <v>189179</v>
      </c>
      <c r="E280" s="56">
        <f t="shared" si="32"/>
        <v>60</v>
      </c>
      <c r="F280" s="65">
        <f t="shared" si="28"/>
        <v>279</v>
      </c>
      <c r="G280" s="61">
        <f t="shared" si="30"/>
        <v>1</v>
      </c>
      <c r="H280" s="58">
        <f t="shared" si="27"/>
        <v>0</v>
      </c>
      <c r="I280" s="58">
        <f t="shared" si="31"/>
        <v>0</v>
      </c>
    </row>
    <row r="281" spans="1:9" x14ac:dyDescent="0.15">
      <c r="A281" s="23">
        <v>280</v>
      </c>
      <c r="B281" s="56">
        <f t="shared" si="29"/>
        <v>178</v>
      </c>
      <c r="C281" s="56">
        <f t="shared" si="29"/>
        <v>223</v>
      </c>
      <c r="D281" s="52">
        <v>190503</v>
      </c>
      <c r="E281" s="56">
        <f t="shared" si="32"/>
        <v>60</v>
      </c>
      <c r="F281" s="65">
        <f t="shared" si="28"/>
        <v>280</v>
      </c>
      <c r="G281" s="61">
        <f t="shared" si="30"/>
        <v>0</v>
      </c>
      <c r="H281" s="58">
        <f t="shared" si="27"/>
        <v>1</v>
      </c>
      <c r="I281" s="58">
        <f t="shared" si="31"/>
        <v>0</v>
      </c>
    </row>
    <row r="282" spans="1:9" x14ac:dyDescent="0.15">
      <c r="A282" s="23">
        <v>281</v>
      </c>
      <c r="B282" s="56">
        <f t="shared" si="29"/>
        <v>179</v>
      </c>
      <c r="C282" s="56">
        <f t="shared" si="29"/>
        <v>223</v>
      </c>
      <c r="D282" s="52">
        <v>191741</v>
      </c>
      <c r="E282" s="56">
        <f t="shared" si="32"/>
        <v>60</v>
      </c>
      <c r="F282" s="65">
        <f t="shared" si="28"/>
        <v>281</v>
      </c>
      <c r="G282" s="61">
        <f t="shared" si="30"/>
        <v>1</v>
      </c>
      <c r="H282" s="58">
        <f t="shared" si="27"/>
        <v>0</v>
      </c>
      <c r="I282" s="58">
        <f t="shared" si="31"/>
        <v>0</v>
      </c>
    </row>
    <row r="283" spans="1:9" x14ac:dyDescent="0.15">
      <c r="A283" s="23">
        <v>282</v>
      </c>
      <c r="B283" s="56">
        <f t="shared" si="29"/>
        <v>179</v>
      </c>
      <c r="C283" s="56">
        <f t="shared" si="29"/>
        <v>223</v>
      </c>
      <c r="D283" s="52">
        <v>192988</v>
      </c>
      <c r="E283" s="56">
        <f t="shared" si="32"/>
        <v>60</v>
      </c>
      <c r="F283" s="65">
        <f t="shared" si="28"/>
        <v>282</v>
      </c>
      <c r="G283" s="61">
        <f t="shared" si="30"/>
        <v>0</v>
      </c>
      <c r="H283" s="58">
        <f t="shared" si="27"/>
        <v>0</v>
      </c>
      <c r="I283" s="58">
        <f t="shared" si="31"/>
        <v>0</v>
      </c>
    </row>
    <row r="284" spans="1:9" x14ac:dyDescent="0.15">
      <c r="A284" s="23">
        <v>283</v>
      </c>
      <c r="B284" s="56">
        <f t="shared" si="29"/>
        <v>180</v>
      </c>
      <c r="C284" s="56">
        <f t="shared" si="29"/>
        <v>223</v>
      </c>
      <c r="D284" s="52">
        <v>194242</v>
      </c>
      <c r="E284" s="56">
        <f t="shared" si="32"/>
        <v>60</v>
      </c>
      <c r="F284" s="65">
        <f t="shared" si="28"/>
        <v>283</v>
      </c>
      <c r="G284" s="61">
        <f t="shared" si="30"/>
        <v>1</v>
      </c>
      <c r="H284" s="58">
        <f t="shared" si="27"/>
        <v>0</v>
      </c>
      <c r="I284" s="58">
        <f t="shared" si="31"/>
        <v>0</v>
      </c>
    </row>
    <row r="285" spans="1:9" x14ac:dyDescent="0.15">
      <c r="A285" s="23">
        <v>284</v>
      </c>
      <c r="B285" s="56">
        <f t="shared" si="29"/>
        <v>180</v>
      </c>
      <c r="C285" s="56">
        <f t="shared" si="29"/>
        <v>224</v>
      </c>
      <c r="D285" s="52">
        <v>195505</v>
      </c>
      <c r="E285" s="56">
        <f t="shared" si="32"/>
        <v>60</v>
      </c>
      <c r="F285" s="65">
        <f t="shared" si="28"/>
        <v>284</v>
      </c>
      <c r="G285" s="61">
        <f t="shared" si="30"/>
        <v>0</v>
      </c>
      <c r="H285" s="58">
        <f t="shared" si="27"/>
        <v>1</v>
      </c>
      <c r="I285" s="58">
        <f t="shared" si="31"/>
        <v>0</v>
      </c>
    </row>
    <row r="286" spans="1:9" x14ac:dyDescent="0.15">
      <c r="A286" s="23">
        <v>285</v>
      </c>
      <c r="B286" s="56">
        <f t="shared" si="29"/>
        <v>181</v>
      </c>
      <c r="C286" s="56">
        <f t="shared" si="29"/>
        <v>224</v>
      </c>
      <c r="D286" s="52">
        <v>196775</v>
      </c>
      <c r="E286" s="56">
        <f t="shared" si="32"/>
        <v>60</v>
      </c>
      <c r="F286" s="65">
        <f t="shared" si="28"/>
        <v>285</v>
      </c>
      <c r="G286" s="61">
        <f t="shared" si="30"/>
        <v>1</v>
      </c>
      <c r="H286" s="58">
        <f t="shared" si="27"/>
        <v>0</v>
      </c>
      <c r="I286" s="58">
        <f t="shared" si="31"/>
        <v>0</v>
      </c>
    </row>
    <row r="287" spans="1:9" x14ac:dyDescent="0.15">
      <c r="A287" s="23">
        <v>286</v>
      </c>
      <c r="B287" s="56">
        <f t="shared" si="29"/>
        <v>181</v>
      </c>
      <c r="C287" s="56">
        <f t="shared" si="29"/>
        <v>224</v>
      </c>
      <c r="D287" s="52">
        <v>198054</v>
      </c>
      <c r="E287" s="56">
        <f t="shared" si="32"/>
        <v>60</v>
      </c>
      <c r="F287" s="65">
        <f t="shared" si="28"/>
        <v>286</v>
      </c>
      <c r="G287" s="61">
        <f t="shared" si="30"/>
        <v>0</v>
      </c>
      <c r="H287" s="58">
        <f t="shared" si="27"/>
        <v>0</v>
      </c>
      <c r="I287" s="58">
        <f t="shared" si="31"/>
        <v>0</v>
      </c>
    </row>
    <row r="288" spans="1:9" x14ac:dyDescent="0.15">
      <c r="A288" s="23">
        <v>287</v>
      </c>
      <c r="B288" s="56">
        <f t="shared" si="29"/>
        <v>182</v>
      </c>
      <c r="C288" s="56">
        <f t="shared" si="29"/>
        <v>224</v>
      </c>
      <c r="D288" s="52">
        <v>199342</v>
      </c>
      <c r="E288" s="56">
        <f t="shared" si="32"/>
        <v>60</v>
      </c>
      <c r="F288" s="65">
        <f t="shared" si="28"/>
        <v>287</v>
      </c>
      <c r="G288" s="61">
        <f t="shared" si="30"/>
        <v>1</v>
      </c>
      <c r="H288" s="58">
        <f t="shared" si="27"/>
        <v>0</v>
      </c>
      <c r="I288" s="58">
        <f t="shared" si="31"/>
        <v>0</v>
      </c>
    </row>
    <row r="289" spans="1:9" x14ac:dyDescent="0.15">
      <c r="A289" s="23">
        <v>288</v>
      </c>
      <c r="B289" s="56">
        <f t="shared" si="29"/>
        <v>182</v>
      </c>
      <c r="C289" s="56">
        <f t="shared" si="29"/>
        <v>225</v>
      </c>
      <c r="D289" s="52">
        <v>200638</v>
      </c>
      <c r="E289" s="56">
        <f t="shared" si="32"/>
        <v>60</v>
      </c>
      <c r="F289" s="65">
        <f t="shared" si="28"/>
        <v>288</v>
      </c>
      <c r="G289" s="61">
        <f t="shared" si="30"/>
        <v>0</v>
      </c>
      <c r="H289" s="58">
        <f t="shared" si="27"/>
        <v>1</v>
      </c>
      <c r="I289" s="58">
        <f t="shared" si="31"/>
        <v>0</v>
      </c>
    </row>
    <row r="290" spans="1:9" x14ac:dyDescent="0.15">
      <c r="A290" s="23">
        <v>289</v>
      </c>
      <c r="B290" s="56">
        <f t="shared" si="29"/>
        <v>183</v>
      </c>
      <c r="C290" s="56">
        <f t="shared" si="29"/>
        <v>225</v>
      </c>
      <c r="D290" s="52">
        <v>201942</v>
      </c>
      <c r="E290" s="56">
        <f t="shared" si="32"/>
        <v>60</v>
      </c>
      <c r="F290" s="65">
        <f t="shared" si="28"/>
        <v>289</v>
      </c>
      <c r="G290" s="61">
        <f t="shared" si="30"/>
        <v>1</v>
      </c>
      <c r="H290" s="58">
        <f t="shared" si="27"/>
        <v>0</v>
      </c>
      <c r="I290" s="58">
        <f t="shared" si="31"/>
        <v>0</v>
      </c>
    </row>
    <row r="291" spans="1:9" x14ac:dyDescent="0.15">
      <c r="A291" s="23">
        <v>290</v>
      </c>
      <c r="B291" s="56">
        <f t="shared" si="29"/>
        <v>183</v>
      </c>
      <c r="C291" s="56">
        <f t="shared" si="29"/>
        <v>225</v>
      </c>
      <c r="D291" s="52">
        <v>203254</v>
      </c>
      <c r="E291" s="56">
        <f t="shared" si="32"/>
        <v>60</v>
      </c>
      <c r="F291" s="65">
        <f t="shared" si="28"/>
        <v>290</v>
      </c>
      <c r="G291" s="61">
        <f t="shared" si="30"/>
        <v>0</v>
      </c>
      <c r="H291" s="58">
        <f t="shared" si="27"/>
        <v>0</v>
      </c>
      <c r="I291" s="58">
        <f t="shared" si="31"/>
        <v>0</v>
      </c>
    </row>
    <row r="292" spans="1:9" x14ac:dyDescent="0.15">
      <c r="A292" s="23">
        <v>291</v>
      </c>
      <c r="B292" s="56">
        <f t="shared" si="29"/>
        <v>184</v>
      </c>
      <c r="C292" s="56">
        <f t="shared" si="29"/>
        <v>225</v>
      </c>
      <c r="D292" s="52">
        <v>204575</v>
      </c>
      <c r="E292" s="56">
        <f t="shared" si="32"/>
        <v>60</v>
      </c>
      <c r="F292" s="65">
        <f t="shared" si="28"/>
        <v>291</v>
      </c>
      <c r="G292" s="61">
        <f t="shared" si="30"/>
        <v>1</v>
      </c>
      <c r="H292" s="58">
        <f t="shared" si="27"/>
        <v>0</v>
      </c>
      <c r="I292" s="58">
        <f t="shared" si="31"/>
        <v>0</v>
      </c>
    </row>
    <row r="293" spans="1:9" x14ac:dyDescent="0.15">
      <c r="A293" s="23">
        <v>292</v>
      </c>
      <c r="B293" s="56">
        <f t="shared" si="29"/>
        <v>184</v>
      </c>
      <c r="C293" s="56">
        <f t="shared" si="29"/>
        <v>226</v>
      </c>
      <c r="D293" s="52">
        <v>205905</v>
      </c>
      <c r="E293" s="56">
        <f t="shared" si="32"/>
        <v>60</v>
      </c>
      <c r="F293" s="65">
        <f t="shared" si="28"/>
        <v>292</v>
      </c>
      <c r="G293" s="61">
        <f t="shared" si="30"/>
        <v>0</v>
      </c>
      <c r="H293" s="58">
        <f t="shared" si="27"/>
        <v>1</v>
      </c>
      <c r="I293" s="58">
        <f t="shared" si="31"/>
        <v>0</v>
      </c>
    </row>
    <row r="294" spans="1:9" x14ac:dyDescent="0.15">
      <c r="A294" s="23">
        <v>293</v>
      </c>
      <c r="B294" s="56">
        <f t="shared" si="29"/>
        <v>185</v>
      </c>
      <c r="C294" s="56">
        <f t="shared" si="29"/>
        <v>226</v>
      </c>
      <c r="D294" s="52">
        <v>207244</v>
      </c>
      <c r="E294" s="56">
        <f t="shared" si="32"/>
        <v>60</v>
      </c>
      <c r="F294" s="65">
        <f t="shared" si="28"/>
        <v>293</v>
      </c>
      <c r="G294" s="61">
        <f t="shared" si="30"/>
        <v>1</v>
      </c>
      <c r="H294" s="58">
        <f t="shared" si="27"/>
        <v>0</v>
      </c>
      <c r="I294" s="58">
        <f t="shared" si="31"/>
        <v>0</v>
      </c>
    </row>
    <row r="295" spans="1:9" x14ac:dyDescent="0.15">
      <c r="A295" s="23">
        <v>294</v>
      </c>
      <c r="B295" s="56">
        <f t="shared" si="29"/>
        <v>185</v>
      </c>
      <c r="C295" s="56">
        <f t="shared" si="29"/>
        <v>226</v>
      </c>
      <c r="D295" s="52">
        <v>208591</v>
      </c>
      <c r="E295" s="56">
        <f t="shared" si="32"/>
        <v>60</v>
      </c>
      <c r="F295" s="65">
        <f t="shared" si="28"/>
        <v>294</v>
      </c>
      <c r="G295" s="61">
        <f t="shared" si="30"/>
        <v>0</v>
      </c>
      <c r="H295" s="58">
        <f t="shared" si="27"/>
        <v>0</v>
      </c>
      <c r="I295" s="58">
        <f t="shared" si="31"/>
        <v>0</v>
      </c>
    </row>
    <row r="296" spans="1:9" x14ac:dyDescent="0.15">
      <c r="A296" s="23">
        <v>295</v>
      </c>
      <c r="B296" s="56">
        <f t="shared" si="29"/>
        <v>186</v>
      </c>
      <c r="C296" s="56">
        <f t="shared" si="29"/>
        <v>226</v>
      </c>
      <c r="D296" s="52">
        <v>209947</v>
      </c>
      <c r="E296" s="56">
        <f t="shared" si="32"/>
        <v>60</v>
      </c>
      <c r="F296" s="65">
        <f t="shared" si="28"/>
        <v>295</v>
      </c>
      <c r="G296" s="61">
        <f t="shared" si="30"/>
        <v>1</v>
      </c>
      <c r="H296" s="58">
        <f t="shared" si="27"/>
        <v>0</v>
      </c>
      <c r="I296" s="58">
        <f t="shared" si="31"/>
        <v>0</v>
      </c>
    </row>
    <row r="297" spans="1:9" x14ac:dyDescent="0.15">
      <c r="A297" s="23">
        <v>296</v>
      </c>
      <c r="B297" s="56">
        <f t="shared" si="29"/>
        <v>186</v>
      </c>
      <c r="C297" s="56">
        <f t="shared" si="29"/>
        <v>227</v>
      </c>
      <c r="D297" s="52">
        <v>211311</v>
      </c>
      <c r="E297" s="56">
        <f t="shared" si="32"/>
        <v>60</v>
      </c>
      <c r="F297" s="65">
        <f t="shared" si="28"/>
        <v>296</v>
      </c>
      <c r="G297" s="61">
        <f t="shared" si="30"/>
        <v>0</v>
      </c>
      <c r="H297" s="58">
        <f t="shared" si="27"/>
        <v>1</v>
      </c>
      <c r="I297" s="58">
        <f t="shared" si="31"/>
        <v>0</v>
      </c>
    </row>
    <row r="298" spans="1:9" x14ac:dyDescent="0.15">
      <c r="A298" s="23">
        <v>297</v>
      </c>
      <c r="B298" s="56">
        <f t="shared" si="29"/>
        <v>187</v>
      </c>
      <c r="C298" s="56">
        <f t="shared" si="29"/>
        <v>227</v>
      </c>
      <c r="D298" s="52">
        <v>212685</v>
      </c>
      <c r="E298" s="56">
        <f t="shared" si="32"/>
        <v>60</v>
      </c>
      <c r="F298" s="65">
        <f t="shared" si="28"/>
        <v>297</v>
      </c>
      <c r="G298" s="61">
        <f t="shared" si="30"/>
        <v>1</v>
      </c>
      <c r="H298" s="58">
        <f t="shared" si="27"/>
        <v>0</v>
      </c>
      <c r="I298" s="58">
        <f t="shared" si="31"/>
        <v>0</v>
      </c>
    </row>
    <row r="299" spans="1:9" x14ac:dyDescent="0.15">
      <c r="A299" s="23">
        <v>298</v>
      </c>
      <c r="B299" s="56">
        <f t="shared" si="29"/>
        <v>187</v>
      </c>
      <c r="C299" s="56">
        <f t="shared" si="29"/>
        <v>227</v>
      </c>
      <c r="D299" s="52">
        <v>214067</v>
      </c>
      <c r="E299" s="56">
        <f t="shared" si="32"/>
        <v>60</v>
      </c>
      <c r="F299" s="65">
        <f t="shared" si="28"/>
        <v>298</v>
      </c>
      <c r="G299" s="61">
        <f t="shared" si="30"/>
        <v>0</v>
      </c>
      <c r="H299" s="58">
        <f t="shared" si="27"/>
        <v>0</v>
      </c>
      <c r="I299" s="58">
        <f t="shared" si="31"/>
        <v>0</v>
      </c>
    </row>
    <row r="300" spans="1:9" x14ac:dyDescent="0.15">
      <c r="A300" s="23">
        <v>299</v>
      </c>
      <c r="B300" s="56">
        <f t="shared" si="29"/>
        <v>188</v>
      </c>
      <c r="C300" s="56">
        <f t="shared" si="29"/>
        <v>227</v>
      </c>
      <c r="D300" s="52">
        <v>215459</v>
      </c>
      <c r="E300" s="56">
        <f t="shared" si="32"/>
        <v>60</v>
      </c>
      <c r="F300" s="65">
        <f t="shared" si="28"/>
        <v>299</v>
      </c>
      <c r="G300" s="61">
        <f t="shared" si="30"/>
        <v>1</v>
      </c>
      <c r="H300" s="58">
        <f t="shared" si="27"/>
        <v>0</v>
      </c>
      <c r="I300" s="58">
        <f t="shared" si="31"/>
        <v>0</v>
      </c>
    </row>
    <row r="301" spans="1:9" x14ac:dyDescent="0.15">
      <c r="A301" s="23">
        <v>300</v>
      </c>
      <c r="B301" s="56">
        <f t="shared" si="29"/>
        <v>188</v>
      </c>
      <c r="C301" s="56">
        <f t="shared" si="29"/>
        <v>228</v>
      </c>
      <c r="D301" s="52">
        <v>216859</v>
      </c>
      <c r="E301" s="56">
        <f t="shared" si="32"/>
        <v>60</v>
      </c>
      <c r="F301" s="65">
        <f t="shared" si="28"/>
        <v>300</v>
      </c>
      <c r="G301" s="61">
        <f t="shared" si="30"/>
        <v>0</v>
      </c>
      <c r="H301" s="58">
        <f t="shared" si="27"/>
        <v>1</v>
      </c>
      <c r="I301" s="58">
        <f t="shared" si="31"/>
        <v>0</v>
      </c>
    </row>
    <row r="302" spans="1:9" x14ac:dyDescent="0.15">
      <c r="A302" s="23">
        <v>301</v>
      </c>
      <c r="B302" s="56">
        <f t="shared" si="29"/>
        <v>189</v>
      </c>
      <c r="C302" s="56">
        <f t="shared" si="29"/>
        <v>228</v>
      </c>
      <c r="D302" s="52">
        <v>219470</v>
      </c>
      <c r="E302" s="56">
        <f t="shared" si="32"/>
        <v>60</v>
      </c>
      <c r="F302" s="65">
        <f t="shared" si="28"/>
        <v>301</v>
      </c>
      <c r="G302" s="61">
        <f t="shared" si="30"/>
        <v>1</v>
      </c>
      <c r="H302" s="58">
        <f t="shared" si="27"/>
        <v>0</v>
      </c>
      <c r="I302" s="58">
        <f t="shared" si="31"/>
        <v>0</v>
      </c>
    </row>
    <row r="303" spans="1:9" x14ac:dyDescent="0.15">
      <c r="A303" s="23">
        <v>302</v>
      </c>
      <c r="B303" s="56">
        <f t="shared" si="29"/>
        <v>189</v>
      </c>
      <c r="C303" s="56">
        <f t="shared" si="29"/>
        <v>228</v>
      </c>
      <c r="D303" s="52">
        <v>220787</v>
      </c>
      <c r="E303" s="56">
        <f t="shared" si="32"/>
        <v>60</v>
      </c>
      <c r="F303" s="65">
        <f t="shared" si="28"/>
        <v>302</v>
      </c>
      <c r="G303" s="61">
        <f t="shared" si="30"/>
        <v>0</v>
      </c>
      <c r="H303" s="58">
        <f t="shared" si="27"/>
        <v>0</v>
      </c>
      <c r="I303" s="58">
        <f t="shared" si="31"/>
        <v>0</v>
      </c>
    </row>
    <row r="304" spans="1:9" x14ac:dyDescent="0.15">
      <c r="A304" s="23">
        <v>303</v>
      </c>
      <c r="B304" s="56">
        <f t="shared" si="29"/>
        <v>190</v>
      </c>
      <c r="C304" s="56">
        <f t="shared" si="29"/>
        <v>228</v>
      </c>
      <c r="D304" s="52">
        <v>222112</v>
      </c>
      <c r="E304" s="56">
        <f t="shared" si="32"/>
        <v>60</v>
      </c>
      <c r="F304" s="65">
        <f t="shared" si="28"/>
        <v>303</v>
      </c>
      <c r="G304" s="61">
        <f t="shared" si="30"/>
        <v>1</v>
      </c>
      <c r="H304" s="58">
        <f t="shared" si="27"/>
        <v>0</v>
      </c>
      <c r="I304" s="58">
        <f t="shared" si="31"/>
        <v>0</v>
      </c>
    </row>
    <row r="305" spans="1:9" x14ac:dyDescent="0.15">
      <c r="A305" s="23">
        <v>304</v>
      </c>
      <c r="B305" s="56">
        <f t="shared" si="29"/>
        <v>190</v>
      </c>
      <c r="C305" s="56">
        <f t="shared" si="29"/>
        <v>229</v>
      </c>
      <c r="D305" s="52">
        <v>223445</v>
      </c>
      <c r="E305" s="56">
        <f t="shared" si="32"/>
        <v>60</v>
      </c>
      <c r="F305" s="65">
        <f t="shared" si="28"/>
        <v>304</v>
      </c>
      <c r="G305" s="61">
        <f t="shared" si="30"/>
        <v>0</v>
      </c>
      <c r="H305" s="58">
        <f t="shared" si="27"/>
        <v>1</v>
      </c>
      <c r="I305" s="58">
        <f t="shared" si="31"/>
        <v>0</v>
      </c>
    </row>
    <row r="306" spans="1:9" x14ac:dyDescent="0.15">
      <c r="A306" s="23">
        <v>305</v>
      </c>
      <c r="B306" s="56">
        <f t="shared" si="29"/>
        <v>191</v>
      </c>
      <c r="C306" s="56">
        <f t="shared" si="29"/>
        <v>229</v>
      </c>
      <c r="D306" s="52">
        <v>224786</v>
      </c>
      <c r="E306" s="56">
        <f t="shared" si="32"/>
        <v>60</v>
      </c>
      <c r="F306" s="65">
        <f t="shared" si="28"/>
        <v>305</v>
      </c>
      <c r="G306" s="61">
        <f t="shared" si="30"/>
        <v>1</v>
      </c>
      <c r="H306" s="58">
        <f t="shared" si="27"/>
        <v>0</v>
      </c>
      <c r="I306" s="58">
        <f t="shared" si="31"/>
        <v>0</v>
      </c>
    </row>
    <row r="307" spans="1:9" x14ac:dyDescent="0.15">
      <c r="A307" s="23">
        <v>306</v>
      </c>
      <c r="B307" s="56">
        <f t="shared" si="29"/>
        <v>191</v>
      </c>
      <c r="C307" s="56">
        <f t="shared" si="29"/>
        <v>229</v>
      </c>
      <c r="D307" s="52">
        <v>226135</v>
      </c>
      <c r="E307" s="56">
        <f t="shared" si="32"/>
        <v>60</v>
      </c>
      <c r="F307" s="65">
        <f t="shared" si="28"/>
        <v>306</v>
      </c>
      <c r="G307" s="61">
        <f t="shared" si="30"/>
        <v>0</v>
      </c>
      <c r="H307" s="58">
        <f t="shared" si="27"/>
        <v>0</v>
      </c>
      <c r="I307" s="58">
        <f t="shared" si="31"/>
        <v>0</v>
      </c>
    </row>
    <row r="308" spans="1:9" x14ac:dyDescent="0.15">
      <c r="A308" s="23">
        <v>307</v>
      </c>
      <c r="B308" s="56">
        <f t="shared" si="29"/>
        <v>192</v>
      </c>
      <c r="C308" s="56">
        <f t="shared" si="29"/>
        <v>229</v>
      </c>
      <c r="D308" s="52">
        <v>227492</v>
      </c>
      <c r="E308" s="56">
        <f t="shared" si="32"/>
        <v>60</v>
      </c>
      <c r="F308" s="65">
        <f t="shared" si="28"/>
        <v>307</v>
      </c>
      <c r="G308" s="61">
        <f t="shared" si="30"/>
        <v>1</v>
      </c>
      <c r="H308" s="58">
        <f t="shared" si="27"/>
        <v>0</v>
      </c>
      <c r="I308" s="58">
        <f t="shared" si="31"/>
        <v>0</v>
      </c>
    </row>
    <row r="309" spans="1:9" x14ac:dyDescent="0.15">
      <c r="A309" s="23">
        <v>308</v>
      </c>
      <c r="B309" s="56">
        <f t="shared" si="29"/>
        <v>192</v>
      </c>
      <c r="C309" s="56">
        <f t="shared" si="29"/>
        <v>230</v>
      </c>
      <c r="D309" s="52">
        <v>228857</v>
      </c>
      <c r="E309" s="56">
        <f t="shared" si="32"/>
        <v>60</v>
      </c>
      <c r="F309" s="65">
        <f t="shared" si="28"/>
        <v>308</v>
      </c>
      <c r="G309" s="61">
        <f t="shared" si="30"/>
        <v>0</v>
      </c>
      <c r="H309" s="58">
        <f t="shared" si="27"/>
        <v>1</v>
      </c>
      <c r="I309" s="58">
        <f t="shared" si="31"/>
        <v>0</v>
      </c>
    </row>
    <row r="310" spans="1:9" x14ac:dyDescent="0.15">
      <c r="A310" s="23">
        <v>309</v>
      </c>
      <c r="B310" s="56">
        <f t="shared" si="29"/>
        <v>193</v>
      </c>
      <c r="C310" s="56">
        <f t="shared" si="29"/>
        <v>230</v>
      </c>
      <c r="D310" s="52">
        <v>230230</v>
      </c>
      <c r="E310" s="56">
        <f t="shared" si="32"/>
        <v>60</v>
      </c>
      <c r="F310" s="65">
        <f t="shared" si="28"/>
        <v>309</v>
      </c>
      <c r="G310" s="61">
        <f t="shared" si="30"/>
        <v>1</v>
      </c>
      <c r="H310" s="58">
        <f t="shared" si="27"/>
        <v>0</v>
      </c>
      <c r="I310" s="58">
        <f t="shared" si="31"/>
        <v>0</v>
      </c>
    </row>
    <row r="311" spans="1:9" x14ac:dyDescent="0.15">
      <c r="A311" s="23">
        <v>310</v>
      </c>
      <c r="B311" s="56">
        <f t="shared" si="29"/>
        <v>193</v>
      </c>
      <c r="C311" s="56">
        <f t="shared" si="29"/>
        <v>230</v>
      </c>
      <c r="D311" s="52">
        <v>231611</v>
      </c>
      <c r="E311" s="56">
        <f t="shared" si="32"/>
        <v>60</v>
      </c>
      <c r="F311" s="65">
        <f t="shared" si="28"/>
        <v>310</v>
      </c>
      <c r="G311" s="61">
        <f t="shared" si="30"/>
        <v>0</v>
      </c>
      <c r="H311" s="58">
        <f t="shared" si="27"/>
        <v>0</v>
      </c>
      <c r="I311" s="58">
        <f t="shared" si="31"/>
        <v>0</v>
      </c>
    </row>
    <row r="312" spans="1:9" x14ac:dyDescent="0.15">
      <c r="A312" s="23">
        <v>311</v>
      </c>
      <c r="B312" s="56">
        <f t="shared" si="29"/>
        <v>194</v>
      </c>
      <c r="C312" s="56">
        <f t="shared" si="29"/>
        <v>230</v>
      </c>
      <c r="D312" s="52">
        <v>233001</v>
      </c>
      <c r="E312" s="56">
        <f t="shared" si="32"/>
        <v>60</v>
      </c>
      <c r="F312" s="65">
        <f t="shared" si="28"/>
        <v>311</v>
      </c>
      <c r="G312" s="61">
        <f t="shared" si="30"/>
        <v>1</v>
      </c>
      <c r="H312" s="58">
        <f t="shared" si="27"/>
        <v>0</v>
      </c>
      <c r="I312" s="58">
        <f t="shared" si="31"/>
        <v>0</v>
      </c>
    </row>
    <row r="313" spans="1:9" x14ac:dyDescent="0.15">
      <c r="A313" s="23">
        <v>312</v>
      </c>
      <c r="B313" s="56">
        <f t="shared" si="29"/>
        <v>194</v>
      </c>
      <c r="C313" s="56">
        <f t="shared" si="29"/>
        <v>231</v>
      </c>
      <c r="D313" s="52">
        <v>234399</v>
      </c>
      <c r="E313" s="56">
        <f t="shared" si="32"/>
        <v>60</v>
      </c>
      <c r="F313" s="65">
        <f t="shared" si="28"/>
        <v>312</v>
      </c>
      <c r="G313" s="61">
        <f t="shared" si="30"/>
        <v>0</v>
      </c>
      <c r="H313" s="58">
        <f t="shared" si="27"/>
        <v>1</v>
      </c>
      <c r="I313" s="58">
        <f t="shared" si="31"/>
        <v>0</v>
      </c>
    </row>
    <row r="314" spans="1:9" x14ac:dyDescent="0.15">
      <c r="A314" s="23">
        <v>313</v>
      </c>
      <c r="B314" s="56">
        <f t="shared" si="29"/>
        <v>195</v>
      </c>
      <c r="C314" s="56">
        <f t="shared" si="29"/>
        <v>231</v>
      </c>
      <c r="D314" s="52">
        <v>235805</v>
      </c>
      <c r="E314" s="56">
        <f t="shared" si="32"/>
        <v>60</v>
      </c>
      <c r="F314" s="65">
        <f t="shared" si="28"/>
        <v>313</v>
      </c>
      <c r="G314" s="61">
        <f t="shared" si="30"/>
        <v>1</v>
      </c>
      <c r="H314" s="58">
        <f t="shared" si="27"/>
        <v>0</v>
      </c>
      <c r="I314" s="58">
        <f t="shared" si="31"/>
        <v>0</v>
      </c>
    </row>
    <row r="315" spans="1:9" x14ac:dyDescent="0.15">
      <c r="A315" s="23">
        <v>314</v>
      </c>
      <c r="B315" s="56">
        <f t="shared" si="29"/>
        <v>195</v>
      </c>
      <c r="C315" s="56">
        <f t="shared" si="29"/>
        <v>231</v>
      </c>
      <c r="D315" s="52">
        <v>237220</v>
      </c>
      <c r="E315" s="56">
        <f t="shared" si="32"/>
        <v>60</v>
      </c>
      <c r="F315" s="65">
        <f t="shared" si="28"/>
        <v>314</v>
      </c>
      <c r="G315" s="61">
        <f t="shared" si="30"/>
        <v>0</v>
      </c>
      <c r="H315" s="58">
        <f t="shared" ref="H315:H378" si="33">IF(MOD(A315,4)=0,1,0)</f>
        <v>0</v>
      </c>
      <c r="I315" s="58">
        <f t="shared" si="31"/>
        <v>0</v>
      </c>
    </row>
    <row r="316" spans="1:9" x14ac:dyDescent="0.15">
      <c r="A316" s="23">
        <v>315</v>
      </c>
      <c r="B316" s="56">
        <f t="shared" si="29"/>
        <v>196</v>
      </c>
      <c r="C316" s="56">
        <f t="shared" si="29"/>
        <v>231</v>
      </c>
      <c r="D316" s="52">
        <v>238643</v>
      </c>
      <c r="E316" s="56">
        <f t="shared" si="32"/>
        <v>60</v>
      </c>
      <c r="F316" s="65">
        <f t="shared" si="28"/>
        <v>315</v>
      </c>
      <c r="G316" s="61">
        <f t="shared" si="30"/>
        <v>1</v>
      </c>
      <c r="H316" s="58">
        <f t="shared" si="33"/>
        <v>0</v>
      </c>
      <c r="I316" s="58">
        <f t="shared" si="31"/>
        <v>0</v>
      </c>
    </row>
    <row r="317" spans="1:9" x14ac:dyDescent="0.15">
      <c r="A317" s="23">
        <v>316</v>
      </c>
      <c r="B317" s="56">
        <f t="shared" si="29"/>
        <v>196</v>
      </c>
      <c r="C317" s="56">
        <f t="shared" si="29"/>
        <v>232</v>
      </c>
      <c r="D317" s="52">
        <v>240075</v>
      </c>
      <c r="E317" s="56">
        <f t="shared" si="32"/>
        <v>60</v>
      </c>
      <c r="F317" s="65">
        <f t="shared" si="28"/>
        <v>316</v>
      </c>
      <c r="G317" s="61">
        <f t="shared" si="30"/>
        <v>0</v>
      </c>
      <c r="H317" s="58">
        <f t="shared" si="33"/>
        <v>1</v>
      </c>
      <c r="I317" s="58">
        <f t="shared" si="31"/>
        <v>0</v>
      </c>
    </row>
    <row r="318" spans="1:9" x14ac:dyDescent="0.15">
      <c r="A318" s="23">
        <v>317</v>
      </c>
      <c r="B318" s="56">
        <f t="shared" si="29"/>
        <v>197</v>
      </c>
      <c r="C318" s="56">
        <f t="shared" si="29"/>
        <v>232</v>
      </c>
      <c r="D318" s="52">
        <v>241515</v>
      </c>
      <c r="E318" s="56">
        <f t="shared" si="32"/>
        <v>60</v>
      </c>
      <c r="F318" s="65">
        <f t="shared" si="28"/>
        <v>317</v>
      </c>
      <c r="G318" s="61">
        <f t="shared" si="30"/>
        <v>1</v>
      </c>
      <c r="H318" s="58">
        <f t="shared" si="33"/>
        <v>0</v>
      </c>
      <c r="I318" s="58">
        <f t="shared" si="31"/>
        <v>0</v>
      </c>
    </row>
    <row r="319" spans="1:9" x14ac:dyDescent="0.15">
      <c r="A319" s="23">
        <v>318</v>
      </c>
      <c r="B319" s="56">
        <f t="shared" si="29"/>
        <v>197</v>
      </c>
      <c r="C319" s="56">
        <f t="shared" si="29"/>
        <v>232</v>
      </c>
      <c r="D319" s="52">
        <v>242964</v>
      </c>
      <c r="E319" s="56">
        <f t="shared" si="32"/>
        <v>60</v>
      </c>
      <c r="F319" s="65">
        <f t="shared" si="28"/>
        <v>318</v>
      </c>
      <c r="G319" s="61">
        <f t="shared" si="30"/>
        <v>0</v>
      </c>
      <c r="H319" s="58">
        <f t="shared" si="33"/>
        <v>0</v>
      </c>
      <c r="I319" s="58">
        <f t="shared" si="31"/>
        <v>0</v>
      </c>
    </row>
    <row r="320" spans="1:9" x14ac:dyDescent="0.15">
      <c r="A320" s="23">
        <v>319</v>
      </c>
      <c r="B320" s="56">
        <f t="shared" si="29"/>
        <v>198</v>
      </c>
      <c r="C320" s="56">
        <f t="shared" si="29"/>
        <v>232</v>
      </c>
      <c r="D320" s="52">
        <v>244422</v>
      </c>
      <c r="E320" s="56">
        <f t="shared" si="32"/>
        <v>60</v>
      </c>
      <c r="F320" s="65">
        <f t="shared" si="28"/>
        <v>319</v>
      </c>
      <c r="G320" s="61">
        <f t="shared" si="30"/>
        <v>1</v>
      </c>
      <c r="H320" s="58">
        <f t="shared" si="33"/>
        <v>0</v>
      </c>
      <c r="I320" s="58">
        <f t="shared" si="31"/>
        <v>0</v>
      </c>
    </row>
    <row r="321" spans="1:9" x14ac:dyDescent="0.15">
      <c r="A321" s="23">
        <v>320</v>
      </c>
      <c r="B321" s="56">
        <f t="shared" si="29"/>
        <v>198</v>
      </c>
      <c r="C321" s="56">
        <f t="shared" si="29"/>
        <v>233</v>
      </c>
      <c r="D321" s="52">
        <v>245766</v>
      </c>
      <c r="E321" s="56">
        <f t="shared" si="32"/>
        <v>60</v>
      </c>
      <c r="F321" s="65">
        <f t="shared" si="28"/>
        <v>320</v>
      </c>
      <c r="G321" s="61">
        <f t="shared" si="30"/>
        <v>0</v>
      </c>
      <c r="H321" s="58">
        <f t="shared" si="33"/>
        <v>1</v>
      </c>
      <c r="I321" s="58">
        <f t="shared" si="31"/>
        <v>0</v>
      </c>
    </row>
    <row r="322" spans="1:9" x14ac:dyDescent="0.15">
      <c r="A322" s="23">
        <v>321</v>
      </c>
      <c r="B322" s="56">
        <f t="shared" si="29"/>
        <v>199</v>
      </c>
      <c r="C322" s="56">
        <f t="shared" si="29"/>
        <v>233</v>
      </c>
      <c r="D322" s="52">
        <v>247118</v>
      </c>
      <c r="E322" s="56">
        <f t="shared" si="32"/>
        <v>60</v>
      </c>
      <c r="F322" s="65">
        <f t="shared" ref="F322:F385" si="34">A322</f>
        <v>321</v>
      </c>
      <c r="G322" s="61">
        <f t="shared" si="30"/>
        <v>1</v>
      </c>
      <c r="H322" s="58">
        <f t="shared" si="33"/>
        <v>0</v>
      </c>
      <c r="I322" s="58">
        <f t="shared" si="31"/>
        <v>0</v>
      </c>
    </row>
    <row r="323" spans="1:9" x14ac:dyDescent="0.15">
      <c r="A323" s="23">
        <v>322</v>
      </c>
      <c r="B323" s="56">
        <f t="shared" ref="B323:C386" si="35">B322+G323</f>
        <v>199</v>
      </c>
      <c r="C323" s="56">
        <f t="shared" si="35"/>
        <v>233</v>
      </c>
      <c r="D323" s="52">
        <v>248477</v>
      </c>
      <c r="E323" s="56">
        <f t="shared" si="32"/>
        <v>60</v>
      </c>
      <c r="F323" s="65">
        <f t="shared" si="34"/>
        <v>322</v>
      </c>
      <c r="G323" s="61">
        <f t="shared" ref="G323:G386" si="36">IF(A323&gt;=106, IF(MOD(A323,2)=0,0,1), IF(A323 &gt;= 65, IF(MOD(A323, 2) =0,0, IF(MOD(A323,5)= 0, 2, 1)), IF(MOD(A323, 2) =0,0, IF(MOD(A323,5)= 0, 5, 1))))</f>
        <v>0</v>
      </c>
      <c r="H323" s="58">
        <f t="shared" si="33"/>
        <v>0</v>
      </c>
      <c r="I323" s="58">
        <f t="shared" ref="I323:I386" si="37">IF($A323&gt;=51,0,IF($A323&gt;=30,IF(MOD($A323,5)=0,1,0),IF($A323&gt;=11,IF(MOD($A323,5)=0,3,IF(MOD($A323,2)=0,1,0)),IF(MOD($A323,5)=0,5,IF(MOD($A323,2)=0,2,0)))))</f>
        <v>0</v>
      </c>
    </row>
    <row r="324" spans="1:9" x14ac:dyDescent="0.15">
      <c r="A324" s="23">
        <v>323</v>
      </c>
      <c r="B324" s="56">
        <f t="shared" si="35"/>
        <v>200</v>
      </c>
      <c r="C324" s="56">
        <f t="shared" si="35"/>
        <v>233</v>
      </c>
      <c r="D324" s="52">
        <v>249844</v>
      </c>
      <c r="E324" s="56">
        <f t="shared" ref="E324:E387" si="38">E323+I324</f>
        <v>60</v>
      </c>
      <c r="F324" s="65">
        <f t="shared" si="34"/>
        <v>323</v>
      </c>
      <c r="G324" s="61">
        <f t="shared" si="36"/>
        <v>1</v>
      </c>
      <c r="H324" s="58">
        <f t="shared" si="33"/>
        <v>0</v>
      </c>
      <c r="I324" s="58">
        <f t="shared" si="37"/>
        <v>0</v>
      </c>
    </row>
    <row r="325" spans="1:9" x14ac:dyDescent="0.15">
      <c r="A325" s="23">
        <v>324</v>
      </c>
      <c r="B325" s="56">
        <f t="shared" si="35"/>
        <v>200</v>
      </c>
      <c r="C325" s="56">
        <f t="shared" si="35"/>
        <v>234</v>
      </c>
      <c r="D325" s="52">
        <v>251218</v>
      </c>
      <c r="E325" s="56">
        <f t="shared" si="38"/>
        <v>60</v>
      </c>
      <c r="F325" s="65">
        <f t="shared" si="34"/>
        <v>324</v>
      </c>
      <c r="G325" s="61">
        <f t="shared" si="36"/>
        <v>0</v>
      </c>
      <c r="H325" s="58">
        <f t="shared" si="33"/>
        <v>1</v>
      </c>
      <c r="I325" s="58">
        <f t="shared" si="37"/>
        <v>0</v>
      </c>
    </row>
    <row r="326" spans="1:9" x14ac:dyDescent="0.15">
      <c r="A326" s="23">
        <v>325</v>
      </c>
      <c r="B326" s="56">
        <f t="shared" si="35"/>
        <v>201</v>
      </c>
      <c r="C326" s="56">
        <f t="shared" si="35"/>
        <v>234</v>
      </c>
      <c r="D326" s="52">
        <v>252600</v>
      </c>
      <c r="E326" s="56">
        <f t="shared" si="38"/>
        <v>60</v>
      </c>
      <c r="F326" s="65">
        <f t="shared" si="34"/>
        <v>325</v>
      </c>
      <c r="G326" s="61">
        <f t="shared" si="36"/>
        <v>1</v>
      </c>
      <c r="H326" s="58">
        <f t="shared" si="33"/>
        <v>0</v>
      </c>
      <c r="I326" s="58">
        <f t="shared" si="37"/>
        <v>0</v>
      </c>
    </row>
    <row r="327" spans="1:9" x14ac:dyDescent="0.15">
      <c r="A327" s="23">
        <v>326</v>
      </c>
      <c r="B327" s="56">
        <f t="shared" si="35"/>
        <v>201</v>
      </c>
      <c r="C327" s="56">
        <f t="shared" si="35"/>
        <v>234</v>
      </c>
      <c r="D327" s="52">
        <v>253989</v>
      </c>
      <c r="E327" s="56">
        <f t="shared" si="38"/>
        <v>60</v>
      </c>
      <c r="F327" s="65">
        <f t="shared" si="34"/>
        <v>326</v>
      </c>
      <c r="G327" s="61">
        <f t="shared" si="36"/>
        <v>0</v>
      </c>
      <c r="H327" s="58">
        <f t="shared" si="33"/>
        <v>0</v>
      </c>
      <c r="I327" s="58">
        <f t="shared" si="37"/>
        <v>0</v>
      </c>
    </row>
    <row r="328" spans="1:9" x14ac:dyDescent="0.15">
      <c r="A328" s="23">
        <v>327</v>
      </c>
      <c r="B328" s="56">
        <f t="shared" si="35"/>
        <v>202</v>
      </c>
      <c r="C328" s="56">
        <f t="shared" si="35"/>
        <v>234</v>
      </c>
      <c r="D328" s="52">
        <v>255386</v>
      </c>
      <c r="E328" s="56">
        <f t="shared" si="38"/>
        <v>60</v>
      </c>
      <c r="F328" s="65">
        <f t="shared" si="34"/>
        <v>327</v>
      </c>
      <c r="G328" s="61">
        <f t="shared" si="36"/>
        <v>1</v>
      </c>
      <c r="H328" s="58">
        <f t="shared" si="33"/>
        <v>0</v>
      </c>
      <c r="I328" s="58">
        <f t="shared" si="37"/>
        <v>0</v>
      </c>
    </row>
    <row r="329" spans="1:9" x14ac:dyDescent="0.15">
      <c r="A329" s="23">
        <v>328</v>
      </c>
      <c r="B329" s="56">
        <f t="shared" si="35"/>
        <v>202</v>
      </c>
      <c r="C329" s="56">
        <f t="shared" si="35"/>
        <v>235</v>
      </c>
      <c r="D329" s="52">
        <v>256791</v>
      </c>
      <c r="E329" s="56">
        <f t="shared" si="38"/>
        <v>60</v>
      </c>
      <c r="F329" s="65">
        <f t="shared" si="34"/>
        <v>328</v>
      </c>
      <c r="G329" s="61">
        <f t="shared" si="36"/>
        <v>0</v>
      </c>
      <c r="H329" s="58">
        <f t="shared" si="33"/>
        <v>1</v>
      </c>
      <c r="I329" s="58">
        <f t="shared" si="37"/>
        <v>0</v>
      </c>
    </row>
    <row r="330" spans="1:9" x14ac:dyDescent="0.15">
      <c r="A330" s="23">
        <v>329</v>
      </c>
      <c r="B330" s="56">
        <f t="shared" si="35"/>
        <v>203</v>
      </c>
      <c r="C330" s="56">
        <f t="shared" si="35"/>
        <v>235</v>
      </c>
      <c r="D330" s="52">
        <v>258203</v>
      </c>
      <c r="E330" s="56">
        <f t="shared" si="38"/>
        <v>60</v>
      </c>
      <c r="F330" s="65">
        <f t="shared" si="34"/>
        <v>329</v>
      </c>
      <c r="G330" s="61">
        <f t="shared" si="36"/>
        <v>1</v>
      </c>
      <c r="H330" s="58">
        <f t="shared" si="33"/>
        <v>0</v>
      </c>
      <c r="I330" s="58">
        <f t="shared" si="37"/>
        <v>0</v>
      </c>
    </row>
    <row r="331" spans="1:9" x14ac:dyDescent="0.15">
      <c r="A331" s="23">
        <v>330</v>
      </c>
      <c r="B331" s="56">
        <f t="shared" si="35"/>
        <v>203</v>
      </c>
      <c r="C331" s="56">
        <f t="shared" si="35"/>
        <v>235</v>
      </c>
      <c r="D331" s="52">
        <v>259623</v>
      </c>
      <c r="E331" s="56">
        <f t="shared" si="38"/>
        <v>60</v>
      </c>
      <c r="F331" s="65">
        <f t="shared" si="34"/>
        <v>330</v>
      </c>
      <c r="G331" s="61">
        <f t="shared" si="36"/>
        <v>0</v>
      </c>
      <c r="H331" s="58">
        <f t="shared" si="33"/>
        <v>0</v>
      </c>
      <c r="I331" s="58">
        <f t="shared" si="37"/>
        <v>0</v>
      </c>
    </row>
    <row r="332" spans="1:9" x14ac:dyDescent="0.15">
      <c r="A332" s="23">
        <v>331</v>
      </c>
      <c r="B332" s="56">
        <f t="shared" si="35"/>
        <v>204</v>
      </c>
      <c r="C332" s="56">
        <f t="shared" si="35"/>
        <v>235</v>
      </c>
      <c r="D332" s="52">
        <v>261051</v>
      </c>
      <c r="E332" s="56">
        <f t="shared" si="38"/>
        <v>60</v>
      </c>
      <c r="F332" s="65">
        <f t="shared" si="34"/>
        <v>331</v>
      </c>
      <c r="G332" s="61">
        <f t="shared" si="36"/>
        <v>1</v>
      </c>
      <c r="H332" s="58">
        <f t="shared" si="33"/>
        <v>0</v>
      </c>
      <c r="I332" s="58">
        <f t="shared" si="37"/>
        <v>0</v>
      </c>
    </row>
    <row r="333" spans="1:9" x14ac:dyDescent="0.15">
      <c r="A333" s="23">
        <v>332</v>
      </c>
      <c r="B333" s="56">
        <f t="shared" si="35"/>
        <v>204</v>
      </c>
      <c r="C333" s="56">
        <f t="shared" si="35"/>
        <v>236</v>
      </c>
      <c r="D333" s="52">
        <v>262487</v>
      </c>
      <c r="E333" s="56">
        <f t="shared" si="38"/>
        <v>60</v>
      </c>
      <c r="F333" s="65">
        <f t="shared" si="34"/>
        <v>332</v>
      </c>
      <c r="G333" s="61">
        <f t="shared" si="36"/>
        <v>0</v>
      </c>
      <c r="H333" s="58">
        <f t="shared" si="33"/>
        <v>1</v>
      </c>
      <c r="I333" s="58">
        <f t="shared" si="37"/>
        <v>0</v>
      </c>
    </row>
    <row r="334" spans="1:9" x14ac:dyDescent="0.15">
      <c r="A334" s="23">
        <v>333</v>
      </c>
      <c r="B334" s="56">
        <f t="shared" si="35"/>
        <v>205</v>
      </c>
      <c r="C334" s="56">
        <f t="shared" si="35"/>
        <v>236</v>
      </c>
      <c r="D334" s="52">
        <v>263931</v>
      </c>
      <c r="E334" s="56">
        <f t="shared" si="38"/>
        <v>60</v>
      </c>
      <c r="F334" s="65">
        <f t="shared" si="34"/>
        <v>333</v>
      </c>
      <c r="G334" s="61">
        <f t="shared" si="36"/>
        <v>1</v>
      </c>
      <c r="H334" s="58">
        <f t="shared" si="33"/>
        <v>0</v>
      </c>
      <c r="I334" s="58">
        <f t="shared" si="37"/>
        <v>0</v>
      </c>
    </row>
    <row r="335" spans="1:9" x14ac:dyDescent="0.15">
      <c r="A335" s="23">
        <v>334</v>
      </c>
      <c r="B335" s="56">
        <f t="shared" si="35"/>
        <v>205</v>
      </c>
      <c r="C335" s="56">
        <f t="shared" si="35"/>
        <v>236</v>
      </c>
      <c r="D335" s="52">
        <v>265383</v>
      </c>
      <c r="E335" s="56">
        <f t="shared" si="38"/>
        <v>60</v>
      </c>
      <c r="F335" s="65">
        <f t="shared" si="34"/>
        <v>334</v>
      </c>
      <c r="G335" s="61">
        <f t="shared" si="36"/>
        <v>0</v>
      </c>
      <c r="H335" s="58">
        <f t="shared" si="33"/>
        <v>0</v>
      </c>
      <c r="I335" s="58">
        <f t="shared" si="37"/>
        <v>0</v>
      </c>
    </row>
    <row r="336" spans="1:9" x14ac:dyDescent="0.15">
      <c r="A336" s="23">
        <v>335</v>
      </c>
      <c r="B336" s="56">
        <f t="shared" si="35"/>
        <v>206</v>
      </c>
      <c r="C336" s="56">
        <f t="shared" si="35"/>
        <v>236</v>
      </c>
      <c r="D336" s="52">
        <v>266843</v>
      </c>
      <c r="E336" s="56">
        <f t="shared" si="38"/>
        <v>60</v>
      </c>
      <c r="F336" s="65">
        <f t="shared" si="34"/>
        <v>335</v>
      </c>
      <c r="G336" s="61">
        <f t="shared" si="36"/>
        <v>1</v>
      </c>
      <c r="H336" s="58">
        <f t="shared" si="33"/>
        <v>0</v>
      </c>
      <c r="I336" s="58">
        <f t="shared" si="37"/>
        <v>0</v>
      </c>
    </row>
    <row r="337" spans="1:9" x14ac:dyDescent="0.15">
      <c r="A337" s="23">
        <v>336</v>
      </c>
      <c r="B337" s="56">
        <f t="shared" si="35"/>
        <v>206</v>
      </c>
      <c r="C337" s="56">
        <f t="shared" si="35"/>
        <v>237</v>
      </c>
      <c r="D337" s="52">
        <v>268311</v>
      </c>
      <c r="E337" s="56">
        <f t="shared" si="38"/>
        <v>60</v>
      </c>
      <c r="F337" s="65">
        <f t="shared" si="34"/>
        <v>336</v>
      </c>
      <c r="G337" s="61">
        <f t="shared" si="36"/>
        <v>0</v>
      </c>
      <c r="H337" s="58">
        <f t="shared" si="33"/>
        <v>1</v>
      </c>
      <c r="I337" s="58">
        <f t="shared" si="37"/>
        <v>0</v>
      </c>
    </row>
    <row r="338" spans="1:9" x14ac:dyDescent="0.15">
      <c r="A338" s="23">
        <v>337</v>
      </c>
      <c r="B338" s="56">
        <f t="shared" si="35"/>
        <v>207</v>
      </c>
      <c r="C338" s="56">
        <f t="shared" si="35"/>
        <v>237</v>
      </c>
      <c r="D338" s="52">
        <v>269787</v>
      </c>
      <c r="E338" s="56">
        <f t="shared" si="38"/>
        <v>60</v>
      </c>
      <c r="F338" s="65">
        <f t="shared" si="34"/>
        <v>337</v>
      </c>
      <c r="G338" s="61">
        <f t="shared" si="36"/>
        <v>1</v>
      </c>
      <c r="H338" s="58">
        <f t="shared" si="33"/>
        <v>0</v>
      </c>
      <c r="I338" s="58">
        <f t="shared" si="37"/>
        <v>0</v>
      </c>
    </row>
    <row r="339" spans="1:9" x14ac:dyDescent="0.15">
      <c r="A339" s="23">
        <v>338</v>
      </c>
      <c r="B339" s="56">
        <f t="shared" si="35"/>
        <v>207</v>
      </c>
      <c r="C339" s="56">
        <f t="shared" si="35"/>
        <v>237</v>
      </c>
      <c r="D339" s="52">
        <v>271271</v>
      </c>
      <c r="E339" s="56">
        <f t="shared" si="38"/>
        <v>60</v>
      </c>
      <c r="F339" s="65">
        <f t="shared" si="34"/>
        <v>338</v>
      </c>
      <c r="G339" s="61">
        <f t="shared" si="36"/>
        <v>0</v>
      </c>
      <c r="H339" s="58">
        <f t="shared" si="33"/>
        <v>0</v>
      </c>
      <c r="I339" s="58">
        <f t="shared" si="37"/>
        <v>0</v>
      </c>
    </row>
    <row r="340" spans="1:9" x14ac:dyDescent="0.15">
      <c r="A340" s="23">
        <v>339</v>
      </c>
      <c r="B340" s="56">
        <f t="shared" si="35"/>
        <v>208</v>
      </c>
      <c r="C340" s="56">
        <f t="shared" si="35"/>
        <v>237</v>
      </c>
      <c r="D340" s="52">
        <v>272763</v>
      </c>
      <c r="E340" s="56">
        <f t="shared" si="38"/>
        <v>60</v>
      </c>
      <c r="F340" s="65">
        <f t="shared" si="34"/>
        <v>339</v>
      </c>
      <c r="G340" s="61">
        <f t="shared" si="36"/>
        <v>1</v>
      </c>
      <c r="H340" s="58">
        <f t="shared" si="33"/>
        <v>0</v>
      </c>
      <c r="I340" s="58">
        <f t="shared" si="37"/>
        <v>0</v>
      </c>
    </row>
    <row r="341" spans="1:9" x14ac:dyDescent="0.15">
      <c r="A341" s="23">
        <v>340</v>
      </c>
      <c r="B341" s="56">
        <f t="shared" si="35"/>
        <v>208</v>
      </c>
      <c r="C341" s="56">
        <f t="shared" si="35"/>
        <v>238</v>
      </c>
      <c r="D341" s="52">
        <v>274127</v>
      </c>
      <c r="E341" s="56">
        <f t="shared" si="38"/>
        <v>60</v>
      </c>
      <c r="F341" s="65">
        <f t="shared" si="34"/>
        <v>340</v>
      </c>
      <c r="G341" s="61">
        <f t="shared" si="36"/>
        <v>0</v>
      </c>
      <c r="H341" s="58">
        <f t="shared" si="33"/>
        <v>1</v>
      </c>
      <c r="I341" s="58">
        <f t="shared" si="37"/>
        <v>0</v>
      </c>
    </row>
    <row r="342" spans="1:9" x14ac:dyDescent="0.15">
      <c r="A342" s="23">
        <v>341</v>
      </c>
      <c r="B342" s="56">
        <f t="shared" si="35"/>
        <v>209</v>
      </c>
      <c r="C342" s="56">
        <f t="shared" si="35"/>
        <v>238</v>
      </c>
      <c r="D342" s="52">
        <v>275498</v>
      </c>
      <c r="E342" s="56">
        <f t="shared" si="38"/>
        <v>60</v>
      </c>
      <c r="F342" s="65">
        <f t="shared" si="34"/>
        <v>341</v>
      </c>
      <c r="G342" s="61">
        <f t="shared" si="36"/>
        <v>1</v>
      </c>
      <c r="H342" s="58">
        <f t="shared" si="33"/>
        <v>0</v>
      </c>
      <c r="I342" s="58">
        <f t="shared" si="37"/>
        <v>0</v>
      </c>
    </row>
    <row r="343" spans="1:9" x14ac:dyDescent="0.15">
      <c r="A343" s="23">
        <v>342</v>
      </c>
      <c r="B343" s="56">
        <f t="shared" si="35"/>
        <v>209</v>
      </c>
      <c r="C343" s="56">
        <f t="shared" si="35"/>
        <v>238</v>
      </c>
      <c r="D343" s="52">
        <v>276875</v>
      </c>
      <c r="E343" s="56">
        <f t="shared" si="38"/>
        <v>60</v>
      </c>
      <c r="F343" s="65">
        <f t="shared" si="34"/>
        <v>342</v>
      </c>
      <c r="G343" s="61">
        <f t="shared" si="36"/>
        <v>0</v>
      </c>
      <c r="H343" s="58">
        <f t="shared" si="33"/>
        <v>0</v>
      </c>
      <c r="I343" s="58">
        <f t="shared" si="37"/>
        <v>0</v>
      </c>
    </row>
    <row r="344" spans="1:9" x14ac:dyDescent="0.15">
      <c r="A344" s="23">
        <v>343</v>
      </c>
      <c r="B344" s="56">
        <f t="shared" si="35"/>
        <v>210</v>
      </c>
      <c r="C344" s="56">
        <f t="shared" si="35"/>
        <v>238</v>
      </c>
      <c r="D344" s="52">
        <v>278259</v>
      </c>
      <c r="E344" s="56">
        <f t="shared" si="38"/>
        <v>60</v>
      </c>
      <c r="F344" s="65">
        <f t="shared" si="34"/>
        <v>343</v>
      </c>
      <c r="G344" s="61">
        <f t="shared" si="36"/>
        <v>1</v>
      </c>
      <c r="H344" s="58">
        <f t="shared" si="33"/>
        <v>0</v>
      </c>
      <c r="I344" s="58">
        <f t="shared" si="37"/>
        <v>0</v>
      </c>
    </row>
    <row r="345" spans="1:9" x14ac:dyDescent="0.15">
      <c r="A345" s="23">
        <v>344</v>
      </c>
      <c r="B345" s="56">
        <f t="shared" si="35"/>
        <v>210</v>
      </c>
      <c r="C345" s="56">
        <f t="shared" si="35"/>
        <v>239</v>
      </c>
      <c r="D345" s="52">
        <v>279650</v>
      </c>
      <c r="E345" s="56">
        <f t="shared" si="38"/>
        <v>60</v>
      </c>
      <c r="F345" s="65">
        <f t="shared" si="34"/>
        <v>344</v>
      </c>
      <c r="G345" s="61">
        <f t="shared" si="36"/>
        <v>0</v>
      </c>
      <c r="H345" s="58">
        <f t="shared" si="33"/>
        <v>1</v>
      </c>
      <c r="I345" s="58">
        <f t="shared" si="37"/>
        <v>0</v>
      </c>
    </row>
    <row r="346" spans="1:9" x14ac:dyDescent="0.15">
      <c r="A346" s="23">
        <v>345</v>
      </c>
      <c r="B346" s="56">
        <f t="shared" si="35"/>
        <v>211</v>
      </c>
      <c r="C346" s="56">
        <f t="shared" si="35"/>
        <v>239</v>
      </c>
      <c r="D346" s="52">
        <v>281048</v>
      </c>
      <c r="E346" s="56">
        <f t="shared" si="38"/>
        <v>60</v>
      </c>
      <c r="F346" s="65">
        <f t="shared" si="34"/>
        <v>345</v>
      </c>
      <c r="G346" s="61">
        <f t="shared" si="36"/>
        <v>1</v>
      </c>
      <c r="H346" s="58">
        <f t="shared" si="33"/>
        <v>0</v>
      </c>
      <c r="I346" s="58">
        <f t="shared" si="37"/>
        <v>0</v>
      </c>
    </row>
    <row r="347" spans="1:9" x14ac:dyDescent="0.15">
      <c r="A347" s="23">
        <v>346</v>
      </c>
      <c r="B347" s="56">
        <f t="shared" si="35"/>
        <v>211</v>
      </c>
      <c r="C347" s="56">
        <f t="shared" si="35"/>
        <v>239</v>
      </c>
      <c r="D347" s="52">
        <v>282453</v>
      </c>
      <c r="E347" s="56">
        <f t="shared" si="38"/>
        <v>60</v>
      </c>
      <c r="F347" s="65">
        <f t="shared" si="34"/>
        <v>346</v>
      </c>
      <c r="G347" s="61">
        <f t="shared" si="36"/>
        <v>0</v>
      </c>
      <c r="H347" s="58">
        <f t="shared" si="33"/>
        <v>0</v>
      </c>
      <c r="I347" s="58">
        <f t="shared" si="37"/>
        <v>0</v>
      </c>
    </row>
    <row r="348" spans="1:9" x14ac:dyDescent="0.15">
      <c r="A348" s="23">
        <v>347</v>
      </c>
      <c r="B348" s="56">
        <f t="shared" si="35"/>
        <v>212</v>
      </c>
      <c r="C348" s="56">
        <f t="shared" si="35"/>
        <v>239</v>
      </c>
      <c r="D348" s="52">
        <v>283865</v>
      </c>
      <c r="E348" s="56">
        <f t="shared" si="38"/>
        <v>60</v>
      </c>
      <c r="F348" s="65">
        <f t="shared" si="34"/>
        <v>347</v>
      </c>
      <c r="G348" s="61">
        <f t="shared" si="36"/>
        <v>1</v>
      </c>
      <c r="H348" s="58">
        <f t="shared" si="33"/>
        <v>0</v>
      </c>
      <c r="I348" s="58">
        <f t="shared" si="37"/>
        <v>0</v>
      </c>
    </row>
    <row r="349" spans="1:9" x14ac:dyDescent="0.15">
      <c r="A349" s="23">
        <v>348</v>
      </c>
      <c r="B349" s="56">
        <f t="shared" si="35"/>
        <v>212</v>
      </c>
      <c r="C349" s="56">
        <f t="shared" si="35"/>
        <v>240</v>
      </c>
      <c r="D349" s="52">
        <v>285284</v>
      </c>
      <c r="E349" s="56">
        <f t="shared" si="38"/>
        <v>60</v>
      </c>
      <c r="F349" s="65">
        <f t="shared" si="34"/>
        <v>348</v>
      </c>
      <c r="G349" s="61">
        <f t="shared" si="36"/>
        <v>0</v>
      </c>
      <c r="H349" s="58">
        <f t="shared" si="33"/>
        <v>1</v>
      </c>
      <c r="I349" s="58">
        <f t="shared" si="37"/>
        <v>0</v>
      </c>
    </row>
    <row r="350" spans="1:9" x14ac:dyDescent="0.15">
      <c r="A350" s="23">
        <v>349</v>
      </c>
      <c r="B350" s="56">
        <f t="shared" si="35"/>
        <v>213</v>
      </c>
      <c r="C350" s="56">
        <f t="shared" si="35"/>
        <v>240</v>
      </c>
      <c r="D350" s="52">
        <v>286710</v>
      </c>
      <c r="E350" s="56">
        <f t="shared" si="38"/>
        <v>60</v>
      </c>
      <c r="F350" s="65">
        <f t="shared" si="34"/>
        <v>349</v>
      </c>
      <c r="G350" s="61">
        <f t="shared" si="36"/>
        <v>1</v>
      </c>
      <c r="H350" s="58">
        <f t="shared" si="33"/>
        <v>0</v>
      </c>
      <c r="I350" s="58">
        <f t="shared" si="37"/>
        <v>0</v>
      </c>
    </row>
    <row r="351" spans="1:9" x14ac:dyDescent="0.15">
      <c r="A351" s="23">
        <v>350</v>
      </c>
      <c r="B351" s="56">
        <f t="shared" si="35"/>
        <v>213</v>
      </c>
      <c r="C351" s="56">
        <f t="shared" si="35"/>
        <v>240</v>
      </c>
      <c r="D351" s="52">
        <v>288144</v>
      </c>
      <c r="E351" s="56">
        <f t="shared" si="38"/>
        <v>60</v>
      </c>
      <c r="F351" s="65">
        <f t="shared" si="34"/>
        <v>350</v>
      </c>
      <c r="G351" s="61">
        <f t="shared" si="36"/>
        <v>0</v>
      </c>
      <c r="H351" s="58">
        <f t="shared" si="33"/>
        <v>0</v>
      </c>
      <c r="I351" s="58">
        <f t="shared" si="37"/>
        <v>0</v>
      </c>
    </row>
    <row r="352" spans="1:9" x14ac:dyDescent="0.15">
      <c r="A352" s="23">
        <v>351</v>
      </c>
      <c r="B352" s="56">
        <f t="shared" si="35"/>
        <v>214</v>
      </c>
      <c r="C352" s="56">
        <f t="shared" si="35"/>
        <v>240</v>
      </c>
      <c r="D352" s="52">
        <v>289585</v>
      </c>
      <c r="E352" s="56">
        <f t="shared" si="38"/>
        <v>60</v>
      </c>
      <c r="F352" s="65">
        <f t="shared" si="34"/>
        <v>351</v>
      </c>
      <c r="G352" s="61">
        <f t="shared" si="36"/>
        <v>1</v>
      </c>
      <c r="H352" s="58">
        <f t="shared" si="33"/>
        <v>0</v>
      </c>
      <c r="I352" s="58">
        <f t="shared" si="37"/>
        <v>0</v>
      </c>
    </row>
    <row r="353" spans="1:9" x14ac:dyDescent="0.15">
      <c r="A353" s="23">
        <v>352</v>
      </c>
      <c r="B353" s="56">
        <f t="shared" si="35"/>
        <v>214</v>
      </c>
      <c r="C353" s="56">
        <f t="shared" si="35"/>
        <v>241</v>
      </c>
      <c r="D353" s="52">
        <v>291033</v>
      </c>
      <c r="E353" s="56">
        <f t="shared" si="38"/>
        <v>60</v>
      </c>
      <c r="F353" s="65">
        <f t="shared" si="34"/>
        <v>352</v>
      </c>
      <c r="G353" s="61">
        <f t="shared" si="36"/>
        <v>0</v>
      </c>
      <c r="H353" s="58">
        <f t="shared" si="33"/>
        <v>1</v>
      </c>
      <c r="I353" s="58">
        <f t="shared" si="37"/>
        <v>0</v>
      </c>
    </row>
    <row r="354" spans="1:9" x14ac:dyDescent="0.15">
      <c r="A354" s="23">
        <v>353</v>
      </c>
      <c r="B354" s="56">
        <f t="shared" si="35"/>
        <v>215</v>
      </c>
      <c r="C354" s="56">
        <f t="shared" si="35"/>
        <v>241</v>
      </c>
      <c r="D354" s="52">
        <v>292488</v>
      </c>
      <c r="E354" s="56">
        <f t="shared" si="38"/>
        <v>60</v>
      </c>
      <c r="F354" s="65">
        <f t="shared" si="34"/>
        <v>353</v>
      </c>
      <c r="G354" s="61">
        <f t="shared" si="36"/>
        <v>1</v>
      </c>
      <c r="H354" s="58">
        <f t="shared" si="33"/>
        <v>0</v>
      </c>
      <c r="I354" s="58">
        <f t="shared" si="37"/>
        <v>0</v>
      </c>
    </row>
    <row r="355" spans="1:9" x14ac:dyDescent="0.15">
      <c r="A355" s="23">
        <v>354</v>
      </c>
      <c r="B355" s="56">
        <f t="shared" si="35"/>
        <v>215</v>
      </c>
      <c r="C355" s="56">
        <f t="shared" si="35"/>
        <v>241</v>
      </c>
      <c r="D355" s="52">
        <v>293950</v>
      </c>
      <c r="E355" s="56">
        <f t="shared" si="38"/>
        <v>60</v>
      </c>
      <c r="F355" s="65">
        <f t="shared" si="34"/>
        <v>354</v>
      </c>
      <c r="G355" s="61">
        <f t="shared" si="36"/>
        <v>0</v>
      </c>
      <c r="H355" s="58">
        <f t="shared" si="33"/>
        <v>0</v>
      </c>
      <c r="I355" s="58">
        <f t="shared" si="37"/>
        <v>0</v>
      </c>
    </row>
    <row r="356" spans="1:9" x14ac:dyDescent="0.15">
      <c r="A356" s="23">
        <v>355</v>
      </c>
      <c r="B356" s="56">
        <f t="shared" si="35"/>
        <v>216</v>
      </c>
      <c r="C356" s="56">
        <f t="shared" si="35"/>
        <v>241</v>
      </c>
      <c r="D356" s="52">
        <v>295420</v>
      </c>
      <c r="E356" s="56">
        <f t="shared" si="38"/>
        <v>60</v>
      </c>
      <c r="F356" s="65">
        <f t="shared" si="34"/>
        <v>355</v>
      </c>
      <c r="G356" s="61">
        <f t="shared" si="36"/>
        <v>1</v>
      </c>
      <c r="H356" s="58">
        <f t="shared" si="33"/>
        <v>0</v>
      </c>
      <c r="I356" s="58">
        <f t="shared" si="37"/>
        <v>0</v>
      </c>
    </row>
    <row r="357" spans="1:9" x14ac:dyDescent="0.15">
      <c r="A357" s="23">
        <v>356</v>
      </c>
      <c r="B357" s="56">
        <f t="shared" si="35"/>
        <v>216</v>
      </c>
      <c r="C357" s="56">
        <f t="shared" si="35"/>
        <v>242</v>
      </c>
      <c r="D357" s="52">
        <v>296897</v>
      </c>
      <c r="E357" s="56">
        <f t="shared" si="38"/>
        <v>60</v>
      </c>
      <c r="F357" s="65">
        <f t="shared" si="34"/>
        <v>356</v>
      </c>
      <c r="G357" s="61">
        <f t="shared" si="36"/>
        <v>0</v>
      </c>
      <c r="H357" s="58">
        <f t="shared" si="33"/>
        <v>1</v>
      </c>
      <c r="I357" s="58">
        <f t="shared" si="37"/>
        <v>0</v>
      </c>
    </row>
    <row r="358" spans="1:9" x14ac:dyDescent="0.15">
      <c r="A358" s="23">
        <v>357</v>
      </c>
      <c r="B358" s="56">
        <f t="shared" si="35"/>
        <v>217</v>
      </c>
      <c r="C358" s="56">
        <f t="shared" si="35"/>
        <v>242</v>
      </c>
      <c r="D358" s="52">
        <v>298381</v>
      </c>
      <c r="E358" s="56">
        <f t="shared" si="38"/>
        <v>60</v>
      </c>
      <c r="F358" s="65">
        <f t="shared" si="34"/>
        <v>357</v>
      </c>
      <c r="G358" s="61">
        <f t="shared" si="36"/>
        <v>1</v>
      </c>
      <c r="H358" s="58">
        <f t="shared" si="33"/>
        <v>0</v>
      </c>
      <c r="I358" s="58">
        <f t="shared" si="37"/>
        <v>0</v>
      </c>
    </row>
    <row r="359" spans="1:9" x14ac:dyDescent="0.15">
      <c r="A359" s="23">
        <v>358</v>
      </c>
      <c r="B359" s="56">
        <f t="shared" si="35"/>
        <v>217</v>
      </c>
      <c r="C359" s="56">
        <f t="shared" si="35"/>
        <v>242</v>
      </c>
      <c r="D359" s="52">
        <v>299873</v>
      </c>
      <c r="E359" s="56">
        <f t="shared" si="38"/>
        <v>60</v>
      </c>
      <c r="F359" s="65">
        <f t="shared" si="34"/>
        <v>358</v>
      </c>
      <c r="G359" s="61">
        <f t="shared" si="36"/>
        <v>0</v>
      </c>
      <c r="H359" s="58">
        <f t="shared" si="33"/>
        <v>0</v>
      </c>
      <c r="I359" s="58">
        <f t="shared" si="37"/>
        <v>0</v>
      </c>
    </row>
    <row r="360" spans="1:9" x14ac:dyDescent="0.15">
      <c r="A360" s="23">
        <v>359</v>
      </c>
      <c r="B360" s="56">
        <f t="shared" si="35"/>
        <v>218</v>
      </c>
      <c r="C360" s="56">
        <f t="shared" si="35"/>
        <v>242</v>
      </c>
      <c r="D360" s="52">
        <v>301372</v>
      </c>
      <c r="E360" s="56">
        <f t="shared" si="38"/>
        <v>60</v>
      </c>
      <c r="F360" s="65">
        <f t="shared" si="34"/>
        <v>359</v>
      </c>
      <c r="G360" s="61">
        <f t="shared" si="36"/>
        <v>1</v>
      </c>
      <c r="H360" s="58">
        <f t="shared" si="33"/>
        <v>0</v>
      </c>
      <c r="I360" s="58">
        <f t="shared" si="37"/>
        <v>0</v>
      </c>
    </row>
    <row r="361" spans="1:9" x14ac:dyDescent="0.15">
      <c r="A361" s="23">
        <v>360</v>
      </c>
      <c r="B361" s="56">
        <f t="shared" si="35"/>
        <v>218</v>
      </c>
      <c r="C361" s="56">
        <f t="shared" si="35"/>
        <v>243</v>
      </c>
      <c r="D361" s="52">
        <v>302879</v>
      </c>
      <c r="E361" s="56">
        <f t="shared" si="38"/>
        <v>60</v>
      </c>
      <c r="F361" s="65">
        <f t="shared" si="34"/>
        <v>360</v>
      </c>
      <c r="G361" s="61">
        <f t="shared" si="36"/>
        <v>0</v>
      </c>
      <c r="H361" s="58">
        <f t="shared" si="33"/>
        <v>1</v>
      </c>
      <c r="I361" s="58">
        <f t="shared" si="37"/>
        <v>0</v>
      </c>
    </row>
    <row r="362" spans="1:9" x14ac:dyDescent="0.15">
      <c r="A362" s="23">
        <v>361</v>
      </c>
      <c r="B362" s="56">
        <f t="shared" si="35"/>
        <v>219</v>
      </c>
      <c r="C362" s="56">
        <f t="shared" si="35"/>
        <v>243</v>
      </c>
      <c r="D362" s="52">
        <v>304393</v>
      </c>
      <c r="E362" s="56">
        <f t="shared" si="38"/>
        <v>60</v>
      </c>
      <c r="F362" s="65">
        <f t="shared" si="34"/>
        <v>361</v>
      </c>
      <c r="G362" s="61">
        <f t="shared" si="36"/>
        <v>1</v>
      </c>
      <c r="H362" s="58">
        <f t="shared" si="33"/>
        <v>0</v>
      </c>
      <c r="I362" s="58">
        <f t="shared" si="37"/>
        <v>0</v>
      </c>
    </row>
    <row r="363" spans="1:9" x14ac:dyDescent="0.15">
      <c r="A363" s="23">
        <v>362</v>
      </c>
      <c r="B363" s="56">
        <f t="shared" si="35"/>
        <v>219</v>
      </c>
      <c r="C363" s="56">
        <f t="shared" si="35"/>
        <v>243</v>
      </c>
      <c r="D363" s="52">
        <v>305915</v>
      </c>
      <c r="E363" s="56">
        <f t="shared" si="38"/>
        <v>60</v>
      </c>
      <c r="F363" s="65">
        <f t="shared" si="34"/>
        <v>362</v>
      </c>
      <c r="G363" s="61">
        <f t="shared" si="36"/>
        <v>0</v>
      </c>
      <c r="H363" s="58">
        <f t="shared" si="33"/>
        <v>0</v>
      </c>
      <c r="I363" s="58">
        <f t="shared" si="37"/>
        <v>0</v>
      </c>
    </row>
    <row r="364" spans="1:9" x14ac:dyDescent="0.15">
      <c r="A364" s="23">
        <v>363</v>
      </c>
      <c r="B364" s="56">
        <f t="shared" si="35"/>
        <v>220</v>
      </c>
      <c r="C364" s="56">
        <f t="shared" si="35"/>
        <v>243</v>
      </c>
      <c r="D364" s="52">
        <v>307445</v>
      </c>
      <c r="E364" s="56">
        <f t="shared" si="38"/>
        <v>60</v>
      </c>
      <c r="F364" s="65">
        <f t="shared" si="34"/>
        <v>363</v>
      </c>
      <c r="G364" s="61">
        <f t="shared" si="36"/>
        <v>1</v>
      </c>
      <c r="H364" s="58">
        <f t="shared" si="33"/>
        <v>0</v>
      </c>
      <c r="I364" s="58">
        <f t="shared" si="37"/>
        <v>0</v>
      </c>
    </row>
    <row r="365" spans="1:9" x14ac:dyDescent="0.15">
      <c r="A365" s="23">
        <v>364</v>
      </c>
      <c r="B365" s="56">
        <f t="shared" si="35"/>
        <v>220</v>
      </c>
      <c r="C365" s="56">
        <f t="shared" si="35"/>
        <v>244</v>
      </c>
      <c r="D365" s="52">
        <v>308982</v>
      </c>
      <c r="E365" s="56">
        <f t="shared" si="38"/>
        <v>60</v>
      </c>
      <c r="F365" s="65">
        <f t="shared" si="34"/>
        <v>364</v>
      </c>
      <c r="G365" s="61">
        <f t="shared" si="36"/>
        <v>0</v>
      </c>
      <c r="H365" s="58">
        <f t="shared" si="33"/>
        <v>1</v>
      </c>
      <c r="I365" s="58">
        <f t="shared" si="37"/>
        <v>0</v>
      </c>
    </row>
    <row r="366" spans="1:9" x14ac:dyDescent="0.15">
      <c r="A366" s="23">
        <v>365</v>
      </c>
      <c r="B366" s="56">
        <f t="shared" si="35"/>
        <v>221</v>
      </c>
      <c r="C366" s="56">
        <f t="shared" si="35"/>
        <v>244</v>
      </c>
      <c r="D366" s="52">
        <v>310527</v>
      </c>
      <c r="E366" s="56">
        <f t="shared" si="38"/>
        <v>60</v>
      </c>
      <c r="F366" s="65">
        <f t="shared" si="34"/>
        <v>365</v>
      </c>
      <c r="G366" s="61">
        <f t="shared" si="36"/>
        <v>1</v>
      </c>
      <c r="H366" s="58">
        <f t="shared" si="33"/>
        <v>0</v>
      </c>
      <c r="I366" s="58">
        <f t="shared" si="37"/>
        <v>0</v>
      </c>
    </row>
    <row r="367" spans="1:9" x14ac:dyDescent="0.15">
      <c r="A367" s="23">
        <v>366</v>
      </c>
      <c r="B367" s="56">
        <f t="shared" si="35"/>
        <v>221</v>
      </c>
      <c r="C367" s="56">
        <f t="shared" si="35"/>
        <v>244</v>
      </c>
      <c r="D367" s="52">
        <v>312080</v>
      </c>
      <c r="E367" s="56">
        <f t="shared" si="38"/>
        <v>60</v>
      </c>
      <c r="F367" s="65">
        <f t="shared" si="34"/>
        <v>366</v>
      </c>
      <c r="G367" s="61">
        <f t="shared" si="36"/>
        <v>0</v>
      </c>
      <c r="H367" s="58">
        <f t="shared" si="33"/>
        <v>0</v>
      </c>
      <c r="I367" s="58">
        <f t="shared" si="37"/>
        <v>0</v>
      </c>
    </row>
    <row r="368" spans="1:9" x14ac:dyDescent="0.15">
      <c r="A368" s="23">
        <v>367</v>
      </c>
      <c r="B368" s="56">
        <f t="shared" si="35"/>
        <v>222</v>
      </c>
      <c r="C368" s="56">
        <f t="shared" si="35"/>
        <v>244</v>
      </c>
      <c r="D368" s="52">
        <v>313640</v>
      </c>
      <c r="E368" s="56">
        <f t="shared" si="38"/>
        <v>60</v>
      </c>
      <c r="F368" s="65">
        <f t="shared" si="34"/>
        <v>367</v>
      </c>
      <c r="G368" s="61">
        <f t="shared" si="36"/>
        <v>1</v>
      </c>
      <c r="H368" s="58">
        <f t="shared" si="33"/>
        <v>0</v>
      </c>
      <c r="I368" s="58">
        <f t="shared" si="37"/>
        <v>0</v>
      </c>
    </row>
    <row r="369" spans="1:9" x14ac:dyDescent="0.15">
      <c r="A369" s="23">
        <v>368</v>
      </c>
      <c r="B369" s="56">
        <f t="shared" si="35"/>
        <v>222</v>
      </c>
      <c r="C369" s="56">
        <f t="shared" si="35"/>
        <v>245</v>
      </c>
      <c r="D369" s="52">
        <v>315208</v>
      </c>
      <c r="E369" s="56">
        <f t="shared" si="38"/>
        <v>60</v>
      </c>
      <c r="F369" s="65">
        <f t="shared" si="34"/>
        <v>368</v>
      </c>
      <c r="G369" s="61">
        <f t="shared" si="36"/>
        <v>0</v>
      </c>
      <c r="H369" s="58">
        <f t="shared" si="33"/>
        <v>1</v>
      </c>
      <c r="I369" s="58">
        <f t="shared" si="37"/>
        <v>0</v>
      </c>
    </row>
    <row r="370" spans="1:9" x14ac:dyDescent="0.15">
      <c r="A370" s="23">
        <v>369</v>
      </c>
      <c r="B370" s="56">
        <f t="shared" si="35"/>
        <v>223</v>
      </c>
      <c r="C370" s="56">
        <f t="shared" si="35"/>
        <v>245</v>
      </c>
      <c r="D370" s="52">
        <v>316784</v>
      </c>
      <c r="E370" s="56">
        <f t="shared" si="38"/>
        <v>60</v>
      </c>
      <c r="F370" s="65">
        <f t="shared" si="34"/>
        <v>369</v>
      </c>
      <c r="G370" s="61">
        <f t="shared" si="36"/>
        <v>1</v>
      </c>
      <c r="H370" s="58">
        <f t="shared" si="33"/>
        <v>0</v>
      </c>
      <c r="I370" s="58">
        <f t="shared" si="37"/>
        <v>0</v>
      </c>
    </row>
    <row r="371" spans="1:9" x14ac:dyDescent="0.15">
      <c r="A371" s="23">
        <v>370</v>
      </c>
      <c r="B371" s="56">
        <f t="shared" si="35"/>
        <v>223</v>
      </c>
      <c r="C371" s="56">
        <f t="shared" si="35"/>
        <v>245</v>
      </c>
      <c r="D371" s="52">
        <v>318368</v>
      </c>
      <c r="E371" s="56">
        <f t="shared" si="38"/>
        <v>60</v>
      </c>
      <c r="F371" s="65">
        <f t="shared" si="34"/>
        <v>370</v>
      </c>
      <c r="G371" s="61">
        <f t="shared" si="36"/>
        <v>0</v>
      </c>
      <c r="H371" s="58">
        <f t="shared" si="33"/>
        <v>0</v>
      </c>
      <c r="I371" s="58">
        <f t="shared" si="37"/>
        <v>0</v>
      </c>
    </row>
    <row r="372" spans="1:9" x14ac:dyDescent="0.15">
      <c r="A372" s="23">
        <v>371</v>
      </c>
      <c r="B372" s="56">
        <f t="shared" si="35"/>
        <v>224</v>
      </c>
      <c r="C372" s="56">
        <f t="shared" si="35"/>
        <v>245</v>
      </c>
      <c r="D372" s="52">
        <v>319960</v>
      </c>
      <c r="E372" s="56">
        <f t="shared" si="38"/>
        <v>60</v>
      </c>
      <c r="F372" s="65">
        <f t="shared" si="34"/>
        <v>371</v>
      </c>
      <c r="G372" s="61">
        <f t="shared" si="36"/>
        <v>1</v>
      </c>
      <c r="H372" s="58">
        <f t="shared" si="33"/>
        <v>0</v>
      </c>
      <c r="I372" s="58">
        <f t="shared" si="37"/>
        <v>0</v>
      </c>
    </row>
    <row r="373" spans="1:9" x14ac:dyDescent="0.15">
      <c r="A373" s="23">
        <v>372</v>
      </c>
      <c r="B373" s="56">
        <f t="shared" si="35"/>
        <v>224</v>
      </c>
      <c r="C373" s="56">
        <f t="shared" si="35"/>
        <v>246</v>
      </c>
      <c r="D373" s="52">
        <v>321560</v>
      </c>
      <c r="E373" s="56">
        <f t="shared" si="38"/>
        <v>60</v>
      </c>
      <c r="F373" s="65">
        <f t="shared" si="34"/>
        <v>372</v>
      </c>
      <c r="G373" s="61">
        <f t="shared" si="36"/>
        <v>0</v>
      </c>
      <c r="H373" s="58">
        <f t="shared" si="33"/>
        <v>1</v>
      </c>
      <c r="I373" s="58">
        <f t="shared" si="37"/>
        <v>0</v>
      </c>
    </row>
    <row r="374" spans="1:9" x14ac:dyDescent="0.15">
      <c r="A374" s="23">
        <v>373</v>
      </c>
      <c r="B374" s="56">
        <f t="shared" si="35"/>
        <v>225</v>
      </c>
      <c r="C374" s="56">
        <f t="shared" si="35"/>
        <v>246</v>
      </c>
      <c r="D374" s="52">
        <v>323168</v>
      </c>
      <c r="E374" s="56">
        <f t="shared" si="38"/>
        <v>60</v>
      </c>
      <c r="F374" s="65">
        <f t="shared" si="34"/>
        <v>373</v>
      </c>
      <c r="G374" s="61">
        <f t="shared" si="36"/>
        <v>1</v>
      </c>
      <c r="H374" s="58">
        <f t="shared" si="33"/>
        <v>0</v>
      </c>
      <c r="I374" s="58">
        <f t="shared" si="37"/>
        <v>0</v>
      </c>
    </row>
    <row r="375" spans="1:9" x14ac:dyDescent="0.15">
      <c r="A375" s="23">
        <v>374</v>
      </c>
      <c r="B375" s="56">
        <f t="shared" si="35"/>
        <v>225</v>
      </c>
      <c r="C375" s="56">
        <f t="shared" si="35"/>
        <v>246</v>
      </c>
      <c r="D375" s="52">
        <v>324784</v>
      </c>
      <c r="E375" s="56">
        <f t="shared" si="38"/>
        <v>60</v>
      </c>
      <c r="F375" s="65">
        <f t="shared" si="34"/>
        <v>374</v>
      </c>
      <c r="G375" s="61">
        <f t="shared" si="36"/>
        <v>0</v>
      </c>
      <c r="H375" s="58">
        <f t="shared" si="33"/>
        <v>0</v>
      </c>
      <c r="I375" s="58">
        <f t="shared" si="37"/>
        <v>0</v>
      </c>
    </row>
    <row r="376" spans="1:9" x14ac:dyDescent="0.15">
      <c r="A376" s="23">
        <v>375</v>
      </c>
      <c r="B376" s="56">
        <f t="shared" si="35"/>
        <v>226</v>
      </c>
      <c r="C376" s="56">
        <f t="shared" si="35"/>
        <v>246</v>
      </c>
      <c r="D376" s="52">
        <v>326408</v>
      </c>
      <c r="E376" s="56">
        <f t="shared" si="38"/>
        <v>60</v>
      </c>
      <c r="F376" s="65">
        <f t="shared" si="34"/>
        <v>375</v>
      </c>
      <c r="G376" s="61">
        <f t="shared" si="36"/>
        <v>1</v>
      </c>
      <c r="H376" s="58">
        <f t="shared" si="33"/>
        <v>0</v>
      </c>
      <c r="I376" s="58">
        <f t="shared" si="37"/>
        <v>0</v>
      </c>
    </row>
    <row r="377" spans="1:9" x14ac:dyDescent="0.15">
      <c r="A377" s="23">
        <v>376</v>
      </c>
      <c r="B377" s="56">
        <f t="shared" si="35"/>
        <v>226</v>
      </c>
      <c r="C377" s="56">
        <f t="shared" si="35"/>
        <v>247</v>
      </c>
      <c r="D377" s="52">
        <v>328040</v>
      </c>
      <c r="E377" s="56">
        <f t="shared" si="38"/>
        <v>60</v>
      </c>
      <c r="F377" s="65">
        <f t="shared" si="34"/>
        <v>376</v>
      </c>
      <c r="G377" s="61">
        <f t="shared" si="36"/>
        <v>0</v>
      </c>
      <c r="H377" s="58">
        <f t="shared" si="33"/>
        <v>1</v>
      </c>
      <c r="I377" s="58">
        <f t="shared" si="37"/>
        <v>0</v>
      </c>
    </row>
    <row r="378" spans="1:9" x14ac:dyDescent="0.15">
      <c r="A378" s="23">
        <v>377</v>
      </c>
      <c r="B378" s="56">
        <f t="shared" si="35"/>
        <v>227</v>
      </c>
      <c r="C378" s="56">
        <f t="shared" si="35"/>
        <v>247</v>
      </c>
      <c r="D378" s="52">
        <v>329680</v>
      </c>
      <c r="E378" s="56">
        <f t="shared" si="38"/>
        <v>60</v>
      </c>
      <c r="F378" s="65">
        <f t="shared" si="34"/>
        <v>377</v>
      </c>
      <c r="G378" s="61">
        <f t="shared" si="36"/>
        <v>1</v>
      </c>
      <c r="H378" s="58">
        <f t="shared" si="33"/>
        <v>0</v>
      </c>
      <c r="I378" s="58">
        <f t="shared" si="37"/>
        <v>0</v>
      </c>
    </row>
    <row r="379" spans="1:9" x14ac:dyDescent="0.15">
      <c r="A379" s="23">
        <v>378</v>
      </c>
      <c r="B379" s="56">
        <f t="shared" si="35"/>
        <v>227</v>
      </c>
      <c r="C379" s="56">
        <f t="shared" si="35"/>
        <v>247</v>
      </c>
      <c r="D379" s="52">
        <v>331328</v>
      </c>
      <c r="E379" s="56">
        <f t="shared" si="38"/>
        <v>60</v>
      </c>
      <c r="F379" s="65">
        <f t="shared" si="34"/>
        <v>378</v>
      </c>
      <c r="G379" s="61">
        <f t="shared" si="36"/>
        <v>0</v>
      </c>
      <c r="H379" s="58">
        <f t="shared" ref="H379:H401" si="39">IF(MOD(A379,4)=0,1,0)</f>
        <v>0</v>
      </c>
      <c r="I379" s="58">
        <f t="shared" si="37"/>
        <v>0</v>
      </c>
    </row>
    <row r="380" spans="1:9" x14ac:dyDescent="0.15">
      <c r="A380" s="23">
        <v>379</v>
      </c>
      <c r="B380" s="56">
        <f t="shared" si="35"/>
        <v>228</v>
      </c>
      <c r="C380" s="56">
        <f t="shared" si="35"/>
        <v>247</v>
      </c>
      <c r="D380" s="52">
        <v>332985</v>
      </c>
      <c r="E380" s="56">
        <f t="shared" si="38"/>
        <v>60</v>
      </c>
      <c r="F380" s="65">
        <f t="shared" si="34"/>
        <v>379</v>
      </c>
      <c r="G380" s="61">
        <f t="shared" si="36"/>
        <v>1</v>
      </c>
      <c r="H380" s="58">
        <f t="shared" si="39"/>
        <v>0</v>
      </c>
      <c r="I380" s="58">
        <f t="shared" si="37"/>
        <v>0</v>
      </c>
    </row>
    <row r="381" spans="1:9" x14ac:dyDescent="0.15">
      <c r="A381" s="23">
        <v>380</v>
      </c>
      <c r="B381" s="56">
        <f t="shared" si="35"/>
        <v>228</v>
      </c>
      <c r="C381" s="56">
        <f t="shared" si="35"/>
        <v>248</v>
      </c>
      <c r="D381" s="52">
        <v>334650</v>
      </c>
      <c r="E381" s="56">
        <f t="shared" si="38"/>
        <v>60</v>
      </c>
      <c r="F381" s="65">
        <f t="shared" si="34"/>
        <v>380</v>
      </c>
      <c r="G381" s="61">
        <f t="shared" si="36"/>
        <v>0</v>
      </c>
      <c r="H381" s="58">
        <f t="shared" si="39"/>
        <v>1</v>
      </c>
      <c r="I381" s="58">
        <f t="shared" si="37"/>
        <v>0</v>
      </c>
    </row>
    <row r="382" spans="1:9" x14ac:dyDescent="0.15">
      <c r="A382" s="23">
        <v>381</v>
      </c>
      <c r="B382" s="56">
        <f t="shared" si="35"/>
        <v>229</v>
      </c>
      <c r="C382" s="56">
        <f t="shared" si="35"/>
        <v>248</v>
      </c>
      <c r="D382" s="52">
        <v>336323</v>
      </c>
      <c r="E382" s="56">
        <f t="shared" si="38"/>
        <v>60</v>
      </c>
      <c r="F382" s="65">
        <f t="shared" si="34"/>
        <v>381</v>
      </c>
      <c r="G382" s="61">
        <f t="shared" si="36"/>
        <v>1</v>
      </c>
      <c r="H382" s="58">
        <f t="shared" si="39"/>
        <v>0</v>
      </c>
      <c r="I382" s="58">
        <f t="shared" si="37"/>
        <v>0</v>
      </c>
    </row>
    <row r="383" spans="1:9" x14ac:dyDescent="0.15">
      <c r="A383" s="23">
        <v>382</v>
      </c>
      <c r="B383" s="56">
        <f t="shared" si="35"/>
        <v>229</v>
      </c>
      <c r="C383" s="56">
        <f t="shared" si="35"/>
        <v>248</v>
      </c>
      <c r="D383" s="52">
        <v>338005</v>
      </c>
      <c r="E383" s="56">
        <f t="shared" si="38"/>
        <v>60</v>
      </c>
      <c r="F383" s="65">
        <f t="shared" si="34"/>
        <v>382</v>
      </c>
      <c r="G383" s="61">
        <f t="shared" si="36"/>
        <v>0</v>
      </c>
      <c r="H383" s="58">
        <f t="shared" si="39"/>
        <v>0</v>
      </c>
      <c r="I383" s="58">
        <f t="shared" si="37"/>
        <v>0</v>
      </c>
    </row>
    <row r="384" spans="1:9" x14ac:dyDescent="0.15">
      <c r="A384" s="23">
        <v>383</v>
      </c>
      <c r="B384" s="56">
        <f t="shared" si="35"/>
        <v>230</v>
      </c>
      <c r="C384" s="56">
        <f t="shared" si="35"/>
        <v>248</v>
      </c>
      <c r="D384" s="52">
        <v>339695</v>
      </c>
      <c r="E384" s="56">
        <f t="shared" si="38"/>
        <v>60</v>
      </c>
      <c r="F384" s="65">
        <f t="shared" si="34"/>
        <v>383</v>
      </c>
      <c r="G384" s="61">
        <f t="shared" si="36"/>
        <v>1</v>
      </c>
      <c r="H384" s="58">
        <f t="shared" si="39"/>
        <v>0</v>
      </c>
      <c r="I384" s="58">
        <f t="shared" si="37"/>
        <v>0</v>
      </c>
    </row>
    <row r="385" spans="1:9" x14ac:dyDescent="0.15">
      <c r="A385" s="23">
        <v>384</v>
      </c>
      <c r="B385" s="56">
        <f t="shared" si="35"/>
        <v>230</v>
      </c>
      <c r="C385" s="56">
        <f t="shared" si="35"/>
        <v>249</v>
      </c>
      <c r="D385" s="52">
        <v>341393</v>
      </c>
      <c r="E385" s="56">
        <f t="shared" si="38"/>
        <v>60</v>
      </c>
      <c r="F385" s="65">
        <f t="shared" si="34"/>
        <v>384</v>
      </c>
      <c r="G385" s="61">
        <f t="shared" si="36"/>
        <v>0</v>
      </c>
      <c r="H385" s="58">
        <f t="shared" si="39"/>
        <v>1</v>
      </c>
      <c r="I385" s="58">
        <f t="shared" si="37"/>
        <v>0</v>
      </c>
    </row>
    <row r="386" spans="1:9" x14ac:dyDescent="0.15">
      <c r="A386" s="23">
        <v>385</v>
      </c>
      <c r="B386" s="56">
        <f t="shared" si="35"/>
        <v>231</v>
      </c>
      <c r="C386" s="56">
        <f t="shared" si="35"/>
        <v>249</v>
      </c>
      <c r="D386" s="52">
        <v>343100</v>
      </c>
      <c r="E386" s="56">
        <f t="shared" si="38"/>
        <v>60</v>
      </c>
      <c r="F386" s="65">
        <f t="shared" ref="F386:F401" si="40">A386</f>
        <v>385</v>
      </c>
      <c r="G386" s="61">
        <f t="shared" si="36"/>
        <v>1</v>
      </c>
      <c r="H386" s="58">
        <f t="shared" si="39"/>
        <v>0</v>
      </c>
      <c r="I386" s="58">
        <f t="shared" si="37"/>
        <v>0</v>
      </c>
    </row>
    <row r="387" spans="1:9" x14ac:dyDescent="0.15">
      <c r="A387" s="23">
        <v>386</v>
      </c>
      <c r="B387" s="56">
        <f t="shared" ref="B387:C401" si="41">B386+G387</f>
        <v>231</v>
      </c>
      <c r="C387" s="56">
        <f t="shared" si="41"/>
        <v>249</v>
      </c>
      <c r="D387" s="52">
        <v>344816</v>
      </c>
      <c r="E387" s="56">
        <f t="shared" si="38"/>
        <v>60</v>
      </c>
      <c r="F387" s="65">
        <f t="shared" si="40"/>
        <v>386</v>
      </c>
      <c r="G387" s="61">
        <f t="shared" ref="G387:G401" si="42">IF(A387&gt;=106, IF(MOD(A387,2)=0,0,1), IF(A387 &gt;= 65, IF(MOD(A387, 2) =0,0, IF(MOD(A387,5)= 0, 2, 1)), IF(MOD(A387, 2) =0,0, IF(MOD(A387,5)= 0, 5, 1))))</f>
        <v>0</v>
      </c>
      <c r="H387" s="58">
        <f t="shared" si="39"/>
        <v>0</v>
      </c>
      <c r="I387" s="58">
        <f t="shared" ref="I387:I401" si="43">IF($A387&gt;=51,0,IF($A387&gt;=30,IF(MOD($A387,5)=0,1,0),IF($A387&gt;=11,IF(MOD($A387,5)=0,3,IF(MOD($A387,2)=0,1,0)),IF(MOD($A387,5)=0,5,IF(MOD($A387,2)=0,2,0)))))</f>
        <v>0</v>
      </c>
    </row>
    <row r="388" spans="1:9" x14ac:dyDescent="0.15">
      <c r="A388" s="23">
        <v>387</v>
      </c>
      <c r="B388" s="56">
        <f t="shared" si="41"/>
        <v>232</v>
      </c>
      <c r="C388" s="56">
        <f t="shared" si="41"/>
        <v>249</v>
      </c>
      <c r="D388" s="52">
        <v>346540</v>
      </c>
      <c r="E388" s="56">
        <f t="shared" ref="E388:E401" si="44">E387+I388</f>
        <v>60</v>
      </c>
      <c r="F388" s="65">
        <f t="shared" si="40"/>
        <v>387</v>
      </c>
      <c r="G388" s="61">
        <f t="shared" si="42"/>
        <v>1</v>
      </c>
      <c r="H388" s="58">
        <f t="shared" si="39"/>
        <v>0</v>
      </c>
      <c r="I388" s="58">
        <f t="shared" si="43"/>
        <v>0</v>
      </c>
    </row>
    <row r="389" spans="1:9" x14ac:dyDescent="0.15">
      <c r="A389" s="23">
        <v>388</v>
      </c>
      <c r="B389" s="56">
        <f t="shared" si="41"/>
        <v>232</v>
      </c>
      <c r="C389" s="56">
        <f t="shared" si="41"/>
        <v>250</v>
      </c>
      <c r="D389" s="52">
        <v>348273</v>
      </c>
      <c r="E389" s="56">
        <f t="shared" si="44"/>
        <v>60</v>
      </c>
      <c r="F389" s="65">
        <f t="shared" si="40"/>
        <v>388</v>
      </c>
      <c r="G389" s="61">
        <f t="shared" si="42"/>
        <v>0</v>
      </c>
      <c r="H389" s="58">
        <f t="shared" si="39"/>
        <v>1</v>
      </c>
      <c r="I389" s="58">
        <f t="shared" si="43"/>
        <v>0</v>
      </c>
    </row>
    <row r="390" spans="1:9" x14ac:dyDescent="0.15">
      <c r="A390" s="23">
        <v>389</v>
      </c>
      <c r="B390" s="56">
        <f t="shared" si="41"/>
        <v>233</v>
      </c>
      <c r="C390" s="56">
        <f t="shared" si="41"/>
        <v>250</v>
      </c>
      <c r="D390" s="52">
        <v>350014</v>
      </c>
      <c r="E390" s="56">
        <f t="shared" si="44"/>
        <v>60</v>
      </c>
      <c r="F390" s="65">
        <f t="shared" si="40"/>
        <v>389</v>
      </c>
      <c r="G390" s="61">
        <f t="shared" si="42"/>
        <v>1</v>
      </c>
      <c r="H390" s="58">
        <f t="shared" si="39"/>
        <v>0</v>
      </c>
      <c r="I390" s="58">
        <f t="shared" si="43"/>
        <v>0</v>
      </c>
    </row>
    <row r="391" spans="1:9" x14ac:dyDescent="0.15">
      <c r="A391" s="23">
        <v>390</v>
      </c>
      <c r="B391" s="56">
        <f t="shared" si="41"/>
        <v>233</v>
      </c>
      <c r="C391" s="56">
        <f t="shared" si="41"/>
        <v>250</v>
      </c>
      <c r="D391" s="52">
        <v>351764</v>
      </c>
      <c r="E391" s="56">
        <f t="shared" si="44"/>
        <v>60</v>
      </c>
      <c r="F391" s="65">
        <f t="shared" si="40"/>
        <v>390</v>
      </c>
      <c r="G391" s="61">
        <f t="shared" si="42"/>
        <v>0</v>
      </c>
      <c r="H391" s="58">
        <f t="shared" si="39"/>
        <v>0</v>
      </c>
      <c r="I391" s="58">
        <f t="shared" si="43"/>
        <v>0</v>
      </c>
    </row>
    <row r="392" spans="1:9" x14ac:dyDescent="0.15">
      <c r="A392" s="23">
        <v>391</v>
      </c>
      <c r="B392" s="56">
        <f t="shared" si="41"/>
        <v>234</v>
      </c>
      <c r="C392" s="56">
        <f t="shared" si="41"/>
        <v>250</v>
      </c>
      <c r="D392" s="52">
        <v>353523</v>
      </c>
      <c r="E392" s="56">
        <f t="shared" si="44"/>
        <v>60</v>
      </c>
      <c r="F392" s="65">
        <f t="shared" si="40"/>
        <v>391</v>
      </c>
      <c r="G392" s="61">
        <f t="shared" si="42"/>
        <v>1</v>
      </c>
      <c r="H392" s="58">
        <f t="shared" si="39"/>
        <v>0</v>
      </c>
      <c r="I392" s="58">
        <f t="shared" si="43"/>
        <v>0</v>
      </c>
    </row>
    <row r="393" spans="1:9" x14ac:dyDescent="0.15">
      <c r="A393" s="23">
        <v>392</v>
      </c>
      <c r="B393" s="56">
        <f t="shared" si="41"/>
        <v>234</v>
      </c>
      <c r="C393" s="56">
        <f t="shared" si="41"/>
        <v>251</v>
      </c>
      <c r="D393" s="52">
        <v>355291</v>
      </c>
      <c r="E393" s="56">
        <f t="shared" si="44"/>
        <v>60</v>
      </c>
      <c r="F393" s="65">
        <f t="shared" si="40"/>
        <v>392</v>
      </c>
      <c r="G393" s="61">
        <f t="shared" si="42"/>
        <v>0</v>
      </c>
      <c r="H393" s="58">
        <f t="shared" si="39"/>
        <v>1</v>
      </c>
      <c r="I393" s="58">
        <f t="shared" si="43"/>
        <v>0</v>
      </c>
    </row>
    <row r="394" spans="1:9" x14ac:dyDescent="0.15">
      <c r="A394" s="23">
        <v>393</v>
      </c>
      <c r="B394" s="56">
        <f t="shared" si="41"/>
        <v>235</v>
      </c>
      <c r="C394" s="56">
        <f t="shared" si="41"/>
        <v>251</v>
      </c>
      <c r="D394" s="52">
        <v>357067</v>
      </c>
      <c r="E394" s="56">
        <f t="shared" si="44"/>
        <v>60</v>
      </c>
      <c r="F394" s="65">
        <f t="shared" si="40"/>
        <v>393</v>
      </c>
      <c r="G394" s="61">
        <f t="shared" si="42"/>
        <v>1</v>
      </c>
      <c r="H394" s="58">
        <f t="shared" si="39"/>
        <v>0</v>
      </c>
      <c r="I394" s="58">
        <f t="shared" si="43"/>
        <v>0</v>
      </c>
    </row>
    <row r="395" spans="1:9" x14ac:dyDescent="0.15">
      <c r="A395" s="23">
        <v>394</v>
      </c>
      <c r="B395" s="56">
        <f t="shared" si="41"/>
        <v>235</v>
      </c>
      <c r="C395" s="56">
        <f t="shared" si="41"/>
        <v>251</v>
      </c>
      <c r="D395" s="52">
        <v>358852</v>
      </c>
      <c r="E395" s="56">
        <f t="shared" si="44"/>
        <v>60</v>
      </c>
      <c r="F395" s="65">
        <f t="shared" si="40"/>
        <v>394</v>
      </c>
      <c r="G395" s="61">
        <f t="shared" si="42"/>
        <v>0</v>
      </c>
      <c r="H395" s="58">
        <f t="shared" si="39"/>
        <v>0</v>
      </c>
      <c r="I395" s="58">
        <f t="shared" si="43"/>
        <v>0</v>
      </c>
    </row>
    <row r="396" spans="1:9" x14ac:dyDescent="0.15">
      <c r="A396" s="23">
        <v>395</v>
      </c>
      <c r="B396" s="56">
        <f t="shared" si="41"/>
        <v>236</v>
      </c>
      <c r="C396" s="56">
        <f t="shared" si="41"/>
        <v>251</v>
      </c>
      <c r="D396" s="52">
        <v>360646</v>
      </c>
      <c r="E396" s="56">
        <f t="shared" si="44"/>
        <v>60</v>
      </c>
      <c r="F396" s="65">
        <f t="shared" si="40"/>
        <v>395</v>
      </c>
      <c r="G396" s="61">
        <f t="shared" si="42"/>
        <v>1</v>
      </c>
      <c r="H396" s="58">
        <f t="shared" si="39"/>
        <v>0</v>
      </c>
      <c r="I396" s="58">
        <f t="shared" si="43"/>
        <v>0</v>
      </c>
    </row>
    <row r="397" spans="1:9" x14ac:dyDescent="0.15">
      <c r="A397" s="23">
        <v>396</v>
      </c>
      <c r="B397" s="56">
        <f t="shared" si="41"/>
        <v>236</v>
      </c>
      <c r="C397" s="56">
        <f t="shared" si="41"/>
        <v>252</v>
      </c>
      <c r="D397" s="52">
        <v>362449</v>
      </c>
      <c r="E397" s="56">
        <f t="shared" si="44"/>
        <v>60</v>
      </c>
      <c r="F397" s="65">
        <f t="shared" si="40"/>
        <v>396</v>
      </c>
      <c r="G397" s="61">
        <f t="shared" si="42"/>
        <v>0</v>
      </c>
      <c r="H397" s="58">
        <f t="shared" si="39"/>
        <v>1</v>
      </c>
      <c r="I397" s="58">
        <f t="shared" si="43"/>
        <v>0</v>
      </c>
    </row>
    <row r="398" spans="1:9" x14ac:dyDescent="0.15">
      <c r="A398" s="23">
        <v>397</v>
      </c>
      <c r="B398" s="56">
        <f t="shared" si="41"/>
        <v>237</v>
      </c>
      <c r="C398" s="56">
        <f t="shared" si="41"/>
        <v>252</v>
      </c>
      <c r="D398" s="52">
        <v>364261</v>
      </c>
      <c r="E398" s="56">
        <f t="shared" si="44"/>
        <v>60</v>
      </c>
      <c r="F398" s="65">
        <f t="shared" si="40"/>
        <v>397</v>
      </c>
      <c r="G398" s="61">
        <f t="shared" si="42"/>
        <v>1</v>
      </c>
      <c r="H398" s="58">
        <f t="shared" si="39"/>
        <v>0</v>
      </c>
      <c r="I398" s="58">
        <f t="shared" si="43"/>
        <v>0</v>
      </c>
    </row>
    <row r="399" spans="1:9" x14ac:dyDescent="0.15">
      <c r="A399" s="23">
        <v>398</v>
      </c>
      <c r="B399" s="56">
        <f t="shared" si="41"/>
        <v>237</v>
      </c>
      <c r="C399" s="56">
        <f t="shared" si="41"/>
        <v>252</v>
      </c>
      <c r="D399" s="52">
        <v>366082</v>
      </c>
      <c r="E399" s="56">
        <f t="shared" si="44"/>
        <v>60</v>
      </c>
      <c r="F399" s="65">
        <f t="shared" si="40"/>
        <v>398</v>
      </c>
      <c r="G399" s="61">
        <f t="shared" si="42"/>
        <v>0</v>
      </c>
      <c r="H399" s="58">
        <f t="shared" si="39"/>
        <v>0</v>
      </c>
      <c r="I399" s="58">
        <f t="shared" si="43"/>
        <v>0</v>
      </c>
    </row>
    <row r="400" spans="1:9" x14ac:dyDescent="0.15">
      <c r="A400" s="23">
        <v>399</v>
      </c>
      <c r="B400" s="56">
        <f t="shared" si="41"/>
        <v>238</v>
      </c>
      <c r="C400" s="56">
        <f t="shared" si="41"/>
        <v>252</v>
      </c>
      <c r="D400" s="52">
        <v>367912</v>
      </c>
      <c r="E400" s="56">
        <f t="shared" si="44"/>
        <v>60</v>
      </c>
      <c r="F400" s="65">
        <f t="shared" si="40"/>
        <v>399</v>
      </c>
      <c r="G400" s="61">
        <f t="shared" si="42"/>
        <v>1</v>
      </c>
      <c r="H400" s="58">
        <f t="shared" si="39"/>
        <v>0</v>
      </c>
      <c r="I400" s="58">
        <f t="shared" si="43"/>
        <v>0</v>
      </c>
    </row>
    <row r="401" spans="1:9" x14ac:dyDescent="0.15">
      <c r="A401" s="23">
        <v>400</v>
      </c>
      <c r="B401" s="56">
        <f t="shared" si="41"/>
        <v>238</v>
      </c>
      <c r="C401" s="56">
        <f t="shared" si="41"/>
        <v>253</v>
      </c>
      <c r="D401" s="52">
        <v>369752</v>
      </c>
      <c r="E401" s="56">
        <f t="shared" si="44"/>
        <v>60</v>
      </c>
      <c r="F401" s="65">
        <f t="shared" si="40"/>
        <v>400</v>
      </c>
      <c r="G401" s="61">
        <f t="shared" si="42"/>
        <v>0</v>
      </c>
      <c r="H401" s="58">
        <f t="shared" si="39"/>
        <v>1</v>
      </c>
      <c r="I401" s="58">
        <f t="shared" si="43"/>
        <v>0</v>
      </c>
    </row>
  </sheetData>
  <autoFilter ref="A1:I201"/>
  <phoneticPr fontId="3"/>
  <pageMargins left="0.7" right="0.7" top="0.75" bottom="0.75" header="0.3" footer="0.3"/>
  <pageSetup paperSize="9" orientation="portrait" horizontalDpi="4294967292" verticalDpi="429496729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tint="0.79998168889431442"/>
  </sheetPr>
  <dimension ref="A1:P401"/>
  <sheetViews>
    <sheetView showGridLines="0" topLeftCell="A176" workbookViewId="0">
      <selection activeCell="G96" sqref="G96"/>
    </sheetView>
  </sheetViews>
  <sheetFormatPr baseColWidth="12" defaultColWidth="13" defaultRowHeight="15" x14ac:dyDescent="0.15"/>
  <cols>
    <col min="1" max="1" width="7" bestFit="1" customWidth="1"/>
    <col min="2" max="2" width="9.5" bestFit="1" customWidth="1"/>
    <col min="3" max="3" width="7.1640625" bestFit="1" customWidth="1"/>
    <col min="4" max="4" width="11.6640625" bestFit="1" customWidth="1"/>
    <col min="5" max="5" width="11.1640625" bestFit="1" customWidth="1"/>
    <col min="6" max="6" width="7" style="66" bestFit="1" customWidth="1"/>
    <col min="8" max="9" width="12.83203125" customWidth="1"/>
    <col min="10" max="15" width="8.83203125" customWidth="1"/>
  </cols>
  <sheetData>
    <row r="1" spans="1:9" x14ac:dyDescent="0.15">
      <c r="A1" s="62" t="s">
        <v>0</v>
      </c>
      <c r="B1" s="62" t="s">
        <v>60</v>
      </c>
      <c r="C1" s="62" t="s">
        <v>61</v>
      </c>
      <c r="D1" s="63" t="s">
        <v>215</v>
      </c>
      <c r="E1" s="62" t="s">
        <v>62</v>
      </c>
      <c r="F1" s="64" t="s">
        <v>0</v>
      </c>
      <c r="G1" s="17" t="s">
        <v>20</v>
      </c>
      <c r="H1" s="17" t="s">
        <v>21</v>
      </c>
      <c r="I1" s="28" t="s">
        <v>63</v>
      </c>
    </row>
    <row r="2" spans="1:9" x14ac:dyDescent="0.15">
      <c r="A2" s="23">
        <v>1</v>
      </c>
      <c r="B2" s="20">
        <v>10</v>
      </c>
      <c r="C2" s="56">
        <f t="shared" ref="C2:C69" si="0">C3-H3</f>
        <v>89</v>
      </c>
      <c r="D2" s="24">
        <v>0</v>
      </c>
      <c r="E2" s="20">
        <v>20</v>
      </c>
      <c r="F2" s="65">
        <f t="shared" ref="F2:F65" si="1">A2</f>
        <v>1</v>
      </c>
      <c r="G2" s="60"/>
      <c r="H2" s="58">
        <f t="shared" ref="H2:H11" si="2">IF($A2&gt;=slow,IF(MOD($A2,upper)=0,slow_upper,0),IF($A2&gt;medium,IF(MOD($A2,bonus)=0,medium_bonus,IF(MOD($A2,upper)=0,medium_upper,IF(MOD($A2,up)=0,medium_up,0))),IF(MOD($A2,bonus)=0,fast_bonus,IF(MOD($A2,upper)=0,fast_upper,IF(MOD($A2,up)=0,fast_up,0)))))</f>
        <v>0</v>
      </c>
      <c r="I2" s="58">
        <f>IF($A2&gt;=51,0,IF($A2&gt;=30,IF(MOD($A2,5)=0,1,0),IF($A2&gt;=11,IF(MOD($A2,5)=0,3,IF(MOD($A2,2)=0,1,0)),IF(MOD($A2,5)=0,5,IF(MOD($A2,2)=0,2,0)))))</f>
        <v>0</v>
      </c>
    </row>
    <row r="3" spans="1:9" x14ac:dyDescent="0.15">
      <c r="A3" s="23">
        <v>2</v>
      </c>
      <c r="B3" s="56">
        <f t="shared" ref="B3:B66" si="3">B2+G3</f>
        <v>10</v>
      </c>
      <c r="C3" s="56">
        <f t="shared" si="0"/>
        <v>90</v>
      </c>
      <c r="D3" s="26">
        <v>35</v>
      </c>
      <c r="E3" s="56">
        <f>E2+I3</f>
        <v>22</v>
      </c>
      <c r="F3" s="65">
        <f t="shared" si="1"/>
        <v>2</v>
      </c>
      <c r="G3" s="61">
        <f t="shared" ref="G3:G66" si="4">IF(A3&gt;=106, IF(MOD(A3,2)=0,0,1), IF(A3 &gt;= 65, IF(MOD(A3, 2) =0,0, IF(MOD(A3,5)= 0, 2, 1)), IF(MOD(A3, 2) =0,0, IF(MOD(A3,5)= 0, 5, 1))))</f>
        <v>0</v>
      </c>
      <c r="H3" s="58">
        <f t="shared" si="2"/>
        <v>1</v>
      </c>
      <c r="I3" s="58">
        <f t="shared" ref="I3:I66" si="5">IF($A3&gt;=51,0,IF($A3&gt;=30,IF(MOD($A3,5)=0,1,0),IF($A3&gt;=11,IF(MOD($A3,5)=0,3,IF(MOD($A3,2)=0,1,0)),IF(MOD($A3,5)=0,5,IF(MOD($A3,2)=0,2,0)))))</f>
        <v>2</v>
      </c>
    </row>
    <row r="4" spans="1:9" x14ac:dyDescent="0.15">
      <c r="A4" s="23">
        <v>3</v>
      </c>
      <c r="B4" s="56">
        <f t="shared" si="3"/>
        <v>11</v>
      </c>
      <c r="C4" s="56">
        <f t="shared" si="0"/>
        <v>90</v>
      </c>
      <c r="D4" s="26">
        <v>81</v>
      </c>
      <c r="E4" s="56">
        <f t="shared" ref="E4:E67" si="6">E3+I4</f>
        <v>22</v>
      </c>
      <c r="F4" s="65">
        <f t="shared" si="1"/>
        <v>3</v>
      </c>
      <c r="G4" s="61">
        <f t="shared" si="4"/>
        <v>1</v>
      </c>
      <c r="H4" s="58">
        <f t="shared" si="2"/>
        <v>0</v>
      </c>
      <c r="I4" s="58">
        <f t="shared" si="5"/>
        <v>0</v>
      </c>
    </row>
    <row r="5" spans="1:9" x14ac:dyDescent="0.15">
      <c r="A5" s="23">
        <v>4</v>
      </c>
      <c r="B5" s="56">
        <f t="shared" si="3"/>
        <v>11</v>
      </c>
      <c r="C5" s="56">
        <f t="shared" si="0"/>
        <v>92</v>
      </c>
      <c r="D5" s="26">
        <v>138</v>
      </c>
      <c r="E5" s="56">
        <f t="shared" si="6"/>
        <v>24</v>
      </c>
      <c r="F5" s="65">
        <f t="shared" si="1"/>
        <v>4</v>
      </c>
      <c r="G5" s="61">
        <f t="shared" si="4"/>
        <v>0</v>
      </c>
      <c r="H5" s="58">
        <f t="shared" si="2"/>
        <v>2</v>
      </c>
      <c r="I5" s="58">
        <f t="shared" si="5"/>
        <v>2</v>
      </c>
    </row>
    <row r="6" spans="1:9" x14ac:dyDescent="0.15">
      <c r="A6" s="23">
        <v>5</v>
      </c>
      <c r="B6" s="56">
        <f t="shared" si="3"/>
        <v>16</v>
      </c>
      <c r="C6" s="56">
        <f t="shared" si="0"/>
        <v>97</v>
      </c>
      <c r="D6" s="26">
        <v>205</v>
      </c>
      <c r="E6" s="56">
        <f t="shared" si="6"/>
        <v>29</v>
      </c>
      <c r="F6" s="65">
        <f t="shared" si="1"/>
        <v>5</v>
      </c>
      <c r="G6" s="57">
        <f t="shared" si="4"/>
        <v>5</v>
      </c>
      <c r="H6" s="58">
        <f t="shared" si="2"/>
        <v>5</v>
      </c>
      <c r="I6" s="58">
        <f t="shared" si="5"/>
        <v>5</v>
      </c>
    </row>
    <row r="7" spans="1:9" x14ac:dyDescent="0.15">
      <c r="A7" s="23">
        <v>6</v>
      </c>
      <c r="B7" s="56">
        <f t="shared" si="3"/>
        <v>16</v>
      </c>
      <c r="C7" s="56">
        <f t="shared" si="0"/>
        <v>98</v>
      </c>
      <c r="D7" s="26">
        <v>282</v>
      </c>
      <c r="E7" s="56">
        <f t="shared" si="6"/>
        <v>31</v>
      </c>
      <c r="F7" s="65">
        <f t="shared" si="1"/>
        <v>6</v>
      </c>
      <c r="G7" s="61">
        <f t="shared" si="4"/>
        <v>0</v>
      </c>
      <c r="H7" s="58">
        <f t="shared" si="2"/>
        <v>1</v>
      </c>
      <c r="I7" s="58">
        <f t="shared" si="5"/>
        <v>2</v>
      </c>
    </row>
    <row r="8" spans="1:9" x14ac:dyDescent="0.15">
      <c r="A8" s="23">
        <v>7</v>
      </c>
      <c r="B8" s="56">
        <f t="shared" si="3"/>
        <v>17</v>
      </c>
      <c r="C8" s="56">
        <f t="shared" si="0"/>
        <v>98</v>
      </c>
      <c r="D8" s="26">
        <v>368</v>
      </c>
      <c r="E8" s="56">
        <f t="shared" si="6"/>
        <v>31</v>
      </c>
      <c r="F8" s="65">
        <f t="shared" si="1"/>
        <v>7</v>
      </c>
      <c r="G8" s="61">
        <f t="shared" si="4"/>
        <v>1</v>
      </c>
      <c r="H8" s="58">
        <f t="shared" si="2"/>
        <v>0</v>
      </c>
      <c r="I8" s="58">
        <f t="shared" si="5"/>
        <v>0</v>
      </c>
    </row>
    <row r="9" spans="1:9" x14ac:dyDescent="0.15">
      <c r="A9" s="23">
        <v>8</v>
      </c>
      <c r="B9" s="56">
        <f t="shared" si="3"/>
        <v>17</v>
      </c>
      <c r="C9" s="56">
        <f t="shared" si="0"/>
        <v>100</v>
      </c>
      <c r="D9" s="26">
        <v>465</v>
      </c>
      <c r="E9" s="56">
        <f t="shared" si="6"/>
        <v>33</v>
      </c>
      <c r="F9" s="65">
        <f t="shared" si="1"/>
        <v>8</v>
      </c>
      <c r="G9" s="61">
        <f t="shared" si="4"/>
        <v>0</v>
      </c>
      <c r="H9" s="58">
        <f t="shared" si="2"/>
        <v>2</v>
      </c>
      <c r="I9" s="58">
        <f t="shared" si="5"/>
        <v>2</v>
      </c>
    </row>
    <row r="10" spans="1:9" x14ac:dyDescent="0.15">
      <c r="A10" s="23">
        <v>9</v>
      </c>
      <c r="B10" s="56">
        <f t="shared" si="3"/>
        <v>18</v>
      </c>
      <c r="C10" s="56">
        <f t="shared" si="0"/>
        <v>100</v>
      </c>
      <c r="D10" s="26">
        <v>572</v>
      </c>
      <c r="E10" s="56">
        <f t="shared" si="6"/>
        <v>33</v>
      </c>
      <c r="F10" s="65">
        <f t="shared" si="1"/>
        <v>9</v>
      </c>
      <c r="G10" s="61">
        <f t="shared" si="4"/>
        <v>1</v>
      </c>
      <c r="H10" s="58">
        <f t="shared" si="2"/>
        <v>0</v>
      </c>
      <c r="I10" s="58">
        <f t="shared" si="5"/>
        <v>0</v>
      </c>
    </row>
    <row r="11" spans="1:9" x14ac:dyDescent="0.15">
      <c r="A11" s="23">
        <v>10</v>
      </c>
      <c r="B11" s="56">
        <f t="shared" si="3"/>
        <v>18</v>
      </c>
      <c r="C11" s="55">
        <f t="shared" si="0"/>
        <v>105</v>
      </c>
      <c r="D11" s="26">
        <v>688</v>
      </c>
      <c r="E11" s="56">
        <f t="shared" si="6"/>
        <v>38</v>
      </c>
      <c r="F11" s="65">
        <f t="shared" si="1"/>
        <v>10</v>
      </c>
      <c r="G11" s="61">
        <f t="shared" si="4"/>
        <v>0</v>
      </c>
      <c r="H11" s="58">
        <f t="shared" si="2"/>
        <v>5</v>
      </c>
      <c r="I11" s="58">
        <f t="shared" si="5"/>
        <v>5</v>
      </c>
    </row>
    <row r="12" spans="1:9" x14ac:dyDescent="0.15">
      <c r="A12" s="23">
        <v>11</v>
      </c>
      <c r="B12" s="56">
        <f t="shared" si="3"/>
        <v>19</v>
      </c>
      <c r="C12" s="56">
        <f t="shared" si="0"/>
        <v>105</v>
      </c>
      <c r="D12" s="26">
        <v>813</v>
      </c>
      <c r="E12" s="56">
        <f t="shared" si="6"/>
        <v>38</v>
      </c>
      <c r="F12" s="65">
        <f t="shared" si="1"/>
        <v>11</v>
      </c>
      <c r="G12" s="61">
        <f t="shared" si="4"/>
        <v>1</v>
      </c>
      <c r="H12" s="58">
        <v>0</v>
      </c>
      <c r="I12" s="58">
        <f t="shared" si="5"/>
        <v>0</v>
      </c>
    </row>
    <row r="13" spans="1:9" x14ac:dyDescent="0.15">
      <c r="A13" s="23">
        <v>12</v>
      </c>
      <c r="B13" s="56">
        <f t="shared" si="3"/>
        <v>19</v>
      </c>
      <c r="C13" s="56">
        <f t="shared" si="0"/>
        <v>106</v>
      </c>
      <c r="D13" s="26">
        <v>948</v>
      </c>
      <c r="E13" s="56">
        <f t="shared" si="6"/>
        <v>39</v>
      </c>
      <c r="F13" s="65">
        <f t="shared" si="1"/>
        <v>12</v>
      </c>
      <c r="G13" s="61">
        <f t="shared" si="4"/>
        <v>0</v>
      </c>
      <c r="H13" s="58">
        <v>1</v>
      </c>
      <c r="I13" s="58">
        <f t="shared" si="5"/>
        <v>1</v>
      </c>
    </row>
    <row r="14" spans="1:9" x14ac:dyDescent="0.15">
      <c r="A14" s="23">
        <v>13</v>
      </c>
      <c r="B14" s="56">
        <f t="shared" si="3"/>
        <v>20</v>
      </c>
      <c r="C14" s="56">
        <f t="shared" si="0"/>
        <v>106</v>
      </c>
      <c r="D14" s="26">
        <v>1091</v>
      </c>
      <c r="E14" s="56">
        <f t="shared" si="6"/>
        <v>39</v>
      </c>
      <c r="F14" s="65">
        <f t="shared" si="1"/>
        <v>13</v>
      </c>
      <c r="G14" s="61">
        <f t="shared" si="4"/>
        <v>1</v>
      </c>
      <c r="H14" s="58">
        <v>0</v>
      </c>
      <c r="I14" s="58">
        <f t="shared" si="5"/>
        <v>0</v>
      </c>
    </row>
    <row r="15" spans="1:9" x14ac:dyDescent="0.15">
      <c r="A15" s="23">
        <v>14</v>
      </c>
      <c r="B15" s="56">
        <f t="shared" si="3"/>
        <v>20</v>
      </c>
      <c r="C15" s="56">
        <f t="shared" si="0"/>
        <v>107</v>
      </c>
      <c r="D15" s="26">
        <v>1244</v>
      </c>
      <c r="E15" s="56">
        <f t="shared" si="6"/>
        <v>40</v>
      </c>
      <c r="F15" s="65">
        <f t="shared" si="1"/>
        <v>14</v>
      </c>
      <c r="G15" s="61">
        <f t="shared" si="4"/>
        <v>0</v>
      </c>
      <c r="H15" s="58">
        <v>1</v>
      </c>
      <c r="I15" s="58">
        <f t="shared" si="5"/>
        <v>1</v>
      </c>
    </row>
    <row r="16" spans="1:9" x14ac:dyDescent="0.15">
      <c r="A16" s="23">
        <v>15</v>
      </c>
      <c r="B16" s="56">
        <f t="shared" si="3"/>
        <v>25</v>
      </c>
      <c r="C16" s="56">
        <f t="shared" si="0"/>
        <v>110</v>
      </c>
      <c r="D16" s="26">
        <v>1405</v>
      </c>
      <c r="E16" s="56">
        <f t="shared" si="6"/>
        <v>43</v>
      </c>
      <c r="F16" s="65">
        <f t="shared" si="1"/>
        <v>15</v>
      </c>
      <c r="G16" s="57">
        <f t="shared" si="4"/>
        <v>5</v>
      </c>
      <c r="H16" s="58">
        <v>3</v>
      </c>
      <c r="I16" s="58">
        <f t="shared" si="5"/>
        <v>3</v>
      </c>
    </row>
    <row r="17" spans="1:9" x14ac:dyDescent="0.15">
      <c r="A17" s="23">
        <v>16</v>
      </c>
      <c r="B17" s="56">
        <f t="shared" si="3"/>
        <v>25</v>
      </c>
      <c r="C17" s="56">
        <f t="shared" si="0"/>
        <v>110</v>
      </c>
      <c r="D17" s="26">
        <v>1575</v>
      </c>
      <c r="E17" s="56">
        <f t="shared" si="6"/>
        <v>44</v>
      </c>
      <c r="F17" s="65">
        <f t="shared" si="1"/>
        <v>16</v>
      </c>
      <c r="G17" s="61">
        <f t="shared" si="4"/>
        <v>0</v>
      </c>
      <c r="H17" s="58">
        <v>0</v>
      </c>
      <c r="I17" s="58">
        <f t="shared" si="5"/>
        <v>1</v>
      </c>
    </row>
    <row r="18" spans="1:9" x14ac:dyDescent="0.15">
      <c r="A18" s="23">
        <v>17</v>
      </c>
      <c r="B18" s="56">
        <f t="shared" si="3"/>
        <v>26</v>
      </c>
      <c r="C18" s="56">
        <f t="shared" si="0"/>
        <v>111</v>
      </c>
      <c r="D18" s="26">
        <v>1754</v>
      </c>
      <c r="E18" s="56">
        <f t="shared" si="6"/>
        <v>44</v>
      </c>
      <c r="F18" s="65">
        <f t="shared" si="1"/>
        <v>17</v>
      </c>
      <c r="G18" s="61">
        <f t="shared" si="4"/>
        <v>1</v>
      </c>
      <c r="H18" s="58">
        <v>1</v>
      </c>
      <c r="I18" s="58">
        <f t="shared" si="5"/>
        <v>0</v>
      </c>
    </row>
    <row r="19" spans="1:9" x14ac:dyDescent="0.15">
      <c r="A19" s="23">
        <v>18</v>
      </c>
      <c r="B19" s="56">
        <f t="shared" si="3"/>
        <v>26</v>
      </c>
      <c r="C19" s="56">
        <f t="shared" si="0"/>
        <v>111</v>
      </c>
      <c r="D19" s="26">
        <v>1941</v>
      </c>
      <c r="E19" s="56">
        <f t="shared" si="6"/>
        <v>45</v>
      </c>
      <c r="F19" s="65">
        <f t="shared" si="1"/>
        <v>18</v>
      </c>
      <c r="G19" s="61">
        <f t="shared" si="4"/>
        <v>0</v>
      </c>
      <c r="H19" s="58">
        <v>0</v>
      </c>
      <c r="I19" s="58">
        <f t="shared" si="5"/>
        <v>1</v>
      </c>
    </row>
    <row r="20" spans="1:9" x14ac:dyDescent="0.15">
      <c r="A20" s="23">
        <v>19</v>
      </c>
      <c r="B20" s="56">
        <f t="shared" si="3"/>
        <v>27</v>
      </c>
      <c r="C20" s="56">
        <f t="shared" si="0"/>
        <v>112</v>
      </c>
      <c r="D20" s="26">
        <v>2136</v>
      </c>
      <c r="E20" s="56">
        <f t="shared" si="6"/>
        <v>45</v>
      </c>
      <c r="F20" s="65">
        <f t="shared" si="1"/>
        <v>19</v>
      </c>
      <c r="G20" s="61">
        <f t="shared" si="4"/>
        <v>1</v>
      </c>
      <c r="H20" s="58">
        <v>1</v>
      </c>
      <c r="I20" s="58">
        <f t="shared" si="5"/>
        <v>0</v>
      </c>
    </row>
    <row r="21" spans="1:9" x14ac:dyDescent="0.15">
      <c r="A21" s="23">
        <v>20</v>
      </c>
      <c r="B21" s="56">
        <f t="shared" si="3"/>
        <v>27</v>
      </c>
      <c r="C21" s="56">
        <f t="shared" si="0"/>
        <v>115</v>
      </c>
      <c r="D21" s="26">
        <v>2340</v>
      </c>
      <c r="E21" s="56">
        <f t="shared" si="6"/>
        <v>48</v>
      </c>
      <c r="F21" s="65">
        <f t="shared" si="1"/>
        <v>20</v>
      </c>
      <c r="G21" s="61">
        <f t="shared" si="4"/>
        <v>0</v>
      </c>
      <c r="H21" s="58">
        <v>3</v>
      </c>
      <c r="I21" s="58">
        <f t="shared" si="5"/>
        <v>3</v>
      </c>
    </row>
    <row r="22" spans="1:9" x14ac:dyDescent="0.15">
      <c r="A22" s="23">
        <v>21</v>
      </c>
      <c r="B22" s="56">
        <f t="shared" si="3"/>
        <v>28</v>
      </c>
      <c r="C22" s="56">
        <f t="shared" si="0"/>
        <v>115</v>
      </c>
      <c r="D22" s="27">
        <v>2551</v>
      </c>
      <c r="E22" s="56">
        <f t="shared" si="6"/>
        <v>48</v>
      </c>
      <c r="F22" s="65">
        <f t="shared" si="1"/>
        <v>21</v>
      </c>
      <c r="G22" s="61">
        <f t="shared" si="4"/>
        <v>1</v>
      </c>
      <c r="H22" s="58">
        <v>0</v>
      </c>
      <c r="I22" s="58">
        <f t="shared" si="5"/>
        <v>0</v>
      </c>
    </row>
    <row r="23" spans="1:9" x14ac:dyDescent="0.15">
      <c r="A23" s="23">
        <v>22</v>
      </c>
      <c r="B23" s="56">
        <f t="shared" si="3"/>
        <v>28</v>
      </c>
      <c r="C23" s="56">
        <f t="shared" si="0"/>
        <v>116</v>
      </c>
      <c r="D23" s="27">
        <v>2771</v>
      </c>
      <c r="E23" s="56">
        <f t="shared" si="6"/>
        <v>49</v>
      </c>
      <c r="F23" s="65">
        <f t="shared" si="1"/>
        <v>22</v>
      </c>
      <c r="G23" s="61">
        <f t="shared" si="4"/>
        <v>0</v>
      </c>
      <c r="H23" s="58">
        <v>1</v>
      </c>
      <c r="I23" s="58">
        <f t="shared" si="5"/>
        <v>1</v>
      </c>
    </row>
    <row r="24" spans="1:9" x14ac:dyDescent="0.15">
      <c r="A24" s="23">
        <v>23</v>
      </c>
      <c r="B24" s="56">
        <f t="shared" si="3"/>
        <v>29</v>
      </c>
      <c r="C24" s="56">
        <f t="shared" si="0"/>
        <v>116</v>
      </c>
      <c r="D24" s="27">
        <v>2998</v>
      </c>
      <c r="E24" s="56">
        <f t="shared" si="6"/>
        <v>49</v>
      </c>
      <c r="F24" s="65">
        <f t="shared" si="1"/>
        <v>23</v>
      </c>
      <c r="G24" s="61">
        <f t="shared" si="4"/>
        <v>1</v>
      </c>
      <c r="H24" s="58">
        <v>0</v>
      </c>
      <c r="I24" s="58">
        <f t="shared" si="5"/>
        <v>0</v>
      </c>
    </row>
    <row r="25" spans="1:9" x14ac:dyDescent="0.15">
      <c r="A25" s="23">
        <v>24</v>
      </c>
      <c r="B25" s="56">
        <f t="shared" si="3"/>
        <v>29</v>
      </c>
      <c r="C25" s="56">
        <f t="shared" si="0"/>
        <v>117</v>
      </c>
      <c r="D25" s="27">
        <v>3233</v>
      </c>
      <c r="E25" s="56">
        <f t="shared" si="6"/>
        <v>50</v>
      </c>
      <c r="F25" s="65">
        <f t="shared" si="1"/>
        <v>24</v>
      </c>
      <c r="G25" s="61">
        <f t="shared" si="4"/>
        <v>0</v>
      </c>
      <c r="H25" s="58">
        <v>1</v>
      </c>
      <c r="I25" s="58">
        <f t="shared" si="5"/>
        <v>1</v>
      </c>
    </row>
    <row r="26" spans="1:9" x14ac:dyDescent="0.15">
      <c r="A26" s="23">
        <v>25</v>
      </c>
      <c r="B26" s="56">
        <f t="shared" si="3"/>
        <v>34</v>
      </c>
      <c r="C26" s="56">
        <f t="shared" si="0"/>
        <v>120</v>
      </c>
      <c r="D26" s="27">
        <v>3475</v>
      </c>
      <c r="E26" s="56">
        <f t="shared" si="6"/>
        <v>53</v>
      </c>
      <c r="F26" s="65">
        <f t="shared" si="1"/>
        <v>25</v>
      </c>
      <c r="G26" s="57">
        <f t="shared" si="4"/>
        <v>5</v>
      </c>
      <c r="H26" s="58">
        <v>3</v>
      </c>
      <c r="I26" s="58">
        <f t="shared" si="5"/>
        <v>3</v>
      </c>
    </row>
    <row r="27" spans="1:9" x14ac:dyDescent="0.15">
      <c r="A27" s="23">
        <v>26</v>
      </c>
      <c r="B27" s="56">
        <f t="shared" si="3"/>
        <v>34</v>
      </c>
      <c r="C27" s="56">
        <f t="shared" si="0"/>
        <v>120</v>
      </c>
      <c r="D27" s="27">
        <v>3725</v>
      </c>
      <c r="E27" s="56">
        <f t="shared" si="6"/>
        <v>54</v>
      </c>
      <c r="F27" s="65">
        <f t="shared" si="1"/>
        <v>26</v>
      </c>
      <c r="G27" s="61">
        <f t="shared" si="4"/>
        <v>0</v>
      </c>
      <c r="H27" s="58">
        <v>0</v>
      </c>
      <c r="I27" s="58">
        <f t="shared" si="5"/>
        <v>1</v>
      </c>
    </row>
    <row r="28" spans="1:9" x14ac:dyDescent="0.15">
      <c r="A28" s="23">
        <v>27</v>
      </c>
      <c r="B28" s="56">
        <f t="shared" si="3"/>
        <v>35</v>
      </c>
      <c r="C28" s="56">
        <f t="shared" si="0"/>
        <v>121</v>
      </c>
      <c r="D28" s="27">
        <v>3982</v>
      </c>
      <c r="E28" s="56">
        <f t="shared" si="6"/>
        <v>54</v>
      </c>
      <c r="F28" s="65">
        <f t="shared" si="1"/>
        <v>27</v>
      </c>
      <c r="G28" s="61">
        <f t="shared" si="4"/>
        <v>1</v>
      </c>
      <c r="H28" s="58">
        <v>1</v>
      </c>
      <c r="I28" s="58">
        <f t="shared" si="5"/>
        <v>0</v>
      </c>
    </row>
    <row r="29" spans="1:9" x14ac:dyDescent="0.15">
      <c r="A29" s="23">
        <v>28</v>
      </c>
      <c r="B29" s="56">
        <f t="shared" si="3"/>
        <v>35</v>
      </c>
      <c r="C29" s="56">
        <f t="shared" si="0"/>
        <v>121</v>
      </c>
      <c r="D29" s="27">
        <v>4246</v>
      </c>
      <c r="E29" s="56">
        <f t="shared" si="6"/>
        <v>55</v>
      </c>
      <c r="F29" s="65">
        <f t="shared" si="1"/>
        <v>28</v>
      </c>
      <c r="G29" s="61">
        <f t="shared" si="4"/>
        <v>0</v>
      </c>
      <c r="H29" s="58">
        <v>0</v>
      </c>
      <c r="I29" s="58">
        <f t="shared" si="5"/>
        <v>1</v>
      </c>
    </row>
    <row r="30" spans="1:9" x14ac:dyDescent="0.15">
      <c r="A30" s="23">
        <v>29</v>
      </c>
      <c r="B30" s="56">
        <f t="shared" si="3"/>
        <v>36</v>
      </c>
      <c r="C30" s="56">
        <f t="shared" si="0"/>
        <v>122</v>
      </c>
      <c r="D30" s="27">
        <v>4517</v>
      </c>
      <c r="E30" s="56">
        <f t="shared" si="6"/>
        <v>55</v>
      </c>
      <c r="F30" s="65">
        <f t="shared" si="1"/>
        <v>29</v>
      </c>
      <c r="G30" s="61">
        <f t="shared" si="4"/>
        <v>1</v>
      </c>
      <c r="H30" s="58">
        <v>1</v>
      </c>
      <c r="I30" s="58">
        <f t="shared" si="5"/>
        <v>0</v>
      </c>
    </row>
    <row r="31" spans="1:9" x14ac:dyDescent="0.15">
      <c r="A31" s="23">
        <v>30</v>
      </c>
      <c r="B31" s="56">
        <f t="shared" si="3"/>
        <v>36</v>
      </c>
      <c r="C31" s="56">
        <f t="shared" si="0"/>
        <v>125</v>
      </c>
      <c r="D31" s="27">
        <v>4796</v>
      </c>
      <c r="E31" s="56">
        <f t="shared" si="6"/>
        <v>56</v>
      </c>
      <c r="F31" s="65">
        <f t="shared" si="1"/>
        <v>30</v>
      </c>
      <c r="G31" s="61">
        <f t="shared" si="4"/>
        <v>0</v>
      </c>
      <c r="H31" s="58">
        <v>3</v>
      </c>
      <c r="I31" s="58">
        <f t="shared" si="5"/>
        <v>1</v>
      </c>
    </row>
    <row r="32" spans="1:9" x14ac:dyDescent="0.15">
      <c r="A32" s="23">
        <v>31</v>
      </c>
      <c r="B32" s="56">
        <f t="shared" si="3"/>
        <v>37</v>
      </c>
      <c r="C32" s="56">
        <f t="shared" si="0"/>
        <v>125</v>
      </c>
      <c r="D32" s="27">
        <v>5081</v>
      </c>
      <c r="E32" s="56">
        <f t="shared" si="6"/>
        <v>56</v>
      </c>
      <c r="F32" s="65">
        <f t="shared" si="1"/>
        <v>31</v>
      </c>
      <c r="G32" s="61">
        <f t="shared" si="4"/>
        <v>1</v>
      </c>
      <c r="H32" s="58">
        <v>0</v>
      </c>
      <c r="I32" s="58">
        <f t="shared" si="5"/>
        <v>0</v>
      </c>
    </row>
    <row r="33" spans="1:16" x14ac:dyDescent="0.15">
      <c r="A33" s="23">
        <v>32</v>
      </c>
      <c r="B33" s="56">
        <f t="shared" si="3"/>
        <v>37</v>
      </c>
      <c r="C33" s="56">
        <f t="shared" si="0"/>
        <v>126</v>
      </c>
      <c r="D33" s="27">
        <v>5373</v>
      </c>
      <c r="E33" s="56">
        <f t="shared" si="6"/>
        <v>56</v>
      </c>
      <c r="F33" s="65">
        <f t="shared" si="1"/>
        <v>32</v>
      </c>
      <c r="G33" s="61">
        <f t="shared" si="4"/>
        <v>0</v>
      </c>
      <c r="H33" s="58">
        <v>1</v>
      </c>
      <c r="I33" s="58">
        <f t="shared" si="5"/>
        <v>0</v>
      </c>
    </row>
    <row r="34" spans="1:16" x14ac:dyDescent="0.15">
      <c r="A34" s="23">
        <v>33</v>
      </c>
      <c r="B34" s="56">
        <f t="shared" si="3"/>
        <v>38</v>
      </c>
      <c r="C34" s="56">
        <f t="shared" si="0"/>
        <v>126</v>
      </c>
      <c r="D34" s="27">
        <v>5671</v>
      </c>
      <c r="E34" s="56">
        <f t="shared" si="6"/>
        <v>56</v>
      </c>
      <c r="F34" s="65">
        <f t="shared" si="1"/>
        <v>33</v>
      </c>
      <c r="G34" s="61">
        <f t="shared" si="4"/>
        <v>1</v>
      </c>
      <c r="H34" s="58">
        <v>0</v>
      </c>
      <c r="I34" s="58">
        <f t="shared" si="5"/>
        <v>0</v>
      </c>
    </row>
    <row r="35" spans="1:16" x14ac:dyDescent="0.15">
      <c r="A35" s="23">
        <v>34</v>
      </c>
      <c r="B35" s="56">
        <f t="shared" si="3"/>
        <v>38</v>
      </c>
      <c r="C35" s="56">
        <f t="shared" si="0"/>
        <v>127</v>
      </c>
      <c r="D35" s="27">
        <v>5976</v>
      </c>
      <c r="E35" s="56">
        <f t="shared" si="6"/>
        <v>56</v>
      </c>
      <c r="F35" s="65">
        <f t="shared" si="1"/>
        <v>34</v>
      </c>
      <c r="G35" s="61">
        <f t="shared" si="4"/>
        <v>0</v>
      </c>
      <c r="H35" s="58">
        <v>1</v>
      </c>
      <c r="I35" s="58">
        <f t="shared" si="5"/>
        <v>0</v>
      </c>
    </row>
    <row r="36" spans="1:16" x14ac:dyDescent="0.15">
      <c r="A36" s="23">
        <v>35</v>
      </c>
      <c r="B36" s="56">
        <f t="shared" si="3"/>
        <v>43</v>
      </c>
      <c r="C36" s="55">
        <f t="shared" si="0"/>
        <v>130</v>
      </c>
      <c r="D36" s="27">
        <v>6288</v>
      </c>
      <c r="E36" s="56">
        <f t="shared" si="6"/>
        <v>57</v>
      </c>
      <c r="F36" s="65">
        <f t="shared" si="1"/>
        <v>35</v>
      </c>
      <c r="G36" s="57">
        <f t="shared" si="4"/>
        <v>5</v>
      </c>
      <c r="H36" s="58">
        <v>3</v>
      </c>
      <c r="I36" s="58">
        <f t="shared" si="5"/>
        <v>1</v>
      </c>
      <c r="L36" s="68" t="s">
        <v>236</v>
      </c>
      <c r="M36" s="68" t="s">
        <v>237</v>
      </c>
      <c r="N36" s="68"/>
      <c r="O36" s="68" t="s">
        <v>238</v>
      </c>
      <c r="P36" s="68" t="s">
        <v>239</v>
      </c>
    </row>
    <row r="37" spans="1:16" x14ac:dyDescent="0.15">
      <c r="A37" s="23">
        <v>36</v>
      </c>
      <c r="B37" s="56">
        <f t="shared" si="3"/>
        <v>43</v>
      </c>
      <c r="C37" s="56">
        <f t="shared" si="0"/>
        <v>130</v>
      </c>
      <c r="D37" s="27">
        <v>6606</v>
      </c>
      <c r="E37" s="56">
        <f t="shared" si="6"/>
        <v>57</v>
      </c>
      <c r="F37" s="65">
        <f t="shared" si="1"/>
        <v>36</v>
      </c>
      <c r="G37" s="61">
        <f t="shared" si="4"/>
        <v>0</v>
      </c>
      <c r="H37" s="58">
        <v>0</v>
      </c>
      <c r="I37" s="58">
        <f t="shared" si="5"/>
        <v>0</v>
      </c>
      <c r="L37">
        <v>1</v>
      </c>
      <c r="M37">
        <v>2</v>
      </c>
      <c r="N37">
        <v>3</v>
      </c>
      <c r="O37">
        <v>4</v>
      </c>
      <c r="P37">
        <v>5</v>
      </c>
    </row>
    <row r="38" spans="1:16" x14ac:dyDescent="0.15">
      <c r="A38" s="23">
        <v>37</v>
      </c>
      <c r="B38" s="56">
        <f t="shared" si="3"/>
        <v>44</v>
      </c>
      <c r="C38" s="56">
        <f t="shared" si="0"/>
        <v>131</v>
      </c>
      <c r="D38" s="27">
        <v>6930</v>
      </c>
      <c r="E38" s="56">
        <f t="shared" si="6"/>
        <v>57</v>
      </c>
      <c r="F38" s="65">
        <f t="shared" si="1"/>
        <v>37</v>
      </c>
      <c r="G38" s="61">
        <f t="shared" si="4"/>
        <v>1</v>
      </c>
      <c r="H38" s="58">
        <v>1</v>
      </c>
      <c r="I38" s="58">
        <f t="shared" si="5"/>
        <v>0</v>
      </c>
      <c r="J38" s="67" t="s">
        <v>233</v>
      </c>
      <c r="K38">
        <v>91</v>
      </c>
      <c r="L38">
        <v>0</v>
      </c>
      <c r="O38">
        <v>1</v>
      </c>
    </row>
    <row r="39" spans="1:16" x14ac:dyDescent="0.15">
      <c r="A39" s="23">
        <v>38</v>
      </c>
      <c r="B39" s="56">
        <f t="shared" si="3"/>
        <v>44</v>
      </c>
      <c r="C39" s="56">
        <f t="shared" si="0"/>
        <v>131</v>
      </c>
      <c r="D39" s="27">
        <v>7260</v>
      </c>
      <c r="E39" s="56">
        <f t="shared" si="6"/>
        <v>57</v>
      </c>
      <c r="F39" s="65">
        <f t="shared" si="1"/>
        <v>38</v>
      </c>
      <c r="G39" s="61">
        <f t="shared" si="4"/>
        <v>0</v>
      </c>
      <c r="H39" s="58">
        <v>0</v>
      </c>
      <c r="I39" s="58">
        <f t="shared" si="5"/>
        <v>0</v>
      </c>
      <c r="J39" s="67" t="s">
        <v>234</v>
      </c>
      <c r="K39">
        <v>30</v>
      </c>
      <c r="L39">
        <v>0</v>
      </c>
      <c r="M39">
        <v>1</v>
      </c>
      <c r="O39">
        <v>1</v>
      </c>
      <c r="P39">
        <v>2</v>
      </c>
    </row>
    <row r="40" spans="1:16" x14ac:dyDescent="0.15">
      <c r="A40" s="23">
        <v>39</v>
      </c>
      <c r="B40" s="56">
        <f t="shared" si="3"/>
        <v>45</v>
      </c>
      <c r="C40" s="56">
        <f t="shared" si="0"/>
        <v>133</v>
      </c>
      <c r="D40" s="27">
        <v>7596</v>
      </c>
      <c r="E40" s="56">
        <f t="shared" si="6"/>
        <v>57</v>
      </c>
      <c r="F40" s="65">
        <f t="shared" si="1"/>
        <v>39</v>
      </c>
      <c r="G40" s="61">
        <f t="shared" si="4"/>
        <v>1</v>
      </c>
      <c r="H40" s="58">
        <v>2</v>
      </c>
      <c r="I40" s="58">
        <f t="shared" si="5"/>
        <v>0</v>
      </c>
      <c r="J40" s="67" t="s">
        <v>235</v>
      </c>
      <c r="L40">
        <v>0</v>
      </c>
      <c r="M40">
        <v>1</v>
      </c>
      <c r="O40">
        <v>2</v>
      </c>
      <c r="P40">
        <v>5</v>
      </c>
    </row>
    <row r="41" spans="1:16" x14ac:dyDescent="0.15">
      <c r="A41" s="23">
        <v>40</v>
      </c>
      <c r="B41" s="56">
        <f t="shared" si="3"/>
        <v>45</v>
      </c>
      <c r="C41" s="56">
        <f t="shared" si="0"/>
        <v>133</v>
      </c>
      <c r="D41" s="27">
        <v>7938</v>
      </c>
      <c r="E41" s="56">
        <f t="shared" si="6"/>
        <v>58</v>
      </c>
      <c r="F41" s="65">
        <f t="shared" si="1"/>
        <v>40</v>
      </c>
      <c r="G41" s="61">
        <f t="shared" si="4"/>
        <v>0</v>
      </c>
      <c r="H41" s="58">
        <v>0</v>
      </c>
      <c r="I41" s="58">
        <f t="shared" si="5"/>
        <v>1</v>
      </c>
    </row>
    <row r="42" spans="1:16" x14ac:dyDescent="0.15">
      <c r="A42" s="23">
        <v>41</v>
      </c>
      <c r="B42" s="56">
        <f t="shared" si="3"/>
        <v>46</v>
      </c>
      <c r="C42" s="56">
        <f t="shared" si="0"/>
        <v>134</v>
      </c>
      <c r="D42" s="27">
        <v>8287</v>
      </c>
      <c r="E42" s="56">
        <f t="shared" si="6"/>
        <v>58</v>
      </c>
      <c r="F42" s="65">
        <f t="shared" si="1"/>
        <v>41</v>
      </c>
      <c r="G42" s="61">
        <f t="shared" si="4"/>
        <v>1</v>
      </c>
      <c r="H42" s="58">
        <v>1</v>
      </c>
      <c r="I42" s="58">
        <f t="shared" si="5"/>
        <v>0</v>
      </c>
      <c r="J42" s="68" t="s">
        <v>231</v>
      </c>
      <c r="K42" s="68" t="s">
        <v>232</v>
      </c>
      <c r="L42" s="68" t="s">
        <v>240</v>
      </c>
      <c r="M42" s="68" t="s">
        <v>241</v>
      </c>
      <c r="N42" s="68" t="s">
        <v>242</v>
      </c>
    </row>
    <row r="43" spans="1:16" x14ac:dyDescent="0.15">
      <c r="A43" s="23">
        <v>42</v>
      </c>
      <c r="B43" s="56">
        <f t="shared" si="3"/>
        <v>46</v>
      </c>
      <c r="C43" s="56">
        <f t="shared" si="0"/>
        <v>134</v>
      </c>
      <c r="D43" s="27">
        <v>8640</v>
      </c>
      <c r="E43" s="56">
        <f t="shared" si="6"/>
        <v>58</v>
      </c>
      <c r="F43" s="65">
        <f t="shared" si="1"/>
        <v>42</v>
      </c>
      <c r="G43" s="61">
        <f t="shared" si="4"/>
        <v>0</v>
      </c>
      <c r="H43" s="58">
        <v>0</v>
      </c>
      <c r="I43" s="58">
        <f t="shared" si="5"/>
        <v>0</v>
      </c>
      <c r="J43">
        <v>105</v>
      </c>
      <c r="K43">
        <f>IFERROR(VLOOKUP(J43,$C$2:$F$401,4,FALSE),VLOOKUP(J43,$C$2:$F$401,4,TRUE)+1)</f>
        <v>10</v>
      </c>
      <c r="L43" s="69" t="s">
        <v>229</v>
      </c>
      <c r="M43" s="69" t="s">
        <v>229</v>
      </c>
      <c r="N43" s="69" t="s">
        <v>229</v>
      </c>
    </row>
    <row r="44" spans="1:16" x14ac:dyDescent="0.15">
      <c r="A44" s="23">
        <v>43</v>
      </c>
      <c r="B44" s="56">
        <f t="shared" si="3"/>
        <v>47</v>
      </c>
      <c r="C44" s="56">
        <f t="shared" si="0"/>
        <v>136</v>
      </c>
      <c r="D44" s="27">
        <v>9000</v>
      </c>
      <c r="E44" s="56">
        <f t="shared" si="6"/>
        <v>58</v>
      </c>
      <c r="F44" s="65">
        <f t="shared" si="1"/>
        <v>43</v>
      </c>
      <c r="G44" s="61">
        <f t="shared" si="4"/>
        <v>1</v>
      </c>
      <c r="H44" s="58">
        <v>2</v>
      </c>
      <c r="I44" s="58">
        <f t="shared" si="5"/>
        <v>0</v>
      </c>
      <c r="J44">
        <v>110</v>
      </c>
      <c r="K44">
        <f t="shared" ref="K44:K48" si="7">IFERROR(VLOOKUP(J44,$C$2:$F$401,4,FALSE),VLOOKUP(J44,$C$2:$F$401,4,TRUE)+1)</f>
        <v>15</v>
      </c>
      <c r="L44" s="69" t="s">
        <v>230</v>
      </c>
      <c r="M44" s="69" t="s">
        <v>229</v>
      </c>
      <c r="N44" s="69" t="s">
        <v>229</v>
      </c>
    </row>
    <row r="45" spans="1:16" x14ac:dyDescent="0.15">
      <c r="A45" s="23">
        <v>44</v>
      </c>
      <c r="B45" s="56">
        <f t="shared" si="3"/>
        <v>47</v>
      </c>
      <c r="C45" s="56">
        <f t="shared" si="0"/>
        <v>136</v>
      </c>
      <c r="D45" s="27">
        <v>9365</v>
      </c>
      <c r="E45" s="56">
        <f t="shared" si="6"/>
        <v>58</v>
      </c>
      <c r="F45" s="65">
        <f t="shared" si="1"/>
        <v>44</v>
      </c>
      <c r="G45" s="61">
        <f t="shared" si="4"/>
        <v>0</v>
      </c>
      <c r="H45" s="58">
        <v>0</v>
      </c>
      <c r="I45" s="58">
        <f t="shared" si="5"/>
        <v>0</v>
      </c>
      <c r="J45">
        <v>125</v>
      </c>
      <c r="K45">
        <f t="shared" si="7"/>
        <v>30</v>
      </c>
      <c r="L45" s="69" t="s">
        <v>227</v>
      </c>
      <c r="M45" s="69" t="s">
        <v>229</v>
      </c>
      <c r="N45" s="69" t="s">
        <v>229</v>
      </c>
    </row>
    <row r="46" spans="1:16" x14ac:dyDescent="0.15">
      <c r="A46" s="23">
        <v>45</v>
      </c>
      <c r="B46" s="56">
        <f t="shared" si="3"/>
        <v>52</v>
      </c>
      <c r="C46" s="56">
        <f t="shared" si="0"/>
        <v>137</v>
      </c>
      <c r="D46" s="27">
        <v>9736</v>
      </c>
      <c r="E46" s="56">
        <f t="shared" si="6"/>
        <v>59</v>
      </c>
      <c r="F46" s="65">
        <f t="shared" si="1"/>
        <v>45</v>
      </c>
      <c r="G46" s="57">
        <f t="shared" si="4"/>
        <v>5</v>
      </c>
      <c r="H46" s="58">
        <v>1</v>
      </c>
      <c r="I46" s="58">
        <f t="shared" si="5"/>
        <v>1</v>
      </c>
      <c r="J46">
        <v>140</v>
      </c>
      <c r="K46">
        <f t="shared" si="7"/>
        <v>49</v>
      </c>
      <c r="L46" s="69" t="s">
        <v>227</v>
      </c>
      <c r="M46" s="69" t="s">
        <v>228</v>
      </c>
      <c r="N46" s="69" t="s">
        <v>229</v>
      </c>
    </row>
    <row r="47" spans="1:16" x14ac:dyDescent="0.15">
      <c r="A47" s="23">
        <v>46</v>
      </c>
      <c r="B47" s="56">
        <f t="shared" si="3"/>
        <v>52</v>
      </c>
      <c r="C47" s="56">
        <f t="shared" si="0"/>
        <v>137</v>
      </c>
      <c r="D47" s="27">
        <v>10112</v>
      </c>
      <c r="E47" s="56">
        <f t="shared" si="6"/>
        <v>59</v>
      </c>
      <c r="F47" s="65">
        <f t="shared" si="1"/>
        <v>46</v>
      </c>
      <c r="G47" s="61">
        <f t="shared" si="4"/>
        <v>0</v>
      </c>
      <c r="H47" s="58">
        <v>0</v>
      </c>
      <c r="I47" s="58">
        <f t="shared" si="5"/>
        <v>0</v>
      </c>
      <c r="J47">
        <v>155</v>
      </c>
      <c r="K47">
        <f t="shared" si="7"/>
        <v>90</v>
      </c>
      <c r="L47" s="69" t="s">
        <v>227</v>
      </c>
      <c r="M47" s="69" t="s">
        <v>228</v>
      </c>
      <c r="N47" s="69" t="s">
        <v>228</v>
      </c>
    </row>
    <row r="48" spans="1:16" x14ac:dyDescent="0.15">
      <c r="A48" s="23">
        <v>47</v>
      </c>
      <c r="B48" s="56">
        <f t="shared" si="3"/>
        <v>53</v>
      </c>
      <c r="C48" s="56">
        <f t="shared" si="0"/>
        <v>139</v>
      </c>
      <c r="D48" s="27">
        <v>10494</v>
      </c>
      <c r="E48" s="56">
        <f t="shared" si="6"/>
        <v>59</v>
      </c>
      <c r="F48" s="65">
        <f t="shared" si="1"/>
        <v>47</v>
      </c>
      <c r="G48" s="61">
        <f t="shared" si="4"/>
        <v>1</v>
      </c>
      <c r="H48" s="58">
        <v>2</v>
      </c>
      <c r="I48" s="58">
        <f t="shared" si="5"/>
        <v>0</v>
      </c>
      <c r="J48">
        <v>165</v>
      </c>
      <c r="K48">
        <f t="shared" si="7"/>
        <v>128</v>
      </c>
      <c r="L48" s="69" t="s">
        <v>227</v>
      </c>
      <c r="M48" s="69" t="s">
        <v>227</v>
      </c>
      <c r="N48" s="69" t="s">
        <v>227</v>
      </c>
    </row>
    <row r="49" spans="1:9" x14ac:dyDescent="0.15">
      <c r="A49" s="23">
        <v>48</v>
      </c>
      <c r="B49" s="56">
        <f t="shared" si="3"/>
        <v>53</v>
      </c>
      <c r="C49" s="56">
        <f t="shared" si="0"/>
        <v>139</v>
      </c>
      <c r="D49" s="27">
        <v>10881</v>
      </c>
      <c r="E49" s="56">
        <f t="shared" si="6"/>
        <v>59</v>
      </c>
      <c r="F49" s="65">
        <f t="shared" si="1"/>
        <v>48</v>
      </c>
      <c r="G49" s="61">
        <f t="shared" si="4"/>
        <v>0</v>
      </c>
      <c r="H49" s="58">
        <v>0</v>
      </c>
      <c r="I49" s="58">
        <f t="shared" si="5"/>
        <v>0</v>
      </c>
    </row>
    <row r="50" spans="1:9" x14ac:dyDescent="0.15">
      <c r="A50" s="23">
        <v>49</v>
      </c>
      <c r="B50" s="56">
        <f t="shared" si="3"/>
        <v>54</v>
      </c>
      <c r="C50" s="56">
        <f t="shared" si="0"/>
        <v>140</v>
      </c>
      <c r="D50" s="27">
        <v>11273</v>
      </c>
      <c r="E50" s="56">
        <f t="shared" si="6"/>
        <v>59</v>
      </c>
      <c r="F50" s="65">
        <f t="shared" si="1"/>
        <v>49</v>
      </c>
      <c r="G50" s="61">
        <f t="shared" si="4"/>
        <v>1</v>
      </c>
      <c r="H50" s="58">
        <v>1</v>
      </c>
      <c r="I50" s="58">
        <f t="shared" si="5"/>
        <v>0</v>
      </c>
    </row>
    <row r="51" spans="1:9" x14ac:dyDescent="0.15">
      <c r="A51" s="23">
        <v>50</v>
      </c>
      <c r="B51" s="56">
        <f t="shared" si="3"/>
        <v>54</v>
      </c>
      <c r="C51" s="56">
        <f t="shared" si="0"/>
        <v>140</v>
      </c>
      <c r="D51" s="27">
        <v>11670</v>
      </c>
      <c r="E51" s="56">
        <f t="shared" si="6"/>
        <v>60</v>
      </c>
      <c r="F51" s="65">
        <f t="shared" si="1"/>
        <v>50</v>
      </c>
      <c r="G51" s="61">
        <f t="shared" si="4"/>
        <v>0</v>
      </c>
      <c r="H51" s="58">
        <v>0</v>
      </c>
      <c r="I51" s="58">
        <f t="shared" si="5"/>
        <v>1</v>
      </c>
    </row>
    <row r="52" spans="1:9" x14ac:dyDescent="0.15">
      <c r="A52" s="23">
        <v>51</v>
      </c>
      <c r="B52" s="56">
        <f t="shared" si="3"/>
        <v>55</v>
      </c>
      <c r="C52" s="56">
        <f t="shared" si="0"/>
        <v>142</v>
      </c>
      <c r="D52" s="27">
        <v>12072</v>
      </c>
      <c r="E52" s="56">
        <f t="shared" si="6"/>
        <v>60</v>
      </c>
      <c r="F52" s="65">
        <f t="shared" si="1"/>
        <v>51</v>
      </c>
      <c r="G52" s="61">
        <f t="shared" si="4"/>
        <v>1</v>
      </c>
      <c r="H52" s="58">
        <v>2</v>
      </c>
      <c r="I52" s="58">
        <f t="shared" si="5"/>
        <v>0</v>
      </c>
    </row>
    <row r="53" spans="1:9" x14ac:dyDescent="0.15">
      <c r="A53" s="23">
        <v>52</v>
      </c>
      <c r="B53" s="56">
        <f t="shared" si="3"/>
        <v>55</v>
      </c>
      <c r="C53" s="56">
        <f t="shared" si="0"/>
        <v>142</v>
      </c>
      <c r="D53" s="27">
        <v>12479</v>
      </c>
      <c r="E53" s="56">
        <f t="shared" si="6"/>
        <v>60</v>
      </c>
      <c r="F53" s="65">
        <f t="shared" si="1"/>
        <v>52</v>
      </c>
      <c r="G53" s="61">
        <f t="shared" si="4"/>
        <v>0</v>
      </c>
      <c r="H53" s="58">
        <v>0</v>
      </c>
      <c r="I53" s="58">
        <f t="shared" si="5"/>
        <v>0</v>
      </c>
    </row>
    <row r="54" spans="1:9" x14ac:dyDescent="0.15">
      <c r="A54" s="23">
        <v>53</v>
      </c>
      <c r="B54" s="56">
        <f t="shared" si="3"/>
        <v>56</v>
      </c>
      <c r="C54" s="56">
        <f t="shared" si="0"/>
        <v>143</v>
      </c>
      <c r="D54" s="27">
        <v>12891</v>
      </c>
      <c r="E54" s="56">
        <f t="shared" si="6"/>
        <v>60</v>
      </c>
      <c r="F54" s="65">
        <f t="shared" si="1"/>
        <v>53</v>
      </c>
      <c r="G54" s="61">
        <f t="shared" si="4"/>
        <v>1</v>
      </c>
      <c r="H54" s="58">
        <v>1</v>
      </c>
      <c r="I54" s="58">
        <f t="shared" si="5"/>
        <v>0</v>
      </c>
    </row>
    <row r="55" spans="1:9" x14ac:dyDescent="0.15">
      <c r="A55" s="23">
        <v>54</v>
      </c>
      <c r="B55" s="56">
        <f t="shared" si="3"/>
        <v>56</v>
      </c>
      <c r="C55" s="56">
        <f t="shared" si="0"/>
        <v>143</v>
      </c>
      <c r="D55" s="27">
        <v>13308</v>
      </c>
      <c r="E55" s="56">
        <f t="shared" si="6"/>
        <v>60</v>
      </c>
      <c r="F55" s="65">
        <f t="shared" si="1"/>
        <v>54</v>
      </c>
      <c r="G55" s="61">
        <f t="shared" si="4"/>
        <v>0</v>
      </c>
      <c r="H55" s="58">
        <v>0</v>
      </c>
      <c r="I55" s="58">
        <f t="shared" si="5"/>
        <v>0</v>
      </c>
    </row>
    <row r="56" spans="1:9" x14ac:dyDescent="0.15">
      <c r="A56" s="23">
        <v>55</v>
      </c>
      <c r="B56" s="56">
        <f t="shared" si="3"/>
        <v>61</v>
      </c>
      <c r="C56" s="55">
        <v>145</v>
      </c>
      <c r="D56" s="27">
        <v>13730</v>
      </c>
      <c r="E56" s="56">
        <f t="shared" si="6"/>
        <v>60</v>
      </c>
      <c r="F56" s="65">
        <f t="shared" si="1"/>
        <v>55</v>
      </c>
      <c r="G56" s="57">
        <f t="shared" si="4"/>
        <v>5</v>
      </c>
      <c r="H56" s="58">
        <v>2</v>
      </c>
      <c r="I56" s="58">
        <f t="shared" si="5"/>
        <v>0</v>
      </c>
    </row>
    <row r="57" spans="1:9" x14ac:dyDescent="0.15">
      <c r="A57" s="23">
        <v>56</v>
      </c>
      <c r="B57" s="56">
        <f t="shared" si="3"/>
        <v>61</v>
      </c>
      <c r="C57" s="56">
        <f t="shared" si="0"/>
        <v>145</v>
      </c>
      <c r="D57" s="27">
        <v>14156</v>
      </c>
      <c r="E57" s="56">
        <f t="shared" si="6"/>
        <v>60</v>
      </c>
      <c r="F57" s="65">
        <f t="shared" si="1"/>
        <v>56</v>
      </c>
      <c r="G57" s="61">
        <f t="shared" si="4"/>
        <v>0</v>
      </c>
      <c r="H57" s="58">
        <v>0</v>
      </c>
      <c r="I57" s="58">
        <f t="shared" si="5"/>
        <v>0</v>
      </c>
    </row>
    <row r="58" spans="1:9" x14ac:dyDescent="0.15">
      <c r="A58" s="23">
        <v>57</v>
      </c>
      <c r="B58" s="56">
        <f t="shared" si="3"/>
        <v>62</v>
      </c>
      <c r="C58" s="56">
        <f t="shared" si="0"/>
        <v>145</v>
      </c>
      <c r="D58" s="27">
        <v>14587</v>
      </c>
      <c r="E58" s="56">
        <f t="shared" si="6"/>
        <v>60</v>
      </c>
      <c r="F58" s="65">
        <f t="shared" si="1"/>
        <v>57</v>
      </c>
      <c r="G58" s="61">
        <f t="shared" si="4"/>
        <v>1</v>
      </c>
      <c r="H58" s="58">
        <v>0</v>
      </c>
      <c r="I58" s="58">
        <f t="shared" si="5"/>
        <v>0</v>
      </c>
    </row>
    <row r="59" spans="1:9" x14ac:dyDescent="0.15">
      <c r="A59" s="23">
        <v>58</v>
      </c>
      <c r="B59" s="56">
        <f t="shared" si="3"/>
        <v>62</v>
      </c>
      <c r="C59" s="56">
        <f t="shared" si="0"/>
        <v>146</v>
      </c>
      <c r="D59" s="27">
        <v>15023</v>
      </c>
      <c r="E59" s="56">
        <f t="shared" si="6"/>
        <v>60</v>
      </c>
      <c r="F59" s="65">
        <f t="shared" si="1"/>
        <v>58</v>
      </c>
      <c r="G59" s="61">
        <f t="shared" si="4"/>
        <v>0</v>
      </c>
      <c r="H59" s="58">
        <v>1</v>
      </c>
      <c r="I59" s="58">
        <f t="shared" si="5"/>
        <v>0</v>
      </c>
    </row>
    <row r="60" spans="1:9" x14ac:dyDescent="0.15">
      <c r="A60" s="23">
        <v>59</v>
      </c>
      <c r="B60" s="56">
        <f t="shared" si="3"/>
        <v>63</v>
      </c>
      <c r="C60" s="56">
        <f t="shared" si="0"/>
        <v>146</v>
      </c>
      <c r="D60" s="27">
        <v>15463</v>
      </c>
      <c r="E60" s="56">
        <f t="shared" si="6"/>
        <v>60</v>
      </c>
      <c r="F60" s="65">
        <f t="shared" si="1"/>
        <v>59</v>
      </c>
      <c r="G60" s="61">
        <f t="shared" si="4"/>
        <v>1</v>
      </c>
      <c r="H60" s="58">
        <v>0</v>
      </c>
      <c r="I60" s="58">
        <f t="shared" si="5"/>
        <v>0</v>
      </c>
    </row>
    <row r="61" spans="1:9" x14ac:dyDescent="0.15">
      <c r="A61" s="23">
        <v>60</v>
      </c>
      <c r="B61" s="56">
        <f t="shared" si="3"/>
        <v>63</v>
      </c>
      <c r="C61" s="56">
        <f t="shared" si="0"/>
        <v>146</v>
      </c>
      <c r="D61" s="27">
        <v>15907</v>
      </c>
      <c r="E61" s="56">
        <f t="shared" si="6"/>
        <v>60</v>
      </c>
      <c r="F61" s="65">
        <f t="shared" si="1"/>
        <v>60</v>
      </c>
      <c r="G61" s="61">
        <f t="shared" si="4"/>
        <v>0</v>
      </c>
      <c r="H61" s="58">
        <v>0</v>
      </c>
      <c r="I61" s="58">
        <f t="shared" si="5"/>
        <v>0</v>
      </c>
    </row>
    <row r="62" spans="1:9" x14ac:dyDescent="0.15">
      <c r="A62" s="23">
        <v>61</v>
      </c>
      <c r="B62" s="56">
        <f t="shared" si="3"/>
        <v>64</v>
      </c>
      <c r="C62" s="56">
        <f t="shared" si="0"/>
        <v>146</v>
      </c>
      <c r="D62" s="27">
        <v>16356</v>
      </c>
      <c r="E62" s="56">
        <f t="shared" si="6"/>
        <v>60</v>
      </c>
      <c r="F62" s="65">
        <f t="shared" si="1"/>
        <v>61</v>
      </c>
      <c r="G62" s="61">
        <f t="shared" si="4"/>
        <v>1</v>
      </c>
      <c r="H62" s="58">
        <v>0</v>
      </c>
      <c r="I62" s="58">
        <f t="shared" si="5"/>
        <v>0</v>
      </c>
    </row>
    <row r="63" spans="1:9" x14ac:dyDescent="0.15">
      <c r="A63" s="23">
        <v>62</v>
      </c>
      <c r="B63" s="56">
        <f t="shared" si="3"/>
        <v>64</v>
      </c>
      <c r="C63" s="56">
        <f t="shared" si="0"/>
        <v>147</v>
      </c>
      <c r="D63" s="27">
        <v>16809</v>
      </c>
      <c r="E63" s="56">
        <f t="shared" si="6"/>
        <v>60</v>
      </c>
      <c r="F63" s="65">
        <f t="shared" si="1"/>
        <v>62</v>
      </c>
      <c r="G63" s="61">
        <f t="shared" si="4"/>
        <v>0</v>
      </c>
      <c r="H63" s="58">
        <v>1</v>
      </c>
      <c r="I63" s="58">
        <f t="shared" si="5"/>
        <v>0</v>
      </c>
    </row>
    <row r="64" spans="1:9" x14ac:dyDescent="0.15">
      <c r="A64" s="23">
        <v>63</v>
      </c>
      <c r="B64" s="56">
        <f t="shared" si="3"/>
        <v>65</v>
      </c>
      <c r="C64" s="56">
        <f t="shared" si="0"/>
        <v>147</v>
      </c>
      <c r="D64" s="27">
        <v>17266</v>
      </c>
      <c r="E64" s="56">
        <f t="shared" si="6"/>
        <v>60</v>
      </c>
      <c r="F64" s="65">
        <f t="shared" si="1"/>
        <v>63</v>
      </c>
      <c r="G64" s="61">
        <f t="shared" si="4"/>
        <v>1</v>
      </c>
      <c r="H64" s="58">
        <v>0</v>
      </c>
      <c r="I64" s="58">
        <f t="shared" si="5"/>
        <v>0</v>
      </c>
    </row>
    <row r="65" spans="1:9" x14ac:dyDescent="0.15">
      <c r="A65" s="23">
        <v>64</v>
      </c>
      <c r="B65" s="56">
        <f t="shared" si="3"/>
        <v>65</v>
      </c>
      <c r="C65" s="56">
        <f t="shared" si="0"/>
        <v>147</v>
      </c>
      <c r="D65" s="27">
        <v>17728</v>
      </c>
      <c r="E65" s="56">
        <f t="shared" si="6"/>
        <v>60</v>
      </c>
      <c r="F65" s="65">
        <f t="shared" si="1"/>
        <v>64</v>
      </c>
      <c r="G65" s="61">
        <f t="shared" si="4"/>
        <v>0</v>
      </c>
      <c r="H65" s="58">
        <v>0</v>
      </c>
      <c r="I65" s="58">
        <f t="shared" si="5"/>
        <v>0</v>
      </c>
    </row>
    <row r="66" spans="1:9" x14ac:dyDescent="0.15">
      <c r="A66" s="23">
        <v>65</v>
      </c>
      <c r="B66" s="56">
        <f t="shared" si="3"/>
        <v>67</v>
      </c>
      <c r="C66" s="56">
        <f t="shared" si="0"/>
        <v>148</v>
      </c>
      <c r="D66" s="27">
        <v>18194</v>
      </c>
      <c r="E66" s="56">
        <f t="shared" si="6"/>
        <v>60</v>
      </c>
      <c r="F66" s="65">
        <f t="shared" ref="F66:F129" si="8">A66</f>
        <v>65</v>
      </c>
      <c r="G66" s="61">
        <f t="shared" si="4"/>
        <v>2</v>
      </c>
      <c r="H66" s="58">
        <v>1</v>
      </c>
      <c r="I66" s="58">
        <f t="shared" si="5"/>
        <v>0</v>
      </c>
    </row>
    <row r="67" spans="1:9" x14ac:dyDescent="0.15">
      <c r="A67" s="23">
        <v>66</v>
      </c>
      <c r="B67" s="56">
        <f t="shared" ref="B67:C130" si="9">B66+G67</f>
        <v>67</v>
      </c>
      <c r="C67" s="56">
        <f t="shared" si="0"/>
        <v>148</v>
      </c>
      <c r="D67" s="27">
        <v>18663</v>
      </c>
      <c r="E67" s="56">
        <f t="shared" si="6"/>
        <v>60</v>
      </c>
      <c r="F67" s="65">
        <f t="shared" si="8"/>
        <v>66</v>
      </c>
      <c r="G67" s="61">
        <f t="shared" ref="G67:G130" si="10">IF(A67&gt;=106, IF(MOD(A67,2)=0,0,1), IF(A67 &gt;= 65, IF(MOD(A67, 2) =0,0, IF(MOD(A67,5)= 0, 2, 1)), IF(MOD(A67, 2) =0,0, IF(MOD(A67,5)= 0, 5, 1))))</f>
        <v>0</v>
      </c>
      <c r="H67" s="58">
        <v>0</v>
      </c>
      <c r="I67" s="58">
        <f t="shared" ref="I67:I130" si="11">IF($A67&gt;=51,0,IF($A67&gt;=30,IF(MOD($A67,5)=0,1,0),IF($A67&gt;=11,IF(MOD($A67,5)=0,3,IF(MOD($A67,2)=0,1,0)),IF(MOD($A67,5)=0,5,IF(MOD($A67,2)=0,2,0)))))</f>
        <v>0</v>
      </c>
    </row>
    <row r="68" spans="1:9" x14ac:dyDescent="0.15">
      <c r="A68" s="23">
        <v>67</v>
      </c>
      <c r="B68" s="56">
        <f t="shared" si="9"/>
        <v>68</v>
      </c>
      <c r="C68" s="56">
        <f t="shared" si="0"/>
        <v>148</v>
      </c>
      <c r="D68" s="27">
        <v>19137</v>
      </c>
      <c r="E68" s="56">
        <f t="shared" ref="E68:E131" si="12">E67+I68</f>
        <v>60</v>
      </c>
      <c r="F68" s="65">
        <f t="shared" si="8"/>
        <v>67</v>
      </c>
      <c r="G68" s="61">
        <f t="shared" si="10"/>
        <v>1</v>
      </c>
      <c r="H68" s="58">
        <v>0</v>
      </c>
      <c r="I68" s="58">
        <f t="shared" si="11"/>
        <v>0</v>
      </c>
    </row>
    <row r="69" spans="1:9" x14ac:dyDescent="0.15">
      <c r="A69" s="23">
        <v>68</v>
      </c>
      <c r="B69" s="56">
        <f t="shared" si="9"/>
        <v>68</v>
      </c>
      <c r="C69" s="56">
        <f t="shared" si="0"/>
        <v>148</v>
      </c>
      <c r="D69" s="27">
        <v>19615</v>
      </c>
      <c r="E69" s="56">
        <f t="shared" si="12"/>
        <v>60</v>
      </c>
      <c r="F69" s="65">
        <f t="shared" si="8"/>
        <v>68</v>
      </c>
      <c r="G69" s="61">
        <f t="shared" si="10"/>
        <v>0</v>
      </c>
      <c r="H69" s="58">
        <v>0</v>
      </c>
      <c r="I69" s="58">
        <f t="shared" si="11"/>
        <v>0</v>
      </c>
    </row>
    <row r="70" spans="1:9" x14ac:dyDescent="0.15">
      <c r="A70" s="23">
        <v>69</v>
      </c>
      <c r="B70" s="56">
        <f t="shared" si="9"/>
        <v>69</v>
      </c>
      <c r="C70" s="56">
        <f t="shared" ref="C70:C85" si="13">C71-H71</f>
        <v>149</v>
      </c>
      <c r="D70" s="27">
        <v>20096</v>
      </c>
      <c r="E70" s="56">
        <f t="shared" si="12"/>
        <v>60</v>
      </c>
      <c r="F70" s="65">
        <f t="shared" si="8"/>
        <v>69</v>
      </c>
      <c r="G70" s="61">
        <f t="shared" si="10"/>
        <v>1</v>
      </c>
      <c r="H70" s="58">
        <v>1</v>
      </c>
      <c r="I70" s="58">
        <f t="shared" si="11"/>
        <v>0</v>
      </c>
    </row>
    <row r="71" spans="1:9" x14ac:dyDescent="0.15">
      <c r="A71" s="23">
        <v>70</v>
      </c>
      <c r="B71" s="56">
        <f t="shared" si="9"/>
        <v>69</v>
      </c>
      <c r="C71" s="56">
        <f t="shared" si="13"/>
        <v>149</v>
      </c>
      <c r="D71" s="27">
        <v>20582</v>
      </c>
      <c r="E71" s="56">
        <f t="shared" si="12"/>
        <v>60</v>
      </c>
      <c r="F71" s="65">
        <f t="shared" si="8"/>
        <v>70</v>
      </c>
      <c r="G71" s="61">
        <f t="shared" si="10"/>
        <v>0</v>
      </c>
      <c r="H71" s="58">
        <v>0</v>
      </c>
      <c r="I71" s="58">
        <f t="shared" si="11"/>
        <v>0</v>
      </c>
    </row>
    <row r="72" spans="1:9" x14ac:dyDescent="0.15">
      <c r="A72" s="23">
        <v>71</v>
      </c>
      <c r="B72" s="56">
        <f t="shared" si="9"/>
        <v>70</v>
      </c>
      <c r="C72" s="56">
        <f t="shared" si="13"/>
        <v>149</v>
      </c>
      <c r="D72" s="27">
        <v>21071</v>
      </c>
      <c r="E72" s="56">
        <f t="shared" si="12"/>
        <v>60</v>
      </c>
      <c r="F72" s="65">
        <f t="shared" si="8"/>
        <v>71</v>
      </c>
      <c r="G72" s="61">
        <f t="shared" si="10"/>
        <v>1</v>
      </c>
      <c r="H72" s="58">
        <v>0</v>
      </c>
      <c r="I72" s="58">
        <f t="shared" si="11"/>
        <v>0</v>
      </c>
    </row>
    <row r="73" spans="1:9" x14ac:dyDescent="0.15">
      <c r="A73" s="23">
        <v>72</v>
      </c>
      <c r="B73" s="56">
        <f t="shared" si="9"/>
        <v>70</v>
      </c>
      <c r="C73" s="56">
        <f t="shared" si="13"/>
        <v>150</v>
      </c>
      <c r="D73" s="27">
        <v>21564</v>
      </c>
      <c r="E73" s="56">
        <f t="shared" si="12"/>
        <v>60</v>
      </c>
      <c r="F73" s="65">
        <f t="shared" si="8"/>
        <v>72</v>
      </c>
      <c r="G73" s="61">
        <f t="shared" si="10"/>
        <v>0</v>
      </c>
      <c r="H73" s="58">
        <v>1</v>
      </c>
      <c r="I73" s="58">
        <f t="shared" si="11"/>
        <v>0</v>
      </c>
    </row>
    <row r="74" spans="1:9" x14ac:dyDescent="0.15">
      <c r="A74" s="23">
        <v>73</v>
      </c>
      <c r="B74" s="56">
        <f t="shared" si="9"/>
        <v>71</v>
      </c>
      <c r="C74" s="56">
        <f t="shared" si="13"/>
        <v>150</v>
      </c>
      <c r="D74" s="27">
        <v>22061</v>
      </c>
      <c r="E74" s="56">
        <f t="shared" si="12"/>
        <v>60</v>
      </c>
      <c r="F74" s="65">
        <f t="shared" si="8"/>
        <v>73</v>
      </c>
      <c r="G74" s="61">
        <f t="shared" si="10"/>
        <v>1</v>
      </c>
      <c r="H74" s="58">
        <v>0</v>
      </c>
      <c r="I74" s="58">
        <f t="shared" si="11"/>
        <v>0</v>
      </c>
    </row>
    <row r="75" spans="1:9" x14ac:dyDescent="0.15">
      <c r="A75" s="23">
        <v>74</v>
      </c>
      <c r="B75" s="56">
        <f t="shared" si="9"/>
        <v>71</v>
      </c>
      <c r="C75" s="56">
        <f t="shared" si="13"/>
        <v>150</v>
      </c>
      <c r="D75" s="27">
        <v>22562</v>
      </c>
      <c r="E75" s="56">
        <f t="shared" si="12"/>
        <v>60</v>
      </c>
      <c r="F75" s="65">
        <f t="shared" si="8"/>
        <v>74</v>
      </c>
      <c r="G75" s="61">
        <f t="shared" si="10"/>
        <v>0</v>
      </c>
      <c r="H75" s="58">
        <v>0</v>
      </c>
      <c r="I75" s="58">
        <f t="shared" si="11"/>
        <v>0</v>
      </c>
    </row>
    <row r="76" spans="1:9" x14ac:dyDescent="0.15">
      <c r="A76" s="23">
        <v>75</v>
      </c>
      <c r="B76" s="56">
        <f t="shared" si="9"/>
        <v>73</v>
      </c>
      <c r="C76" s="56">
        <f t="shared" si="13"/>
        <v>150</v>
      </c>
      <c r="D76" s="27">
        <v>23066</v>
      </c>
      <c r="E76" s="56">
        <f t="shared" si="12"/>
        <v>60</v>
      </c>
      <c r="F76" s="65">
        <f t="shared" si="8"/>
        <v>75</v>
      </c>
      <c r="G76" s="61">
        <f t="shared" si="10"/>
        <v>2</v>
      </c>
      <c r="H76" s="58">
        <v>0</v>
      </c>
      <c r="I76" s="58">
        <f t="shared" si="11"/>
        <v>0</v>
      </c>
    </row>
    <row r="77" spans="1:9" x14ac:dyDescent="0.15">
      <c r="A77" s="23">
        <v>76</v>
      </c>
      <c r="B77" s="56">
        <f t="shared" si="9"/>
        <v>73</v>
      </c>
      <c r="C77" s="56">
        <f t="shared" si="13"/>
        <v>151</v>
      </c>
      <c r="D77" s="27">
        <v>23573</v>
      </c>
      <c r="E77" s="56">
        <f t="shared" si="12"/>
        <v>60</v>
      </c>
      <c r="F77" s="65">
        <f t="shared" si="8"/>
        <v>76</v>
      </c>
      <c r="G77" s="61">
        <f t="shared" si="10"/>
        <v>0</v>
      </c>
      <c r="H77" s="58">
        <v>1</v>
      </c>
      <c r="I77" s="58">
        <f t="shared" si="11"/>
        <v>0</v>
      </c>
    </row>
    <row r="78" spans="1:9" x14ac:dyDescent="0.15">
      <c r="A78" s="23">
        <v>77</v>
      </c>
      <c r="B78" s="56">
        <f t="shared" si="9"/>
        <v>74</v>
      </c>
      <c r="C78" s="56">
        <f t="shared" si="13"/>
        <v>151</v>
      </c>
      <c r="D78" s="27">
        <v>24084</v>
      </c>
      <c r="E78" s="56">
        <f t="shared" si="12"/>
        <v>60</v>
      </c>
      <c r="F78" s="65">
        <f t="shared" si="8"/>
        <v>77</v>
      </c>
      <c r="G78" s="61">
        <f t="shared" si="10"/>
        <v>1</v>
      </c>
      <c r="H78" s="58">
        <v>0</v>
      </c>
      <c r="I78" s="58">
        <f t="shared" si="11"/>
        <v>0</v>
      </c>
    </row>
    <row r="79" spans="1:9" x14ac:dyDescent="0.15">
      <c r="A79" s="23">
        <v>78</v>
      </c>
      <c r="B79" s="56">
        <f t="shared" si="9"/>
        <v>74</v>
      </c>
      <c r="C79" s="56">
        <f t="shared" si="13"/>
        <v>151</v>
      </c>
      <c r="D79" s="27">
        <v>24599</v>
      </c>
      <c r="E79" s="56">
        <f t="shared" si="12"/>
        <v>60</v>
      </c>
      <c r="F79" s="65">
        <f t="shared" si="8"/>
        <v>78</v>
      </c>
      <c r="G79" s="61">
        <f t="shared" si="10"/>
        <v>0</v>
      </c>
      <c r="H79" s="58">
        <v>0</v>
      </c>
      <c r="I79" s="58">
        <f t="shared" si="11"/>
        <v>0</v>
      </c>
    </row>
    <row r="80" spans="1:9" x14ac:dyDescent="0.15">
      <c r="A80" s="23">
        <v>79</v>
      </c>
      <c r="B80" s="56">
        <f t="shared" si="9"/>
        <v>75</v>
      </c>
      <c r="C80" s="56">
        <f t="shared" si="13"/>
        <v>152</v>
      </c>
      <c r="D80" s="27">
        <v>25117</v>
      </c>
      <c r="E80" s="56">
        <f t="shared" si="12"/>
        <v>60</v>
      </c>
      <c r="F80" s="65">
        <f t="shared" si="8"/>
        <v>79</v>
      </c>
      <c r="G80" s="61">
        <f t="shared" si="10"/>
        <v>1</v>
      </c>
      <c r="H80" s="58">
        <v>1</v>
      </c>
      <c r="I80" s="58">
        <f t="shared" si="11"/>
        <v>0</v>
      </c>
    </row>
    <row r="81" spans="1:9" x14ac:dyDescent="0.15">
      <c r="A81" s="23">
        <v>80</v>
      </c>
      <c r="B81" s="56">
        <f t="shared" si="9"/>
        <v>75</v>
      </c>
      <c r="C81" s="56">
        <f t="shared" si="13"/>
        <v>152</v>
      </c>
      <c r="D81" s="27">
        <v>25638</v>
      </c>
      <c r="E81" s="56">
        <f t="shared" si="12"/>
        <v>60</v>
      </c>
      <c r="F81" s="65">
        <f t="shared" si="8"/>
        <v>80</v>
      </c>
      <c r="G81" s="61">
        <f t="shared" si="10"/>
        <v>0</v>
      </c>
      <c r="H81" s="58">
        <v>0</v>
      </c>
      <c r="I81" s="58">
        <f t="shared" si="11"/>
        <v>0</v>
      </c>
    </row>
    <row r="82" spans="1:9" x14ac:dyDescent="0.15">
      <c r="A82" s="23">
        <v>81</v>
      </c>
      <c r="B82" s="56">
        <f t="shared" si="9"/>
        <v>76</v>
      </c>
      <c r="C82" s="56">
        <f t="shared" si="13"/>
        <v>152</v>
      </c>
      <c r="D82" s="27">
        <v>26163</v>
      </c>
      <c r="E82" s="56">
        <f t="shared" si="12"/>
        <v>60</v>
      </c>
      <c r="F82" s="65">
        <f t="shared" si="8"/>
        <v>81</v>
      </c>
      <c r="G82" s="61">
        <f t="shared" si="10"/>
        <v>1</v>
      </c>
      <c r="H82" s="58">
        <v>0</v>
      </c>
      <c r="I82" s="58">
        <f t="shared" si="11"/>
        <v>0</v>
      </c>
    </row>
    <row r="83" spans="1:9" x14ac:dyDescent="0.15">
      <c r="A83" s="23">
        <v>82</v>
      </c>
      <c r="B83" s="56">
        <f t="shared" si="9"/>
        <v>76</v>
      </c>
      <c r="C83" s="56">
        <f t="shared" si="13"/>
        <v>152</v>
      </c>
      <c r="D83" s="27">
        <v>26691</v>
      </c>
      <c r="E83" s="56">
        <f t="shared" si="12"/>
        <v>60</v>
      </c>
      <c r="F83" s="65">
        <f t="shared" si="8"/>
        <v>82</v>
      </c>
      <c r="G83" s="61">
        <f t="shared" si="10"/>
        <v>0</v>
      </c>
      <c r="H83" s="58">
        <v>0</v>
      </c>
      <c r="I83" s="58">
        <f t="shared" si="11"/>
        <v>0</v>
      </c>
    </row>
    <row r="84" spans="1:9" x14ac:dyDescent="0.15">
      <c r="A84" s="23">
        <v>83</v>
      </c>
      <c r="B84" s="56">
        <f t="shared" si="9"/>
        <v>77</v>
      </c>
      <c r="C84" s="56">
        <f t="shared" si="13"/>
        <v>153</v>
      </c>
      <c r="D84" s="27">
        <v>27222</v>
      </c>
      <c r="E84" s="56">
        <f t="shared" si="12"/>
        <v>60</v>
      </c>
      <c r="F84" s="65">
        <f t="shared" si="8"/>
        <v>83</v>
      </c>
      <c r="G84" s="61">
        <f t="shared" si="10"/>
        <v>1</v>
      </c>
      <c r="H84" s="58">
        <v>1</v>
      </c>
      <c r="I84" s="58">
        <f t="shared" si="11"/>
        <v>0</v>
      </c>
    </row>
    <row r="85" spans="1:9" x14ac:dyDescent="0.15">
      <c r="A85" s="23">
        <v>84</v>
      </c>
      <c r="B85" s="56">
        <f t="shared" si="9"/>
        <v>77</v>
      </c>
      <c r="C85" s="56">
        <f t="shared" si="13"/>
        <v>153</v>
      </c>
      <c r="D85" s="27">
        <v>27757</v>
      </c>
      <c r="E85" s="56">
        <f t="shared" si="12"/>
        <v>60</v>
      </c>
      <c r="F85" s="65">
        <f t="shared" si="8"/>
        <v>84</v>
      </c>
      <c r="G85" s="61">
        <f t="shared" si="10"/>
        <v>0</v>
      </c>
      <c r="H85" s="58">
        <v>0</v>
      </c>
      <c r="I85" s="58">
        <f t="shared" si="11"/>
        <v>0</v>
      </c>
    </row>
    <row r="86" spans="1:9" x14ac:dyDescent="0.15">
      <c r="A86" s="23">
        <v>85</v>
      </c>
      <c r="B86" s="56">
        <f t="shared" si="9"/>
        <v>79</v>
      </c>
      <c r="C86" s="56">
        <f>C87-H87</f>
        <v>153</v>
      </c>
      <c r="D86" s="27">
        <v>28294</v>
      </c>
      <c r="E86" s="56">
        <f t="shared" si="12"/>
        <v>60</v>
      </c>
      <c r="F86" s="65">
        <f t="shared" si="8"/>
        <v>85</v>
      </c>
      <c r="G86" s="61">
        <f t="shared" si="10"/>
        <v>2</v>
      </c>
      <c r="H86" s="58">
        <v>0</v>
      </c>
      <c r="I86" s="58">
        <f t="shared" si="11"/>
        <v>0</v>
      </c>
    </row>
    <row r="87" spans="1:9" x14ac:dyDescent="0.15">
      <c r="A87" s="23">
        <v>86</v>
      </c>
      <c r="B87" s="56">
        <f t="shared" si="9"/>
        <v>79</v>
      </c>
      <c r="C87" s="56">
        <f t="shared" ref="C87:C89" si="14">C88-H88</f>
        <v>154</v>
      </c>
      <c r="D87" s="27">
        <v>28835</v>
      </c>
      <c r="E87" s="56">
        <f t="shared" si="12"/>
        <v>60</v>
      </c>
      <c r="F87" s="65">
        <f t="shared" si="8"/>
        <v>86</v>
      </c>
      <c r="G87" s="61">
        <f t="shared" si="10"/>
        <v>0</v>
      </c>
      <c r="H87" s="58">
        <v>1</v>
      </c>
      <c r="I87" s="58">
        <f t="shared" si="11"/>
        <v>0</v>
      </c>
    </row>
    <row r="88" spans="1:9" x14ac:dyDescent="0.15">
      <c r="A88" s="23">
        <v>87</v>
      </c>
      <c r="B88" s="56">
        <f t="shared" si="9"/>
        <v>80</v>
      </c>
      <c r="C88" s="56">
        <f t="shared" si="14"/>
        <v>154</v>
      </c>
      <c r="D88" s="27">
        <v>29379</v>
      </c>
      <c r="E88" s="56">
        <f t="shared" si="12"/>
        <v>60</v>
      </c>
      <c r="F88" s="65">
        <f t="shared" si="8"/>
        <v>87</v>
      </c>
      <c r="G88" s="61">
        <f t="shared" si="10"/>
        <v>1</v>
      </c>
      <c r="H88" s="58">
        <v>0</v>
      </c>
      <c r="I88" s="58">
        <f t="shared" si="11"/>
        <v>0</v>
      </c>
    </row>
    <row r="89" spans="1:9" x14ac:dyDescent="0.15">
      <c r="A89" s="23">
        <v>88</v>
      </c>
      <c r="B89" s="56">
        <f t="shared" si="9"/>
        <v>80</v>
      </c>
      <c r="C89" s="56">
        <f t="shared" si="14"/>
        <v>154</v>
      </c>
      <c r="D89" s="27">
        <v>29926</v>
      </c>
      <c r="E89" s="56">
        <f t="shared" si="12"/>
        <v>60</v>
      </c>
      <c r="F89" s="65">
        <f t="shared" si="8"/>
        <v>88</v>
      </c>
      <c r="G89" s="61">
        <f t="shared" si="10"/>
        <v>0</v>
      </c>
      <c r="H89" s="58">
        <v>0</v>
      </c>
      <c r="I89" s="58">
        <f t="shared" si="11"/>
        <v>0</v>
      </c>
    </row>
    <row r="90" spans="1:9" x14ac:dyDescent="0.15">
      <c r="A90" s="23">
        <v>89</v>
      </c>
      <c r="B90" s="56">
        <f t="shared" si="9"/>
        <v>81</v>
      </c>
      <c r="C90" s="56">
        <f>C91-H91</f>
        <v>154</v>
      </c>
      <c r="D90" s="27">
        <v>30476</v>
      </c>
      <c r="E90" s="56">
        <f t="shared" si="12"/>
        <v>60</v>
      </c>
      <c r="F90" s="65">
        <f t="shared" si="8"/>
        <v>89</v>
      </c>
      <c r="G90" s="61">
        <f t="shared" si="10"/>
        <v>1</v>
      </c>
      <c r="H90" s="58">
        <v>0</v>
      </c>
      <c r="I90" s="58">
        <f t="shared" si="11"/>
        <v>0</v>
      </c>
    </row>
    <row r="91" spans="1:9" x14ac:dyDescent="0.15">
      <c r="A91" s="23">
        <v>90</v>
      </c>
      <c r="B91" s="56">
        <f t="shared" si="9"/>
        <v>81</v>
      </c>
      <c r="C91" s="55">
        <v>155</v>
      </c>
      <c r="D91" s="27">
        <v>31029</v>
      </c>
      <c r="E91" s="56">
        <f t="shared" si="12"/>
        <v>60</v>
      </c>
      <c r="F91" s="65">
        <f t="shared" si="8"/>
        <v>90</v>
      </c>
      <c r="G91" s="61">
        <f t="shared" si="10"/>
        <v>0</v>
      </c>
      <c r="H91" s="58">
        <v>1</v>
      </c>
      <c r="I91" s="58">
        <f t="shared" si="11"/>
        <v>0</v>
      </c>
    </row>
    <row r="92" spans="1:9" x14ac:dyDescent="0.15">
      <c r="A92" s="23">
        <v>91</v>
      </c>
      <c r="B92" s="56">
        <f t="shared" si="9"/>
        <v>82</v>
      </c>
      <c r="C92" s="56">
        <f t="shared" si="9"/>
        <v>155</v>
      </c>
      <c r="D92" s="27">
        <v>31585</v>
      </c>
      <c r="E92" s="56">
        <f t="shared" si="12"/>
        <v>60</v>
      </c>
      <c r="F92" s="65">
        <f t="shared" si="8"/>
        <v>91</v>
      </c>
      <c r="G92" s="61">
        <f t="shared" si="10"/>
        <v>1</v>
      </c>
      <c r="H92" s="58">
        <f t="shared" ref="H92:H129" si="15">IF($A92&gt;=slow,IF(MOD($A92,upper)=0,slow_upper,0),IF($A92&gt;medium,IF(MOD($A92,bonus)=0,medium_bonus,IF(MOD($A92,upper)=0,medium_upper,IF(MOD($A92,up)=0,medium_up,0))),IF(MOD($A92,bonus)=0,fast_bonus,IF(MOD($A92,upper)=0,fast_upper,IF(MOD($A92,up)=0,fast_up,0)))))</f>
        <v>0</v>
      </c>
      <c r="I92" s="58">
        <f t="shared" si="11"/>
        <v>0</v>
      </c>
    </row>
    <row r="93" spans="1:9" x14ac:dyDescent="0.15">
      <c r="A93" s="23">
        <v>92</v>
      </c>
      <c r="B93" s="56">
        <f t="shared" si="9"/>
        <v>82</v>
      </c>
      <c r="C93" s="56">
        <f t="shared" si="9"/>
        <v>156</v>
      </c>
      <c r="D93" s="27">
        <v>32144</v>
      </c>
      <c r="E93" s="56">
        <f t="shared" si="12"/>
        <v>60</v>
      </c>
      <c r="F93" s="65">
        <f t="shared" si="8"/>
        <v>92</v>
      </c>
      <c r="G93" s="61">
        <f t="shared" si="10"/>
        <v>0</v>
      </c>
      <c r="H93" s="58">
        <f t="shared" si="15"/>
        <v>1</v>
      </c>
      <c r="I93" s="58">
        <f t="shared" si="11"/>
        <v>0</v>
      </c>
    </row>
    <row r="94" spans="1:9" x14ac:dyDescent="0.15">
      <c r="A94" s="23">
        <v>93</v>
      </c>
      <c r="B94" s="56">
        <f t="shared" si="9"/>
        <v>83</v>
      </c>
      <c r="C94" s="56">
        <f t="shared" si="9"/>
        <v>156</v>
      </c>
      <c r="D94" s="27">
        <v>32706</v>
      </c>
      <c r="E94" s="56">
        <f t="shared" si="12"/>
        <v>60</v>
      </c>
      <c r="F94" s="65">
        <f t="shared" si="8"/>
        <v>93</v>
      </c>
      <c r="G94" s="61">
        <f t="shared" si="10"/>
        <v>1</v>
      </c>
      <c r="H94" s="58">
        <f t="shared" si="15"/>
        <v>0</v>
      </c>
      <c r="I94" s="58">
        <f t="shared" si="11"/>
        <v>0</v>
      </c>
    </row>
    <row r="95" spans="1:9" x14ac:dyDescent="0.15">
      <c r="A95" s="23">
        <v>94</v>
      </c>
      <c r="B95" s="56">
        <f t="shared" si="9"/>
        <v>83</v>
      </c>
      <c r="C95" s="56">
        <f t="shared" si="9"/>
        <v>156</v>
      </c>
      <c r="D95" s="27">
        <v>33270</v>
      </c>
      <c r="E95" s="56">
        <f t="shared" si="12"/>
        <v>60</v>
      </c>
      <c r="F95" s="65">
        <f t="shared" si="8"/>
        <v>94</v>
      </c>
      <c r="G95" s="61">
        <f t="shared" si="10"/>
        <v>0</v>
      </c>
      <c r="H95" s="58">
        <f t="shared" si="15"/>
        <v>0</v>
      </c>
      <c r="I95" s="58">
        <f t="shared" si="11"/>
        <v>0</v>
      </c>
    </row>
    <row r="96" spans="1:9" x14ac:dyDescent="0.15">
      <c r="A96" s="23">
        <v>95</v>
      </c>
      <c r="B96" s="56">
        <f t="shared" si="9"/>
        <v>85</v>
      </c>
      <c r="C96" s="56">
        <f t="shared" si="9"/>
        <v>156</v>
      </c>
      <c r="D96" s="27">
        <v>33838</v>
      </c>
      <c r="E96" s="56">
        <f t="shared" si="12"/>
        <v>60</v>
      </c>
      <c r="F96" s="65">
        <f t="shared" si="8"/>
        <v>95</v>
      </c>
      <c r="G96" s="61">
        <f t="shared" si="10"/>
        <v>2</v>
      </c>
      <c r="H96" s="58">
        <f t="shared" si="15"/>
        <v>0</v>
      </c>
      <c r="I96" s="58">
        <f t="shared" si="11"/>
        <v>0</v>
      </c>
    </row>
    <row r="97" spans="1:9" x14ac:dyDescent="0.15">
      <c r="A97" s="23">
        <v>96</v>
      </c>
      <c r="B97" s="56">
        <f t="shared" si="9"/>
        <v>85</v>
      </c>
      <c r="C97" s="56">
        <f t="shared" si="9"/>
        <v>157</v>
      </c>
      <c r="D97" s="27">
        <v>34408</v>
      </c>
      <c r="E97" s="56">
        <f t="shared" si="12"/>
        <v>60</v>
      </c>
      <c r="F97" s="65">
        <f t="shared" si="8"/>
        <v>96</v>
      </c>
      <c r="G97" s="61">
        <f t="shared" si="10"/>
        <v>0</v>
      </c>
      <c r="H97" s="58">
        <f t="shared" si="15"/>
        <v>1</v>
      </c>
      <c r="I97" s="58">
        <f t="shared" si="11"/>
        <v>0</v>
      </c>
    </row>
    <row r="98" spans="1:9" x14ac:dyDescent="0.15">
      <c r="A98" s="23">
        <v>97</v>
      </c>
      <c r="B98" s="56">
        <f t="shared" si="9"/>
        <v>86</v>
      </c>
      <c r="C98" s="56">
        <f t="shared" si="9"/>
        <v>157</v>
      </c>
      <c r="D98" s="27">
        <v>34981</v>
      </c>
      <c r="E98" s="56">
        <f t="shared" si="12"/>
        <v>60</v>
      </c>
      <c r="F98" s="65">
        <f t="shared" si="8"/>
        <v>97</v>
      </c>
      <c r="G98" s="61">
        <f t="shared" si="10"/>
        <v>1</v>
      </c>
      <c r="H98" s="58">
        <f t="shared" si="15"/>
        <v>0</v>
      </c>
      <c r="I98" s="58">
        <f t="shared" si="11"/>
        <v>0</v>
      </c>
    </row>
    <row r="99" spans="1:9" x14ac:dyDescent="0.15">
      <c r="A99" s="23">
        <v>98</v>
      </c>
      <c r="B99" s="56">
        <f t="shared" si="9"/>
        <v>86</v>
      </c>
      <c r="C99" s="56">
        <f t="shared" si="9"/>
        <v>157</v>
      </c>
      <c r="D99" s="27">
        <v>35557</v>
      </c>
      <c r="E99" s="56">
        <f t="shared" si="12"/>
        <v>60</v>
      </c>
      <c r="F99" s="65">
        <f t="shared" si="8"/>
        <v>98</v>
      </c>
      <c r="G99" s="61">
        <f t="shared" si="10"/>
        <v>0</v>
      </c>
      <c r="H99" s="58">
        <f t="shared" si="15"/>
        <v>0</v>
      </c>
      <c r="I99" s="58">
        <f t="shared" si="11"/>
        <v>0</v>
      </c>
    </row>
    <row r="100" spans="1:9" x14ac:dyDescent="0.15">
      <c r="A100" s="23">
        <v>99</v>
      </c>
      <c r="B100" s="56">
        <f t="shared" si="9"/>
        <v>87</v>
      </c>
      <c r="C100" s="56">
        <f t="shared" si="9"/>
        <v>157</v>
      </c>
      <c r="D100" s="27">
        <v>36135</v>
      </c>
      <c r="E100" s="56">
        <f t="shared" si="12"/>
        <v>60</v>
      </c>
      <c r="F100" s="65">
        <f t="shared" si="8"/>
        <v>99</v>
      </c>
      <c r="G100" s="61">
        <f t="shared" si="10"/>
        <v>1</v>
      </c>
      <c r="H100" s="58">
        <f t="shared" si="15"/>
        <v>0</v>
      </c>
      <c r="I100" s="58">
        <f t="shared" si="11"/>
        <v>0</v>
      </c>
    </row>
    <row r="101" spans="1:9" x14ac:dyDescent="0.15">
      <c r="A101" s="23">
        <v>100</v>
      </c>
      <c r="B101" s="56">
        <f t="shared" si="9"/>
        <v>87</v>
      </c>
      <c r="C101" s="56">
        <f t="shared" si="9"/>
        <v>158</v>
      </c>
      <c r="D101" s="27">
        <v>36716</v>
      </c>
      <c r="E101" s="56">
        <f t="shared" si="12"/>
        <v>60</v>
      </c>
      <c r="F101" s="65">
        <f t="shared" si="8"/>
        <v>100</v>
      </c>
      <c r="G101" s="61">
        <f t="shared" si="10"/>
        <v>0</v>
      </c>
      <c r="H101" s="58">
        <f t="shared" si="15"/>
        <v>1</v>
      </c>
      <c r="I101" s="58">
        <f t="shared" si="11"/>
        <v>0</v>
      </c>
    </row>
    <row r="102" spans="1:9" x14ac:dyDescent="0.15">
      <c r="A102" s="23">
        <v>101</v>
      </c>
      <c r="B102" s="56">
        <f t="shared" si="9"/>
        <v>88</v>
      </c>
      <c r="C102" s="56">
        <f t="shared" si="9"/>
        <v>158</v>
      </c>
      <c r="D102" s="27">
        <v>37300</v>
      </c>
      <c r="E102" s="56">
        <f t="shared" si="12"/>
        <v>60</v>
      </c>
      <c r="F102" s="65">
        <f t="shared" si="8"/>
        <v>101</v>
      </c>
      <c r="G102" s="61">
        <f t="shared" si="10"/>
        <v>1</v>
      </c>
      <c r="H102" s="58">
        <f t="shared" si="15"/>
        <v>0</v>
      </c>
      <c r="I102" s="58">
        <f t="shared" si="11"/>
        <v>0</v>
      </c>
    </row>
    <row r="103" spans="1:9" x14ac:dyDescent="0.15">
      <c r="A103" s="23">
        <v>102</v>
      </c>
      <c r="B103" s="56">
        <f t="shared" si="9"/>
        <v>88</v>
      </c>
      <c r="C103" s="56">
        <f t="shared" si="9"/>
        <v>158</v>
      </c>
      <c r="D103" s="27">
        <v>37886</v>
      </c>
      <c r="E103" s="56">
        <f t="shared" si="12"/>
        <v>60</v>
      </c>
      <c r="F103" s="65">
        <f t="shared" si="8"/>
        <v>102</v>
      </c>
      <c r="G103" s="61">
        <f t="shared" si="10"/>
        <v>0</v>
      </c>
      <c r="H103" s="58">
        <f t="shared" si="15"/>
        <v>0</v>
      </c>
      <c r="I103" s="58">
        <f t="shared" si="11"/>
        <v>0</v>
      </c>
    </row>
    <row r="104" spans="1:9" x14ac:dyDescent="0.15">
      <c r="A104" s="23">
        <v>103</v>
      </c>
      <c r="B104" s="56">
        <f t="shared" si="9"/>
        <v>89</v>
      </c>
      <c r="C104" s="56">
        <f t="shared" si="9"/>
        <v>158</v>
      </c>
      <c r="D104" s="27">
        <v>38475</v>
      </c>
      <c r="E104" s="56">
        <f t="shared" si="12"/>
        <v>60</v>
      </c>
      <c r="F104" s="65">
        <f t="shared" si="8"/>
        <v>103</v>
      </c>
      <c r="G104" s="61">
        <f t="shared" si="10"/>
        <v>1</v>
      </c>
      <c r="H104" s="58">
        <f t="shared" si="15"/>
        <v>0</v>
      </c>
      <c r="I104" s="58">
        <f t="shared" si="11"/>
        <v>0</v>
      </c>
    </row>
    <row r="105" spans="1:9" x14ac:dyDescent="0.15">
      <c r="A105" s="23">
        <v>104</v>
      </c>
      <c r="B105" s="56">
        <f t="shared" si="9"/>
        <v>89</v>
      </c>
      <c r="C105" s="56">
        <f t="shared" si="9"/>
        <v>159</v>
      </c>
      <c r="D105" s="27">
        <v>39067</v>
      </c>
      <c r="E105" s="56">
        <f t="shared" si="12"/>
        <v>60</v>
      </c>
      <c r="F105" s="65">
        <f t="shared" si="8"/>
        <v>104</v>
      </c>
      <c r="G105" s="61">
        <f t="shared" si="10"/>
        <v>0</v>
      </c>
      <c r="H105" s="58">
        <f t="shared" si="15"/>
        <v>1</v>
      </c>
      <c r="I105" s="58">
        <f t="shared" si="11"/>
        <v>0</v>
      </c>
    </row>
    <row r="106" spans="1:9" x14ac:dyDescent="0.15">
      <c r="A106" s="23">
        <v>105</v>
      </c>
      <c r="B106" s="56">
        <f t="shared" si="9"/>
        <v>91</v>
      </c>
      <c r="C106" s="56">
        <f t="shared" si="9"/>
        <v>159</v>
      </c>
      <c r="D106" s="27">
        <v>39660</v>
      </c>
      <c r="E106" s="56">
        <f t="shared" si="12"/>
        <v>60</v>
      </c>
      <c r="F106" s="65">
        <f t="shared" si="8"/>
        <v>105</v>
      </c>
      <c r="G106" s="61">
        <f t="shared" si="10"/>
        <v>2</v>
      </c>
      <c r="H106" s="58">
        <f t="shared" si="15"/>
        <v>0</v>
      </c>
      <c r="I106" s="58">
        <f t="shared" si="11"/>
        <v>0</v>
      </c>
    </row>
    <row r="107" spans="1:9" x14ac:dyDescent="0.15">
      <c r="A107" s="23">
        <v>106</v>
      </c>
      <c r="B107" s="56">
        <f t="shared" si="9"/>
        <v>91</v>
      </c>
      <c r="C107" s="56">
        <f t="shared" si="9"/>
        <v>159</v>
      </c>
      <c r="D107" s="27">
        <v>40257</v>
      </c>
      <c r="E107" s="56">
        <f t="shared" si="12"/>
        <v>60</v>
      </c>
      <c r="F107" s="65">
        <f t="shared" si="8"/>
        <v>106</v>
      </c>
      <c r="G107" s="61">
        <f t="shared" si="10"/>
        <v>0</v>
      </c>
      <c r="H107" s="58">
        <f t="shared" si="15"/>
        <v>0</v>
      </c>
      <c r="I107" s="58">
        <f t="shared" si="11"/>
        <v>0</v>
      </c>
    </row>
    <row r="108" spans="1:9" x14ac:dyDescent="0.15">
      <c r="A108" s="23">
        <v>107</v>
      </c>
      <c r="B108" s="56">
        <f t="shared" si="9"/>
        <v>92</v>
      </c>
      <c r="C108" s="56">
        <f t="shared" si="9"/>
        <v>159</v>
      </c>
      <c r="D108" s="27">
        <v>40856</v>
      </c>
      <c r="E108" s="56">
        <f t="shared" si="12"/>
        <v>60</v>
      </c>
      <c r="F108" s="65">
        <f t="shared" si="8"/>
        <v>107</v>
      </c>
      <c r="G108" s="61">
        <f t="shared" si="10"/>
        <v>1</v>
      </c>
      <c r="H108" s="58">
        <f t="shared" si="15"/>
        <v>0</v>
      </c>
      <c r="I108" s="58">
        <f t="shared" si="11"/>
        <v>0</v>
      </c>
    </row>
    <row r="109" spans="1:9" x14ac:dyDescent="0.15">
      <c r="A109" s="23">
        <v>108</v>
      </c>
      <c r="B109" s="56">
        <f t="shared" si="9"/>
        <v>92</v>
      </c>
      <c r="C109" s="56">
        <f t="shared" si="9"/>
        <v>160</v>
      </c>
      <c r="D109" s="27">
        <v>41457</v>
      </c>
      <c r="E109" s="56">
        <f t="shared" si="12"/>
        <v>60</v>
      </c>
      <c r="F109" s="65">
        <f t="shared" si="8"/>
        <v>108</v>
      </c>
      <c r="G109" s="61">
        <f t="shared" si="10"/>
        <v>0</v>
      </c>
      <c r="H109" s="58">
        <f t="shared" si="15"/>
        <v>1</v>
      </c>
      <c r="I109" s="58">
        <f t="shared" si="11"/>
        <v>0</v>
      </c>
    </row>
    <row r="110" spans="1:9" x14ac:dyDescent="0.15">
      <c r="A110" s="23">
        <v>109</v>
      </c>
      <c r="B110" s="56">
        <f t="shared" si="9"/>
        <v>93</v>
      </c>
      <c r="C110" s="56">
        <f t="shared" si="9"/>
        <v>160</v>
      </c>
      <c r="D110" s="27">
        <v>42061</v>
      </c>
      <c r="E110" s="56">
        <f t="shared" si="12"/>
        <v>60</v>
      </c>
      <c r="F110" s="65">
        <f t="shared" si="8"/>
        <v>109</v>
      </c>
      <c r="G110" s="61">
        <f t="shared" si="10"/>
        <v>1</v>
      </c>
      <c r="H110" s="58">
        <f t="shared" si="15"/>
        <v>0</v>
      </c>
      <c r="I110" s="58">
        <f t="shared" si="11"/>
        <v>0</v>
      </c>
    </row>
    <row r="111" spans="1:9" x14ac:dyDescent="0.15">
      <c r="A111" s="23">
        <v>110</v>
      </c>
      <c r="B111" s="56">
        <f t="shared" si="9"/>
        <v>93</v>
      </c>
      <c r="C111" s="56">
        <f t="shared" si="9"/>
        <v>160</v>
      </c>
      <c r="D111" s="27">
        <v>42667</v>
      </c>
      <c r="E111" s="56">
        <f t="shared" si="12"/>
        <v>60</v>
      </c>
      <c r="F111" s="65">
        <f t="shared" si="8"/>
        <v>110</v>
      </c>
      <c r="G111" s="61">
        <f t="shared" si="10"/>
        <v>0</v>
      </c>
      <c r="H111" s="58">
        <f t="shared" si="15"/>
        <v>0</v>
      </c>
      <c r="I111" s="58">
        <f t="shared" si="11"/>
        <v>0</v>
      </c>
    </row>
    <row r="112" spans="1:9" x14ac:dyDescent="0.15">
      <c r="A112" s="23">
        <v>111</v>
      </c>
      <c r="B112" s="56">
        <f t="shared" si="9"/>
        <v>94</v>
      </c>
      <c r="C112" s="56">
        <f t="shared" si="9"/>
        <v>160</v>
      </c>
      <c r="D112" s="27">
        <v>43275</v>
      </c>
      <c r="E112" s="56">
        <f t="shared" si="12"/>
        <v>60</v>
      </c>
      <c r="F112" s="65">
        <f t="shared" si="8"/>
        <v>111</v>
      </c>
      <c r="G112" s="61">
        <f t="shared" si="10"/>
        <v>1</v>
      </c>
      <c r="H112" s="58">
        <f t="shared" si="15"/>
        <v>0</v>
      </c>
      <c r="I112" s="58">
        <f t="shared" si="11"/>
        <v>0</v>
      </c>
    </row>
    <row r="113" spans="1:9" x14ac:dyDescent="0.15">
      <c r="A113" s="23">
        <v>112</v>
      </c>
      <c r="B113" s="56">
        <f t="shared" si="9"/>
        <v>94</v>
      </c>
      <c r="C113" s="56">
        <f t="shared" si="9"/>
        <v>161</v>
      </c>
      <c r="D113" s="27">
        <v>43886</v>
      </c>
      <c r="E113" s="56">
        <f t="shared" si="12"/>
        <v>60</v>
      </c>
      <c r="F113" s="65">
        <f t="shared" si="8"/>
        <v>112</v>
      </c>
      <c r="G113" s="61">
        <f t="shared" si="10"/>
        <v>0</v>
      </c>
      <c r="H113" s="58">
        <f t="shared" si="15"/>
        <v>1</v>
      </c>
      <c r="I113" s="58">
        <f t="shared" si="11"/>
        <v>0</v>
      </c>
    </row>
    <row r="114" spans="1:9" x14ac:dyDescent="0.15">
      <c r="A114" s="23">
        <v>113</v>
      </c>
      <c r="B114" s="56">
        <f t="shared" si="9"/>
        <v>95</v>
      </c>
      <c r="C114" s="56">
        <f t="shared" si="9"/>
        <v>161</v>
      </c>
      <c r="D114" s="27">
        <v>44499</v>
      </c>
      <c r="E114" s="56">
        <f t="shared" si="12"/>
        <v>60</v>
      </c>
      <c r="F114" s="65">
        <f t="shared" si="8"/>
        <v>113</v>
      </c>
      <c r="G114" s="61">
        <f t="shared" si="10"/>
        <v>1</v>
      </c>
      <c r="H114" s="58">
        <f t="shared" si="15"/>
        <v>0</v>
      </c>
      <c r="I114" s="58">
        <f t="shared" si="11"/>
        <v>0</v>
      </c>
    </row>
    <row r="115" spans="1:9" x14ac:dyDescent="0.15">
      <c r="A115" s="23">
        <v>114</v>
      </c>
      <c r="B115" s="56">
        <f t="shared" si="9"/>
        <v>95</v>
      </c>
      <c r="C115" s="56">
        <f t="shared" si="9"/>
        <v>161</v>
      </c>
      <c r="D115" s="27">
        <v>45114</v>
      </c>
      <c r="E115" s="56">
        <f t="shared" si="12"/>
        <v>60</v>
      </c>
      <c r="F115" s="65">
        <f t="shared" si="8"/>
        <v>114</v>
      </c>
      <c r="G115" s="61">
        <f t="shared" si="10"/>
        <v>0</v>
      </c>
      <c r="H115" s="58">
        <f t="shared" si="15"/>
        <v>0</v>
      </c>
      <c r="I115" s="58">
        <f t="shared" si="11"/>
        <v>0</v>
      </c>
    </row>
    <row r="116" spans="1:9" x14ac:dyDescent="0.15">
      <c r="A116" s="23">
        <v>115</v>
      </c>
      <c r="B116" s="56">
        <f t="shared" si="9"/>
        <v>96</v>
      </c>
      <c r="C116" s="56">
        <f t="shared" si="9"/>
        <v>161</v>
      </c>
      <c r="D116" s="27">
        <v>45732</v>
      </c>
      <c r="E116" s="56">
        <f t="shared" si="12"/>
        <v>60</v>
      </c>
      <c r="F116" s="65">
        <f t="shared" si="8"/>
        <v>115</v>
      </c>
      <c r="G116" s="61">
        <f t="shared" si="10"/>
        <v>1</v>
      </c>
      <c r="H116" s="58">
        <f t="shared" si="15"/>
        <v>0</v>
      </c>
      <c r="I116" s="58">
        <f t="shared" si="11"/>
        <v>0</v>
      </c>
    </row>
    <row r="117" spans="1:9" x14ac:dyDescent="0.15">
      <c r="A117" s="23">
        <v>116</v>
      </c>
      <c r="B117" s="56">
        <f t="shared" si="9"/>
        <v>96</v>
      </c>
      <c r="C117" s="56">
        <f t="shared" si="9"/>
        <v>162</v>
      </c>
      <c r="D117" s="27">
        <v>46351</v>
      </c>
      <c r="E117" s="56">
        <f t="shared" si="12"/>
        <v>60</v>
      </c>
      <c r="F117" s="65">
        <f t="shared" si="8"/>
        <v>116</v>
      </c>
      <c r="G117" s="61">
        <f t="shared" si="10"/>
        <v>0</v>
      </c>
      <c r="H117" s="58">
        <f t="shared" si="15"/>
        <v>1</v>
      </c>
      <c r="I117" s="58">
        <f t="shared" si="11"/>
        <v>0</v>
      </c>
    </row>
    <row r="118" spans="1:9" x14ac:dyDescent="0.15">
      <c r="A118" s="23">
        <v>117</v>
      </c>
      <c r="B118" s="56">
        <f t="shared" si="9"/>
        <v>97</v>
      </c>
      <c r="C118" s="56">
        <f t="shared" si="9"/>
        <v>162</v>
      </c>
      <c r="D118" s="27">
        <v>46973</v>
      </c>
      <c r="E118" s="56">
        <f t="shared" si="12"/>
        <v>60</v>
      </c>
      <c r="F118" s="65">
        <f t="shared" si="8"/>
        <v>117</v>
      </c>
      <c r="G118" s="61">
        <f t="shared" si="10"/>
        <v>1</v>
      </c>
      <c r="H118" s="58">
        <f t="shared" si="15"/>
        <v>0</v>
      </c>
      <c r="I118" s="58">
        <f t="shared" si="11"/>
        <v>0</v>
      </c>
    </row>
    <row r="119" spans="1:9" x14ac:dyDescent="0.15">
      <c r="A119" s="23">
        <v>118</v>
      </c>
      <c r="B119" s="56">
        <f t="shared" si="9"/>
        <v>97</v>
      </c>
      <c r="C119" s="56">
        <f t="shared" si="9"/>
        <v>162</v>
      </c>
      <c r="D119" s="27">
        <v>47597</v>
      </c>
      <c r="E119" s="56">
        <f t="shared" si="12"/>
        <v>60</v>
      </c>
      <c r="F119" s="65">
        <f t="shared" si="8"/>
        <v>118</v>
      </c>
      <c r="G119" s="61">
        <f t="shared" si="10"/>
        <v>0</v>
      </c>
      <c r="H119" s="58">
        <f t="shared" si="15"/>
        <v>0</v>
      </c>
      <c r="I119" s="58">
        <f t="shared" si="11"/>
        <v>0</v>
      </c>
    </row>
    <row r="120" spans="1:9" x14ac:dyDescent="0.15">
      <c r="A120" s="23">
        <v>119</v>
      </c>
      <c r="B120" s="56">
        <f t="shared" si="9"/>
        <v>98</v>
      </c>
      <c r="C120" s="56">
        <f t="shared" si="9"/>
        <v>162</v>
      </c>
      <c r="D120" s="27">
        <v>48223</v>
      </c>
      <c r="E120" s="56">
        <f t="shared" si="12"/>
        <v>60</v>
      </c>
      <c r="F120" s="65">
        <f t="shared" si="8"/>
        <v>119</v>
      </c>
      <c r="G120" s="61">
        <f t="shared" si="10"/>
        <v>1</v>
      </c>
      <c r="H120" s="58">
        <f t="shared" si="15"/>
        <v>0</v>
      </c>
      <c r="I120" s="58">
        <f t="shared" si="11"/>
        <v>0</v>
      </c>
    </row>
    <row r="121" spans="1:9" x14ac:dyDescent="0.15">
      <c r="A121" s="23">
        <v>120</v>
      </c>
      <c r="B121" s="56">
        <f t="shared" si="9"/>
        <v>98</v>
      </c>
      <c r="C121" s="56">
        <f t="shared" si="9"/>
        <v>163</v>
      </c>
      <c r="D121" s="27">
        <v>48852</v>
      </c>
      <c r="E121" s="56">
        <f t="shared" si="12"/>
        <v>60</v>
      </c>
      <c r="F121" s="65">
        <f t="shared" si="8"/>
        <v>120</v>
      </c>
      <c r="G121" s="61">
        <f t="shared" si="10"/>
        <v>0</v>
      </c>
      <c r="H121" s="58">
        <f t="shared" si="15"/>
        <v>1</v>
      </c>
      <c r="I121" s="58">
        <f t="shared" si="11"/>
        <v>0</v>
      </c>
    </row>
    <row r="122" spans="1:9" x14ac:dyDescent="0.15">
      <c r="A122" s="23">
        <v>121</v>
      </c>
      <c r="B122" s="56">
        <f t="shared" si="9"/>
        <v>99</v>
      </c>
      <c r="C122" s="56">
        <f t="shared" si="9"/>
        <v>163</v>
      </c>
      <c r="D122" s="27">
        <v>49482</v>
      </c>
      <c r="E122" s="56">
        <f t="shared" si="12"/>
        <v>60</v>
      </c>
      <c r="F122" s="65">
        <f t="shared" si="8"/>
        <v>121</v>
      </c>
      <c r="G122" s="61">
        <f t="shared" si="10"/>
        <v>1</v>
      </c>
      <c r="H122" s="58">
        <f t="shared" si="15"/>
        <v>0</v>
      </c>
      <c r="I122" s="58">
        <f t="shared" si="11"/>
        <v>0</v>
      </c>
    </row>
    <row r="123" spans="1:9" x14ac:dyDescent="0.15">
      <c r="A123" s="23">
        <v>122</v>
      </c>
      <c r="B123" s="56">
        <f t="shared" si="9"/>
        <v>99</v>
      </c>
      <c r="C123" s="56">
        <f t="shared" si="9"/>
        <v>163</v>
      </c>
      <c r="D123" s="27">
        <v>50114</v>
      </c>
      <c r="E123" s="56">
        <f t="shared" si="12"/>
        <v>60</v>
      </c>
      <c r="F123" s="65">
        <f t="shared" si="8"/>
        <v>122</v>
      </c>
      <c r="G123" s="61">
        <f t="shared" si="10"/>
        <v>0</v>
      </c>
      <c r="H123" s="58">
        <f t="shared" si="15"/>
        <v>0</v>
      </c>
      <c r="I123" s="58">
        <f t="shared" si="11"/>
        <v>0</v>
      </c>
    </row>
    <row r="124" spans="1:9" x14ac:dyDescent="0.15">
      <c r="A124" s="23">
        <v>123</v>
      </c>
      <c r="B124" s="56">
        <f t="shared" si="9"/>
        <v>100</v>
      </c>
      <c r="C124" s="56">
        <f t="shared" si="9"/>
        <v>163</v>
      </c>
      <c r="D124" s="27">
        <v>50749</v>
      </c>
      <c r="E124" s="56">
        <f t="shared" si="12"/>
        <v>60</v>
      </c>
      <c r="F124" s="65">
        <f t="shared" si="8"/>
        <v>123</v>
      </c>
      <c r="G124" s="61">
        <f t="shared" si="10"/>
        <v>1</v>
      </c>
      <c r="H124" s="58">
        <f t="shared" si="15"/>
        <v>0</v>
      </c>
      <c r="I124" s="58">
        <f t="shared" si="11"/>
        <v>0</v>
      </c>
    </row>
    <row r="125" spans="1:9" x14ac:dyDescent="0.15">
      <c r="A125" s="23">
        <v>124</v>
      </c>
      <c r="B125" s="56">
        <f t="shared" si="9"/>
        <v>100</v>
      </c>
      <c r="C125" s="56">
        <f t="shared" si="9"/>
        <v>164</v>
      </c>
      <c r="D125" s="27">
        <v>51385</v>
      </c>
      <c r="E125" s="56">
        <f t="shared" si="12"/>
        <v>60</v>
      </c>
      <c r="F125" s="65">
        <f t="shared" si="8"/>
        <v>124</v>
      </c>
      <c r="G125" s="61">
        <f t="shared" si="10"/>
        <v>0</v>
      </c>
      <c r="H125" s="58">
        <f t="shared" si="15"/>
        <v>1</v>
      </c>
      <c r="I125" s="58">
        <f t="shared" si="11"/>
        <v>0</v>
      </c>
    </row>
    <row r="126" spans="1:9" x14ac:dyDescent="0.15">
      <c r="A126" s="23">
        <v>125</v>
      </c>
      <c r="B126" s="56">
        <f t="shared" si="9"/>
        <v>101</v>
      </c>
      <c r="C126" s="56">
        <f t="shared" si="9"/>
        <v>164</v>
      </c>
      <c r="D126" s="27">
        <v>52023</v>
      </c>
      <c r="E126" s="56">
        <f t="shared" si="12"/>
        <v>60</v>
      </c>
      <c r="F126" s="65">
        <f t="shared" si="8"/>
        <v>125</v>
      </c>
      <c r="G126" s="61">
        <f t="shared" si="10"/>
        <v>1</v>
      </c>
      <c r="H126" s="58">
        <f t="shared" si="15"/>
        <v>0</v>
      </c>
      <c r="I126" s="58">
        <f t="shared" si="11"/>
        <v>0</v>
      </c>
    </row>
    <row r="127" spans="1:9" x14ac:dyDescent="0.15">
      <c r="A127" s="23">
        <v>126</v>
      </c>
      <c r="B127" s="56">
        <f t="shared" si="9"/>
        <v>101</v>
      </c>
      <c r="C127" s="56">
        <f t="shared" si="9"/>
        <v>164</v>
      </c>
      <c r="D127" s="27">
        <v>52664</v>
      </c>
      <c r="E127" s="56">
        <f t="shared" si="12"/>
        <v>60</v>
      </c>
      <c r="F127" s="65">
        <f t="shared" si="8"/>
        <v>126</v>
      </c>
      <c r="G127" s="61">
        <f t="shared" si="10"/>
        <v>0</v>
      </c>
      <c r="H127" s="58">
        <f t="shared" si="15"/>
        <v>0</v>
      </c>
      <c r="I127" s="58">
        <f t="shared" si="11"/>
        <v>0</v>
      </c>
    </row>
    <row r="128" spans="1:9" x14ac:dyDescent="0.15">
      <c r="A128" s="23">
        <v>127</v>
      </c>
      <c r="B128" s="56">
        <f t="shared" si="9"/>
        <v>102</v>
      </c>
      <c r="C128" s="56">
        <f t="shared" si="9"/>
        <v>164</v>
      </c>
      <c r="D128" s="27">
        <v>53306</v>
      </c>
      <c r="E128" s="56">
        <f t="shared" si="12"/>
        <v>60</v>
      </c>
      <c r="F128" s="65">
        <f t="shared" si="8"/>
        <v>127</v>
      </c>
      <c r="G128" s="61">
        <f t="shared" si="10"/>
        <v>1</v>
      </c>
      <c r="H128" s="58">
        <f>IF($A128&gt;=slow,IF(MOD($A128,upper)=0,slow_upper,0),IF($A128&gt;medium,IF(MOD($A128,bonus)=0,medium_bonus,IF(MOD($A128,upper)=0,medium_upper,IF(MOD($A128,up)=0,medium_up,0))),IF(MOD($A128,bonus)=0,fast_bonus,IF(MOD($A128,upper)=0,fast_upper,IF(MOD($A128,up)=0,fast_up,0)))))</f>
        <v>0</v>
      </c>
      <c r="I128" s="58">
        <f t="shared" si="11"/>
        <v>0</v>
      </c>
    </row>
    <row r="129" spans="1:9" x14ac:dyDescent="0.15">
      <c r="A129" s="23">
        <v>128</v>
      </c>
      <c r="B129" s="56">
        <f t="shared" si="9"/>
        <v>102</v>
      </c>
      <c r="C129" s="55">
        <f t="shared" si="9"/>
        <v>165</v>
      </c>
      <c r="D129" s="27">
        <v>53950</v>
      </c>
      <c r="E129" s="56">
        <f t="shared" si="12"/>
        <v>60</v>
      </c>
      <c r="F129" s="65">
        <f t="shared" si="8"/>
        <v>128</v>
      </c>
      <c r="G129" s="61">
        <f t="shared" si="10"/>
        <v>0</v>
      </c>
      <c r="H129" s="58">
        <f t="shared" si="15"/>
        <v>1</v>
      </c>
      <c r="I129" s="58">
        <f t="shared" si="11"/>
        <v>0</v>
      </c>
    </row>
    <row r="130" spans="1:9" x14ac:dyDescent="0.15">
      <c r="A130" s="23">
        <v>129</v>
      </c>
      <c r="B130" s="56">
        <f t="shared" si="9"/>
        <v>103</v>
      </c>
      <c r="C130" s="56">
        <f t="shared" si="9"/>
        <v>165</v>
      </c>
      <c r="D130" s="27">
        <v>54596</v>
      </c>
      <c r="E130" s="56">
        <f t="shared" si="12"/>
        <v>60</v>
      </c>
      <c r="F130" s="65">
        <f t="shared" ref="F130:F193" si="16">A130</f>
        <v>129</v>
      </c>
      <c r="G130" s="61">
        <f t="shared" si="10"/>
        <v>1</v>
      </c>
      <c r="H130" s="58">
        <f t="shared" ref="H130:H193" si="17">IF($A130&gt;=slow,IF(MOD($A130,upper)=0,slow_upper,0),IF($A130&gt;medium,IF(MOD($A130,bonus)=0,medium_bonus,IF(MOD($A130,upper)=0,medium_upper,IF(MOD($A130,up)=0,medium_up,0))),IF(MOD($A130,bonus)=0,fast_bonus,IF(MOD($A130,upper)=0,fast_upper,IF(MOD($A130,up)=0,fast_up,0)))))</f>
        <v>0</v>
      </c>
      <c r="I130" s="58">
        <f t="shared" si="11"/>
        <v>0</v>
      </c>
    </row>
    <row r="131" spans="1:9" x14ac:dyDescent="0.15">
      <c r="A131" s="23">
        <v>130</v>
      </c>
      <c r="B131" s="56">
        <f t="shared" ref="B131:C194" si="18">B130+G131</f>
        <v>103</v>
      </c>
      <c r="C131" s="56">
        <f t="shared" si="18"/>
        <v>165</v>
      </c>
      <c r="D131" s="27">
        <v>55243</v>
      </c>
      <c r="E131" s="56">
        <f t="shared" si="12"/>
        <v>60</v>
      </c>
      <c r="F131" s="65">
        <f t="shared" si="16"/>
        <v>130</v>
      </c>
      <c r="G131" s="61">
        <f t="shared" ref="G131:G194" si="19">IF(A131&gt;=106, IF(MOD(A131,2)=0,0,1), IF(A131 &gt;= 65, IF(MOD(A131, 2) =0,0, IF(MOD(A131,5)= 0, 2, 1)), IF(MOD(A131, 2) =0,0, IF(MOD(A131,5)= 0, 5, 1))))</f>
        <v>0</v>
      </c>
      <c r="H131" s="58">
        <f t="shared" si="17"/>
        <v>0</v>
      </c>
      <c r="I131" s="58">
        <f t="shared" ref="I131:I194" si="20">IF($A131&gt;=51,0,IF($A131&gt;=30,IF(MOD($A131,5)=0,1,0),IF($A131&gt;=11,IF(MOD($A131,5)=0,3,IF(MOD($A131,2)=0,1,0)),IF(MOD($A131,5)=0,5,IF(MOD($A131,2)=0,2,0)))))</f>
        <v>0</v>
      </c>
    </row>
    <row r="132" spans="1:9" x14ac:dyDescent="0.15">
      <c r="A132" s="23">
        <v>131</v>
      </c>
      <c r="B132" s="56">
        <f t="shared" si="18"/>
        <v>104</v>
      </c>
      <c r="C132" s="56">
        <f t="shared" si="18"/>
        <v>165</v>
      </c>
      <c r="D132" s="27">
        <v>55893</v>
      </c>
      <c r="E132" s="56">
        <f t="shared" ref="E132:E195" si="21">E131+I132</f>
        <v>60</v>
      </c>
      <c r="F132" s="65">
        <f t="shared" si="16"/>
        <v>131</v>
      </c>
      <c r="G132" s="61">
        <f t="shared" si="19"/>
        <v>1</v>
      </c>
      <c r="H132" s="58">
        <f t="shared" si="17"/>
        <v>0</v>
      </c>
      <c r="I132" s="58">
        <f t="shared" si="20"/>
        <v>0</v>
      </c>
    </row>
    <row r="133" spans="1:9" x14ac:dyDescent="0.15">
      <c r="A133" s="23">
        <v>132</v>
      </c>
      <c r="B133" s="56">
        <f t="shared" si="18"/>
        <v>104</v>
      </c>
      <c r="C133" s="56">
        <f t="shared" si="18"/>
        <v>166</v>
      </c>
      <c r="D133" s="27">
        <v>56544</v>
      </c>
      <c r="E133" s="56">
        <f t="shared" si="21"/>
        <v>60</v>
      </c>
      <c r="F133" s="65">
        <f t="shared" si="16"/>
        <v>132</v>
      </c>
      <c r="G133" s="61">
        <f t="shared" si="19"/>
        <v>0</v>
      </c>
      <c r="H133" s="58">
        <f t="shared" si="17"/>
        <v>1</v>
      </c>
      <c r="I133" s="58">
        <f t="shared" si="20"/>
        <v>0</v>
      </c>
    </row>
    <row r="134" spans="1:9" x14ac:dyDescent="0.15">
      <c r="A134" s="23">
        <v>133</v>
      </c>
      <c r="B134" s="56">
        <f t="shared" si="18"/>
        <v>105</v>
      </c>
      <c r="C134" s="56">
        <f t="shared" si="18"/>
        <v>166</v>
      </c>
      <c r="D134" s="27">
        <v>57197</v>
      </c>
      <c r="E134" s="56">
        <f t="shared" si="21"/>
        <v>60</v>
      </c>
      <c r="F134" s="65">
        <f t="shared" si="16"/>
        <v>133</v>
      </c>
      <c r="G134" s="61">
        <f t="shared" si="19"/>
        <v>1</v>
      </c>
      <c r="H134" s="58">
        <f t="shared" si="17"/>
        <v>0</v>
      </c>
      <c r="I134" s="58">
        <f t="shared" si="20"/>
        <v>0</v>
      </c>
    </row>
    <row r="135" spans="1:9" x14ac:dyDescent="0.15">
      <c r="A135" s="23">
        <v>134</v>
      </c>
      <c r="B135" s="56">
        <f t="shared" si="18"/>
        <v>105</v>
      </c>
      <c r="C135" s="56">
        <f t="shared" si="18"/>
        <v>166</v>
      </c>
      <c r="D135" s="27">
        <v>57852</v>
      </c>
      <c r="E135" s="56">
        <f t="shared" si="21"/>
        <v>60</v>
      </c>
      <c r="F135" s="65">
        <f t="shared" si="16"/>
        <v>134</v>
      </c>
      <c r="G135" s="61">
        <f t="shared" si="19"/>
        <v>0</v>
      </c>
      <c r="H135" s="58">
        <f t="shared" si="17"/>
        <v>0</v>
      </c>
      <c r="I135" s="58">
        <f t="shared" si="20"/>
        <v>0</v>
      </c>
    </row>
    <row r="136" spans="1:9" x14ac:dyDescent="0.15">
      <c r="A136" s="23">
        <v>135</v>
      </c>
      <c r="B136" s="56">
        <f t="shared" si="18"/>
        <v>106</v>
      </c>
      <c r="C136" s="56">
        <f t="shared" si="18"/>
        <v>166</v>
      </c>
      <c r="D136" s="27">
        <v>58509</v>
      </c>
      <c r="E136" s="56">
        <f t="shared" si="21"/>
        <v>60</v>
      </c>
      <c r="F136" s="65">
        <f t="shared" si="16"/>
        <v>135</v>
      </c>
      <c r="G136" s="61">
        <f t="shared" si="19"/>
        <v>1</v>
      </c>
      <c r="H136" s="58">
        <f t="shared" si="17"/>
        <v>0</v>
      </c>
      <c r="I136" s="58">
        <f t="shared" si="20"/>
        <v>0</v>
      </c>
    </row>
    <row r="137" spans="1:9" x14ac:dyDescent="0.15">
      <c r="A137" s="23">
        <v>136</v>
      </c>
      <c r="B137" s="56">
        <f t="shared" si="18"/>
        <v>106</v>
      </c>
      <c r="C137" s="56">
        <f t="shared" si="18"/>
        <v>167</v>
      </c>
      <c r="D137" s="27">
        <v>59167</v>
      </c>
      <c r="E137" s="56">
        <f t="shared" si="21"/>
        <v>60</v>
      </c>
      <c r="F137" s="65">
        <f t="shared" si="16"/>
        <v>136</v>
      </c>
      <c r="G137" s="61">
        <f t="shared" si="19"/>
        <v>0</v>
      </c>
      <c r="H137" s="58">
        <f t="shared" si="17"/>
        <v>1</v>
      </c>
      <c r="I137" s="58">
        <f t="shared" si="20"/>
        <v>0</v>
      </c>
    </row>
    <row r="138" spans="1:9" x14ac:dyDescent="0.15">
      <c r="A138" s="23">
        <v>137</v>
      </c>
      <c r="B138" s="56">
        <f t="shared" si="18"/>
        <v>107</v>
      </c>
      <c r="C138" s="56">
        <f t="shared" si="18"/>
        <v>167</v>
      </c>
      <c r="D138" s="27">
        <v>59826</v>
      </c>
      <c r="E138" s="56">
        <f t="shared" si="21"/>
        <v>60</v>
      </c>
      <c r="F138" s="65">
        <f t="shared" si="16"/>
        <v>137</v>
      </c>
      <c r="G138" s="61">
        <f t="shared" si="19"/>
        <v>1</v>
      </c>
      <c r="H138" s="58">
        <f t="shared" si="17"/>
        <v>0</v>
      </c>
      <c r="I138" s="58">
        <f t="shared" si="20"/>
        <v>0</v>
      </c>
    </row>
    <row r="139" spans="1:9" x14ac:dyDescent="0.15">
      <c r="A139" s="23">
        <v>138</v>
      </c>
      <c r="B139" s="56">
        <f t="shared" si="18"/>
        <v>107</v>
      </c>
      <c r="C139" s="56">
        <f t="shared" si="18"/>
        <v>167</v>
      </c>
      <c r="D139" s="27">
        <v>60488</v>
      </c>
      <c r="E139" s="56">
        <f t="shared" si="21"/>
        <v>60</v>
      </c>
      <c r="F139" s="65">
        <f t="shared" si="16"/>
        <v>138</v>
      </c>
      <c r="G139" s="61">
        <f t="shared" si="19"/>
        <v>0</v>
      </c>
      <c r="H139" s="58">
        <f t="shared" si="17"/>
        <v>0</v>
      </c>
      <c r="I139" s="58">
        <f t="shared" si="20"/>
        <v>0</v>
      </c>
    </row>
    <row r="140" spans="1:9" x14ac:dyDescent="0.15">
      <c r="A140" s="23">
        <v>139</v>
      </c>
      <c r="B140" s="56">
        <f t="shared" si="18"/>
        <v>108</v>
      </c>
      <c r="C140" s="56">
        <f t="shared" si="18"/>
        <v>167</v>
      </c>
      <c r="D140" s="27">
        <v>61151</v>
      </c>
      <c r="E140" s="56">
        <f t="shared" si="21"/>
        <v>60</v>
      </c>
      <c r="F140" s="65">
        <f t="shared" si="16"/>
        <v>139</v>
      </c>
      <c r="G140" s="61">
        <f t="shared" si="19"/>
        <v>1</v>
      </c>
      <c r="H140" s="58">
        <f t="shared" si="17"/>
        <v>0</v>
      </c>
      <c r="I140" s="58">
        <f t="shared" si="20"/>
        <v>0</v>
      </c>
    </row>
    <row r="141" spans="1:9" x14ac:dyDescent="0.15">
      <c r="A141" s="23">
        <v>140</v>
      </c>
      <c r="B141" s="56">
        <f t="shared" si="18"/>
        <v>108</v>
      </c>
      <c r="C141" s="56">
        <f t="shared" si="18"/>
        <v>168</v>
      </c>
      <c r="D141" s="27">
        <v>61815</v>
      </c>
      <c r="E141" s="56">
        <f t="shared" si="21"/>
        <v>60</v>
      </c>
      <c r="F141" s="65">
        <f t="shared" si="16"/>
        <v>140</v>
      </c>
      <c r="G141" s="61">
        <f t="shared" si="19"/>
        <v>0</v>
      </c>
      <c r="H141" s="58">
        <f t="shared" si="17"/>
        <v>1</v>
      </c>
      <c r="I141" s="58">
        <f t="shared" si="20"/>
        <v>0</v>
      </c>
    </row>
    <row r="142" spans="1:9" x14ac:dyDescent="0.15">
      <c r="A142" s="23">
        <v>141</v>
      </c>
      <c r="B142" s="56">
        <f t="shared" si="18"/>
        <v>109</v>
      </c>
      <c r="C142" s="56">
        <f t="shared" si="18"/>
        <v>168</v>
      </c>
      <c r="D142" s="27">
        <v>62481</v>
      </c>
      <c r="E142" s="56">
        <f t="shared" si="21"/>
        <v>60</v>
      </c>
      <c r="F142" s="65">
        <f t="shared" si="16"/>
        <v>141</v>
      </c>
      <c r="G142" s="61">
        <f t="shared" si="19"/>
        <v>1</v>
      </c>
      <c r="H142" s="58">
        <f t="shared" si="17"/>
        <v>0</v>
      </c>
      <c r="I142" s="58">
        <f t="shared" si="20"/>
        <v>0</v>
      </c>
    </row>
    <row r="143" spans="1:9" x14ac:dyDescent="0.15">
      <c r="A143" s="23">
        <v>142</v>
      </c>
      <c r="B143" s="56">
        <f t="shared" si="18"/>
        <v>109</v>
      </c>
      <c r="C143" s="56">
        <f t="shared" si="18"/>
        <v>168</v>
      </c>
      <c r="D143" s="27">
        <v>63148</v>
      </c>
      <c r="E143" s="56">
        <f t="shared" si="21"/>
        <v>60</v>
      </c>
      <c r="F143" s="65">
        <f t="shared" si="16"/>
        <v>142</v>
      </c>
      <c r="G143" s="61">
        <f t="shared" si="19"/>
        <v>0</v>
      </c>
      <c r="H143" s="58">
        <f t="shared" si="17"/>
        <v>0</v>
      </c>
      <c r="I143" s="58">
        <f t="shared" si="20"/>
        <v>0</v>
      </c>
    </row>
    <row r="144" spans="1:9" x14ac:dyDescent="0.15">
      <c r="A144" s="23">
        <v>143</v>
      </c>
      <c r="B144" s="56">
        <f t="shared" si="18"/>
        <v>110</v>
      </c>
      <c r="C144" s="56">
        <f t="shared" si="18"/>
        <v>168</v>
      </c>
      <c r="D144" s="27">
        <v>63817</v>
      </c>
      <c r="E144" s="56">
        <f t="shared" si="21"/>
        <v>60</v>
      </c>
      <c r="F144" s="65">
        <f t="shared" si="16"/>
        <v>143</v>
      </c>
      <c r="G144" s="61">
        <f t="shared" si="19"/>
        <v>1</v>
      </c>
      <c r="H144" s="58">
        <f t="shared" si="17"/>
        <v>0</v>
      </c>
      <c r="I144" s="58">
        <f t="shared" si="20"/>
        <v>0</v>
      </c>
    </row>
    <row r="145" spans="1:9" x14ac:dyDescent="0.15">
      <c r="A145" s="23">
        <v>144</v>
      </c>
      <c r="B145" s="56">
        <f t="shared" si="18"/>
        <v>110</v>
      </c>
      <c r="C145" s="56">
        <f t="shared" si="18"/>
        <v>169</v>
      </c>
      <c r="D145" s="27">
        <v>64487</v>
      </c>
      <c r="E145" s="56">
        <f t="shared" si="21"/>
        <v>60</v>
      </c>
      <c r="F145" s="65">
        <f t="shared" si="16"/>
        <v>144</v>
      </c>
      <c r="G145" s="61">
        <f t="shared" si="19"/>
        <v>0</v>
      </c>
      <c r="H145" s="58">
        <f t="shared" si="17"/>
        <v>1</v>
      </c>
      <c r="I145" s="58">
        <f t="shared" si="20"/>
        <v>0</v>
      </c>
    </row>
    <row r="146" spans="1:9" x14ac:dyDescent="0.15">
      <c r="A146" s="23">
        <v>145</v>
      </c>
      <c r="B146" s="56">
        <f t="shared" si="18"/>
        <v>111</v>
      </c>
      <c r="C146" s="56">
        <f t="shared" si="18"/>
        <v>169</v>
      </c>
      <c r="D146" s="27">
        <v>65159</v>
      </c>
      <c r="E146" s="56">
        <f t="shared" si="21"/>
        <v>60</v>
      </c>
      <c r="F146" s="65">
        <f t="shared" si="16"/>
        <v>145</v>
      </c>
      <c r="G146" s="61">
        <f t="shared" si="19"/>
        <v>1</v>
      </c>
      <c r="H146" s="58">
        <f t="shared" si="17"/>
        <v>0</v>
      </c>
      <c r="I146" s="58">
        <f t="shared" si="20"/>
        <v>0</v>
      </c>
    </row>
    <row r="147" spans="1:9" x14ac:dyDescent="0.15">
      <c r="A147" s="23">
        <v>146</v>
      </c>
      <c r="B147" s="56">
        <f t="shared" si="18"/>
        <v>111</v>
      </c>
      <c r="C147" s="56">
        <f t="shared" si="18"/>
        <v>169</v>
      </c>
      <c r="D147" s="27">
        <v>65832</v>
      </c>
      <c r="E147" s="56">
        <f t="shared" si="21"/>
        <v>60</v>
      </c>
      <c r="F147" s="65">
        <f t="shared" si="16"/>
        <v>146</v>
      </c>
      <c r="G147" s="61">
        <f t="shared" si="19"/>
        <v>0</v>
      </c>
      <c r="H147" s="58">
        <f t="shared" si="17"/>
        <v>0</v>
      </c>
      <c r="I147" s="58">
        <f t="shared" si="20"/>
        <v>0</v>
      </c>
    </row>
    <row r="148" spans="1:9" x14ac:dyDescent="0.15">
      <c r="A148" s="23">
        <v>147</v>
      </c>
      <c r="B148" s="56">
        <f t="shared" si="18"/>
        <v>112</v>
      </c>
      <c r="C148" s="56">
        <f t="shared" si="18"/>
        <v>169</v>
      </c>
      <c r="D148" s="27">
        <v>66506</v>
      </c>
      <c r="E148" s="56">
        <f t="shared" si="21"/>
        <v>60</v>
      </c>
      <c r="F148" s="65">
        <f t="shared" si="16"/>
        <v>147</v>
      </c>
      <c r="G148" s="61">
        <f t="shared" si="19"/>
        <v>1</v>
      </c>
      <c r="H148" s="58">
        <f t="shared" si="17"/>
        <v>0</v>
      </c>
      <c r="I148" s="58">
        <f t="shared" si="20"/>
        <v>0</v>
      </c>
    </row>
    <row r="149" spans="1:9" x14ac:dyDescent="0.15">
      <c r="A149" s="23">
        <v>148</v>
      </c>
      <c r="B149" s="56">
        <f t="shared" si="18"/>
        <v>112</v>
      </c>
      <c r="C149" s="56">
        <f t="shared" si="18"/>
        <v>170</v>
      </c>
      <c r="D149" s="27">
        <v>67182</v>
      </c>
      <c r="E149" s="56">
        <f t="shared" si="21"/>
        <v>60</v>
      </c>
      <c r="F149" s="65">
        <f t="shared" si="16"/>
        <v>148</v>
      </c>
      <c r="G149" s="61">
        <f t="shared" si="19"/>
        <v>0</v>
      </c>
      <c r="H149" s="58">
        <f t="shared" si="17"/>
        <v>1</v>
      </c>
      <c r="I149" s="58">
        <f t="shared" si="20"/>
        <v>0</v>
      </c>
    </row>
    <row r="150" spans="1:9" x14ac:dyDescent="0.15">
      <c r="A150" s="23">
        <v>149</v>
      </c>
      <c r="B150" s="56">
        <f t="shared" si="18"/>
        <v>113</v>
      </c>
      <c r="C150" s="56">
        <f t="shared" si="18"/>
        <v>170</v>
      </c>
      <c r="D150" s="27">
        <v>67859</v>
      </c>
      <c r="E150" s="56">
        <f t="shared" si="21"/>
        <v>60</v>
      </c>
      <c r="F150" s="65">
        <f t="shared" si="16"/>
        <v>149</v>
      </c>
      <c r="G150" s="61">
        <f t="shared" si="19"/>
        <v>1</v>
      </c>
      <c r="H150" s="58">
        <f t="shared" si="17"/>
        <v>0</v>
      </c>
      <c r="I150" s="58">
        <f t="shared" si="20"/>
        <v>0</v>
      </c>
    </row>
    <row r="151" spans="1:9" x14ac:dyDescent="0.15">
      <c r="A151" s="23">
        <v>150</v>
      </c>
      <c r="B151" s="56">
        <f t="shared" si="18"/>
        <v>113</v>
      </c>
      <c r="C151" s="56">
        <f t="shared" si="18"/>
        <v>170</v>
      </c>
      <c r="D151" s="27">
        <v>68537</v>
      </c>
      <c r="E151" s="56">
        <f t="shared" si="21"/>
        <v>60</v>
      </c>
      <c r="F151" s="65">
        <f t="shared" si="16"/>
        <v>150</v>
      </c>
      <c r="G151" s="61">
        <f t="shared" si="19"/>
        <v>0</v>
      </c>
      <c r="H151" s="58">
        <f t="shared" si="17"/>
        <v>0</v>
      </c>
      <c r="I151" s="58">
        <f t="shared" si="20"/>
        <v>0</v>
      </c>
    </row>
    <row r="152" spans="1:9" x14ac:dyDescent="0.15">
      <c r="A152" s="23">
        <v>151</v>
      </c>
      <c r="B152" s="56">
        <f t="shared" si="18"/>
        <v>114</v>
      </c>
      <c r="C152" s="56">
        <f t="shared" si="18"/>
        <v>170</v>
      </c>
      <c r="D152" s="27">
        <v>69216</v>
      </c>
      <c r="E152" s="56">
        <f t="shared" si="21"/>
        <v>60</v>
      </c>
      <c r="F152" s="65">
        <f t="shared" si="16"/>
        <v>151</v>
      </c>
      <c r="G152" s="61">
        <f t="shared" si="19"/>
        <v>1</v>
      </c>
      <c r="H152" s="58">
        <f t="shared" si="17"/>
        <v>0</v>
      </c>
      <c r="I152" s="58">
        <f t="shared" si="20"/>
        <v>0</v>
      </c>
    </row>
    <row r="153" spans="1:9" x14ac:dyDescent="0.15">
      <c r="A153" s="23">
        <v>152</v>
      </c>
      <c r="B153" s="56">
        <f t="shared" si="18"/>
        <v>114</v>
      </c>
      <c r="C153" s="56">
        <f t="shared" si="18"/>
        <v>171</v>
      </c>
      <c r="D153" s="27">
        <v>69896</v>
      </c>
      <c r="E153" s="56">
        <f t="shared" si="21"/>
        <v>60</v>
      </c>
      <c r="F153" s="65">
        <f t="shared" si="16"/>
        <v>152</v>
      </c>
      <c r="G153" s="61">
        <f t="shared" si="19"/>
        <v>0</v>
      </c>
      <c r="H153" s="58">
        <f t="shared" si="17"/>
        <v>1</v>
      </c>
      <c r="I153" s="58">
        <f t="shared" si="20"/>
        <v>0</v>
      </c>
    </row>
    <row r="154" spans="1:9" x14ac:dyDescent="0.15">
      <c r="A154" s="23">
        <v>153</v>
      </c>
      <c r="B154" s="56">
        <f t="shared" si="18"/>
        <v>115</v>
      </c>
      <c r="C154" s="56">
        <f t="shared" si="18"/>
        <v>171</v>
      </c>
      <c r="D154" s="27">
        <v>70577</v>
      </c>
      <c r="E154" s="56">
        <f t="shared" si="21"/>
        <v>60</v>
      </c>
      <c r="F154" s="65">
        <f t="shared" si="16"/>
        <v>153</v>
      </c>
      <c r="G154" s="61">
        <f t="shared" si="19"/>
        <v>1</v>
      </c>
      <c r="H154" s="58">
        <f t="shared" si="17"/>
        <v>0</v>
      </c>
      <c r="I154" s="58">
        <f t="shared" si="20"/>
        <v>0</v>
      </c>
    </row>
    <row r="155" spans="1:9" x14ac:dyDescent="0.15">
      <c r="A155" s="23">
        <v>154</v>
      </c>
      <c r="B155" s="56">
        <f t="shared" si="18"/>
        <v>115</v>
      </c>
      <c r="C155" s="56">
        <f t="shared" si="18"/>
        <v>171</v>
      </c>
      <c r="D155" s="27">
        <v>71260</v>
      </c>
      <c r="E155" s="56">
        <f t="shared" si="21"/>
        <v>60</v>
      </c>
      <c r="F155" s="65">
        <f t="shared" si="16"/>
        <v>154</v>
      </c>
      <c r="G155" s="61">
        <f t="shared" si="19"/>
        <v>0</v>
      </c>
      <c r="H155" s="58">
        <f t="shared" si="17"/>
        <v>0</v>
      </c>
      <c r="I155" s="58">
        <f t="shared" si="20"/>
        <v>0</v>
      </c>
    </row>
    <row r="156" spans="1:9" x14ac:dyDescent="0.15">
      <c r="A156" s="23">
        <v>155</v>
      </c>
      <c r="B156" s="56">
        <f t="shared" si="18"/>
        <v>116</v>
      </c>
      <c r="C156" s="56">
        <f t="shared" si="18"/>
        <v>171</v>
      </c>
      <c r="D156" s="27">
        <v>71943</v>
      </c>
      <c r="E156" s="56">
        <f t="shared" si="21"/>
        <v>60</v>
      </c>
      <c r="F156" s="65">
        <f t="shared" si="16"/>
        <v>155</v>
      </c>
      <c r="G156" s="61">
        <f t="shared" si="19"/>
        <v>1</v>
      </c>
      <c r="H156" s="58">
        <f t="shared" si="17"/>
        <v>0</v>
      </c>
      <c r="I156" s="58">
        <f t="shared" si="20"/>
        <v>0</v>
      </c>
    </row>
    <row r="157" spans="1:9" x14ac:dyDescent="0.15">
      <c r="A157" s="23">
        <v>156</v>
      </c>
      <c r="B157" s="56">
        <f t="shared" si="18"/>
        <v>116</v>
      </c>
      <c r="C157" s="56">
        <f t="shared" si="18"/>
        <v>172</v>
      </c>
      <c r="D157" s="27">
        <v>72627</v>
      </c>
      <c r="E157" s="56">
        <f t="shared" si="21"/>
        <v>60</v>
      </c>
      <c r="F157" s="65">
        <f t="shared" si="16"/>
        <v>156</v>
      </c>
      <c r="G157" s="61">
        <f t="shared" si="19"/>
        <v>0</v>
      </c>
      <c r="H157" s="58">
        <f t="shared" si="17"/>
        <v>1</v>
      </c>
      <c r="I157" s="58">
        <f t="shared" si="20"/>
        <v>0</v>
      </c>
    </row>
    <row r="158" spans="1:9" x14ac:dyDescent="0.15">
      <c r="A158" s="23">
        <v>157</v>
      </c>
      <c r="B158" s="56">
        <f t="shared" si="18"/>
        <v>117</v>
      </c>
      <c r="C158" s="56">
        <f t="shared" si="18"/>
        <v>172</v>
      </c>
      <c r="D158" s="27">
        <v>73313</v>
      </c>
      <c r="E158" s="56">
        <f t="shared" si="21"/>
        <v>60</v>
      </c>
      <c r="F158" s="65">
        <f t="shared" si="16"/>
        <v>157</v>
      </c>
      <c r="G158" s="61">
        <f t="shared" si="19"/>
        <v>1</v>
      </c>
      <c r="H158" s="58">
        <f t="shared" si="17"/>
        <v>0</v>
      </c>
      <c r="I158" s="58">
        <f t="shared" si="20"/>
        <v>0</v>
      </c>
    </row>
    <row r="159" spans="1:9" x14ac:dyDescent="0.15">
      <c r="A159" s="23">
        <v>158</v>
      </c>
      <c r="B159" s="56">
        <f t="shared" si="18"/>
        <v>117</v>
      </c>
      <c r="C159" s="56">
        <f t="shared" si="18"/>
        <v>172</v>
      </c>
      <c r="D159" s="27">
        <v>73999</v>
      </c>
      <c r="E159" s="56">
        <f t="shared" si="21"/>
        <v>60</v>
      </c>
      <c r="F159" s="65">
        <f t="shared" si="16"/>
        <v>158</v>
      </c>
      <c r="G159" s="61">
        <f t="shared" si="19"/>
        <v>0</v>
      </c>
      <c r="H159" s="58">
        <f t="shared" si="17"/>
        <v>0</v>
      </c>
      <c r="I159" s="58">
        <f t="shared" si="20"/>
        <v>0</v>
      </c>
    </row>
    <row r="160" spans="1:9" x14ac:dyDescent="0.15">
      <c r="A160" s="23">
        <v>159</v>
      </c>
      <c r="B160" s="56">
        <f t="shared" si="18"/>
        <v>118</v>
      </c>
      <c r="C160" s="56">
        <f t="shared" si="18"/>
        <v>172</v>
      </c>
      <c r="D160" s="27">
        <v>74686</v>
      </c>
      <c r="E160" s="56">
        <f t="shared" si="21"/>
        <v>60</v>
      </c>
      <c r="F160" s="65">
        <f t="shared" si="16"/>
        <v>159</v>
      </c>
      <c r="G160" s="61">
        <f t="shared" si="19"/>
        <v>1</v>
      </c>
      <c r="H160" s="58">
        <f t="shared" si="17"/>
        <v>0</v>
      </c>
      <c r="I160" s="58">
        <f t="shared" si="20"/>
        <v>0</v>
      </c>
    </row>
    <row r="161" spans="1:9" x14ac:dyDescent="0.15">
      <c r="A161" s="23">
        <v>160</v>
      </c>
      <c r="B161" s="56">
        <f t="shared" si="18"/>
        <v>118</v>
      </c>
      <c r="C161" s="56">
        <f t="shared" si="18"/>
        <v>173</v>
      </c>
      <c r="D161" s="27">
        <v>75374</v>
      </c>
      <c r="E161" s="56">
        <f t="shared" si="21"/>
        <v>60</v>
      </c>
      <c r="F161" s="65">
        <f t="shared" si="16"/>
        <v>160</v>
      </c>
      <c r="G161" s="61">
        <f t="shared" si="19"/>
        <v>0</v>
      </c>
      <c r="H161" s="58">
        <f t="shared" si="17"/>
        <v>1</v>
      </c>
      <c r="I161" s="58">
        <f t="shared" si="20"/>
        <v>0</v>
      </c>
    </row>
    <row r="162" spans="1:9" x14ac:dyDescent="0.15">
      <c r="A162" s="23">
        <v>161</v>
      </c>
      <c r="B162" s="56">
        <f t="shared" si="18"/>
        <v>119</v>
      </c>
      <c r="C162" s="56">
        <f t="shared" si="18"/>
        <v>173</v>
      </c>
      <c r="D162" s="27">
        <v>76062</v>
      </c>
      <c r="E162" s="56">
        <f t="shared" si="21"/>
        <v>60</v>
      </c>
      <c r="F162" s="65">
        <f t="shared" si="16"/>
        <v>161</v>
      </c>
      <c r="G162" s="61">
        <f t="shared" si="19"/>
        <v>1</v>
      </c>
      <c r="H162" s="58">
        <f t="shared" si="17"/>
        <v>0</v>
      </c>
      <c r="I162" s="58">
        <f t="shared" si="20"/>
        <v>0</v>
      </c>
    </row>
    <row r="163" spans="1:9" x14ac:dyDescent="0.15">
      <c r="A163" s="23">
        <v>162</v>
      </c>
      <c r="B163" s="56">
        <f t="shared" si="18"/>
        <v>119</v>
      </c>
      <c r="C163" s="56">
        <f t="shared" si="18"/>
        <v>173</v>
      </c>
      <c r="D163" s="27">
        <v>76752</v>
      </c>
      <c r="E163" s="56">
        <f t="shared" si="21"/>
        <v>60</v>
      </c>
      <c r="F163" s="65">
        <f t="shared" si="16"/>
        <v>162</v>
      </c>
      <c r="G163" s="61">
        <f t="shared" si="19"/>
        <v>0</v>
      </c>
      <c r="H163" s="58">
        <f t="shared" si="17"/>
        <v>0</v>
      </c>
      <c r="I163" s="58">
        <f t="shared" si="20"/>
        <v>0</v>
      </c>
    </row>
    <row r="164" spans="1:9" x14ac:dyDescent="0.15">
      <c r="A164" s="23">
        <v>163</v>
      </c>
      <c r="B164" s="56">
        <f t="shared" si="18"/>
        <v>120</v>
      </c>
      <c r="C164" s="56">
        <f t="shared" si="18"/>
        <v>173</v>
      </c>
      <c r="D164" s="27">
        <v>77441</v>
      </c>
      <c r="E164" s="56">
        <f t="shared" si="21"/>
        <v>60</v>
      </c>
      <c r="F164" s="65">
        <f t="shared" si="16"/>
        <v>163</v>
      </c>
      <c r="G164" s="61">
        <f t="shared" si="19"/>
        <v>1</v>
      </c>
      <c r="H164" s="58">
        <f t="shared" si="17"/>
        <v>0</v>
      </c>
      <c r="I164" s="58">
        <f t="shared" si="20"/>
        <v>0</v>
      </c>
    </row>
    <row r="165" spans="1:9" x14ac:dyDescent="0.15">
      <c r="A165" s="23">
        <v>164</v>
      </c>
      <c r="B165" s="56">
        <f t="shared" si="18"/>
        <v>120</v>
      </c>
      <c r="C165" s="56">
        <f t="shared" si="18"/>
        <v>174</v>
      </c>
      <c r="D165" s="27">
        <v>78132</v>
      </c>
      <c r="E165" s="56">
        <f t="shared" si="21"/>
        <v>60</v>
      </c>
      <c r="F165" s="65">
        <f t="shared" si="16"/>
        <v>164</v>
      </c>
      <c r="G165" s="61">
        <f t="shared" si="19"/>
        <v>0</v>
      </c>
      <c r="H165" s="58">
        <f t="shared" si="17"/>
        <v>1</v>
      </c>
      <c r="I165" s="58">
        <f t="shared" si="20"/>
        <v>0</v>
      </c>
    </row>
    <row r="166" spans="1:9" x14ac:dyDescent="0.15">
      <c r="A166" s="23">
        <v>165</v>
      </c>
      <c r="B166" s="56">
        <f t="shared" si="18"/>
        <v>121</v>
      </c>
      <c r="C166" s="56">
        <f t="shared" si="18"/>
        <v>174</v>
      </c>
      <c r="D166" s="27">
        <v>78823</v>
      </c>
      <c r="E166" s="56">
        <f t="shared" si="21"/>
        <v>60</v>
      </c>
      <c r="F166" s="65">
        <f t="shared" si="16"/>
        <v>165</v>
      </c>
      <c r="G166" s="61">
        <f t="shared" si="19"/>
        <v>1</v>
      </c>
      <c r="H166" s="58">
        <f t="shared" si="17"/>
        <v>0</v>
      </c>
      <c r="I166" s="58">
        <f t="shared" si="20"/>
        <v>0</v>
      </c>
    </row>
    <row r="167" spans="1:9" x14ac:dyDescent="0.15">
      <c r="A167" s="23">
        <v>166</v>
      </c>
      <c r="B167" s="56">
        <f t="shared" si="18"/>
        <v>121</v>
      </c>
      <c r="C167" s="56">
        <f t="shared" si="18"/>
        <v>174</v>
      </c>
      <c r="D167" s="27">
        <v>79515</v>
      </c>
      <c r="E167" s="56">
        <f t="shared" si="21"/>
        <v>60</v>
      </c>
      <c r="F167" s="65">
        <f t="shared" si="16"/>
        <v>166</v>
      </c>
      <c r="G167" s="61">
        <f t="shared" si="19"/>
        <v>0</v>
      </c>
      <c r="H167" s="58">
        <f t="shared" si="17"/>
        <v>0</v>
      </c>
      <c r="I167" s="58">
        <f t="shared" si="20"/>
        <v>0</v>
      </c>
    </row>
    <row r="168" spans="1:9" x14ac:dyDescent="0.15">
      <c r="A168" s="23">
        <v>167</v>
      </c>
      <c r="B168" s="56">
        <f t="shared" si="18"/>
        <v>122</v>
      </c>
      <c r="C168" s="56">
        <f t="shared" si="18"/>
        <v>174</v>
      </c>
      <c r="D168" s="27">
        <v>80207</v>
      </c>
      <c r="E168" s="56">
        <f t="shared" si="21"/>
        <v>60</v>
      </c>
      <c r="F168" s="65">
        <f t="shared" si="16"/>
        <v>167</v>
      </c>
      <c r="G168" s="61">
        <f t="shared" si="19"/>
        <v>1</v>
      </c>
      <c r="H168" s="58">
        <f t="shared" si="17"/>
        <v>0</v>
      </c>
      <c r="I168" s="58">
        <f t="shared" si="20"/>
        <v>0</v>
      </c>
    </row>
    <row r="169" spans="1:9" x14ac:dyDescent="0.15">
      <c r="A169" s="23">
        <v>168</v>
      </c>
      <c r="B169" s="56">
        <f t="shared" si="18"/>
        <v>122</v>
      </c>
      <c r="C169" s="56">
        <f t="shared" si="18"/>
        <v>175</v>
      </c>
      <c r="D169" s="27">
        <v>80900</v>
      </c>
      <c r="E169" s="56">
        <f t="shared" si="21"/>
        <v>60</v>
      </c>
      <c r="F169" s="65">
        <f t="shared" si="16"/>
        <v>168</v>
      </c>
      <c r="G169" s="61">
        <f t="shared" si="19"/>
        <v>0</v>
      </c>
      <c r="H169" s="58">
        <f t="shared" si="17"/>
        <v>1</v>
      </c>
      <c r="I169" s="58">
        <f t="shared" si="20"/>
        <v>0</v>
      </c>
    </row>
    <row r="170" spans="1:9" x14ac:dyDescent="0.15">
      <c r="A170" s="23">
        <v>169</v>
      </c>
      <c r="B170" s="56">
        <f t="shared" si="18"/>
        <v>123</v>
      </c>
      <c r="C170" s="56">
        <f t="shared" si="18"/>
        <v>175</v>
      </c>
      <c r="D170" s="27">
        <v>81593</v>
      </c>
      <c r="E170" s="56">
        <f t="shared" si="21"/>
        <v>60</v>
      </c>
      <c r="F170" s="65">
        <f t="shared" si="16"/>
        <v>169</v>
      </c>
      <c r="G170" s="61">
        <f t="shared" si="19"/>
        <v>1</v>
      </c>
      <c r="H170" s="58">
        <f t="shared" si="17"/>
        <v>0</v>
      </c>
      <c r="I170" s="58">
        <f t="shared" si="20"/>
        <v>0</v>
      </c>
    </row>
    <row r="171" spans="1:9" x14ac:dyDescent="0.15">
      <c r="A171" s="23">
        <v>170</v>
      </c>
      <c r="B171" s="56">
        <f t="shared" si="18"/>
        <v>123</v>
      </c>
      <c r="C171" s="56">
        <f t="shared" si="18"/>
        <v>175</v>
      </c>
      <c r="D171" s="27">
        <v>82286</v>
      </c>
      <c r="E171" s="56">
        <f t="shared" si="21"/>
        <v>60</v>
      </c>
      <c r="F171" s="65">
        <f t="shared" si="16"/>
        <v>170</v>
      </c>
      <c r="G171" s="61">
        <f t="shared" si="19"/>
        <v>0</v>
      </c>
      <c r="H171" s="58">
        <f t="shared" si="17"/>
        <v>0</v>
      </c>
      <c r="I171" s="58">
        <f t="shared" si="20"/>
        <v>0</v>
      </c>
    </row>
    <row r="172" spans="1:9" x14ac:dyDescent="0.15">
      <c r="A172" s="23">
        <v>171</v>
      </c>
      <c r="B172" s="56">
        <f t="shared" si="18"/>
        <v>124</v>
      </c>
      <c r="C172" s="56">
        <f t="shared" si="18"/>
        <v>175</v>
      </c>
      <c r="D172" s="27">
        <v>82979</v>
      </c>
      <c r="E172" s="56">
        <f t="shared" si="21"/>
        <v>60</v>
      </c>
      <c r="F172" s="65">
        <f t="shared" si="16"/>
        <v>171</v>
      </c>
      <c r="G172" s="61">
        <f t="shared" si="19"/>
        <v>1</v>
      </c>
      <c r="H172" s="58">
        <f t="shared" si="17"/>
        <v>0</v>
      </c>
      <c r="I172" s="58">
        <f t="shared" si="20"/>
        <v>0</v>
      </c>
    </row>
    <row r="173" spans="1:9" x14ac:dyDescent="0.15">
      <c r="A173" s="23">
        <v>172</v>
      </c>
      <c r="B173" s="56">
        <f t="shared" si="18"/>
        <v>124</v>
      </c>
      <c r="C173" s="56">
        <f t="shared" si="18"/>
        <v>176</v>
      </c>
      <c r="D173" s="27">
        <v>83673</v>
      </c>
      <c r="E173" s="56">
        <f t="shared" si="21"/>
        <v>60</v>
      </c>
      <c r="F173" s="65">
        <f t="shared" si="16"/>
        <v>172</v>
      </c>
      <c r="G173" s="61">
        <f t="shared" si="19"/>
        <v>0</v>
      </c>
      <c r="H173" s="58">
        <f t="shared" si="17"/>
        <v>1</v>
      </c>
      <c r="I173" s="58">
        <f t="shared" si="20"/>
        <v>0</v>
      </c>
    </row>
    <row r="174" spans="1:9" x14ac:dyDescent="0.15">
      <c r="A174" s="23">
        <v>173</v>
      </c>
      <c r="B174" s="56">
        <f t="shared" si="18"/>
        <v>125</v>
      </c>
      <c r="C174" s="56">
        <f t="shared" si="18"/>
        <v>176</v>
      </c>
      <c r="D174" s="27">
        <v>84367</v>
      </c>
      <c r="E174" s="56">
        <f t="shared" si="21"/>
        <v>60</v>
      </c>
      <c r="F174" s="65">
        <f t="shared" si="16"/>
        <v>173</v>
      </c>
      <c r="G174" s="61">
        <f t="shared" si="19"/>
        <v>1</v>
      </c>
      <c r="H174" s="58">
        <f t="shared" si="17"/>
        <v>0</v>
      </c>
      <c r="I174" s="58">
        <f t="shared" si="20"/>
        <v>0</v>
      </c>
    </row>
    <row r="175" spans="1:9" x14ac:dyDescent="0.15">
      <c r="A175" s="23">
        <v>174</v>
      </c>
      <c r="B175" s="56">
        <f t="shared" si="18"/>
        <v>125</v>
      </c>
      <c r="C175" s="56">
        <f t="shared" si="18"/>
        <v>176</v>
      </c>
      <c r="D175" s="27">
        <v>85061</v>
      </c>
      <c r="E175" s="56">
        <f t="shared" si="21"/>
        <v>60</v>
      </c>
      <c r="F175" s="65">
        <f t="shared" si="16"/>
        <v>174</v>
      </c>
      <c r="G175" s="61">
        <f t="shared" si="19"/>
        <v>0</v>
      </c>
      <c r="H175" s="58">
        <f t="shared" si="17"/>
        <v>0</v>
      </c>
      <c r="I175" s="58">
        <f t="shared" si="20"/>
        <v>0</v>
      </c>
    </row>
    <row r="176" spans="1:9" x14ac:dyDescent="0.15">
      <c r="A176" s="23">
        <v>175</v>
      </c>
      <c r="B176" s="56">
        <f t="shared" si="18"/>
        <v>126</v>
      </c>
      <c r="C176" s="56">
        <f t="shared" si="18"/>
        <v>176</v>
      </c>
      <c r="D176" s="27">
        <v>85755</v>
      </c>
      <c r="E176" s="56">
        <f t="shared" si="21"/>
        <v>60</v>
      </c>
      <c r="F176" s="65">
        <f t="shared" si="16"/>
        <v>175</v>
      </c>
      <c r="G176" s="61">
        <f t="shared" si="19"/>
        <v>1</v>
      </c>
      <c r="H176" s="58">
        <f t="shared" si="17"/>
        <v>0</v>
      </c>
      <c r="I176" s="58">
        <f t="shared" si="20"/>
        <v>0</v>
      </c>
    </row>
    <row r="177" spans="1:9" x14ac:dyDescent="0.15">
      <c r="A177" s="23">
        <v>176</v>
      </c>
      <c r="B177" s="56">
        <f t="shared" si="18"/>
        <v>126</v>
      </c>
      <c r="C177" s="56">
        <f t="shared" si="18"/>
        <v>177</v>
      </c>
      <c r="D177" s="27">
        <v>86449</v>
      </c>
      <c r="E177" s="56">
        <f t="shared" si="21"/>
        <v>60</v>
      </c>
      <c r="F177" s="65">
        <f t="shared" si="16"/>
        <v>176</v>
      </c>
      <c r="G177" s="61">
        <f t="shared" si="19"/>
        <v>0</v>
      </c>
      <c r="H177" s="58">
        <f t="shared" si="17"/>
        <v>1</v>
      </c>
      <c r="I177" s="58">
        <f t="shared" si="20"/>
        <v>0</v>
      </c>
    </row>
    <row r="178" spans="1:9" x14ac:dyDescent="0.15">
      <c r="A178" s="23">
        <v>177</v>
      </c>
      <c r="B178" s="56">
        <f t="shared" si="18"/>
        <v>127</v>
      </c>
      <c r="C178" s="56">
        <f t="shared" si="18"/>
        <v>177</v>
      </c>
      <c r="D178" s="27">
        <v>87143</v>
      </c>
      <c r="E178" s="56">
        <f t="shared" si="21"/>
        <v>60</v>
      </c>
      <c r="F178" s="65">
        <f t="shared" si="16"/>
        <v>177</v>
      </c>
      <c r="G178" s="61">
        <f t="shared" si="19"/>
        <v>1</v>
      </c>
      <c r="H178" s="58">
        <f t="shared" si="17"/>
        <v>0</v>
      </c>
      <c r="I178" s="58">
        <f t="shared" si="20"/>
        <v>0</v>
      </c>
    </row>
    <row r="179" spans="1:9" x14ac:dyDescent="0.15">
      <c r="A179" s="23">
        <v>178</v>
      </c>
      <c r="B179" s="56">
        <f t="shared" si="18"/>
        <v>127</v>
      </c>
      <c r="C179" s="56">
        <f t="shared" si="18"/>
        <v>177</v>
      </c>
      <c r="D179" s="27">
        <v>87837</v>
      </c>
      <c r="E179" s="56">
        <f t="shared" si="21"/>
        <v>60</v>
      </c>
      <c r="F179" s="65">
        <f t="shared" si="16"/>
        <v>178</v>
      </c>
      <c r="G179" s="61">
        <f t="shared" si="19"/>
        <v>0</v>
      </c>
      <c r="H179" s="58">
        <f t="shared" si="17"/>
        <v>0</v>
      </c>
      <c r="I179" s="58">
        <f t="shared" si="20"/>
        <v>0</v>
      </c>
    </row>
    <row r="180" spans="1:9" x14ac:dyDescent="0.15">
      <c r="A180" s="23">
        <v>179</v>
      </c>
      <c r="B180" s="56">
        <f t="shared" si="18"/>
        <v>128</v>
      </c>
      <c r="C180" s="56">
        <f t="shared" si="18"/>
        <v>177</v>
      </c>
      <c r="D180" s="27">
        <v>88531</v>
      </c>
      <c r="E180" s="56">
        <f t="shared" si="21"/>
        <v>60</v>
      </c>
      <c r="F180" s="65">
        <f t="shared" si="16"/>
        <v>179</v>
      </c>
      <c r="G180" s="61">
        <f t="shared" si="19"/>
        <v>1</v>
      </c>
      <c r="H180" s="58">
        <f t="shared" si="17"/>
        <v>0</v>
      </c>
      <c r="I180" s="58">
        <f t="shared" si="20"/>
        <v>0</v>
      </c>
    </row>
    <row r="181" spans="1:9" x14ac:dyDescent="0.15">
      <c r="A181" s="23">
        <v>180</v>
      </c>
      <c r="B181" s="56">
        <f t="shared" si="18"/>
        <v>128</v>
      </c>
      <c r="C181" s="56">
        <f t="shared" si="18"/>
        <v>178</v>
      </c>
      <c r="D181" s="27">
        <v>89224</v>
      </c>
      <c r="E181" s="56">
        <f t="shared" si="21"/>
        <v>60</v>
      </c>
      <c r="F181" s="65">
        <f t="shared" si="16"/>
        <v>180</v>
      </c>
      <c r="G181" s="61">
        <f t="shared" si="19"/>
        <v>0</v>
      </c>
      <c r="H181" s="58">
        <f t="shared" si="17"/>
        <v>1</v>
      </c>
      <c r="I181" s="58">
        <f t="shared" si="20"/>
        <v>0</v>
      </c>
    </row>
    <row r="182" spans="1:9" x14ac:dyDescent="0.15">
      <c r="A182" s="23">
        <v>181</v>
      </c>
      <c r="B182" s="56">
        <f t="shared" si="18"/>
        <v>129</v>
      </c>
      <c r="C182" s="56">
        <f t="shared" si="18"/>
        <v>178</v>
      </c>
      <c r="D182" s="27">
        <v>89917</v>
      </c>
      <c r="E182" s="56">
        <f t="shared" si="21"/>
        <v>60</v>
      </c>
      <c r="F182" s="65">
        <f t="shared" si="16"/>
        <v>181</v>
      </c>
      <c r="G182" s="61">
        <f t="shared" si="19"/>
        <v>1</v>
      </c>
      <c r="H182" s="58">
        <f t="shared" si="17"/>
        <v>0</v>
      </c>
      <c r="I182" s="58">
        <f t="shared" si="20"/>
        <v>0</v>
      </c>
    </row>
    <row r="183" spans="1:9" x14ac:dyDescent="0.15">
      <c r="A183" s="23">
        <v>182</v>
      </c>
      <c r="B183" s="56">
        <f t="shared" si="18"/>
        <v>129</v>
      </c>
      <c r="C183" s="56">
        <f t="shared" si="18"/>
        <v>178</v>
      </c>
      <c r="D183" s="27">
        <v>90610</v>
      </c>
      <c r="E183" s="56">
        <f t="shared" si="21"/>
        <v>60</v>
      </c>
      <c r="F183" s="65">
        <f t="shared" si="16"/>
        <v>182</v>
      </c>
      <c r="G183" s="61">
        <f t="shared" si="19"/>
        <v>0</v>
      </c>
      <c r="H183" s="58">
        <f t="shared" si="17"/>
        <v>0</v>
      </c>
      <c r="I183" s="58">
        <f t="shared" si="20"/>
        <v>0</v>
      </c>
    </row>
    <row r="184" spans="1:9" x14ac:dyDescent="0.15">
      <c r="A184" s="23">
        <v>183</v>
      </c>
      <c r="B184" s="56">
        <f t="shared" si="18"/>
        <v>130</v>
      </c>
      <c r="C184" s="56">
        <f t="shared" si="18"/>
        <v>178</v>
      </c>
      <c r="D184" s="27">
        <v>91302</v>
      </c>
      <c r="E184" s="56">
        <f t="shared" si="21"/>
        <v>60</v>
      </c>
      <c r="F184" s="65">
        <f t="shared" si="16"/>
        <v>183</v>
      </c>
      <c r="G184" s="61">
        <f t="shared" si="19"/>
        <v>1</v>
      </c>
      <c r="H184" s="58">
        <f t="shared" si="17"/>
        <v>0</v>
      </c>
      <c r="I184" s="58">
        <f t="shared" si="20"/>
        <v>0</v>
      </c>
    </row>
    <row r="185" spans="1:9" x14ac:dyDescent="0.15">
      <c r="A185" s="23">
        <v>184</v>
      </c>
      <c r="B185" s="56">
        <f t="shared" si="18"/>
        <v>130</v>
      </c>
      <c r="C185" s="56">
        <f t="shared" si="18"/>
        <v>179</v>
      </c>
      <c r="D185" s="27">
        <v>91994</v>
      </c>
      <c r="E185" s="56">
        <f t="shared" si="21"/>
        <v>60</v>
      </c>
      <c r="F185" s="65">
        <f t="shared" si="16"/>
        <v>184</v>
      </c>
      <c r="G185" s="61">
        <f t="shared" si="19"/>
        <v>0</v>
      </c>
      <c r="H185" s="58">
        <f t="shared" si="17"/>
        <v>1</v>
      </c>
      <c r="I185" s="58">
        <f t="shared" si="20"/>
        <v>0</v>
      </c>
    </row>
    <row r="186" spans="1:9" x14ac:dyDescent="0.15">
      <c r="A186" s="23">
        <v>185</v>
      </c>
      <c r="B186" s="56">
        <f t="shared" si="18"/>
        <v>131</v>
      </c>
      <c r="C186" s="56">
        <f t="shared" si="18"/>
        <v>179</v>
      </c>
      <c r="D186" s="27">
        <v>92685</v>
      </c>
      <c r="E186" s="56">
        <f t="shared" si="21"/>
        <v>60</v>
      </c>
      <c r="F186" s="65">
        <f t="shared" si="16"/>
        <v>185</v>
      </c>
      <c r="G186" s="61">
        <f t="shared" si="19"/>
        <v>1</v>
      </c>
      <c r="H186" s="58">
        <f t="shared" si="17"/>
        <v>0</v>
      </c>
      <c r="I186" s="58">
        <f t="shared" si="20"/>
        <v>0</v>
      </c>
    </row>
    <row r="187" spans="1:9" x14ac:dyDescent="0.15">
      <c r="A187" s="23">
        <v>186</v>
      </c>
      <c r="B187" s="56">
        <f t="shared" si="18"/>
        <v>131</v>
      </c>
      <c r="C187" s="56">
        <f t="shared" si="18"/>
        <v>179</v>
      </c>
      <c r="D187" s="27">
        <v>93376</v>
      </c>
      <c r="E187" s="56">
        <f t="shared" si="21"/>
        <v>60</v>
      </c>
      <c r="F187" s="65">
        <f t="shared" si="16"/>
        <v>186</v>
      </c>
      <c r="G187" s="61">
        <f t="shared" si="19"/>
        <v>0</v>
      </c>
      <c r="H187" s="58">
        <f t="shared" si="17"/>
        <v>0</v>
      </c>
      <c r="I187" s="58">
        <f t="shared" si="20"/>
        <v>0</v>
      </c>
    </row>
    <row r="188" spans="1:9" x14ac:dyDescent="0.15">
      <c r="A188" s="23">
        <v>187</v>
      </c>
      <c r="B188" s="56">
        <f t="shared" si="18"/>
        <v>132</v>
      </c>
      <c r="C188" s="56">
        <f t="shared" si="18"/>
        <v>179</v>
      </c>
      <c r="D188" s="27">
        <v>94065</v>
      </c>
      <c r="E188" s="56">
        <f t="shared" si="21"/>
        <v>60</v>
      </c>
      <c r="F188" s="65">
        <f t="shared" si="16"/>
        <v>187</v>
      </c>
      <c r="G188" s="61">
        <f t="shared" si="19"/>
        <v>1</v>
      </c>
      <c r="H188" s="58">
        <f t="shared" si="17"/>
        <v>0</v>
      </c>
      <c r="I188" s="58">
        <f t="shared" si="20"/>
        <v>0</v>
      </c>
    </row>
    <row r="189" spans="1:9" x14ac:dyDescent="0.15">
      <c r="A189" s="23">
        <v>188</v>
      </c>
      <c r="B189" s="56">
        <f t="shared" si="18"/>
        <v>132</v>
      </c>
      <c r="C189" s="56">
        <f t="shared" si="18"/>
        <v>180</v>
      </c>
      <c r="D189" s="27">
        <v>94754</v>
      </c>
      <c r="E189" s="56">
        <f t="shared" si="21"/>
        <v>60</v>
      </c>
      <c r="F189" s="65">
        <f t="shared" si="16"/>
        <v>188</v>
      </c>
      <c r="G189" s="61">
        <f t="shared" si="19"/>
        <v>0</v>
      </c>
      <c r="H189" s="58">
        <f t="shared" si="17"/>
        <v>1</v>
      </c>
      <c r="I189" s="58">
        <f t="shared" si="20"/>
        <v>0</v>
      </c>
    </row>
    <row r="190" spans="1:9" x14ac:dyDescent="0.15">
      <c r="A190" s="23">
        <v>189</v>
      </c>
      <c r="B190" s="56">
        <f t="shared" si="18"/>
        <v>133</v>
      </c>
      <c r="C190" s="56">
        <f t="shared" si="18"/>
        <v>180</v>
      </c>
      <c r="D190" s="27">
        <v>95442</v>
      </c>
      <c r="E190" s="56">
        <f t="shared" si="21"/>
        <v>60</v>
      </c>
      <c r="F190" s="65">
        <f t="shared" si="16"/>
        <v>189</v>
      </c>
      <c r="G190" s="61">
        <f t="shared" si="19"/>
        <v>1</v>
      </c>
      <c r="H190" s="58">
        <f t="shared" si="17"/>
        <v>0</v>
      </c>
      <c r="I190" s="58">
        <f t="shared" si="20"/>
        <v>0</v>
      </c>
    </row>
    <row r="191" spans="1:9" x14ac:dyDescent="0.15">
      <c r="A191" s="23">
        <v>190</v>
      </c>
      <c r="B191" s="56">
        <f t="shared" si="18"/>
        <v>133</v>
      </c>
      <c r="C191" s="56">
        <f t="shared" si="18"/>
        <v>180</v>
      </c>
      <c r="D191" s="27">
        <v>96129</v>
      </c>
      <c r="E191" s="56">
        <f t="shared" si="21"/>
        <v>60</v>
      </c>
      <c r="F191" s="65">
        <f t="shared" si="16"/>
        <v>190</v>
      </c>
      <c r="G191" s="61">
        <f t="shared" si="19"/>
        <v>0</v>
      </c>
      <c r="H191" s="58">
        <f t="shared" si="17"/>
        <v>0</v>
      </c>
      <c r="I191" s="58">
        <f t="shared" si="20"/>
        <v>0</v>
      </c>
    </row>
    <row r="192" spans="1:9" x14ac:dyDescent="0.15">
      <c r="A192" s="23">
        <v>191</v>
      </c>
      <c r="B192" s="56">
        <f t="shared" si="18"/>
        <v>134</v>
      </c>
      <c r="C192" s="56">
        <f t="shared" si="18"/>
        <v>180</v>
      </c>
      <c r="D192" s="27">
        <v>96815</v>
      </c>
      <c r="E192" s="56">
        <f t="shared" si="21"/>
        <v>60</v>
      </c>
      <c r="F192" s="65">
        <f t="shared" si="16"/>
        <v>191</v>
      </c>
      <c r="G192" s="61">
        <f t="shared" si="19"/>
        <v>1</v>
      </c>
      <c r="H192" s="58">
        <f t="shared" si="17"/>
        <v>0</v>
      </c>
      <c r="I192" s="58">
        <f t="shared" si="20"/>
        <v>0</v>
      </c>
    </row>
    <row r="193" spans="1:9" x14ac:dyDescent="0.15">
      <c r="A193" s="23">
        <v>192</v>
      </c>
      <c r="B193" s="56">
        <f t="shared" si="18"/>
        <v>134</v>
      </c>
      <c r="C193" s="56">
        <f t="shared" si="18"/>
        <v>181</v>
      </c>
      <c r="D193" s="27">
        <v>97500</v>
      </c>
      <c r="E193" s="56">
        <f t="shared" si="21"/>
        <v>60</v>
      </c>
      <c r="F193" s="65">
        <f t="shared" si="16"/>
        <v>192</v>
      </c>
      <c r="G193" s="61">
        <f t="shared" si="19"/>
        <v>0</v>
      </c>
      <c r="H193" s="58">
        <f t="shared" si="17"/>
        <v>1</v>
      </c>
      <c r="I193" s="58">
        <f t="shared" si="20"/>
        <v>0</v>
      </c>
    </row>
    <row r="194" spans="1:9" x14ac:dyDescent="0.15">
      <c r="A194" s="23">
        <v>193</v>
      </c>
      <c r="B194" s="56">
        <f t="shared" si="18"/>
        <v>135</v>
      </c>
      <c r="C194" s="56">
        <f t="shared" si="18"/>
        <v>181</v>
      </c>
      <c r="D194" s="27">
        <v>98184</v>
      </c>
      <c r="E194" s="56">
        <f t="shared" si="21"/>
        <v>60</v>
      </c>
      <c r="F194" s="65">
        <f t="shared" ref="F194:F257" si="22">A194</f>
        <v>193</v>
      </c>
      <c r="G194" s="61">
        <f t="shared" si="19"/>
        <v>1</v>
      </c>
      <c r="H194" s="58">
        <f t="shared" ref="H194:H257" si="23">IF($A194&gt;=slow,IF(MOD($A194,upper)=0,slow_upper,0),IF($A194&gt;medium,IF(MOD($A194,bonus)=0,medium_bonus,IF(MOD($A194,upper)=0,medium_upper,IF(MOD($A194,up)=0,medium_up,0))),IF(MOD($A194,bonus)=0,fast_bonus,IF(MOD($A194,upper)=0,fast_upper,IF(MOD($A194,up)=0,fast_up,0)))))</f>
        <v>0</v>
      </c>
      <c r="I194" s="58">
        <f t="shared" si="20"/>
        <v>0</v>
      </c>
    </row>
    <row r="195" spans="1:9" x14ac:dyDescent="0.15">
      <c r="A195" s="23">
        <v>194</v>
      </c>
      <c r="B195" s="56">
        <f t="shared" ref="B195:C258" si="24">B194+G195</f>
        <v>135</v>
      </c>
      <c r="C195" s="56">
        <f t="shared" si="24"/>
        <v>181</v>
      </c>
      <c r="D195" s="27">
        <v>98866</v>
      </c>
      <c r="E195" s="56">
        <f t="shared" si="21"/>
        <v>60</v>
      </c>
      <c r="F195" s="65">
        <f t="shared" si="22"/>
        <v>194</v>
      </c>
      <c r="G195" s="61">
        <f t="shared" ref="G195:G258" si="25">IF(A195&gt;=106, IF(MOD(A195,2)=0,0,1), IF(A195 &gt;= 65, IF(MOD(A195, 2) =0,0, IF(MOD(A195,5)= 0, 2, 1)), IF(MOD(A195, 2) =0,0, IF(MOD(A195,5)= 0, 5, 1))))</f>
        <v>0</v>
      </c>
      <c r="H195" s="58">
        <f t="shared" si="23"/>
        <v>0</v>
      </c>
      <c r="I195" s="58">
        <f t="shared" ref="I195:I258" si="26">IF($A195&gt;=51,0,IF($A195&gt;=30,IF(MOD($A195,5)=0,1,0),IF($A195&gt;=11,IF(MOD($A195,5)=0,3,IF(MOD($A195,2)=0,1,0)),IF(MOD($A195,5)=0,5,IF(MOD($A195,2)=0,2,0)))))</f>
        <v>0</v>
      </c>
    </row>
    <row r="196" spans="1:9" x14ac:dyDescent="0.15">
      <c r="A196" s="23">
        <v>195</v>
      </c>
      <c r="B196" s="56">
        <f t="shared" si="24"/>
        <v>136</v>
      </c>
      <c r="C196" s="56">
        <f t="shared" si="24"/>
        <v>181</v>
      </c>
      <c r="D196" s="27">
        <v>99547</v>
      </c>
      <c r="E196" s="56">
        <f t="shared" ref="E196:E259" si="27">E195+I196</f>
        <v>60</v>
      </c>
      <c r="F196" s="65">
        <f t="shared" si="22"/>
        <v>195</v>
      </c>
      <c r="G196" s="61">
        <f t="shared" si="25"/>
        <v>1</v>
      </c>
      <c r="H196" s="58">
        <f t="shared" si="23"/>
        <v>0</v>
      </c>
      <c r="I196" s="58">
        <f t="shared" si="26"/>
        <v>0</v>
      </c>
    </row>
    <row r="197" spans="1:9" x14ac:dyDescent="0.15">
      <c r="A197" s="23">
        <v>196</v>
      </c>
      <c r="B197" s="56">
        <f t="shared" si="24"/>
        <v>136</v>
      </c>
      <c r="C197" s="56">
        <f t="shared" si="24"/>
        <v>182</v>
      </c>
      <c r="D197" s="27">
        <v>100227</v>
      </c>
      <c r="E197" s="56">
        <f t="shared" si="27"/>
        <v>60</v>
      </c>
      <c r="F197" s="65">
        <f t="shared" si="22"/>
        <v>196</v>
      </c>
      <c r="G197" s="61">
        <f t="shared" si="25"/>
        <v>0</v>
      </c>
      <c r="H197" s="58">
        <f t="shared" si="23"/>
        <v>1</v>
      </c>
      <c r="I197" s="58">
        <f t="shared" si="26"/>
        <v>0</v>
      </c>
    </row>
    <row r="198" spans="1:9" x14ac:dyDescent="0.15">
      <c r="A198" s="23">
        <v>197</v>
      </c>
      <c r="B198" s="56">
        <f t="shared" si="24"/>
        <v>137</v>
      </c>
      <c r="C198" s="56">
        <f t="shared" si="24"/>
        <v>182</v>
      </c>
      <c r="D198" s="27">
        <v>100905</v>
      </c>
      <c r="E198" s="56">
        <f t="shared" si="27"/>
        <v>60</v>
      </c>
      <c r="F198" s="65">
        <f t="shared" si="22"/>
        <v>197</v>
      </c>
      <c r="G198" s="61">
        <f t="shared" si="25"/>
        <v>1</v>
      </c>
      <c r="H198" s="58">
        <f t="shared" si="23"/>
        <v>0</v>
      </c>
      <c r="I198" s="58">
        <f t="shared" si="26"/>
        <v>0</v>
      </c>
    </row>
    <row r="199" spans="1:9" x14ac:dyDescent="0.15">
      <c r="A199" s="23">
        <v>198</v>
      </c>
      <c r="B199" s="56">
        <f t="shared" si="24"/>
        <v>137</v>
      </c>
      <c r="C199" s="56">
        <f t="shared" si="24"/>
        <v>182</v>
      </c>
      <c r="D199" s="27">
        <v>101581</v>
      </c>
      <c r="E199" s="56">
        <f t="shared" si="27"/>
        <v>60</v>
      </c>
      <c r="F199" s="65">
        <f t="shared" si="22"/>
        <v>198</v>
      </c>
      <c r="G199" s="61">
        <f t="shared" si="25"/>
        <v>0</v>
      </c>
      <c r="H199" s="58">
        <f t="shared" si="23"/>
        <v>0</v>
      </c>
      <c r="I199" s="58">
        <f t="shared" si="26"/>
        <v>0</v>
      </c>
    </row>
    <row r="200" spans="1:9" x14ac:dyDescent="0.15">
      <c r="A200" s="23">
        <v>199</v>
      </c>
      <c r="B200" s="56">
        <f t="shared" si="24"/>
        <v>138</v>
      </c>
      <c r="C200" s="56">
        <f t="shared" si="24"/>
        <v>182</v>
      </c>
      <c r="D200" s="27">
        <v>102256</v>
      </c>
      <c r="E200" s="56">
        <f t="shared" si="27"/>
        <v>60</v>
      </c>
      <c r="F200" s="65">
        <f t="shared" si="22"/>
        <v>199</v>
      </c>
      <c r="G200" s="61">
        <f t="shared" si="25"/>
        <v>1</v>
      </c>
      <c r="H200" s="58">
        <f t="shared" si="23"/>
        <v>0</v>
      </c>
      <c r="I200" s="58">
        <f t="shared" si="26"/>
        <v>0</v>
      </c>
    </row>
    <row r="201" spans="1:9" x14ac:dyDescent="0.15">
      <c r="A201" s="23">
        <v>200</v>
      </c>
      <c r="B201" s="56">
        <f t="shared" si="24"/>
        <v>138</v>
      </c>
      <c r="C201" s="56">
        <f t="shared" si="24"/>
        <v>183</v>
      </c>
      <c r="D201" s="27">
        <v>102929</v>
      </c>
      <c r="E201" s="56">
        <f t="shared" si="27"/>
        <v>60</v>
      </c>
      <c r="F201" s="65">
        <f t="shared" si="22"/>
        <v>200</v>
      </c>
      <c r="G201" s="61">
        <f t="shared" si="25"/>
        <v>0</v>
      </c>
      <c r="H201" s="58">
        <f t="shared" si="23"/>
        <v>1</v>
      </c>
      <c r="I201" s="58">
        <f t="shared" si="26"/>
        <v>0</v>
      </c>
    </row>
    <row r="202" spans="1:9" x14ac:dyDescent="0.15">
      <c r="A202" s="23">
        <v>201</v>
      </c>
      <c r="B202" s="56">
        <f t="shared" si="24"/>
        <v>139</v>
      </c>
      <c r="C202" s="56">
        <f t="shared" si="24"/>
        <v>183</v>
      </c>
      <c r="D202" s="52">
        <v>103600</v>
      </c>
      <c r="E202" s="56">
        <f t="shared" si="27"/>
        <v>60</v>
      </c>
      <c r="F202" s="65">
        <f t="shared" si="22"/>
        <v>201</v>
      </c>
      <c r="G202" s="61">
        <f t="shared" si="25"/>
        <v>1</v>
      </c>
      <c r="H202" s="58">
        <f t="shared" si="23"/>
        <v>0</v>
      </c>
      <c r="I202" s="58">
        <f t="shared" si="26"/>
        <v>0</v>
      </c>
    </row>
    <row r="203" spans="1:9" x14ac:dyDescent="0.15">
      <c r="A203" s="23">
        <v>202</v>
      </c>
      <c r="B203" s="56">
        <f t="shared" si="24"/>
        <v>139</v>
      </c>
      <c r="C203" s="56">
        <f t="shared" si="24"/>
        <v>183</v>
      </c>
      <c r="D203" s="52">
        <v>104480</v>
      </c>
      <c r="E203" s="56">
        <f t="shared" si="27"/>
        <v>60</v>
      </c>
      <c r="F203" s="65">
        <f t="shared" si="22"/>
        <v>202</v>
      </c>
      <c r="G203" s="61">
        <f t="shared" si="25"/>
        <v>0</v>
      </c>
      <c r="H203" s="58">
        <f t="shared" si="23"/>
        <v>0</v>
      </c>
      <c r="I203" s="58">
        <f t="shared" si="26"/>
        <v>0</v>
      </c>
    </row>
    <row r="204" spans="1:9" x14ac:dyDescent="0.15">
      <c r="A204" s="23">
        <v>203</v>
      </c>
      <c r="B204" s="56">
        <f t="shared" si="24"/>
        <v>140</v>
      </c>
      <c r="C204" s="56">
        <f t="shared" si="24"/>
        <v>183</v>
      </c>
      <c r="D204" s="52">
        <v>105368</v>
      </c>
      <c r="E204" s="56">
        <f t="shared" si="27"/>
        <v>60</v>
      </c>
      <c r="F204" s="65">
        <f t="shared" si="22"/>
        <v>203</v>
      </c>
      <c r="G204" s="61">
        <f t="shared" si="25"/>
        <v>1</v>
      </c>
      <c r="H204" s="58">
        <f t="shared" si="23"/>
        <v>0</v>
      </c>
      <c r="I204" s="58">
        <f t="shared" si="26"/>
        <v>0</v>
      </c>
    </row>
    <row r="205" spans="1:9" x14ac:dyDescent="0.15">
      <c r="A205" s="23">
        <v>204</v>
      </c>
      <c r="B205" s="56">
        <f t="shared" si="24"/>
        <v>140</v>
      </c>
      <c r="C205" s="56">
        <f t="shared" si="24"/>
        <v>184</v>
      </c>
      <c r="D205" s="52">
        <v>106264</v>
      </c>
      <c r="E205" s="56">
        <f t="shared" si="27"/>
        <v>60</v>
      </c>
      <c r="F205" s="65">
        <f t="shared" si="22"/>
        <v>204</v>
      </c>
      <c r="G205" s="61">
        <f t="shared" si="25"/>
        <v>0</v>
      </c>
      <c r="H205" s="58">
        <f t="shared" si="23"/>
        <v>1</v>
      </c>
      <c r="I205" s="58">
        <f t="shared" si="26"/>
        <v>0</v>
      </c>
    </row>
    <row r="206" spans="1:9" x14ac:dyDescent="0.15">
      <c r="A206" s="23">
        <v>205</v>
      </c>
      <c r="B206" s="56">
        <f t="shared" si="24"/>
        <v>141</v>
      </c>
      <c r="C206" s="56">
        <f t="shared" si="24"/>
        <v>184</v>
      </c>
      <c r="D206" s="52">
        <v>107167</v>
      </c>
      <c r="E206" s="56">
        <f t="shared" si="27"/>
        <v>60</v>
      </c>
      <c r="F206" s="65">
        <f t="shared" si="22"/>
        <v>205</v>
      </c>
      <c r="G206" s="61">
        <f t="shared" si="25"/>
        <v>1</v>
      </c>
      <c r="H206" s="58">
        <f t="shared" si="23"/>
        <v>0</v>
      </c>
      <c r="I206" s="58">
        <f t="shared" si="26"/>
        <v>0</v>
      </c>
    </row>
    <row r="207" spans="1:9" x14ac:dyDescent="0.15">
      <c r="A207" s="23">
        <v>206</v>
      </c>
      <c r="B207" s="56">
        <f t="shared" si="24"/>
        <v>141</v>
      </c>
      <c r="C207" s="56">
        <f t="shared" si="24"/>
        <v>184</v>
      </c>
      <c r="D207" s="52">
        <v>108078</v>
      </c>
      <c r="E207" s="56">
        <f t="shared" si="27"/>
        <v>60</v>
      </c>
      <c r="F207" s="65">
        <f t="shared" si="22"/>
        <v>206</v>
      </c>
      <c r="G207" s="61">
        <f t="shared" si="25"/>
        <v>0</v>
      </c>
      <c r="H207" s="58">
        <f t="shared" si="23"/>
        <v>0</v>
      </c>
      <c r="I207" s="58">
        <f t="shared" si="26"/>
        <v>0</v>
      </c>
    </row>
    <row r="208" spans="1:9" x14ac:dyDescent="0.15">
      <c r="A208" s="23">
        <v>207</v>
      </c>
      <c r="B208" s="56">
        <f t="shared" si="24"/>
        <v>142</v>
      </c>
      <c r="C208" s="56">
        <f t="shared" si="24"/>
        <v>184</v>
      </c>
      <c r="D208" s="52">
        <v>108997</v>
      </c>
      <c r="E208" s="56">
        <f t="shared" si="27"/>
        <v>60</v>
      </c>
      <c r="F208" s="65">
        <f t="shared" si="22"/>
        <v>207</v>
      </c>
      <c r="G208" s="61">
        <f t="shared" si="25"/>
        <v>1</v>
      </c>
      <c r="H208" s="58">
        <f t="shared" si="23"/>
        <v>0</v>
      </c>
      <c r="I208" s="58">
        <f t="shared" si="26"/>
        <v>0</v>
      </c>
    </row>
    <row r="209" spans="1:9" x14ac:dyDescent="0.15">
      <c r="A209" s="23">
        <v>208</v>
      </c>
      <c r="B209" s="56">
        <f t="shared" si="24"/>
        <v>142</v>
      </c>
      <c r="C209" s="56">
        <f t="shared" si="24"/>
        <v>185</v>
      </c>
      <c r="D209" s="52">
        <v>109923</v>
      </c>
      <c r="E209" s="56">
        <f t="shared" si="27"/>
        <v>60</v>
      </c>
      <c r="F209" s="65">
        <f t="shared" si="22"/>
        <v>208</v>
      </c>
      <c r="G209" s="61">
        <f t="shared" si="25"/>
        <v>0</v>
      </c>
      <c r="H209" s="58">
        <f t="shared" si="23"/>
        <v>1</v>
      </c>
      <c r="I209" s="58">
        <f t="shared" si="26"/>
        <v>0</v>
      </c>
    </row>
    <row r="210" spans="1:9" x14ac:dyDescent="0.15">
      <c r="A210" s="23">
        <v>209</v>
      </c>
      <c r="B210" s="56">
        <f t="shared" si="24"/>
        <v>143</v>
      </c>
      <c r="C210" s="56">
        <f t="shared" si="24"/>
        <v>185</v>
      </c>
      <c r="D210" s="52">
        <v>110857</v>
      </c>
      <c r="E210" s="56">
        <f t="shared" si="27"/>
        <v>60</v>
      </c>
      <c r="F210" s="65">
        <f t="shared" si="22"/>
        <v>209</v>
      </c>
      <c r="G210" s="61">
        <f t="shared" si="25"/>
        <v>1</v>
      </c>
      <c r="H210" s="58">
        <f t="shared" si="23"/>
        <v>0</v>
      </c>
      <c r="I210" s="58">
        <f t="shared" si="26"/>
        <v>0</v>
      </c>
    </row>
    <row r="211" spans="1:9" x14ac:dyDescent="0.15">
      <c r="A211" s="23">
        <v>210</v>
      </c>
      <c r="B211" s="56">
        <f t="shared" si="24"/>
        <v>143</v>
      </c>
      <c r="C211" s="56">
        <f t="shared" si="24"/>
        <v>185</v>
      </c>
      <c r="D211" s="52">
        <v>111800</v>
      </c>
      <c r="E211" s="56">
        <f t="shared" si="27"/>
        <v>60</v>
      </c>
      <c r="F211" s="65">
        <f t="shared" si="22"/>
        <v>210</v>
      </c>
      <c r="G211" s="61">
        <f t="shared" si="25"/>
        <v>0</v>
      </c>
      <c r="H211" s="58">
        <f t="shared" si="23"/>
        <v>0</v>
      </c>
      <c r="I211" s="58">
        <f t="shared" si="26"/>
        <v>0</v>
      </c>
    </row>
    <row r="212" spans="1:9" x14ac:dyDescent="0.15">
      <c r="A212" s="23">
        <v>211</v>
      </c>
      <c r="B212" s="56">
        <f t="shared" si="24"/>
        <v>144</v>
      </c>
      <c r="C212" s="56">
        <f t="shared" si="24"/>
        <v>185</v>
      </c>
      <c r="D212" s="52">
        <v>112750</v>
      </c>
      <c r="E212" s="56">
        <f t="shared" si="27"/>
        <v>60</v>
      </c>
      <c r="F212" s="65">
        <f t="shared" si="22"/>
        <v>211</v>
      </c>
      <c r="G212" s="61">
        <f t="shared" si="25"/>
        <v>1</v>
      </c>
      <c r="H212" s="58">
        <f t="shared" si="23"/>
        <v>0</v>
      </c>
      <c r="I212" s="58">
        <f t="shared" si="26"/>
        <v>0</v>
      </c>
    </row>
    <row r="213" spans="1:9" x14ac:dyDescent="0.15">
      <c r="A213" s="23">
        <v>212</v>
      </c>
      <c r="B213" s="56">
        <f t="shared" si="24"/>
        <v>144</v>
      </c>
      <c r="C213" s="56">
        <f t="shared" si="24"/>
        <v>186</v>
      </c>
      <c r="D213" s="52">
        <v>113708</v>
      </c>
      <c r="E213" s="56">
        <f t="shared" si="27"/>
        <v>60</v>
      </c>
      <c r="F213" s="65">
        <f t="shared" si="22"/>
        <v>212</v>
      </c>
      <c r="G213" s="61">
        <f t="shared" si="25"/>
        <v>0</v>
      </c>
      <c r="H213" s="58">
        <f t="shared" si="23"/>
        <v>1</v>
      </c>
      <c r="I213" s="58">
        <f t="shared" si="26"/>
        <v>0</v>
      </c>
    </row>
    <row r="214" spans="1:9" x14ac:dyDescent="0.15">
      <c r="A214" s="23">
        <v>213</v>
      </c>
      <c r="B214" s="56">
        <f t="shared" si="24"/>
        <v>145</v>
      </c>
      <c r="C214" s="56">
        <f t="shared" si="24"/>
        <v>186</v>
      </c>
      <c r="D214" s="52">
        <v>114675</v>
      </c>
      <c r="E214" s="56">
        <f t="shared" si="27"/>
        <v>60</v>
      </c>
      <c r="F214" s="65">
        <f t="shared" si="22"/>
        <v>213</v>
      </c>
      <c r="G214" s="61">
        <f t="shared" si="25"/>
        <v>1</v>
      </c>
      <c r="H214" s="58">
        <f t="shared" si="23"/>
        <v>0</v>
      </c>
      <c r="I214" s="58">
        <f t="shared" si="26"/>
        <v>0</v>
      </c>
    </row>
    <row r="215" spans="1:9" x14ac:dyDescent="0.15">
      <c r="A215" s="23">
        <v>214</v>
      </c>
      <c r="B215" s="56">
        <f t="shared" si="24"/>
        <v>145</v>
      </c>
      <c r="C215" s="56">
        <f t="shared" si="24"/>
        <v>186</v>
      </c>
      <c r="D215" s="52">
        <v>115650</v>
      </c>
      <c r="E215" s="56">
        <f t="shared" si="27"/>
        <v>60</v>
      </c>
      <c r="F215" s="65">
        <f t="shared" si="22"/>
        <v>214</v>
      </c>
      <c r="G215" s="61">
        <f t="shared" si="25"/>
        <v>0</v>
      </c>
      <c r="H215" s="58">
        <f t="shared" si="23"/>
        <v>0</v>
      </c>
      <c r="I215" s="58">
        <f t="shared" si="26"/>
        <v>0</v>
      </c>
    </row>
    <row r="216" spans="1:9" x14ac:dyDescent="0.15">
      <c r="A216" s="23">
        <v>215</v>
      </c>
      <c r="B216" s="56">
        <f t="shared" si="24"/>
        <v>146</v>
      </c>
      <c r="C216" s="56">
        <f t="shared" si="24"/>
        <v>186</v>
      </c>
      <c r="D216" s="52">
        <v>116633</v>
      </c>
      <c r="E216" s="56">
        <f t="shared" si="27"/>
        <v>60</v>
      </c>
      <c r="F216" s="65">
        <f t="shared" si="22"/>
        <v>215</v>
      </c>
      <c r="G216" s="61">
        <f t="shared" si="25"/>
        <v>1</v>
      </c>
      <c r="H216" s="58">
        <f t="shared" si="23"/>
        <v>0</v>
      </c>
      <c r="I216" s="58">
        <f t="shared" si="26"/>
        <v>0</v>
      </c>
    </row>
    <row r="217" spans="1:9" x14ac:dyDescent="0.15">
      <c r="A217" s="23">
        <v>216</v>
      </c>
      <c r="B217" s="56">
        <f t="shared" si="24"/>
        <v>146</v>
      </c>
      <c r="C217" s="56">
        <f t="shared" si="24"/>
        <v>187</v>
      </c>
      <c r="D217" s="52">
        <v>117624</v>
      </c>
      <c r="E217" s="56">
        <f t="shared" si="27"/>
        <v>60</v>
      </c>
      <c r="F217" s="65">
        <f t="shared" si="22"/>
        <v>216</v>
      </c>
      <c r="G217" s="61">
        <f t="shared" si="25"/>
        <v>0</v>
      </c>
      <c r="H217" s="58">
        <f t="shared" si="23"/>
        <v>1</v>
      </c>
      <c r="I217" s="58">
        <f t="shared" si="26"/>
        <v>0</v>
      </c>
    </row>
    <row r="218" spans="1:9" x14ac:dyDescent="0.15">
      <c r="A218" s="23">
        <v>217</v>
      </c>
      <c r="B218" s="56">
        <f t="shared" si="24"/>
        <v>147</v>
      </c>
      <c r="C218" s="56">
        <f t="shared" si="24"/>
        <v>187</v>
      </c>
      <c r="D218" s="52">
        <v>118624</v>
      </c>
      <c r="E218" s="56">
        <f t="shared" si="27"/>
        <v>60</v>
      </c>
      <c r="F218" s="65">
        <f t="shared" si="22"/>
        <v>217</v>
      </c>
      <c r="G218" s="61">
        <f t="shared" si="25"/>
        <v>1</v>
      </c>
      <c r="H218" s="58">
        <f t="shared" si="23"/>
        <v>0</v>
      </c>
      <c r="I218" s="58">
        <f t="shared" si="26"/>
        <v>0</v>
      </c>
    </row>
    <row r="219" spans="1:9" x14ac:dyDescent="0.15">
      <c r="A219" s="23">
        <v>218</v>
      </c>
      <c r="B219" s="56">
        <f t="shared" si="24"/>
        <v>147</v>
      </c>
      <c r="C219" s="56">
        <f t="shared" si="24"/>
        <v>187</v>
      </c>
      <c r="D219" s="52">
        <v>119632</v>
      </c>
      <c r="E219" s="56">
        <f t="shared" si="27"/>
        <v>60</v>
      </c>
      <c r="F219" s="65">
        <f t="shared" si="22"/>
        <v>218</v>
      </c>
      <c r="G219" s="61">
        <f t="shared" si="25"/>
        <v>0</v>
      </c>
      <c r="H219" s="58">
        <f t="shared" si="23"/>
        <v>0</v>
      </c>
      <c r="I219" s="58">
        <f t="shared" si="26"/>
        <v>0</v>
      </c>
    </row>
    <row r="220" spans="1:9" x14ac:dyDescent="0.15">
      <c r="A220" s="23">
        <v>219</v>
      </c>
      <c r="B220" s="56">
        <f t="shared" si="24"/>
        <v>148</v>
      </c>
      <c r="C220" s="56">
        <f t="shared" si="24"/>
        <v>187</v>
      </c>
      <c r="D220" s="52">
        <v>120649</v>
      </c>
      <c r="E220" s="56">
        <f t="shared" si="27"/>
        <v>60</v>
      </c>
      <c r="F220" s="65">
        <f t="shared" si="22"/>
        <v>219</v>
      </c>
      <c r="G220" s="61">
        <f t="shared" si="25"/>
        <v>1</v>
      </c>
      <c r="H220" s="58">
        <f t="shared" si="23"/>
        <v>0</v>
      </c>
      <c r="I220" s="58">
        <f t="shared" si="26"/>
        <v>0</v>
      </c>
    </row>
    <row r="221" spans="1:9" x14ac:dyDescent="0.15">
      <c r="A221" s="23">
        <v>220</v>
      </c>
      <c r="B221" s="56">
        <f t="shared" si="24"/>
        <v>148</v>
      </c>
      <c r="C221" s="56">
        <f t="shared" si="24"/>
        <v>188</v>
      </c>
      <c r="D221" s="52">
        <v>121675</v>
      </c>
      <c r="E221" s="56">
        <f t="shared" si="27"/>
        <v>60</v>
      </c>
      <c r="F221" s="65">
        <f t="shared" si="22"/>
        <v>220</v>
      </c>
      <c r="G221" s="61">
        <f t="shared" si="25"/>
        <v>0</v>
      </c>
      <c r="H221" s="58">
        <f t="shared" si="23"/>
        <v>1</v>
      </c>
      <c r="I221" s="58">
        <f t="shared" si="26"/>
        <v>0</v>
      </c>
    </row>
    <row r="222" spans="1:9" x14ac:dyDescent="0.15">
      <c r="A222" s="23">
        <v>221</v>
      </c>
      <c r="B222" s="56">
        <f t="shared" si="24"/>
        <v>149</v>
      </c>
      <c r="C222" s="56">
        <f t="shared" si="24"/>
        <v>188</v>
      </c>
      <c r="D222" s="52">
        <v>122648</v>
      </c>
      <c r="E222" s="56">
        <f t="shared" si="27"/>
        <v>60</v>
      </c>
      <c r="F222" s="65">
        <f t="shared" si="22"/>
        <v>221</v>
      </c>
      <c r="G222" s="61">
        <f t="shared" si="25"/>
        <v>1</v>
      </c>
      <c r="H222" s="58">
        <f t="shared" si="23"/>
        <v>0</v>
      </c>
      <c r="I222" s="58">
        <f t="shared" si="26"/>
        <v>0</v>
      </c>
    </row>
    <row r="223" spans="1:9" x14ac:dyDescent="0.15">
      <c r="A223" s="23">
        <v>222</v>
      </c>
      <c r="B223" s="56">
        <f t="shared" si="24"/>
        <v>149</v>
      </c>
      <c r="C223" s="56">
        <f t="shared" si="24"/>
        <v>188</v>
      </c>
      <c r="D223" s="52">
        <v>123629</v>
      </c>
      <c r="E223" s="56">
        <f t="shared" si="27"/>
        <v>60</v>
      </c>
      <c r="F223" s="65">
        <f t="shared" si="22"/>
        <v>222</v>
      </c>
      <c r="G223" s="61">
        <f t="shared" si="25"/>
        <v>0</v>
      </c>
      <c r="H223" s="58">
        <f t="shared" si="23"/>
        <v>0</v>
      </c>
      <c r="I223" s="58">
        <f t="shared" si="26"/>
        <v>0</v>
      </c>
    </row>
    <row r="224" spans="1:9" x14ac:dyDescent="0.15">
      <c r="A224" s="23">
        <v>223</v>
      </c>
      <c r="B224" s="56">
        <f t="shared" si="24"/>
        <v>150</v>
      </c>
      <c r="C224" s="56">
        <f t="shared" si="24"/>
        <v>188</v>
      </c>
      <c r="D224" s="52">
        <v>124618</v>
      </c>
      <c r="E224" s="56">
        <f t="shared" si="27"/>
        <v>60</v>
      </c>
      <c r="F224" s="65">
        <f t="shared" si="22"/>
        <v>223</v>
      </c>
      <c r="G224" s="61">
        <f t="shared" si="25"/>
        <v>1</v>
      </c>
      <c r="H224" s="58">
        <f t="shared" si="23"/>
        <v>0</v>
      </c>
      <c r="I224" s="58">
        <f t="shared" si="26"/>
        <v>0</v>
      </c>
    </row>
    <row r="225" spans="1:9" x14ac:dyDescent="0.15">
      <c r="A225" s="23">
        <v>224</v>
      </c>
      <c r="B225" s="56">
        <f t="shared" si="24"/>
        <v>150</v>
      </c>
      <c r="C225" s="56">
        <f t="shared" si="24"/>
        <v>189</v>
      </c>
      <c r="D225" s="52">
        <v>125615</v>
      </c>
      <c r="E225" s="56">
        <f t="shared" si="27"/>
        <v>60</v>
      </c>
      <c r="F225" s="65">
        <f t="shared" si="22"/>
        <v>224</v>
      </c>
      <c r="G225" s="61">
        <f t="shared" si="25"/>
        <v>0</v>
      </c>
      <c r="H225" s="58">
        <f t="shared" si="23"/>
        <v>1</v>
      </c>
      <c r="I225" s="58">
        <f t="shared" si="26"/>
        <v>0</v>
      </c>
    </row>
    <row r="226" spans="1:9" x14ac:dyDescent="0.15">
      <c r="A226" s="23">
        <v>225</v>
      </c>
      <c r="B226" s="56">
        <f t="shared" si="24"/>
        <v>151</v>
      </c>
      <c r="C226" s="56">
        <f t="shared" si="24"/>
        <v>189</v>
      </c>
      <c r="D226" s="52">
        <v>126620</v>
      </c>
      <c r="E226" s="56">
        <f t="shared" si="27"/>
        <v>60</v>
      </c>
      <c r="F226" s="65">
        <f t="shared" si="22"/>
        <v>225</v>
      </c>
      <c r="G226" s="61">
        <f t="shared" si="25"/>
        <v>1</v>
      </c>
      <c r="H226" s="58">
        <f t="shared" si="23"/>
        <v>0</v>
      </c>
      <c r="I226" s="58">
        <f t="shared" si="26"/>
        <v>0</v>
      </c>
    </row>
    <row r="227" spans="1:9" x14ac:dyDescent="0.15">
      <c r="A227" s="23">
        <v>226</v>
      </c>
      <c r="B227" s="56">
        <f t="shared" si="24"/>
        <v>151</v>
      </c>
      <c r="C227" s="56">
        <f t="shared" si="24"/>
        <v>189</v>
      </c>
      <c r="D227" s="52">
        <v>127633</v>
      </c>
      <c r="E227" s="56">
        <f t="shared" si="27"/>
        <v>60</v>
      </c>
      <c r="F227" s="65">
        <f t="shared" si="22"/>
        <v>226</v>
      </c>
      <c r="G227" s="61">
        <f t="shared" si="25"/>
        <v>0</v>
      </c>
      <c r="H227" s="58">
        <f t="shared" si="23"/>
        <v>0</v>
      </c>
      <c r="I227" s="58">
        <f t="shared" si="26"/>
        <v>0</v>
      </c>
    </row>
    <row r="228" spans="1:9" x14ac:dyDescent="0.15">
      <c r="A228" s="23">
        <v>227</v>
      </c>
      <c r="B228" s="56">
        <f t="shared" si="24"/>
        <v>152</v>
      </c>
      <c r="C228" s="56">
        <f t="shared" si="24"/>
        <v>189</v>
      </c>
      <c r="D228" s="52">
        <v>128654</v>
      </c>
      <c r="E228" s="56">
        <f t="shared" si="27"/>
        <v>60</v>
      </c>
      <c r="F228" s="65">
        <f t="shared" si="22"/>
        <v>227</v>
      </c>
      <c r="G228" s="61">
        <f t="shared" si="25"/>
        <v>1</v>
      </c>
      <c r="H228" s="58">
        <f t="shared" si="23"/>
        <v>0</v>
      </c>
      <c r="I228" s="58">
        <f t="shared" si="26"/>
        <v>0</v>
      </c>
    </row>
    <row r="229" spans="1:9" x14ac:dyDescent="0.15">
      <c r="A229" s="23">
        <v>228</v>
      </c>
      <c r="B229" s="56">
        <f t="shared" si="24"/>
        <v>152</v>
      </c>
      <c r="C229" s="56">
        <f t="shared" si="24"/>
        <v>190</v>
      </c>
      <c r="D229" s="52">
        <v>129683</v>
      </c>
      <c r="E229" s="56">
        <f t="shared" si="27"/>
        <v>60</v>
      </c>
      <c r="F229" s="65">
        <f t="shared" si="22"/>
        <v>228</v>
      </c>
      <c r="G229" s="61">
        <f t="shared" si="25"/>
        <v>0</v>
      </c>
      <c r="H229" s="58">
        <f t="shared" si="23"/>
        <v>1</v>
      </c>
      <c r="I229" s="58">
        <f t="shared" si="26"/>
        <v>0</v>
      </c>
    </row>
    <row r="230" spans="1:9" x14ac:dyDescent="0.15">
      <c r="A230" s="23">
        <v>229</v>
      </c>
      <c r="B230" s="56">
        <f t="shared" si="24"/>
        <v>153</v>
      </c>
      <c r="C230" s="56">
        <f t="shared" si="24"/>
        <v>190</v>
      </c>
      <c r="D230" s="52">
        <v>130721</v>
      </c>
      <c r="E230" s="56">
        <f t="shared" si="27"/>
        <v>60</v>
      </c>
      <c r="F230" s="65">
        <f t="shared" si="22"/>
        <v>229</v>
      </c>
      <c r="G230" s="61">
        <f t="shared" si="25"/>
        <v>1</v>
      </c>
      <c r="H230" s="58">
        <f t="shared" si="23"/>
        <v>0</v>
      </c>
      <c r="I230" s="58">
        <f t="shared" si="26"/>
        <v>0</v>
      </c>
    </row>
    <row r="231" spans="1:9" x14ac:dyDescent="0.15">
      <c r="A231" s="23">
        <v>230</v>
      </c>
      <c r="B231" s="56">
        <f t="shared" si="24"/>
        <v>153</v>
      </c>
      <c r="C231" s="56">
        <f t="shared" si="24"/>
        <v>190</v>
      </c>
      <c r="D231" s="52">
        <v>131767</v>
      </c>
      <c r="E231" s="56">
        <f t="shared" si="27"/>
        <v>60</v>
      </c>
      <c r="F231" s="65">
        <f t="shared" si="22"/>
        <v>230</v>
      </c>
      <c r="G231" s="61">
        <f t="shared" si="25"/>
        <v>0</v>
      </c>
      <c r="H231" s="58">
        <f t="shared" si="23"/>
        <v>0</v>
      </c>
      <c r="I231" s="58">
        <f t="shared" si="26"/>
        <v>0</v>
      </c>
    </row>
    <row r="232" spans="1:9" x14ac:dyDescent="0.15">
      <c r="A232" s="23">
        <v>231</v>
      </c>
      <c r="B232" s="56">
        <f t="shared" si="24"/>
        <v>154</v>
      </c>
      <c r="C232" s="56">
        <f t="shared" si="24"/>
        <v>190</v>
      </c>
      <c r="D232" s="52">
        <v>132821</v>
      </c>
      <c r="E232" s="56">
        <f t="shared" si="27"/>
        <v>60</v>
      </c>
      <c r="F232" s="65">
        <f t="shared" si="22"/>
        <v>231</v>
      </c>
      <c r="G232" s="61">
        <f t="shared" si="25"/>
        <v>1</v>
      </c>
      <c r="H232" s="58">
        <f t="shared" si="23"/>
        <v>0</v>
      </c>
      <c r="I232" s="58">
        <f t="shared" si="26"/>
        <v>0</v>
      </c>
    </row>
    <row r="233" spans="1:9" x14ac:dyDescent="0.15">
      <c r="A233" s="23">
        <v>232</v>
      </c>
      <c r="B233" s="56">
        <f t="shared" si="24"/>
        <v>154</v>
      </c>
      <c r="C233" s="56">
        <f t="shared" si="24"/>
        <v>191</v>
      </c>
      <c r="D233" s="52">
        <v>133883</v>
      </c>
      <c r="E233" s="56">
        <f t="shared" si="27"/>
        <v>60</v>
      </c>
      <c r="F233" s="65">
        <f t="shared" si="22"/>
        <v>232</v>
      </c>
      <c r="G233" s="61">
        <f t="shared" si="25"/>
        <v>0</v>
      </c>
      <c r="H233" s="58">
        <f t="shared" si="23"/>
        <v>1</v>
      </c>
      <c r="I233" s="58">
        <f t="shared" si="26"/>
        <v>0</v>
      </c>
    </row>
    <row r="234" spans="1:9" x14ac:dyDescent="0.15">
      <c r="A234" s="23">
        <v>233</v>
      </c>
      <c r="B234" s="56">
        <f t="shared" si="24"/>
        <v>155</v>
      </c>
      <c r="C234" s="56">
        <f t="shared" si="24"/>
        <v>191</v>
      </c>
      <c r="D234" s="52">
        <v>134954</v>
      </c>
      <c r="E234" s="56">
        <f t="shared" si="27"/>
        <v>60</v>
      </c>
      <c r="F234" s="65">
        <f t="shared" si="22"/>
        <v>233</v>
      </c>
      <c r="G234" s="61">
        <f t="shared" si="25"/>
        <v>1</v>
      </c>
      <c r="H234" s="58">
        <f t="shared" si="23"/>
        <v>0</v>
      </c>
      <c r="I234" s="58">
        <f t="shared" si="26"/>
        <v>0</v>
      </c>
    </row>
    <row r="235" spans="1:9" x14ac:dyDescent="0.15">
      <c r="A235" s="23">
        <v>234</v>
      </c>
      <c r="B235" s="56">
        <f t="shared" si="24"/>
        <v>155</v>
      </c>
      <c r="C235" s="56">
        <f t="shared" si="24"/>
        <v>191</v>
      </c>
      <c r="D235" s="52">
        <v>136034</v>
      </c>
      <c r="E235" s="56">
        <f t="shared" si="27"/>
        <v>60</v>
      </c>
      <c r="F235" s="65">
        <f t="shared" si="22"/>
        <v>234</v>
      </c>
      <c r="G235" s="61">
        <f t="shared" si="25"/>
        <v>0</v>
      </c>
      <c r="H235" s="58">
        <f t="shared" si="23"/>
        <v>0</v>
      </c>
      <c r="I235" s="58">
        <f t="shared" si="26"/>
        <v>0</v>
      </c>
    </row>
    <row r="236" spans="1:9" x14ac:dyDescent="0.15">
      <c r="A236" s="23">
        <v>235</v>
      </c>
      <c r="B236" s="56">
        <f t="shared" si="24"/>
        <v>156</v>
      </c>
      <c r="C236" s="56">
        <f t="shared" si="24"/>
        <v>191</v>
      </c>
      <c r="D236" s="52">
        <v>137122</v>
      </c>
      <c r="E236" s="56">
        <f t="shared" si="27"/>
        <v>60</v>
      </c>
      <c r="F236" s="65">
        <f t="shared" si="22"/>
        <v>235</v>
      </c>
      <c r="G236" s="61">
        <f t="shared" si="25"/>
        <v>1</v>
      </c>
      <c r="H236" s="58">
        <f t="shared" si="23"/>
        <v>0</v>
      </c>
      <c r="I236" s="58">
        <f t="shared" si="26"/>
        <v>0</v>
      </c>
    </row>
    <row r="237" spans="1:9" x14ac:dyDescent="0.15">
      <c r="A237" s="23">
        <v>236</v>
      </c>
      <c r="B237" s="56">
        <f t="shared" si="24"/>
        <v>156</v>
      </c>
      <c r="C237" s="56">
        <f t="shared" si="24"/>
        <v>192</v>
      </c>
      <c r="D237" s="52">
        <v>138219</v>
      </c>
      <c r="E237" s="56">
        <f t="shared" si="27"/>
        <v>60</v>
      </c>
      <c r="F237" s="65">
        <f t="shared" si="22"/>
        <v>236</v>
      </c>
      <c r="G237" s="61">
        <f t="shared" si="25"/>
        <v>0</v>
      </c>
      <c r="H237" s="58">
        <f t="shared" si="23"/>
        <v>1</v>
      </c>
      <c r="I237" s="58">
        <f t="shared" si="26"/>
        <v>0</v>
      </c>
    </row>
    <row r="238" spans="1:9" x14ac:dyDescent="0.15">
      <c r="A238" s="23">
        <v>237</v>
      </c>
      <c r="B238" s="56">
        <f t="shared" si="24"/>
        <v>157</v>
      </c>
      <c r="C238" s="56">
        <f t="shared" si="24"/>
        <v>192</v>
      </c>
      <c r="D238" s="52">
        <v>139325</v>
      </c>
      <c r="E238" s="56">
        <f t="shared" si="27"/>
        <v>60</v>
      </c>
      <c r="F238" s="65">
        <f t="shared" si="22"/>
        <v>237</v>
      </c>
      <c r="G238" s="61">
        <f t="shared" si="25"/>
        <v>1</v>
      </c>
      <c r="H238" s="58">
        <f t="shared" si="23"/>
        <v>0</v>
      </c>
      <c r="I238" s="58">
        <f t="shared" si="26"/>
        <v>0</v>
      </c>
    </row>
    <row r="239" spans="1:9" x14ac:dyDescent="0.15">
      <c r="A239" s="23">
        <v>238</v>
      </c>
      <c r="B239" s="56">
        <f t="shared" si="24"/>
        <v>157</v>
      </c>
      <c r="C239" s="56">
        <f t="shared" si="24"/>
        <v>192</v>
      </c>
      <c r="D239" s="52">
        <v>140440</v>
      </c>
      <c r="E239" s="56">
        <f t="shared" si="27"/>
        <v>60</v>
      </c>
      <c r="F239" s="65">
        <f t="shared" si="22"/>
        <v>238</v>
      </c>
      <c r="G239" s="61">
        <f t="shared" si="25"/>
        <v>0</v>
      </c>
      <c r="H239" s="58">
        <f t="shared" si="23"/>
        <v>0</v>
      </c>
      <c r="I239" s="58">
        <f t="shared" si="26"/>
        <v>0</v>
      </c>
    </row>
    <row r="240" spans="1:9" x14ac:dyDescent="0.15">
      <c r="A240" s="23">
        <v>239</v>
      </c>
      <c r="B240" s="56">
        <f t="shared" si="24"/>
        <v>158</v>
      </c>
      <c r="C240" s="56">
        <f t="shared" si="24"/>
        <v>192</v>
      </c>
      <c r="D240" s="52">
        <v>141563</v>
      </c>
      <c r="E240" s="56">
        <f t="shared" si="27"/>
        <v>60</v>
      </c>
      <c r="F240" s="65">
        <f t="shared" si="22"/>
        <v>239</v>
      </c>
      <c r="G240" s="61">
        <f t="shared" si="25"/>
        <v>1</v>
      </c>
      <c r="H240" s="58">
        <f t="shared" si="23"/>
        <v>0</v>
      </c>
      <c r="I240" s="58">
        <f t="shared" si="26"/>
        <v>0</v>
      </c>
    </row>
    <row r="241" spans="1:9" x14ac:dyDescent="0.15">
      <c r="A241" s="23">
        <v>240</v>
      </c>
      <c r="B241" s="56">
        <f t="shared" si="24"/>
        <v>158</v>
      </c>
      <c r="C241" s="56">
        <f t="shared" si="24"/>
        <v>193</v>
      </c>
      <c r="D241" s="52">
        <v>142696</v>
      </c>
      <c r="E241" s="56">
        <f t="shared" si="27"/>
        <v>60</v>
      </c>
      <c r="F241" s="65">
        <f t="shared" si="22"/>
        <v>240</v>
      </c>
      <c r="G241" s="61">
        <f t="shared" si="25"/>
        <v>0</v>
      </c>
      <c r="H241" s="58">
        <f t="shared" si="23"/>
        <v>1</v>
      </c>
      <c r="I241" s="58">
        <f t="shared" si="26"/>
        <v>0</v>
      </c>
    </row>
    <row r="242" spans="1:9" x14ac:dyDescent="0.15">
      <c r="A242" s="23">
        <v>241</v>
      </c>
      <c r="B242" s="56">
        <f t="shared" si="24"/>
        <v>159</v>
      </c>
      <c r="C242" s="56">
        <f t="shared" si="24"/>
        <v>193</v>
      </c>
      <c r="D242" s="52">
        <v>143766</v>
      </c>
      <c r="E242" s="56">
        <f t="shared" si="27"/>
        <v>60</v>
      </c>
      <c r="F242" s="65">
        <f t="shared" si="22"/>
        <v>241</v>
      </c>
      <c r="G242" s="61">
        <f t="shared" si="25"/>
        <v>1</v>
      </c>
      <c r="H242" s="58">
        <f t="shared" si="23"/>
        <v>0</v>
      </c>
      <c r="I242" s="58">
        <f t="shared" si="26"/>
        <v>0</v>
      </c>
    </row>
    <row r="243" spans="1:9" x14ac:dyDescent="0.15">
      <c r="A243" s="23">
        <v>242</v>
      </c>
      <c r="B243" s="56">
        <f t="shared" si="24"/>
        <v>159</v>
      </c>
      <c r="C243" s="56">
        <f t="shared" si="24"/>
        <v>193</v>
      </c>
      <c r="D243" s="52">
        <v>144844</v>
      </c>
      <c r="E243" s="56">
        <f t="shared" si="27"/>
        <v>60</v>
      </c>
      <c r="F243" s="65">
        <f t="shared" si="22"/>
        <v>242</v>
      </c>
      <c r="G243" s="61">
        <f t="shared" si="25"/>
        <v>0</v>
      </c>
      <c r="H243" s="58">
        <f t="shared" si="23"/>
        <v>0</v>
      </c>
      <c r="I243" s="58">
        <f t="shared" si="26"/>
        <v>0</v>
      </c>
    </row>
    <row r="244" spans="1:9" x14ac:dyDescent="0.15">
      <c r="A244" s="23">
        <v>243</v>
      </c>
      <c r="B244" s="56">
        <f t="shared" si="24"/>
        <v>160</v>
      </c>
      <c r="C244" s="56">
        <f t="shared" si="24"/>
        <v>193</v>
      </c>
      <c r="D244" s="52">
        <v>145931</v>
      </c>
      <c r="E244" s="56">
        <f t="shared" si="27"/>
        <v>60</v>
      </c>
      <c r="F244" s="65">
        <f t="shared" si="22"/>
        <v>243</v>
      </c>
      <c r="G244" s="61">
        <f t="shared" si="25"/>
        <v>1</v>
      </c>
      <c r="H244" s="58">
        <f t="shared" si="23"/>
        <v>0</v>
      </c>
      <c r="I244" s="58">
        <f t="shared" si="26"/>
        <v>0</v>
      </c>
    </row>
    <row r="245" spans="1:9" x14ac:dyDescent="0.15">
      <c r="A245" s="23">
        <v>244</v>
      </c>
      <c r="B245" s="56">
        <f t="shared" si="24"/>
        <v>160</v>
      </c>
      <c r="C245" s="56">
        <f t="shared" si="24"/>
        <v>194</v>
      </c>
      <c r="D245" s="52">
        <v>147025</v>
      </c>
      <c r="E245" s="56">
        <f t="shared" si="27"/>
        <v>60</v>
      </c>
      <c r="F245" s="65">
        <f t="shared" si="22"/>
        <v>244</v>
      </c>
      <c r="G245" s="61">
        <f t="shared" si="25"/>
        <v>0</v>
      </c>
      <c r="H245" s="58">
        <f t="shared" si="23"/>
        <v>1</v>
      </c>
      <c r="I245" s="58">
        <f t="shared" si="26"/>
        <v>0</v>
      </c>
    </row>
    <row r="246" spans="1:9" x14ac:dyDescent="0.15">
      <c r="A246" s="23">
        <v>245</v>
      </c>
      <c r="B246" s="56">
        <f t="shared" si="24"/>
        <v>161</v>
      </c>
      <c r="C246" s="56">
        <f t="shared" si="24"/>
        <v>194</v>
      </c>
      <c r="D246" s="52">
        <v>148128</v>
      </c>
      <c r="E246" s="56">
        <f t="shared" si="27"/>
        <v>60</v>
      </c>
      <c r="F246" s="65">
        <f t="shared" si="22"/>
        <v>245</v>
      </c>
      <c r="G246" s="61">
        <f t="shared" si="25"/>
        <v>1</v>
      </c>
      <c r="H246" s="58">
        <f t="shared" si="23"/>
        <v>0</v>
      </c>
      <c r="I246" s="58">
        <f t="shared" si="26"/>
        <v>0</v>
      </c>
    </row>
    <row r="247" spans="1:9" x14ac:dyDescent="0.15">
      <c r="A247" s="23">
        <v>246</v>
      </c>
      <c r="B247" s="56">
        <f t="shared" si="24"/>
        <v>161</v>
      </c>
      <c r="C247" s="56">
        <f t="shared" si="24"/>
        <v>194</v>
      </c>
      <c r="D247" s="52">
        <v>149239</v>
      </c>
      <c r="E247" s="56">
        <f t="shared" si="27"/>
        <v>60</v>
      </c>
      <c r="F247" s="65">
        <f t="shared" si="22"/>
        <v>246</v>
      </c>
      <c r="G247" s="61">
        <f t="shared" si="25"/>
        <v>0</v>
      </c>
      <c r="H247" s="58">
        <f t="shared" si="23"/>
        <v>0</v>
      </c>
      <c r="I247" s="58">
        <f t="shared" si="26"/>
        <v>0</v>
      </c>
    </row>
    <row r="248" spans="1:9" x14ac:dyDescent="0.15">
      <c r="A248" s="23">
        <v>247</v>
      </c>
      <c r="B248" s="56">
        <f t="shared" si="24"/>
        <v>162</v>
      </c>
      <c r="C248" s="56">
        <f t="shared" si="24"/>
        <v>194</v>
      </c>
      <c r="D248" s="52">
        <v>150358</v>
      </c>
      <c r="E248" s="56">
        <f t="shared" si="27"/>
        <v>60</v>
      </c>
      <c r="F248" s="65">
        <f t="shared" si="22"/>
        <v>247</v>
      </c>
      <c r="G248" s="61">
        <f t="shared" si="25"/>
        <v>1</v>
      </c>
      <c r="H248" s="58">
        <f t="shared" si="23"/>
        <v>0</v>
      </c>
      <c r="I248" s="58">
        <f t="shared" si="26"/>
        <v>0</v>
      </c>
    </row>
    <row r="249" spans="1:9" x14ac:dyDescent="0.15">
      <c r="A249" s="23">
        <v>248</v>
      </c>
      <c r="B249" s="56">
        <f t="shared" si="24"/>
        <v>162</v>
      </c>
      <c r="C249" s="56">
        <f t="shared" si="24"/>
        <v>195</v>
      </c>
      <c r="D249" s="52">
        <v>151486</v>
      </c>
      <c r="E249" s="56">
        <f t="shared" si="27"/>
        <v>60</v>
      </c>
      <c r="F249" s="65">
        <f t="shared" si="22"/>
        <v>248</v>
      </c>
      <c r="G249" s="61">
        <f t="shared" si="25"/>
        <v>0</v>
      </c>
      <c r="H249" s="58">
        <f t="shared" si="23"/>
        <v>1</v>
      </c>
      <c r="I249" s="58">
        <f t="shared" si="26"/>
        <v>0</v>
      </c>
    </row>
    <row r="250" spans="1:9" x14ac:dyDescent="0.15">
      <c r="A250" s="23">
        <v>249</v>
      </c>
      <c r="B250" s="56">
        <f t="shared" si="24"/>
        <v>163</v>
      </c>
      <c r="C250" s="56">
        <f t="shared" si="24"/>
        <v>195</v>
      </c>
      <c r="D250" s="52">
        <v>152622</v>
      </c>
      <c r="E250" s="56">
        <f t="shared" si="27"/>
        <v>60</v>
      </c>
      <c r="F250" s="65">
        <f t="shared" si="22"/>
        <v>249</v>
      </c>
      <c r="G250" s="61">
        <f t="shared" si="25"/>
        <v>1</v>
      </c>
      <c r="H250" s="58">
        <f t="shared" si="23"/>
        <v>0</v>
      </c>
      <c r="I250" s="58">
        <f t="shared" si="26"/>
        <v>0</v>
      </c>
    </row>
    <row r="251" spans="1:9" x14ac:dyDescent="0.15">
      <c r="A251" s="23">
        <v>250</v>
      </c>
      <c r="B251" s="56">
        <f t="shared" si="24"/>
        <v>163</v>
      </c>
      <c r="C251" s="56">
        <f t="shared" si="24"/>
        <v>195</v>
      </c>
      <c r="D251" s="52">
        <v>153766</v>
      </c>
      <c r="E251" s="56">
        <f t="shared" si="27"/>
        <v>60</v>
      </c>
      <c r="F251" s="65">
        <f t="shared" si="22"/>
        <v>250</v>
      </c>
      <c r="G251" s="61">
        <f t="shared" si="25"/>
        <v>0</v>
      </c>
      <c r="H251" s="58">
        <f t="shared" si="23"/>
        <v>0</v>
      </c>
      <c r="I251" s="58">
        <f t="shared" si="26"/>
        <v>0</v>
      </c>
    </row>
    <row r="252" spans="1:9" x14ac:dyDescent="0.15">
      <c r="A252" s="23">
        <v>251</v>
      </c>
      <c r="B252" s="56">
        <f t="shared" si="24"/>
        <v>164</v>
      </c>
      <c r="C252" s="56">
        <f t="shared" si="24"/>
        <v>195</v>
      </c>
      <c r="D252" s="52">
        <v>154920</v>
      </c>
      <c r="E252" s="56">
        <f t="shared" si="27"/>
        <v>60</v>
      </c>
      <c r="F252" s="65">
        <f t="shared" si="22"/>
        <v>251</v>
      </c>
      <c r="G252" s="61">
        <f t="shared" si="25"/>
        <v>1</v>
      </c>
      <c r="H252" s="58">
        <f t="shared" si="23"/>
        <v>0</v>
      </c>
      <c r="I252" s="58">
        <f t="shared" si="26"/>
        <v>0</v>
      </c>
    </row>
    <row r="253" spans="1:9" x14ac:dyDescent="0.15">
      <c r="A253" s="23">
        <v>252</v>
      </c>
      <c r="B253" s="56">
        <f t="shared" si="24"/>
        <v>164</v>
      </c>
      <c r="C253" s="56">
        <f t="shared" si="24"/>
        <v>196</v>
      </c>
      <c r="D253" s="52">
        <v>156082</v>
      </c>
      <c r="E253" s="56">
        <f t="shared" si="27"/>
        <v>60</v>
      </c>
      <c r="F253" s="65">
        <f t="shared" si="22"/>
        <v>252</v>
      </c>
      <c r="G253" s="61">
        <f t="shared" si="25"/>
        <v>0</v>
      </c>
      <c r="H253" s="58">
        <f t="shared" si="23"/>
        <v>1</v>
      </c>
      <c r="I253" s="58">
        <f t="shared" si="26"/>
        <v>0</v>
      </c>
    </row>
    <row r="254" spans="1:9" x14ac:dyDescent="0.15">
      <c r="A254" s="23">
        <v>253</v>
      </c>
      <c r="B254" s="56">
        <f t="shared" si="24"/>
        <v>165</v>
      </c>
      <c r="C254" s="56">
        <f t="shared" si="24"/>
        <v>196</v>
      </c>
      <c r="D254" s="52">
        <v>157252</v>
      </c>
      <c r="E254" s="56">
        <f t="shared" si="27"/>
        <v>60</v>
      </c>
      <c r="F254" s="65">
        <f t="shared" si="22"/>
        <v>253</v>
      </c>
      <c r="G254" s="61">
        <f t="shared" si="25"/>
        <v>1</v>
      </c>
      <c r="H254" s="58">
        <f t="shared" si="23"/>
        <v>0</v>
      </c>
      <c r="I254" s="58">
        <f t="shared" si="26"/>
        <v>0</v>
      </c>
    </row>
    <row r="255" spans="1:9" x14ac:dyDescent="0.15">
      <c r="A255" s="23">
        <v>254</v>
      </c>
      <c r="B255" s="56">
        <f t="shared" si="24"/>
        <v>165</v>
      </c>
      <c r="C255" s="56">
        <f t="shared" si="24"/>
        <v>196</v>
      </c>
      <c r="D255" s="52">
        <v>158432</v>
      </c>
      <c r="E255" s="56">
        <f t="shared" si="27"/>
        <v>60</v>
      </c>
      <c r="F255" s="65">
        <f t="shared" si="22"/>
        <v>254</v>
      </c>
      <c r="G255" s="61">
        <f t="shared" si="25"/>
        <v>0</v>
      </c>
      <c r="H255" s="58">
        <f t="shared" si="23"/>
        <v>0</v>
      </c>
      <c r="I255" s="58">
        <f t="shared" si="26"/>
        <v>0</v>
      </c>
    </row>
    <row r="256" spans="1:9" x14ac:dyDescent="0.15">
      <c r="A256" s="23">
        <v>255</v>
      </c>
      <c r="B256" s="56">
        <f t="shared" si="24"/>
        <v>166</v>
      </c>
      <c r="C256" s="56">
        <f t="shared" si="24"/>
        <v>196</v>
      </c>
      <c r="D256" s="52">
        <v>159620</v>
      </c>
      <c r="E256" s="56">
        <f t="shared" si="27"/>
        <v>60</v>
      </c>
      <c r="F256" s="65">
        <f t="shared" si="22"/>
        <v>255</v>
      </c>
      <c r="G256" s="61">
        <f t="shared" si="25"/>
        <v>1</v>
      </c>
      <c r="H256" s="58">
        <f t="shared" si="23"/>
        <v>0</v>
      </c>
      <c r="I256" s="58">
        <f t="shared" si="26"/>
        <v>0</v>
      </c>
    </row>
    <row r="257" spans="1:9" x14ac:dyDescent="0.15">
      <c r="A257" s="23">
        <v>256</v>
      </c>
      <c r="B257" s="56">
        <f t="shared" si="24"/>
        <v>166</v>
      </c>
      <c r="C257" s="56">
        <f t="shared" si="24"/>
        <v>197</v>
      </c>
      <c r="D257" s="52">
        <v>160817</v>
      </c>
      <c r="E257" s="56">
        <f t="shared" si="27"/>
        <v>60</v>
      </c>
      <c r="F257" s="65">
        <f t="shared" si="22"/>
        <v>256</v>
      </c>
      <c r="G257" s="61">
        <f t="shared" si="25"/>
        <v>0</v>
      </c>
      <c r="H257" s="58">
        <f t="shared" si="23"/>
        <v>1</v>
      </c>
      <c r="I257" s="58">
        <f t="shared" si="26"/>
        <v>0</v>
      </c>
    </row>
    <row r="258" spans="1:9" x14ac:dyDescent="0.15">
      <c r="A258" s="23">
        <v>257</v>
      </c>
      <c r="B258" s="56">
        <f t="shared" si="24"/>
        <v>167</v>
      </c>
      <c r="C258" s="56">
        <f t="shared" si="24"/>
        <v>197</v>
      </c>
      <c r="D258" s="52">
        <v>162023</v>
      </c>
      <c r="E258" s="56">
        <f t="shared" si="27"/>
        <v>60</v>
      </c>
      <c r="F258" s="65">
        <f t="shared" ref="F258:F321" si="28">A258</f>
        <v>257</v>
      </c>
      <c r="G258" s="61">
        <f t="shared" si="25"/>
        <v>1</v>
      </c>
      <c r="H258" s="58">
        <f t="shared" ref="H258:H321" si="29">IF($A258&gt;=slow,IF(MOD($A258,upper)=0,slow_upper,0),IF($A258&gt;medium,IF(MOD($A258,bonus)=0,medium_bonus,IF(MOD($A258,upper)=0,medium_upper,IF(MOD($A258,up)=0,medium_up,0))),IF(MOD($A258,bonus)=0,fast_bonus,IF(MOD($A258,upper)=0,fast_upper,IF(MOD($A258,up)=0,fast_up,0)))))</f>
        <v>0</v>
      </c>
      <c r="I258" s="58">
        <f t="shared" si="26"/>
        <v>0</v>
      </c>
    </row>
    <row r="259" spans="1:9" x14ac:dyDescent="0.15">
      <c r="A259" s="23">
        <v>258</v>
      </c>
      <c r="B259" s="56">
        <f t="shared" ref="B259:C322" si="30">B258+G259</f>
        <v>167</v>
      </c>
      <c r="C259" s="56">
        <f t="shared" si="30"/>
        <v>197</v>
      </c>
      <c r="D259" s="52">
        <v>163238</v>
      </c>
      <c r="E259" s="56">
        <f t="shared" si="27"/>
        <v>60</v>
      </c>
      <c r="F259" s="65">
        <f t="shared" si="28"/>
        <v>258</v>
      </c>
      <c r="G259" s="61">
        <f t="shared" ref="G259:G322" si="31">IF(A259&gt;=106, IF(MOD(A259,2)=0,0,1), IF(A259 &gt;= 65, IF(MOD(A259, 2) =0,0, IF(MOD(A259,5)= 0, 2, 1)), IF(MOD(A259, 2) =0,0, IF(MOD(A259,5)= 0, 5, 1))))</f>
        <v>0</v>
      </c>
      <c r="H259" s="58">
        <f t="shared" si="29"/>
        <v>0</v>
      </c>
      <c r="I259" s="58">
        <f t="shared" ref="I259:I322" si="32">IF($A259&gt;=51,0,IF($A259&gt;=30,IF(MOD($A259,5)=0,1,0),IF($A259&gt;=11,IF(MOD($A259,5)=0,3,IF(MOD($A259,2)=0,1,0)),IF(MOD($A259,5)=0,5,IF(MOD($A259,2)=0,2,0)))))</f>
        <v>0</v>
      </c>
    </row>
    <row r="260" spans="1:9" x14ac:dyDescent="0.15">
      <c r="A260" s="23">
        <v>259</v>
      </c>
      <c r="B260" s="56">
        <f t="shared" si="30"/>
        <v>168</v>
      </c>
      <c r="C260" s="56">
        <f t="shared" si="30"/>
        <v>197</v>
      </c>
      <c r="D260" s="52">
        <v>164463</v>
      </c>
      <c r="E260" s="56">
        <f t="shared" ref="E260:E323" si="33">E259+I260</f>
        <v>60</v>
      </c>
      <c r="F260" s="65">
        <f t="shared" si="28"/>
        <v>259</v>
      </c>
      <c r="G260" s="61">
        <f t="shared" si="31"/>
        <v>1</v>
      </c>
      <c r="H260" s="58">
        <f t="shared" si="29"/>
        <v>0</v>
      </c>
      <c r="I260" s="58">
        <f t="shared" si="32"/>
        <v>0</v>
      </c>
    </row>
    <row r="261" spans="1:9" x14ac:dyDescent="0.15">
      <c r="A261" s="23">
        <v>260</v>
      </c>
      <c r="B261" s="56">
        <f t="shared" si="30"/>
        <v>168</v>
      </c>
      <c r="C261" s="56">
        <f t="shared" si="30"/>
        <v>198</v>
      </c>
      <c r="D261" s="52">
        <v>165696</v>
      </c>
      <c r="E261" s="56">
        <f t="shared" si="33"/>
        <v>60</v>
      </c>
      <c r="F261" s="65">
        <f t="shared" si="28"/>
        <v>260</v>
      </c>
      <c r="G261" s="61">
        <f t="shared" si="31"/>
        <v>0</v>
      </c>
      <c r="H261" s="58">
        <f t="shared" si="29"/>
        <v>1</v>
      </c>
      <c r="I261" s="58">
        <f t="shared" si="32"/>
        <v>0</v>
      </c>
    </row>
    <row r="262" spans="1:9" x14ac:dyDescent="0.15">
      <c r="A262" s="23">
        <v>261</v>
      </c>
      <c r="B262" s="56">
        <f t="shared" si="30"/>
        <v>169</v>
      </c>
      <c r="C262" s="56">
        <f t="shared" si="30"/>
        <v>198</v>
      </c>
      <c r="D262" s="52">
        <v>166856</v>
      </c>
      <c r="E262" s="56">
        <f t="shared" si="33"/>
        <v>60</v>
      </c>
      <c r="F262" s="65">
        <f t="shared" si="28"/>
        <v>261</v>
      </c>
      <c r="G262" s="61">
        <f t="shared" si="31"/>
        <v>1</v>
      </c>
      <c r="H262" s="58">
        <f t="shared" si="29"/>
        <v>0</v>
      </c>
      <c r="I262" s="58">
        <f t="shared" si="32"/>
        <v>0</v>
      </c>
    </row>
    <row r="263" spans="1:9" x14ac:dyDescent="0.15">
      <c r="A263" s="23">
        <v>262</v>
      </c>
      <c r="B263" s="56">
        <f t="shared" si="30"/>
        <v>169</v>
      </c>
      <c r="C263" s="56">
        <f t="shared" si="30"/>
        <v>198</v>
      </c>
      <c r="D263" s="52">
        <v>168024</v>
      </c>
      <c r="E263" s="56">
        <f t="shared" si="33"/>
        <v>60</v>
      </c>
      <c r="F263" s="65">
        <f t="shared" si="28"/>
        <v>262</v>
      </c>
      <c r="G263" s="61">
        <f t="shared" si="31"/>
        <v>0</v>
      </c>
      <c r="H263" s="58">
        <f t="shared" si="29"/>
        <v>0</v>
      </c>
      <c r="I263" s="58">
        <f t="shared" si="32"/>
        <v>0</v>
      </c>
    </row>
    <row r="264" spans="1:9" x14ac:dyDescent="0.15">
      <c r="A264" s="23">
        <v>263</v>
      </c>
      <c r="B264" s="56">
        <f t="shared" si="30"/>
        <v>170</v>
      </c>
      <c r="C264" s="56">
        <f t="shared" si="30"/>
        <v>198</v>
      </c>
      <c r="D264" s="52">
        <v>169200</v>
      </c>
      <c r="E264" s="56">
        <f t="shared" si="33"/>
        <v>60</v>
      </c>
      <c r="F264" s="65">
        <f t="shared" si="28"/>
        <v>263</v>
      </c>
      <c r="G264" s="61">
        <f t="shared" si="31"/>
        <v>1</v>
      </c>
      <c r="H264" s="58">
        <f t="shared" si="29"/>
        <v>0</v>
      </c>
      <c r="I264" s="58">
        <f t="shared" si="32"/>
        <v>0</v>
      </c>
    </row>
    <row r="265" spans="1:9" x14ac:dyDescent="0.15">
      <c r="A265" s="23">
        <v>264</v>
      </c>
      <c r="B265" s="56">
        <f t="shared" si="30"/>
        <v>170</v>
      </c>
      <c r="C265" s="56">
        <f t="shared" si="30"/>
        <v>199</v>
      </c>
      <c r="D265" s="52">
        <v>170385</v>
      </c>
      <c r="E265" s="56">
        <f t="shared" si="33"/>
        <v>60</v>
      </c>
      <c r="F265" s="65">
        <f t="shared" si="28"/>
        <v>264</v>
      </c>
      <c r="G265" s="61">
        <f t="shared" si="31"/>
        <v>0</v>
      </c>
      <c r="H265" s="58">
        <f t="shared" si="29"/>
        <v>1</v>
      </c>
      <c r="I265" s="58">
        <f t="shared" si="32"/>
        <v>0</v>
      </c>
    </row>
    <row r="266" spans="1:9" x14ac:dyDescent="0.15">
      <c r="A266" s="23">
        <v>265</v>
      </c>
      <c r="B266" s="56">
        <f t="shared" si="30"/>
        <v>171</v>
      </c>
      <c r="C266" s="56">
        <f t="shared" si="30"/>
        <v>199</v>
      </c>
      <c r="D266" s="52">
        <v>171577</v>
      </c>
      <c r="E266" s="56">
        <f t="shared" si="33"/>
        <v>60</v>
      </c>
      <c r="F266" s="65">
        <f t="shared" si="28"/>
        <v>265</v>
      </c>
      <c r="G266" s="61">
        <f t="shared" si="31"/>
        <v>1</v>
      </c>
      <c r="H266" s="58">
        <f t="shared" si="29"/>
        <v>0</v>
      </c>
      <c r="I266" s="58">
        <f t="shared" si="32"/>
        <v>0</v>
      </c>
    </row>
    <row r="267" spans="1:9" x14ac:dyDescent="0.15">
      <c r="A267" s="23">
        <v>266</v>
      </c>
      <c r="B267" s="56">
        <f t="shared" si="30"/>
        <v>171</v>
      </c>
      <c r="C267" s="56">
        <f t="shared" si="30"/>
        <v>199</v>
      </c>
      <c r="D267" s="52">
        <v>172778</v>
      </c>
      <c r="E267" s="56">
        <f t="shared" si="33"/>
        <v>60</v>
      </c>
      <c r="F267" s="65">
        <f t="shared" si="28"/>
        <v>266</v>
      </c>
      <c r="G267" s="61">
        <f t="shared" si="31"/>
        <v>0</v>
      </c>
      <c r="H267" s="58">
        <f t="shared" si="29"/>
        <v>0</v>
      </c>
      <c r="I267" s="58">
        <f t="shared" si="32"/>
        <v>0</v>
      </c>
    </row>
    <row r="268" spans="1:9" x14ac:dyDescent="0.15">
      <c r="A268" s="23">
        <v>267</v>
      </c>
      <c r="B268" s="56">
        <f t="shared" si="30"/>
        <v>172</v>
      </c>
      <c r="C268" s="56">
        <f t="shared" si="30"/>
        <v>199</v>
      </c>
      <c r="D268" s="52">
        <v>173988</v>
      </c>
      <c r="E268" s="56">
        <f t="shared" si="33"/>
        <v>60</v>
      </c>
      <c r="F268" s="65">
        <f t="shared" si="28"/>
        <v>267</v>
      </c>
      <c r="G268" s="61">
        <f t="shared" si="31"/>
        <v>1</v>
      </c>
      <c r="H268" s="58">
        <f t="shared" si="29"/>
        <v>0</v>
      </c>
      <c r="I268" s="58">
        <f t="shared" si="32"/>
        <v>0</v>
      </c>
    </row>
    <row r="269" spans="1:9" x14ac:dyDescent="0.15">
      <c r="A269" s="23">
        <v>268</v>
      </c>
      <c r="B269" s="56">
        <f t="shared" si="30"/>
        <v>172</v>
      </c>
      <c r="C269" s="56">
        <f t="shared" si="30"/>
        <v>200</v>
      </c>
      <c r="D269" s="52">
        <v>175206</v>
      </c>
      <c r="E269" s="56">
        <f t="shared" si="33"/>
        <v>60</v>
      </c>
      <c r="F269" s="65">
        <f t="shared" si="28"/>
        <v>268</v>
      </c>
      <c r="G269" s="61">
        <f t="shared" si="31"/>
        <v>0</v>
      </c>
      <c r="H269" s="58">
        <f t="shared" si="29"/>
        <v>1</v>
      </c>
      <c r="I269" s="58">
        <f t="shared" si="32"/>
        <v>0</v>
      </c>
    </row>
    <row r="270" spans="1:9" x14ac:dyDescent="0.15">
      <c r="A270" s="23">
        <v>269</v>
      </c>
      <c r="B270" s="56">
        <f t="shared" si="30"/>
        <v>173</v>
      </c>
      <c r="C270" s="56">
        <f t="shared" si="30"/>
        <v>200</v>
      </c>
      <c r="D270" s="52">
        <v>176432</v>
      </c>
      <c r="E270" s="56">
        <f t="shared" si="33"/>
        <v>60</v>
      </c>
      <c r="F270" s="65">
        <f t="shared" si="28"/>
        <v>269</v>
      </c>
      <c r="G270" s="61">
        <f t="shared" si="31"/>
        <v>1</v>
      </c>
      <c r="H270" s="58">
        <f t="shared" si="29"/>
        <v>0</v>
      </c>
      <c r="I270" s="58">
        <f t="shared" si="32"/>
        <v>0</v>
      </c>
    </row>
    <row r="271" spans="1:9" x14ac:dyDescent="0.15">
      <c r="A271" s="23">
        <v>270</v>
      </c>
      <c r="B271" s="56">
        <f t="shared" si="30"/>
        <v>173</v>
      </c>
      <c r="C271" s="56">
        <f t="shared" si="30"/>
        <v>200</v>
      </c>
      <c r="D271" s="52">
        <v>177667</v>
      </c>
      <c r="E271" s="56">
        <f t="shared" si="33"/>
        <v>60</v>
      </c>
      <c r="F271" s="65">
        <f t="shared" si="28"/>
        <v>270</v>
      </c>
      <c r="G271" s="61">
        <f t="shared" si="31"/>
        <v>0</v>
      </c>
      <c r="H271" s="58">
        <f t="shared" si="29"/>
        <v>0</v>
      </c>
      <c r="I271" s="58">
        <f t="shared" si="32"/>
        <v>0</v>
      </c>
    </row>
    <row r="272" spans="1:9" x14ac:dyDescent="0.15">
      <c r="A272" s="23">
        <v>271</v>
      </c>
      <c r="B272" s="56">
        <f t="shared" si="30"/>
        <v>174</v>
      </c>
      <c r="C272" s="56">
        <f t="shared" si="30"/>
        <v>200</v>
      </c>
      <c r="D272" s="52">
        <v>178911</v>
      </c>
      <c r="E272" s="56">
        <f t="shared" si="33"/>
        <v>60</v>
      </c>
      <c r="F272" s="65">
        <f t="shared" si="28"/>
        <v>271</v>
      </c>
      <c r="G272" s="61">
        <f t="shared" si="31"/>
        <v>1</v>
      </c>
      <c r="H272" s="58">
        <f t="shared" si="29"/>
        <v>0</v>
      </c>
      <c r="I272" s="58">
        <f t="shared" si="32"/>
        <v>0</v>
      </c>
    </row>
    <row r="273" spans="1:9" x14ac:dyDescent="0.15">
      <c r="A273" s="23">
        <v>272</v>
      </c>
      <c r="B273" s="56">
        <f t="shared" si="30"/>
        <v>174</v>
      </c>
      <c r="C273" s="56">
        <f t="shared" si="30"/>
        <v>201</v>
      </c>
      <c r="D273" s="52">
        <v>180163</v>
      </c>
      <c r="E273" s="56">
        <f t="shared" si="33"/>
        <v>60</v>
      </c>
      <c r="F273" s="65">
        <f t="shared" si="28"/>
        <v>272</v>
      </c>
      <c r="G273" s="61">
        <f t="shared" si="31"/>
        <v>0</v>
      </c>
      <c r="H273" s="58">
        <f t="shared" si="29"/>
        <v>1</v>
      </c>
      <c r="I273" s="58">
        <f t="shared" si="32"/>
        <v>0</v>
      </c>
    </row>
    <row r="274" spans="1:9" x14ac:dyDescent="0.15">
      <c r="A274" s="23">
        <v>273</v>
      </c>
      <c r="B274" s="56">
        <f t="shared" si="30"/>
        <v>175</v>
      </c>
      <c r="C274" s="56">
        <f t="shared" si="30"/>
        <v>201</v>
      </c>
      <c r="D274" s="52">
        <v>181424</v>
      </c>
      <c r="E274" s="56">
        <f t="shared" si="33"/>
        <v>60</v>
      </c>
      <c r="F274" s="65">
        <f t="shared" si="28"/>
        <v>273</v>
      </c>
      <c r="G274" s="61">
        <f t="shared" si="31"/>
        <v>1</v>
      </c>
      <c r="H274" s="58">
        <f t="shared" si="29"/>
        <v>0</v>
      </c>
      <c r="I274" s="58">
        <f t="shared" si="32"/>
        <v>0</v>
      </c>
    </row>
    <row r="275" spans="1:9" x14ac:dyDescent="0.15">
      <c r="A275" s="23">
        <v>274</v>
      </c>
      <c r="B275" s="56">
        <f t="shared" si="30"/>
        <v>175</v>
      </c>
      <c r="C275" s="56">
        <f t="shared" si="30"/>
        <v>201</v>
      </c>
      <c r="D275" s="52">
        <v>182694</v>
      </c>
      <c r="E275" s="56">
        <f t="shared" si="33"/>
        <v>60</v>
      </c>
      <c r="F275" s="65">
        <f t="shared" si="28"/>
        <v>274</v>
      </c>
      <c r="G275" s="61">
        <f t="shared" si="31"/>
        <v>0</v>
      </c>
      <c r="H275" s="58">
        <f t="shared" si="29"/>
        <v>0</v>
      </c>
      <c r="I275" s="58">
        <f t="shared" si="32"/>
        <v>0</v>
      </c>
    </row>
    <row r="276" spans="1:9" x14ac:dyDescent="0.15">
      <c r="A276" s="23">
        <v>275</v>
      </c>
      <c r="B276" s="56">
        <f t="shared" si="30"/>
        <v>176</v>
      </c>
      <c r="C276" s="56">
        <f t="shared" si="30"/>
        <v>201</v>
      </c>
      <c r="D276" s="52">
        <v>183973</v>
      </c>
      <c r="E276" s="56">
        <f t="shared" si="33"/>
        <v>60</v>
      </c>
      <c r="F276" s="65">
        <f t="shared" si="28"/>
        <v>275</v>
      </c>
      <c r="G276" s="61">
        <f t="shared" si="31"/>
        <v>1</v>
      </c>
      <c r="H276" s="58">
        <f t="shared" si="29"/>
        <v>0</v>
      </c>
      <c r="I276" s="58">
        <f t="shared" si="32"/>
        <v>0</v>
      </c>
    </row>
    <row r="277" spans="1:9" x14ac:dyDescent="0.15">
      <c r="A277" s="23">
        <v>276</v>
      </c>
      <c r="B277" s="56">
        <f t="shared" si="30"/>
        <v>176</v>
      </c>
      <c r="C277" s="56">
        <f t="shared" si="30"/>
        <v>202</v>
      </c>
      <c r="D277" s="52">
        <v>185261</v>
      </c>
      <c r="E277" s="56">
        <f t="shared" si="33"/>
        <v>60</v>
      </c>
      <c r="F277" s="65">
        <f t="shared" si="28"/>
        <v>276</v>
      </c>
      <c r="G277" s="61">
        <f t="shared" si="31"/>
        <v>0</v>
      </c>
      <c r="H277" s="58">
        <f t="shared" si="29"/>
        <v>1</v>
      </c>
      <c r="I277" s="58">
        <f t="shared" si="32"/>
        <v>0</v>
      </c>
    </row>
    <row r="278" spans="1:9" x14ac:dyDescent="0.15">
      <c r="A278" s="23">
        <v>277</v>
      </c>
      <c r="B278" s="56">
        <f t="shared" si="30"/>
        <v>177</v>
      </c>
      <c r="C278" s="56">
        <f t="shared" si="30"/>
        <v>202</v>
      </c>
      <c r="D278" s="52">
        <v>186558</v>
      </c>
      <c r="E278" s="56">
        <f t="shared" si="33"/>
        <v>60</v>
      </c>
      <c r="F278" s="65">
        <f t="shared" si="28"/>
        <v>277</v>
      </c>
      <c r="G278" s="61">
        <f t="shared" si="31"/>
        <v>1</v>
      </c>
      <c r="H278" s="58">
        <f t="shared" si="29"/>
        <v>0</v>
      </c>
      <c r="I278" s="58">
        <f t="shared" si="32"/>
        <v>0</v>
      </c>
    </row>
    <row r="279" spans="1:9" x14ac:dyDescent="0.15">
      <c r="A279" s="23">
        <v>278</v>
      </c>
      <c r="B279" s="56">
        <f t="shared" si="30"/>
        <v>177</v>
      </c>
      <c r="C279" s="56">
        <f t="shared" si="30"/>
        <v>202</v>
      </c>
      <c r="D279" s="52">
        <v>187864</v>
      </c>
      <c r="E279" s="56">
        <f t="shared" si="33"/>
        <v>60</v>
      </c>
      <c r="F279" s="65">
        <f t="shared" si="28"/>
        <v>278</v>
      </c>
      <c r="G279" s="61">
        <f t="shared" si="31"/>
        <v>0</v>
      </c>
      <c r="H279" s="58">
        <f t="shared" si="29"/>
        <v>0</v>
      </c>
      <c r="I279" s="58">
        <f t="shared" si="32"/>
        <v>0</v>
      </c>
    </row>
    <row r="280" spans="1:9" x14ac:dyDescent="0.15">
      <c r="A280" s="23">
        <v>279</v>
      </c>
      <c r="B280" s="56">
        <f t="shared" si="30"/>
        <v>178</v>
      </c>
      <c r="C280" s="56">
        <f t="shared" si="30"/>
        <v>202</v>
      </c>
      <c r="D280" s="52">
        <v>189179</v>
      </c>
      <c r="E280" s="56">
        <f t="shared" si="33"/>
        <v>60</v>
      </c>
      <c r="F280" s="65">
        <f t="shared" si="28"/>
        <v>279</v>
      </c>
      <c r="G280" s="61">
        <f t="shared" si="31"/>
        <v>1</v>
      </c>
      <c r="H280" s="58">
        <f t="shared" si="29"/>
        <v>0</v>
      </c>
      <c r="I280" s="58">
        <f t="shared" si="32"/>
        <v>0</v>
      </c>
    </row>
    <row r="281" spans="1:9" x14ac:dyDescent="0.15">
      <c r="A281" s="23">
        <v>280</v>
      </c>
      <c r="B281" s="56">
        <f t="shared" si="30"/>
        <v>178</v>
      </c>
      <c r="C281" s="56">
        <f t="shared" si="30"/>
        <v>203</v>
      </c>
      <c r="D281" s="52">
        <v>190503</v>
      </c>
      <c r="E281" s="56">
        <f t="shared" si="33"/>
        <v>60</v>
      </c>
      <c r="F281" s="65">
        <f t="shared" si="28"/>
        <v>280</v>
      </c>
      <c r="G281" s="61">
        <f t="shared" si="31"/>
        <v>0</v>
      </c>
      <c r="H281" s="58">
        <f t="shared" si="29"/>
        <v>1</v>
      </c>
      <c r="I281" s="58">
        <f t="shared" si="32"/>
        <v>0</v>
      </c>
    </row>
    <row r="282" spans="1:9" x14ac:dyDescent="0.15">
      <c r="A282" s="23">
        <v>281</v>
      </c>
      <c r="B282" s="56">
        <f t="shared" si="30"/>
        <v>179</v>
      </c>
      <c r="C282" s="56">
        <f t="shared" si="30"/>
        <v>203</v>
      </c>
      <c r="D282" s="52">
        <v>191741</v>
      </c>
      <c r="E282" s="56">
        <f t="shared" si="33"/>
        <v>60</v>
      </c>
      <c r="F282" s="65">
        <f t="shared" si="28"/>
        <v>281</v>
      </c>
      <c r="G282" s="61">
        <f t="shared" si="31"/>
        <v>1</v>
      </c>
      <c r="H282" s="58">
        <f t="shared" si="29"/>
        <v>0</v>
      </c>
      <c r="I282" s="58">
        <f t="shared" si="32"/>
        <v>0</v>
      </c>
    </row>
    <row r="283" spans="1:9" x14ac:dyDescent="0.15">
      <c r="A283" s="23">
        <v>282</v>
      </c>
      <c r="B283" s="56">
        <f t="shared" si="30"/>
        <v>179</v>
      </c>
      <c r="C283" s="56">
        <f t="shared" si="30"/>
        <v>203</v>
      </c>
      <c r="D283" s="52">
        <v>192988</v>
      </c>
      <c r="E283" s="56">
        <f t="shared" si="33"/>
        <v>60</v>
      </c>
      <c r="F283" s="65">
        <f t="shared" si="28"/>
        <v>282</v>
      </c>
      <c r="G283" s="61">
        <f t="shared" si="31"/>
        <v>0</v>
      </c>
      <c r="H283" s="58">
        <f t="shared" si="29"/>
        <v>0</v>
      </c>
      <c r="I283" s="58">
        <f t="shared" si="32"/>
        <v>0</v>
      </c>
    </row>
    <row r="284" spans="1:9" x14ac:dyDescent="0.15">
      <c r="A284" s="23">
        <v>283</v>
      </c>
      <c r="B284" s="56">
        <f t="shared" si="30"/>
        <v>180</v>
      </c>
      <c r="C284" s="56">
        <f t="shared" si="30"/>
        <v>203</v>
      </c>
      <c r="D284" s="52">
        <v>194242</v>
      </c>
      <c r="E284" s="56">
        <f t="shared" si="33"/>
        <v>60</v>
      </c>
      <c r="F284" s="65">
        <f t="shared" si="28"/>
        <v>283</v>
      </c>
      <c r="G284" s="61">
        <f t="shared" si="31"/>
        <v>1</v>
      </c>
      <c r="H284" s="58">
        <f t="shared" si="29"/>
        <v>0</v>
      </c>
      <c r="I284" s="58">
        <f t="shared" si="32"/>
        <v>0</v>
      </c>
    </row>
    <row r="285" spans="1:9" x14ac:dyDescent="0.15">
      <c r="A285" s="23">
        <v>284</v>
      </c>
      <c r="B285" s="56">
        <f t="shared" si="30"/>
        <v>180</v>
      </c>
      <c r="C285" s="56">
        <f t="shared" si="30"/>
        <v>204</v>
      </c>
      <c r="D285" s="52">
        <v>195505</v>
      </c>
      <c r="E285" s="56">
        <f t="shared" si="33"/>
        <v>60</v>
      </c>
      <c r="F285" s="65">
        <f t="shared" si="28"/>
        <v>284</v>
      </c>
      <c r="G285" s="61">
        <f t="shared" si="31"/>
        <v>0</v>
      </c>
      <c r="H285" s="58">
        <f t="shared" si="29"/>
        <v>1</v>
      </c>
      <c r="I285" s="58">
        <f t="shared" si="32"/>
        <v>0</v>
      </c>
    </row>
    <row r="286" spans="1:9" x14ac:dyDescent="0.15">
      <c r="A286" s="23">
        <v>285</v>
      </c>
      <c r="B286" s="56">
        <f t="shared" si="30"/>
        <v>181</v>
      </c>
      <c r="C286" s="56">
        <f t="shared" si="30"/>
        <v>204</v>
      </c>
      <c r="D286" s="52">
        <v>196775</v>
      </c>
      <c r="E286" s="56">
        <f t="shared" si="33"/>
        <v>60</v>
      </c>
      <c r="F286" s="65">
        <f t="shared" si="28"/>
        <v>285</v>
      </c>
      <c r="G286" s="61">
        <f t="shared" si="31"/>
        <v>1</v>
      </c>
      <c r="H286" s="58">
        <f t="shared" si="29"/>
        <v>0</v>
      </c>
      <c r="I286" s="58">
        <f t="shared" si="32"/>
        <v>0</v>
      </c>
    </row>
    <row r="287" spans="1:9" x14ac:dyDescent="0.15">
      <c r="A287" s="23">
        <v>286</v>
      </c>
      <c r="B287" s="56">
        <f t="shared" si="30"/>
        <v>181</v>
      </c>
      <c r="C287" s="56">
        <f t="shared" si="30"/>
        <v>204</v>
      </c>
      <c r="D287" s="52">
        <v>198054</v>
      </c>
      <c r="E287" s="56">
        <f t="shared" si="33"/>
        <v>60</v>
      </c>
      <c r="F287" s="65">
        <f t="shared" si="28"/>
        <v>286</v>
      </c>
      <c r="G287" s="61">
        <f t="shared" si="31"/>
        <v>0</v>
      </c>
      <c r="H287" s="58">
        <f t="shared" si="29"/>
        <v>0</v>
      </c>
      <c r="I287" s="58">
        <f t="shared" si="32"/>
        <v>0</v>
      </c>
    </row>
    <row r="288" spans="1:9" x14ac:dyDescent="0.15">
      <c r="A288" s="23">
        <v>287</v>
      </c>
      <c r="B288" s="56">
        <f t="shared" si="30"/>
        <v>182</v>
      </c>
      <c r="C288" s="56">
        <f t="shared" si="30"/>
        <v>204</v>
      </c>
      <c r="D288" s="52">
        <v>199342</v>
      </c>
      <c r="E288" s="56">
        <f t="shared" si="33"/>
        <v>60</v>
      </c>
      <c r="F288" s="65">
        <f t="shared" si="28"/>
        <v>287</v>
      </c>
      <c r="G288" s="61">
        <f t="shared" si="31"/>
        <v>1</v>
      </c>
      <c r="H288" s="58">
        <f t="shared" si="29"/>
        <v>0</v>
      </c>
      <c r="I288" s="58">
        <f t="shared" si="32"/>
        <v>0</v>
      </c>
    </row>
    <row r="289" spans="1:9" x14ac:dyDescent="0.15">
      <c r="A289" s="23">
        <v>288</v>
      </c>
      <c r="B289" s="56">
        <f t="shared" si="30"/>
        <v>182</v>
      </c>
      <c r="C289" s="56">
        <f t="shared" si="30"/>
        <v>205</v>
      </c>
      <c r="D289" s="52">
        <v>200638</v>
      </c>
      <c r="E289" s="56">
        <f t="shared" si="33"/>
        <v>60</v>
      </c>
      <c r="F289" s="65">
        <f t="shared" si="28"/>
        <v>288</v>
      </c>
      <c r="G289" s="61">
        <f t="shared" si="31"/>
        <v>0</v>
      </c>
      <c r="H289" s="58">
        <f t="shared" si="29"/>
        <v>1</v>
      </c>
      <c r="I289" s="58">
        <f t="shared" si="32"/>
        <v>0</v>
      </c>
    </row>
    <row r="290" spans="1:9" x14ac:dyDescent="0.15">
      <c r="A290" s="23">
        <v>289</v>
      </c>
      <c r="B290" s="56">
        <f t="shared" si="30"/>
        <v>183</v>
      </c>
      <c r="C290" s="56">
        <f t="shared" si="30"/>
        <v>205</v>
      </c>
      <c r="D290" s="52">
        <v>201942</v>
      </c>
      <c r="E290" s="56">
        <f t="shared" si="33"/>
        <v>60</v>
      </c>
      <c r="F290" s="65">
        <f t="shared" si="28"/>
        <v>289</v>
      </c>
      <c r="G290" s="61">
        <f t="shared" si="31"/>
        <v>1</v>
      </c>
      <c r="H290" s="58">
        <f t="shared" si="29"/>
        <v>0</v>
      </c>
      <c r="I290" s="58">
        <f t="shared" si="32"/>
        <v>0</v>
      </c>
    </row>
    <row r="291" spans="1:9" x14ac:dyDescent="0.15">
      <c r="A291" s="23">
        <v>290</v>
      </c>
      <c r="B291" s="56">
        <f t="shared" si="30"/>
        <v>183</v>
      </c>
      <c r="C291" s="56">
        <f t="shared" si="30"/>
        <v>205</v>
      </c>
      <c r="D291" s="52">
        <v>203254</v>
      </c>
      <c r="E291" s="56">
        <f t="shared" si="33"/>
        <v>60</v>
      </c>
      <c r="F291" s="65">
        <f t="shared" si="28"/>
        <v>290</v>
      </c>
      <c r="G291" s="61">
        <f t="shared" si="31"/>
        <v>0</v>
      </c>
      <c r="H291" s="58">
        <f t="shared" si="29"/>
        <v>0</v>
      </c>
      <c r="I291" s="58">
        <f t="shared" si="32"/>
        <v>0</v>
      </c>
    </row>
    <row r="292" spans="1:9" x14ac:dyDescent="0.15">
      <c r="A292" s="23">
        <v>291</v>
      </c>
      <c r="B292" s="56">
        <f t="shared" si="30"/>
        <v>184</v>
      </c>
      <c r="C292" s="56">
        <f t="shared" si="30"/>
        <v>205</v>
      </c>
      <c r="D292" s="52">
        <v>204575</v>
      </c>
      <c r="E292" s="56">
        <f t="shared" si="33"/>
        <v>60</v>
      </c>
      <c r="F292" s="65">
        <f t="shared" si="28"/>
        <v>291</v>
      </c>
      <c r="G292" s="61">
        <f t="shared" si="31"/>
        <v>1</v>
      </c>
      <c r="H292" s="58">
        <f t="shared" si="29"/>
        <v>0</v>
      </c>
      <c r="I292" s="58">
        <f t="shared" si="32"/>
        <v>0</v>
      </c>
    </row>
    <row r="293" spans="1:9" x14ac:dyDescent="0.15">
      <c r="A293" s="23">
        <v>292</v>
      </c>
      <c r="B293" s="56">
        <f t="shared" si="30"/>
        <v>184</v>
      </c>
      <c r="C293" s="56">
        <f t="shared" si="30"/>
        <v>206</v>
      </c>
      <c r="D293" s="52">
        <v>205905</v>
      </c>
      <c r="E293" s="56">
        <f t="shared" si="33"/>
        <v>60</v>
      </c>
      <c r="F293" s="65">
        <f t="shared" si="28"/>
        <v>292</v>
      </c>
      <c r="G293" s="61">
        <f t="shared" si="31"/>
        <v>0</v>
      </c>
      <c r="H293" s="58">
        <f t="shared" si="29"/>
        <v>1</v>
      </c>
      <c r="I293" s="58">
        <f t="shared" si="32"/>
        <v>0</v>
      </c>
    </row>
    <row r="294" spans="1:9" x14ac:dyDescent="0.15">
      <c r="A294" s="23">
        <v>293</v>
      </c>
      <c r="B294" s="56">
        <f t="shared" si="30"/>
        <v>185</v>
      </c>
      <c r="C294" s="56">
        <f t="shared" si="30"/>
        <v>206</v>
      </c>
      <c r="D294" s="52">
        <v>207244</v>
      </c>
      <c r="E294" s="56">
        <f t="shared" si="33"/>
        <v>60</v>
      </c>
      <c r="F294" s="65">
        <f t="shared" si="28"/>
        <v>293</v>
      </c>
      <c r="G294" s="61">
        <f t="shared" si="31"/>
        <v>1</v>
      </c>
      <c r="H294" s="58">
        <f t="shared" si="29"/>
        <v>0</v>
      </c>
      <c r="I294" s="58">
        <f t="shared" si="32"/>
        <v>0</v>
      </c>
    </row>
    <row r="295" spans="1:9" x14ac:dyDescent="0.15">
      <c r="A295" s="23">
        <v>294</v>
      </c>
      <c r="B295" s="56">
        <f t="shared" si="30"/>
        <v>185</v>
      </c>
      <c r="C295" s="56">
        <f t="shared" si="30"/>
        <v>206</v>
      </c>
      <c r="D295" s="52">
        <v>208591</v>
      </c>
      <c r="E295" s="56">
        <f t="shared" si="33"/>
        <v>60</v>
      </c>
      <c r="F295" s="65">
        <f t="shared" si="28"/>
        <v>294</v>
      </c>
      <c r="G295" s="61">
        <f t="shared" si="31"/>
        <v>0</v>
      </c>
      <c r="H295" s="58">
        <f t="shared" si="29"/>
        <v>0</v>
      </c>
      <c r="I295" s="58">
        <f t="shared" si="32"/>
        <v>0</v>
      </c>
    </row>
    <row r="296" spans="1:9" x14ac:dyDescent="0.15">
      <c r="A296" s="23">
        <v>295</v>
      </c>
      <c r="B296" s="56">
        <f t="shared" si="30"/>
        <v>186</v>
      </c>
      <c r="C296" s="56">
        <f t="shared" si="30"/>
        <v>206</v>
      </c>
      <c r="D296" s="52">
        <v>209947</v>
      </c>
      <c r="E296" s="56">
        <f t="shared" si="33"/>
        <v>60</v>
      </c>
      <c r="F296" s="65">
        <f t="shared" si="28"/>
        <v>295</v>
      </c>
      <c r="G296" s="61">
        <f t="shared" si="31"/>
        <v>1</v>
      </c>
      <c r="H296" s="58">
        <f t="shared" si="29"/>
        <v>0</v>
      </c>
      <c r="I296" s="58">
        <f t="shared" si="32"/>
        <v>0</v>
      </c>
    </row>
    <row r="297" spans="1:9" x14ac:dyDescent="0.15">
      <c r="A297" s="23">
        <v>296</v>
      </c>
      <c r="B297" s="56">
        <f t="shared" si="30"/>
        <v>186</v>
      </c>
      <c r="C297" s="56">
        <f t="shared" si="30"/>
        <v>207</v>
      </c>
      <c r="D297" s="52">
        <v>211311</v>
      </c>
      <c r="E297" s="56">
        <f t="shared" si="33"/>
        <v>60</v>
      </c>
      <c r="F297" s="65">
        <f t="shared" si="28"/>
        <v>296</v>
      </c>
      <c r="G297" s="61">
        <f t="shared" si="31"/>
        <v>0</v>
      </c>
      <c r="H297" s="58">
        <f t="shared" si="29"/>
        <v>1</v>
      </c>
      <c r="I297" s="58">
        <f t="shared" si="32"/>
        <v>0</v>
      </c>
    </row>
    <row r="298" spans="1:9" x14ac:dyDescent="0.15">
      <c r="A298" s="23">
        <v>297</v>
      </c>
      <c r="B298" s="56">
        <f t="shared" si="30"/>
        <v>187</v>
      </c>
      <c r="C298" s="56">
        <f t="shared" si="30"/>
        <v>207</v>
      </c>
      <c r="D298" s="52">
        <v>212685</v>
      </c>
      <c r="E298" s="56">
        <f t="shared" si="33"/>
        <v>60</v>
      </c>
      <c r="F298" s="65">
        <f t="shared" si="28"/>
        <v>297</v>
      </c>
      <c r="G298" s="61">
        <f t="shared" si="31"/>
        <v>1</v>
      </c>
      <c r="H298" s="58">
        <f t="shared" si="29"/>
        <v>0</v>
      </c>
      <c r="I298" s="58">
        <f t="shared" si="32"/>
        <v>0</v>
      </c>
    </row>
    <row r="299" spans="1:9" x14ac:dyDescent="0.15">
      <c r="A299" s="23">
        <v>298</v>
      </c>
      <c r="B299" s="56">
        <f t="shared" si="30"/>
        <v>187</v>
      </c>
      <c r="C299" s="56">
        <f t="shared" si="30"/>
        <v>207</v>
      </c>
      <c r="D299" s="52">
        <v>214067</v>
      </c>
      <c r="E299" s="56">
        <f t="shared" si="33"/>
        <v>60</v>
      </c>
      <c r="F299" s="65">
        <f t="shared" si="28"/>
        <v>298</v>
      </c>
      <c r="G299" s="61">
        <f t="shared" si="31"/>
        <v>0</v>
      </c>
      <c r="H299" s="58">
        <f t="shared" si="29"/>
        <v>0</v>
      </c>
      <c r="I299" s="58">
        <f t="shared" si="32"/>
        <v>0</v>
      </c>
    </row>
    <row r="300" spans="1:9" x14ac:dyDescent="0.15">
      <c r="A300" s="23">
        <v>299</v>
      </c>
      <c r="B300" s="56">
        <f t="shared" si="30"/>
        <v>188</v>
      </c>
      <c r="C300" s="56">
        <f t="shared" si="30"/>
        <v>207</v>
      </c>
      <c r="D300" s="52">
        <v>215459</v>
      </c>
      <c r="E300" s="56">
        <f t="shared" si="33"/>
        <v>60</v>
      </c>
      <c r="F300" s="65">
        <f t="shared" si="28"/>
        <v>299</v>
      </c>
      <c r="G300" s="61">
        <f t="shared" si="31"/>
        <v>1</v>
      </c>
      <c r="H300" s="58">
        <f t="shared" si="29"/>
        <v>0</v>
      </c>
      <c r="I300" s="58">
        <f t="shared" si="32"/>
        <v>0</v>
      </c>
    </row>
    <row r="301" spans="1:9" x14ac:dyDescent="0.15">
      <c r="A301" s="23">
        <v>300</v>
      </c>
      <c r="B301" s="56">
        <f t="shared" si="30"/>
        <v>188</v>
      </c>
      <c r="C301" s="56">
        <f t="shared" si="30"/>
        <v>208</v>
      </c>
      <c r="D301" s="52">
        <v>216859</v>
      </c>
      <c r="E301" s="56">
        <f t="shared" si="33"/>
        <v>60</v>
      </c>
      <c r="F301" s="65">
        <f t="shared" si="28"/>
        <v>300</v>
      </c>
      <c r="G301" s="61">
        <f t="shared" si="31"/>
        <v>0</v>
      </c>
      <c r="H301" s="58">
        <f t="shared" si="29"/>
        <v>1</v>
      </c>
      <c r="I301" s="58">
        <f t="shared" si="32"/>
        <v>0</v>
      </c>
    </row>
    <row r="302" spans="1:9" x14ac:dyDescent="0.15">
      <c r="A302" s="23">
        <v>301</v>
      </c>
      <c r="B302" s="56">
        <f t="shared" si="30"/>
        <v>189</v>
      </c>
      <c r="C302" s="56">
        <f t="shared" si="30"/>
        <v>208</v>
      </c>
      <c r="D302" s="52">
        <v>219470</v>
      </c>
      <c r="E302" s="56">
        <f t="shared" si="33"/>
        <v>60</v>
      </c>
      <c r="F302" s="65">
        <f t="shared" si="28"/>
        <v>301</v>
      </c>
      <c r="G302" s="61">
        <f t="shared" si="31"/>
        <v>1</v>
      </c>
      <c r="H302" s="58">
        <f t="shared" si="29"/>
        <v>0</v>
      </c>
      <c r="I302" s="58">
        <f t="shared" si="32"/>
        <v>0</v>
      </c>
    </row>
    <row r="303" spans="1:9" x14ac:dyDescent="0.15">
      <c r="A303" s="23">
        <v>302</v>
      </c>
      <c r="B303" s="56">
        <f t="shared" si="30"/>
        <v>189</v>
      </c>
      <c r="C303" s="56">
        <f t="shared" si="30"/>
        <v>208</v>
      </c>
      <c r="D303" s="52">
        <v>220787</v>
      </c>
      <c r="E303" s="56">
        <f t="shared" si="33"/>
        <v>60</v>
      </c>
      <c r="F303" s="65">
        <f t="shared" si="28"/>
        <v>302</v>
      </c>
      <c r="G303" s="61">
        <f t="shared" si="31"/>
        <v>0</v>
      </c>
      <c r="H303" s="58">
        <f t="shared" si="29"/>
        <v>0</v>
      </c>
      <c r="I303" s="58">
        <f t="shared" si="32"/>
        <v>0</v>
      </c>
    </row>
    <row r="304" spans="1:9" x14ac:dyDescent="0.15">
      <c r="A304" s="23">
        <v>303</v>
      </c>
      <c r="B304" s="56">
        <f t="shared" si="30"/>
        <v>190</v>
      </c>
      <c r="C304" s="56">
        <f t="shared" si="30"/>
        <v>208</v>
      </c>
      <c r="D304" s="52">
        <v>222112</v>
      </c>
      <c r="E304" s="56">
        <f t="shared" si="33"/>
        <v>60</v>
      </c>
      <c r="F304" s="65">
        <f t="shared" si="28"/>
        <v>303</v>
      </c>
      <c r="G304" s="61">
        <f t="shared" si="31"/>
        <v>1</v>
      </c>
      <c r="H304" s="58">
        <f t="shared" si="29"/>
        <v>0</v>
      </c>
      <c r="I304" s="58">
        <f t="shared" si="32"/>
        <v>0</v>
      </c>
    </row>
    <row r="305" spans="1:9" x14ac:dyDescent="0.15">
      <c r="A305" s="23">
        <v>304</v>
      </c>
      <c r="B305" s="56">
        <f t="shared" si="30"/>
        <v>190</v>
      </c>
      <c r="C305" s="56">
        <f t="shared" si="30"/>
        <v>209</v>
      </c>
      <c r="D305" s="52">
        <v>223445</v>
      </c>
      <c r="E305" s="56">
        <f t="shared" si="33"/>
        <v>60</v>
      </c>
      <c r="F305" s="65">
        <f t="shared" si="28"/>
        <v>304</v>
      </c>
      <c r="G305" s="61">
        <f t="shared" si="31"/>
        <v>0</v>
      </c>
      <c r="H305" s="58">
        <f t="shared" si="29"/>
        <v>1</v>
      </c>
      <c r="I305" s="58">
        <f t="shared" si="32"/>
        <v>0</v>
      </c>
    </row>
    <row r="306" spans="1:9" x14ac:dyDescent="0.15">
      <c r="A306" s="23">
        <v>305</v>
      </c>
      <c r="B306" s="56">
        <f t="shared" si="30"/>
        <v>191</v>
      </c>
      <c r="C306" s="56">
        <f t="shared" si="30"/>
        <v>209</v>
      </c>
      <c r="D306" s="52">
        <v>224786</v>
      </c>
      <c r="E306" s="56">
        <f t="shared" si="33"/>
        <v>60</v>
      </c>
      <c r="F306" s="65">
        <f t="shared" si="28"/>
        <v>305</v>
      </c>
      <c r="G306" s="61">
        <f t="shared" si="31"/>
        <v>1</v>
      </c>
      <c r="H306" s="58">
        <f t="shared" si="29"/>
        <v>0</v>
      </c>
      <c r="I306" s="58">
        <f t="shared" si="32"/>
        <v>0</v>
      </c>
    </row>
    <row r="307" spans="1:9" x14ac:dyDescent="0.15">
      <c r="A307" s="23">
        <v>306</v>
      </c>
      <c r="B307" s="56">
        <f t="shared" si="30"/>
        <v>191</v>
      </c>
      <c r="C307" s="56">
        <f t="shared" si="30"/>
        <v>209</v>
      </c>
      <c r="D307" s="52">
        <v>226135</v>
      </c>
      <c r="E307" s="56">
        <f t="shared" si="33"/>
        <v>60</v>
      </c>
      <c r="F307" s="65">
        <f t="shared" si="28"/>
        <v>306</v>
      </c>
      <c r="G307" s="61">
        <f t="shared" si="31"/>
        <v>0</v>
      </c>
      <c r="H307" s="58">
        <f t="shared" si="29"/>
        <v>0</v>
      </c>
      <c r="I307" s="58">
        <f t="shared" si="32"/>
        <v>0</v>
      </c>
    </row>
    <row r="308" spans="1:9" x14ac:dyDescent="0.15">
      <c r="A308" s="23">
        <v>307</v>
      </c>
      <c r="B308" s="56">
        <f t="shared" si="30"/>
        <v>192</v>
      </c>
      <c r="C308" s="56">
        <f t="shared" si="30"/>
        <v>209</v>
      </c>
      <c r="D308" s="52">
        <v>227492</v>
      </c>
      <c r="E308" s="56">
        <f t="shared" si="33"/>
        <v>60</v>
      </c>
      <c r="F308" s="65">
        <f t="shared" si="28"/>
        <v>307</v>
      </c>
      <c r="G308" s="61">
        <f t="shared" si="31"/>
        <v>1</v>
      </c>
      <c r="H308" s="58">
        <f t="shared" si="29"/>
        <v>0</v>
      </c>
      <c r="I308" s="58">
        <f t="shared" si="32"/>
        <v>0</v>
      </c>
    </row>
    <row r="309" spans="1:9" x14ac:dyDescent="0.15">
      <c r="A309" s="23">
        <v>308</v>
      </c>
      <c r="B309" s="56">
        <f t="shared" si="30"/>
        <v>192</v>
      </c>
      <c r="C309" s="56">
        <f t="shared" si="30"/>
        <v>210</v>
      </c>
      <c r="D309" s="52">
        <v>228857</v>
      </c>
      <c r="E309" s="56">
        <f t="shared" si="33"/>
        <v>60</v>
      </c>
      <c r="F309" s="65">
        <f t="shared" si="28"/>
        <v>308</v>
      </c>
      <c r="G309" s="61">
        <f t="shared" si="31"/>
        <v>0</v>
      </c>
      <c r="H309" s="58">
        <f t="shared" si="29"/>
        <v>1</v>
      </c>
      <c r="I309" s="58">
        <f t="shared" si="32"/>
        <v>0</v>
      </c>
    </row>
    <row r="310" spans="1:9" x14ac:dyDescent="0.15">
      <c r="A310" s="23">
        <v>309</v>
      </c>
      <c r="B310" s="56">
        <f t="shared" si="30"/>
        <v>193</v>
      </c>
      <c r="C310" s="56">
        <f t="shared" si="30"/>
        <v>210</v>
      </c>
      <c r="D310" s="52">
        <v>230230</v>
      </c>
      <c r="E310" s="56">
        <f t="shared" si="33"/>
        <v>60</v>
      </c>
      <c r="F310" s="65">
        <f t="shared" si="28"/>
        <v>309</v>
      </c>
      <c r="G310" s="61">
        <f t="shared" si="31"/>
        <v>1</v>
      </c>
      <c r="H310" s="58">
        <f t="shared" si="29"/>
        <v>0</v>
      </c>
      <c r="I310" s="58">
        <f t="shared" si="32"/>
        <v>0</v>
      </c>
    </row>
    <row r="311" spans="1:9" x14ac:dyDescent="0.15">
      <c r="A311" s="23">
        <v>310</v>
      </c>
      <c r="B311" s="56">
        <f t="shared" si="30"/>
        <v>193</v>
      </c>
      <c r="C311" s="56">
        <f t="shared" si="30"/>
        <v>210</v>
      </c>
      <c r="D311" s="52">
        <v>231611</v>
      </c>
      <c r="E311" s="56">
        <f t="shared" si="33"/>
        <v>60</v>
      </c>
      <c r="F311" s="65">
        <f t="shared" si="28"/>
        <v>310</v>
      </c>
      <c r="G311" s="61">
        <f t="shared" si="31"/>
        <v>0</v>
      </c>
      <c r="H311" s="58">
        <f t="shared" si="29"/>
        <v>0</v>
      </c>
      <c r="I311" s="58">
        <f t="shared" si="32"/>
        <v>0</v>
      </c>
    </row>
    <row r="312" spans="1:9" x14ac:dyDescent="0.15">
      <c r="A312" s="23">
        <v>311</v>
      </c>
      <c r="B312" s="56">
        <f t="shared" si="30"/>
        <v>194</v>
      </c>
      <c r="C312" s="56">
        <f t="shared" si="30"/>
        <v>210</v>
      </c>
      <c r="D312" s="52">
        <v>233001</v>
      </c>
      <c r="E312" s="56">
        <f t="shared" si="33"/>
        <v>60</v>
      </c>
      <c r="F312" s="65">
        <f t="shared" si="28"/>
        <v>311</v>
      </c>
      <c r="G312" s="61">
        <f t="shared" si="31"/>
        <v>1</v>
      </c>
      <c r="H312" s="58">
        <f t="shared" si="29"/>
        <v>0</v>
      </c>
      <c r="I312" s="58">
        <f t="shared" si="32"/>
        <v>0</v>
      </c>
    </row>
    <row r="313" spans="1:9" x14ac:dyDescent="0.15">
      <c r="A313" s="23">
        <v>312</v>
      </c>
      <c r="B313" s="56">
        <f t="shared" si="30"/>
        <v>194</v>
      </c>
      <c r="C313" s="56">
        <f t="shared" si="30"/>
        <v>211</v>
      </c>
      <c r="D313" s="52">
        <v>234399</v>
      </c>
      <c r="E313" s="56">
        <f t="shared" si="33"/>
        <v>60</v>
      </c>
      <c r="F313" s="65">
        <f t="shared" si="28"/>
        <v>312</v>
      </c>
      <c r="G313" s="61">
        <f t="shared" si="31"/>
        <v>0</v>
      </c>
      <c r="H313" s="58">
        <f t="shared" si="29"/>
        <v>1</v>
      </c>
      <c r="I313" s="58">
        <f t="shared" si="32"/>
        <v>0</v>
      </c>
    </row>
    <row r="314" spans="1:9" x14ac:dyDescent="0.15">
      <c r="A314" s="23">
        <v>313</v>
      </c>
      <c r="B314" s="56">
        <f t="shared" si="30"/>
        <v>195</v>
      </c>
      <c r="C314" s="56">
        <f t="shared" si="30"/>
        <v>211</v>
      </c>
      <c r="D314" s="52">
        <v>235805</v>
      </c>
      <c r="E314" s="56">
        <f t="shared" si="33"/>
        <v>60</v>
      </c>
      <c r="F314" s="65">
        <f t="shared" si="28"/>
        <v>313</v>
      </c>
      <c r="G314" s="61">
        <f t="shared" si="31"/>
        <v>1</v>
      </c>
      <c r="H314" s="58">
        <f t="shared" si="29"/>
        <v>0</v>
      </c>
      <c r="I314" s="58">
        <f t="shared" si="32"/>
        <v>0</v>
      </c>
    </row>
    <row r="315" spans="1:9" x14ac:dyDescent="0.15">
      <c r="A315" s="23">
        <v>314</v>
      </c>
      <c r="B315" s="56">
        <f t="shared" si="30"/>
        <v>195</v>
      </c>
      <c r="C315" s="56">
        <f t="shared" si="30"/>
        <v>211</v>
      </c>
      <c r="D315" s="52">
        <v>237220</v>
      </c>
      <c r="E315" s="56">
        <f t="shared" si="33"/>
        <v>60</v>
      </c>
      <c r="F315" s="65">
        <f t="shared" si="28"/>
        <v>314</v>
      </c>
      <c r="G315" s="61">
        <f t="shared" si="31"/>
        <v>0</v>
      </c>
      <c r="H315" s="58">
        <f t="shared" si="29"/>
        <v>0</v>
      </c>
      <c r="I315" s="58">
        <f t="shared" si="32"/>
        <v>0</v>
      </c>
    </row>
    <row r="316" spans="1:9" x14ac:dyDescent="0.15">
      <c r="A316" s="23">
        <v>315</v>
      </c>
      <c r="B316" s="56">
        <f t="shared" si="30"/>
        <v>196</v>
      </c>
      <c r="C316" s="56">
        <f t="shared" si="30"/>
        <v>211</v>
      </c>
      <c r="D316" s="52">
        <v>238643</v>
      </c>
      <c r="E316" s="56">
        <f t="shared" si="33"/>
        <v>60</v>
      </c>
      <c r="F316" s="65">
        <f t="shared" si="28"/>
        <v>315</v>
      </c>
      <c r="G316" s="61">
        <f t="shared" si="31"/>
        <v>1</v>
      </c>
      <c r="H316" s="58">
        <f t="shared" si="29"/>
        <v>0</v>
      </c>
      <c r="I316" s="58">
        <f t="shared" si="32"/>
        <v>0</v>
      </c>
    </row>
    <row r="317" spans="1:9" x14ac:dyDescent="0.15">
      <c r="A317" s="23">
        <v>316</v>
      </c>
      <c r="B317" s="56">
        <f t="shared" si="30"/>
        <v>196</v>
      </c>
      <c r="C317" s="56">
        <f t="shared" si="30"/>
        <v>212</v>
      </c>
      <c r="D317" s="52">
        <v>240075</v>
      </c>
      <c r="E317" s="56">
        <f t="shared" si="33"/>
        <v>60</v>
      </c>
      <c r="F317" s="65">
        <f t="shared" si="28"/>
        <v>316</v>
      </c>
      <c r="G317" s="61">
        <f t="shared" si="31"/>
        <v>0</v>
      </c>
      <c r="H317" s="58">
        <f t="shared" si="29"/>
        <v>1</v>
      </c>
      <c r="I317" s="58">
        <f t="shared" si="32"/>
        <v>0</v>
      </c>
    </row>
    <row r="318" spans="1:9" x14ac:dyDescent="0.15">
      <c r="A318" s="23">
        <v>317</v>
      </c>
      <c r="B318" s="56">
        <f t="shared" si="30"/>
        <v>197</v>
      </c>
      <c r="C318" s="56">
        <f t="shared" si="30"/>
        <v>212</v>
      </c>
      <c r="D318" s="52">
        <v>241515</v>
      </c>
      <c r="E318" s="56">
        <f t="shared" si="33"/>
        <v>60</v>
      </c>
      <c r="F318" s="65">
        <f t="shared" si="28"/>
        <v>317</v>
      </c>
      <c r="G318" s="61">
        <f t="shared" si="31"/>
        <v>1</v>
      </c>
      <c r="H318" s="58">
        <f t="shared" si="29"/>
        <v>0</v>
      </c>
      <c r="I318" s="58">
        <f t="shared" si="32"/>
        <v>0</v>
      </c>
    </row>
    <row r="319" spans="1:9" x14ac:dyDescent="0.15">
      <c r="A319" s="23">
        <v>318</v>
      </c>
      <c r="B319" s="56">
        <f t="shared" si="30"/>
        <v>197</v>
      </c>
      <c r="C319" s="56">
        <f t="shared" si="30"/>
        <v>212</v>
      </c>
      <c r="D319" s="52">
        <v>242964</v>
      </c>
      <c r="E319" s="56">
        <f t="shared" si="33"/>
        <v>60</v>
      </c>
      <c r="F319" s="65">
        <f t="shared" si="28"/>
        <v>318</v>
      </c>
      <c r="G319" s="61">
        <f t="shared" si="31"/>
        <v>0</v>
      </c>
      <c r="H319" s="58">
        <f t="shared" si="29"/>
        <v>0</v>
      </c>
      <c r="I319" s="58">
        <f t="shared" si="32"/>
        <v>0</v>
      </c>
    </row>
    <row r="320" spans="1:9" x14ac:dyDescent="0.15">
      <c r="A320" s="23">
        <v>319</v>
      </c>
      <c r="B320" s="56">
        <f t="shared" si="30"/>
        <v>198</v>
      </c>
      <c r="C320" s="56">
        <f t="shared" si="30"/>
        <v>212</v>
      </c>
      <c r="D320" s="52">
        <v>244422</v>
      </c>
      <c r="E320" s="56">
        <f t="shared" si="33"/>
        <v>60</v>
      </c>
      <c r="F320" s="65">
        <f t="shared" si="28"/>
        <v>319</v>
      </c>
      <c r="G320" s="61">
        <f t="shared" si="31"/>
        <v>1</v>
      </c>
      <c r="H320" s="58">
        <f t="shared" si="29"/>
        <v>0</v>
      </c>
      <c r="I320" s="58">
        <f t="shared" si="32"/>
        <v>0</v>
      </c>
    </row>
    <row r="321" spans="1:9" x14ac:dyDescent="0.15">
      <c r="A321" s="23">
        <v>320</v>
      </c>
      <c r="B321" s="56">
        <f t="shared" si="30"/>
        <v>198</v>
      </c>
      <c r="C321" s="56">
        <f t="shared" si="30"/>
        <v>213</v>
      </c>
      <c r="D321" s="52">
        <v>245766</v>
      </c>
      <c r="E321" s="56">
        <f t="shared" si="33"/>
        <v>60</v>
      </c>
      <c r="F321" s="65">
        <f t="shared" si="28"/>
        <v>320</v>
      </c>
      <c r="G321" s="61">
        <f t="shared" si="31"/>
        <v>0</v>
      </c>
      <c r="H321" s="58">
        <f t="shared" si="29"/>
        <v>1</v>
      </c>
      <c r="I321" s="58">
        <f t="shared" si="32"/>
        <v>0</v>
      </c>
    </row>
    <row r="322" spans="1:9" x14ac:dyDescent="0.15">
      <c r="A322" s="23">
        <v>321</v>
      </c>
      <c r="B322" s="56">
        <f t="shared" si="30"/>
        <v>199</v>
      </c>
      <c r="C322" s="56">
        <f t="shared" si="30"/>
        <v>213</v>
      </c>
      <c r="D322" s="52">
        <v>247118</v>
      </c>
      <c r="E322" s="56">
        <f t="shared" si="33"/>
        <v>60</v>
      </c>
      <c r="F322" s="65">
        <f t="shared" ref="F322:F385" si="34">A322</f>
        <v>321</v>
      </c>
      <c r="G322" s="61">
        <f t="shared" si="31"/>
        <v>1</v>
      </c>
      <c r="H322" s="58">
        <f t="shared" ref="H322:H385" si="35">IF($A322&gt;=slow,IF(MOD($A322,upper)=0,slow_upper,0),IF($A322&gt;medium,IF(MOD($A322,bonus)=0,medium_bonus,IF(MOD($A322,upper)=0,medium_upper,IF(MOD($A322,up)=0,medium_up,0))),IF(MOD($A322,bonus)=0,fast_bonus,IF(MOD($A322,upper)=0,fast_upper,IF(MOD($A322,up)=0,fast_up,0)))))</f>
        <v>0</v>
      </c>
      <c r="I322" s="58">
        <f t="shared" si="32"/>
        <v>0</v>
      </c>
    </row>
    <row r="323" spans="1:9" x14ac:dyDescent="0.15">
      <c r="A323" s="23">
        <v>322</v>
      </c>
      <c r="B323" s="56">
        <f t="shared" ref="B323:C386" si="36">B322+G323</f>
        <v>199</v>
      </c>
      <c r="C323" s="56">
        <f t="shared" si="36"/>
        <v>213</v>
      </c>
      <c r="D323" s="52">
        <v>248477</v>
      </c>
      <c r="E323" s="56">
        <f t="shared" si="33"/>
        <v>60</v>
      </c>
      <c r="F323" s="65">
        <f t="shared" si="34"/>
        <v>322</v>
      </c>
      <c r="G323" s="61">
        <f t="shared" ref="G323:G386" si="37">IF(A323&gt;=106, IF(MOD(A323,2)=0,0,1), IF(A323 &gt;= 65, IF(MOD(A323, 2) =0,0, IF(MOD(A323,5)= 0, 2, 1)), IF(MOD(A323, 2) =0,0, IF(MOD(A323,5)= 0, 5, 1))))</f>
        <v>0</v>
      </c>
      <c r="H323" s="58">
        <f t="shared" si="35"/>
        <v>0</v>
      </c>
      <c r="I323" s="58">
        <f t="shared" ref="I323:I386" si="38">IF($A323&gt;=51,0,IF($A323&gt;=30,IF(MOD($A323,5)=0,1,0),IF($A323&gt;=11,IF(MOD($A323,5)=0,3,IF(MOD($A323,2)=0,1,0)),IF(MOD($A323,5)=0,5,IF(MOD($A323,2)=0,2,0)))))</f>
        <v>0</v>
      </c>
    </row>
    <row r="324" spans="1:9" x14ac:dyDescent="0.15">
      <c r="A324" s="23">
        <v>323</v>
      </c>
      <c r="B324" s="56">
        <f t="shared" si="36"/>
        <v>200</v>
      </c>
      <c r="C324" s="56">
        <f t="shared" si="36"/>
        <v>213</v>
      </c>
      <c r="D324" s="52">
        <v>249844</v>
      </c>
      <c r="E324" s="56">
        <f t="shared" ref="E324:E387" si="39">E323+I324</f>
        <v>60</v>
      </c>
      <c r="F324" s="65">
        <f t="shared" si="34"/>
        <v>323</v>
      </c>
      <c r="G324" s="61">
        <f t="shared" si="37"/>
        <v>1</v>
      </c>
      <c r="H324" s="58">
        <f t="shared" si="35"/>
        <v>0</v>
      </c>
      <c r="I324" s="58">
        <f t="shared" si="38"/>
        <v>0</v>
      </c>
    </row>
    <row r="325" spans="1:9" x14ac:dyDescent="0.15">
      <c r="A325" s="23">
        <v>324</v>
      </c>
      <c r="B325" s="56">
        <f t="shared" si="36"/>
        <v>200</v>
      </c>
      <c r="C325" s="56">
        <f t="shared" si="36"/>
        <v>214</v>
      </c>
      <c r="D325" s="52">
        <v>251218</v>
      </c>
      <c r="E325" s="56">
        <f t="shared" si="39"/>
        <v>60</v>
      </c>
      <c r="F325" s="65">
        <f t="shared" si="34"/>
        <v>324</v>
      </c>
      <c r="G325" s="61">
        <f t="shared" si="37"/>
        <v>0</v>
      </c>
      <c r="H325" s="58">
        <f t="shared" si="35"/>
        <v>1</v>
      </c>
      <c r="I325" s="58">
        <f t="shared" si="38"/>
        <v>0</v>
      </c>
    </row>
    <row r="326" spans="1:9" x14ac:dyDescent="0.15">
      <c r="A326" s="23">
        <v>325</v>
      </c>
      <c r="B326" s="56">
        <f t="shared" si="36"/>
        <v>201</v>
      </c>
      <c r="C326" s="56">
        <f t="shared" si="36"/>
        <v>214</v>
      </c>
      <c r="D326" s="52">
        <v>252600</v>
      </c>
      <c r="E326" s="56">
        <f t="shared" si="39"/>
        <v>60</v>
      </c>
      <c r="F326" s="65">
        <f t="shared" si="34"/>
        <v>325</v>
      </c>
      <c r="G326" s="61">
        <f t="shared" si="37"/>
        <v>1</v>
      </c>
      <c r="H326" s="58">
        <f t="shared" si="35"/>
        <v>0</v>
      </c>
      <c r="I326" s="58">
        <f t="shared" si="38"/>
        <v>0</v>
      </c>
    </row>
    <row r="327" spans="1:9" x14ac:dyDescent="0.15">
      <c r="A327" s="23">
        <v>326</v>
      </c>
      <c r="B327" s="56">
        <f t="shared" si="36"/>
        <v>201</v>
      </c>
      <c r="C327" s="56">
        <f t="shared" si="36"/>
        <v>214</v>
      </c>
      <c r="D327" s="52">
        <v>253989</v>
      </c>
      <c r="E327" s="56">
        <f t="shared" si="39"/>
        <v>60</v>
      </c>
      <c r="F327" s="65">
        <f t="shared" si="34"/>
        <v>326</v>
      </c>
      <c r="G327" s="61">
        <f t="shared" si="37"/>
        <v>0</v>
      </c>
      <c r="H327" s="58">
        <f t="shared" si="35"/>
        <v>0</v>
      </c>
      <c r="I327" s="58">
        <f t="shared" si="38"/>
        <v>0</v>
      </c>
    </row>
    <row r="328" spans="1:9" x14ac:dyDescent="0.15">
      <c r="A328" s="23">
        <v>327</v>
      </c>
      <c r="B328" s="56">
        <f t="shared" si="36"/>
        <v>202</v>
      </c>
      <c r="C328" s="56">
        <f t="shared" si="36"/>
        <v>214</v>
      </c>
      <c r="D328" s="52">
        <v>255386</v>
      </c>
      <c r="E328" s="56">
        <f t="shared" si="39"/>
        <v>60</v>
      </c>
      <c r="F328" s="65">
        <f t="shared" si="34"/>
        <v>327</v>
      </c>
      <c r="G328" s="61">
        <f t="shared" si="37"/>
        <v>1</v>
      </c>
      <c r="H328" s="58">
        <f t="shared" si="35"/>
        <v>0</v>
      </c>
      <c r="I328" s="58">
        <f t="shared" si="38"/>
        <v>0</v>
      </c>
    </row>
    <row r="329" spans="1:9" x14ac:dyDescent="0.15">
      <c r="A329" s="23">
        <v>328</v>
      </c>
      <c r="B329" s="56">
        <f t="shared" si="36"/>
        <v>202</v>
      </c>
      <c r="C329" s="56">
        <f t="shared" si="36"/>
        <v>215</v>
      </c>
      <c r="D329" s="52">
        <v>256791</v>
      </c>
      <c r="E329" s="56">
        <f t="shared" si="39"/>
        <v>60</v>
      </c>
      <c r="F329" s="65">
        <f t="shared" si="34"/>
        <v>328</v>
      </c>
      <c r="G329" s="61">
        <f t="shared" si="37"/>
        <v>0</v>
      </c>
      <c r="H329" s="58">
        <f t="shared" si="35"/>
        <v>1</v>
      </c>
      <c r="I329" s="58">
        <f t="shared" si="38"/>
        <v>0</v>
      </c>
    </row>
    <row r="330" spans="1:9" x14ac:dyDescent="0.15">
      <c r="A330" s="23">
        <v>329</v>
      </c>
      <c r="B330" s="56">
        <f t="shared" si="36"/>
        <v>203</v>
      </c>
      <c r="C330" s="56">
        <f t="shared" si="36"/>
        <v>215</v>
      </c>
      <c r="D330" s="52">
        <v>258203</v>
      </c>
      <c r="E330" s="56">
        <f t="shared" si="39"/>
        <v>60</v>
      </c>
      <c r="F330" s="65">
        <f t="shared" si="34"/>
        <v>329</v>
      </c>
      <c r="G330" s="61">
        <f t="shared" si="37"/>
        <v>1</v>
      </c>
      <c r="H330" s="58">
        <f t="shared" si="35"/>
        <v>0</v>
      </c>
      <c r="I330" s="58">
        <f t="shared" si="38"/>
        <v>0</v>
      </c>
    </row>
    <row r="331" spans="1:9" x14ac:dyDescent="0.15">
      <c r="A331" s="23">
        <v>330</v>
      </c>
      <c r="B331" s="56">
        <f t="shared" si="36"/>
        <v>203</v>
      </c>
      <c r="C331" s="56">
        <f t="shared" si="36"/>
        <v>215</v>
      </c>
      <c r="D331" s="52">
        <v>259623</v>
      </c>
      <c r="E331" s="56">
        <f t="shared" si="39"/>
        <v>60</v>
      </c>
      <c r="F331" s="65">
        <f t="shared" si="34"/>
        <v>330</v>
      </c>
      <c r="G331" s="61">
        <f t="shared" si="37"/>
        <v>0</v>
      </c>
      <c r="H331" s="58">
        <f t="shared" si="35"/>
        <v>0</v>
      </c>
      <c r="I331" s="58">
        <f t="shared" si="38"/>
        <v>0</v>
      </c>
    </row>
    <row r="332" spans="1:9" x14ac:dyDescent="0.15">
      <c r="A332" s="23">
        <v>331</v>
      </c>
      <c r="B332" s="56">
        <f t="shared" si="36"/>
        <v>204</v>
      </c>
      <c r="C332" s="56">
        <f t="shared" si="36"/>
        <v>215</v>
      </c>
      <c r="D332" s="52">
        <v>261051</v>
      </c>
      <c r="E332" s="56">
        <f t="shared" si="39"/>
        <v>60</v>
      </c>
      <c r="F332" s="65">
        <f t="shared" si="34"/>
        <v>331</v>
      </c>
      <c r="G332" s="61">
        <f t="shared" si="37"/>
        <v>1</v>
      </c>
      <c r="H332" s="58">
        <f t="shared" si="35"/>
        <v>0</v>
      </c>
      <c r="I332" s="58">
        <f t="shared" si="38"/>
        <v>0</v>
      </c>
    </row>
    <row r="333" spans="1:9" x14ac:dyDescent="0.15">
      <c r="A333" s="23">
        <v>332</v>
      </c>
      <c r="B333" s="56">
        <f t="shared" si="36"/>
        <v>204</v>
      </c>
      <c r="C333" s="56">
        <f t="shared" si="36"/>
        <v>216</v>
      </c>
      <c r="D333" s="52">
        <v>262487</v>
      </c>
      <c r="E333" s="56">
        <f t="shared" si="39"/>
        <v>60</v>
      </c>
      <c r="F333" s="65">
        <f t="shared" si="34"/>
        <v>332</v>
      </c>
      <c r="G333" s="61">
        <f t="shared" si="37"/>
        <v>0</v>
      </c>
      <c r="H333" s="58">
        <f t="shared" si="35"/>
        <v>1</v>
      </c>
      <c r="I333" s="58">
        <f t="shared" si="38"/>
        <v>0</v>
      </c>
    </row>
    <row r="334" spans="1:9" x14ac:dyDescent="0.15">
      <c r="A334" s="23">
        <v>333</v>
      </c>
      <c r="B334" s="56">
        <f t="shared" si="36"/>
        <v>205</v>
      </c>
      <c r="C334" s="56">
        <f t="shared" si="36"/>
        <v>216</v>
      </c>
      <c r="D334" s="52">
        <v>263931</v>
      </c>
      <c r="E334" s="56">
        <f t="shared" si="39"/>
        <v>60</v>
      </c>
      <c r="F334" s="65">
        <f t="shared" si="34"/>
        <v>333</v>
      </c>
      <c r="G334" s="61">
        <f t="shared" si="37"/>
        <v>1</v>
      </c>
      <c r="H334" s="58">
        <f t="shared" si="35"/>
        <v>0</v>
      </c>
      <c r="I334" s="58">
        <f t="shared" si="38"/>
        <v>0</v>
      </c>
    </row>
    <row r="335" spans="1:9" x14ac:dyDescent="0.15">
      <c r="A335" s="23">
        <v>334</v>
      </c>
      <c r="B335" s="56">
        <f t="shared" si="36"/>
        <v>205</v>
      </c>
      <c r="C335" s="56">
        <f t="shared" si="36"/>
        <v>216</v>
      </c>
      <c r="D335" s="52">
        <v>265383</v>
      </c>
      <c r="E335" s="56">
        <f t="shared" si="39"/>
        <v>60</v>
      </c>
      <c r="F335" s="65">
        <f t="shared" si="34"/>
        <v>334</v>
      </c>
      <c r="G335" s="61">
        <f t="shared" si="37"/>
        <v>0</v>
      </c>
      <c r="H335" s="58">
        <f t="shared" si="35"/>
        <v>0</v>
      </c>
      <c r="I335" s="58">
        <f t="shared" si="38"/>
        <v>0</v>
      </c>
    </row>
    <row r="336" spans="1:9" x14ac:dyDescent="0.15">
      <c r="A336" s="23">
        <v>335</v>
      </c>
      <c r="B336" s="56">
        <f t="shared" si="36"/>
        <v>206</v>
      </c>
      <c r="C336" s="56">
        <f t="shared" si="36"/>
        <v>216</v>
      </c>
      <c r="D336" s="52">
        <v>266843</v>
      </c>
      <c r="E336" s="56">
        <f t="shared" si="39"/>
        <v>60</v>
      </c>
      <c r="F336" s="65">
        <f t="shared" si="34"/>
        <v>335</v>
      </c>
      <c r="G336" s="61">
        <f t="shared" si="37"/>
        <v>1</v>
      </c>
      <c r="H336" s="58">
        <f t="shared" si="35"/>
        <v>0</v>
      </c>
      <c r="I336" s="58">
        <f t="shared" si="38"/>
        <v>0</v>
      </c>
    </row>
    <row r="337" spans="1:9" x14ac:dyDescent="0.15">
      <c r="A337" s="23">
        <v>336</v>
      </c>
      <c r="B337" s="56">
        <f t="shared" si="36"/>
        <v>206</v>
      </c>
      <c r="C337" s="56">
        <f t="shared" si="36"/>
        <v>217</v>
      </c>
      <c r="D337" s="52">
        <v>268311</v>
      </c>
      <c r="E337" s="56">
        <f t="shared" si="39"/>
        <v>60</v>
      </c>
      <c r="F337" s="65">
        <f t="shared" si="34"/>
        <v>336</v>
      </c>
      <c r="G337" s="61">
        <f t="shared" si="37"/>
        <v>0</v>
      </c>
      <c r="H337" s="58">
        <f t="shared" si="35"/>
        <v>1</v>
      </c>
      <c r="I337" s="58">
        <f t="shared" si="38"/>
        <v>0</v>
      </c>
    </row>
    <row r="338" spans="1:9" x14ac:dyDescent="0.15">
      <c r="A338" s="23">
        <v>337</v>
      </c>
      <c r="B338" s="56">
        <f t="shared" si="36"/>
        <v>207</v>
      </c>
      <c r="C338" s="56">
        <f t="shared" si="36"/>
        <v>217</v>
      </c>
      <c r="D338" s="52">
        <v>269787</v>
      </c>
      <c r="E338" s="56">
        <f t="shared" si="39"/>
        <v>60</v>
      </c>
      <c r="F338" s="65">
        <f t="shared" si="34"/>
        <v>337</v>
      </c>
      <c r="G338" s="61">
        <f t="shared" si="37"/>
        <v>1</v>
      </c>
      <c r="H338" s="58">
        <f t="shared" si="35"/>
        <v>0</v>
      </c>
      <c r="I338" s="58">
        <f t="shared" si="38"/>
        <v>0</v>
      </c>
    </row>
    <row r="339" spans="1:9" x14ac:dyDescent="0.15">
      <c r="A339" s="23">
        <v>338</v>
      </c>
      <c r="B339" s="56">
        <f t="shared" si="36"/>
        <v>207</v>
      </c>
      <c r="C339" s="56">
        <f t="shared" si="36"/>
        <v>217</v>
      </c>
      <c r="D339" s="52">
        <v>271271</v>
      </c>
      <c r="E339" s="56">
        <f t="shared" si="39"/>
        <v>60</v>
      </c>
      <c r="F339" s="65">
        <f t="shared" si="34"/>
        <v>338</v>
      </c>
      <c r="G339" s="61">
        <f t="shared" si="37"/>
        <v>0</v>
      </c>
      <c r="H339" s="58">
        <f t="shared" si="35"/>
        <v>0</v>
      </c>
      <c r="I339" s="58">
        <f t="shared" si="38"/>
        <v>0</v>
      </c>
    </row>
    <row r="340" spans="1:9" x14ac:dyDescent="0.15">
      <c r="A340" s="23">
        <v>339</v>
      </c>
      <c r="B340" s="56">
        <f t="shared" si="36"/>
        <v>208</v>
      </c>
      <c r="C340" s="56">
        <f t="shared" si="36"/>
        <v>217</v>
      </c>
      <c r="D340" s="52">
        <v>272763</v>
      </c>
      <c r="E340" s="56">
        <f t="shared" si="39"/>
        <v>60</v>
      </c>
      <c r="F340" s="65">
        <f t="shared" si="34"/>
        <v>339</v>
      </c>
      <c r="G340" s="61">
        <f t="shared" si="37"/>
        <v>1</v>
      </c>
      <c r="H340" s="58">
        <f t="shared" si="35"/>
        <v>0</v>
      </c>
      <c r="I340" s="58">
        <f t="shared" si="38"/>
        <v>0</v>
      </c>
    </row>
    <row r="341" spans="1:9" x14ac:dyDescent="0.15">
      <c r="A341" s="23">
        <v>340</v>
      </c>
      <c r="B341" s="56">
        <f t="shared" si="36"/>
        <v>208</v>
      </c>
      <c r="C341" s="56">
        <f t="shared" si="36"/>
        <v>218</v>
      </c>
      <c r="D341" s="52">
        <v>274127</v>
      </c>
      <c r="E341" s="56">
        <f t="shared" si="39"/>
        <v>60</v>
      </c>
      <c r="F341" s="65">
        <f t="shared" si="34"/>
        <v>340</v>
      </c>
      <c r="G341" s="61">
        <f t="shared" si="37"/>
        <v>0</v>
      </c>
      <c r="H341" s="58">
        <f t="shared" si="35"/>
        <v>1</v>
      </c>
      <c r="I341" s="58">
        <f t="shared" si="38"/>
        <v>0</v>
      </c>
    </row>
    <row r="342" spans="1:9" x14ac:dyDescent="0.15">
      <c r="A342" s="23">
        <v>341</v>
      </c>
      <c r="B342" s="56">
        <f t="shared" si="36"/>
        <v>209</v>
      </c>
      <c r="C342" s="56">
        <f t="shared" si="36"/>
        <v>218</v>
      </c>
      <c r="D342" s="52">
        <v>275498</v>
      </c>
      <c r="E342" s="56">
        <f t="shared" si="39"/>
        <v>60</v>
      </c>
      <c r="F342" s="65">
        <f t="shared" si="34"/>
        <v>341</v>
      </c>
      <c r="G342" s="61">
        <f t="shared" si="37"/>
        <v>1</v>
      </c>
      <c r="H342" s="58">
        <f t="shared" si="35"/>
        <v>0</v>
      </c>
      <c r="I342" s="58">
        <f t="shared" si="38"/>
        <v>0</v>
      </c>
    </row>
    <row r="343" spans="1:9" x14ac:dyDescent="0.15">
      <c r="A343" s="23">
        <v>342</v>
      </c>
      <c r="B343" s="56">
        <f t="shared" si="36"/>
        <v>209</v>
      </c>
      <c r="C343" s="56">
        <f t="shared" si="36"/>
        <v>218</v>
      </c>
      <c r="D343" s="52">
        <v>276875</v>
      </c>
      <c r="E343" s="56">
        <f t="shared" si="39"/>
        <v>60</v>
      </c>
      <c r="F343" s="65">
        <f t="shared" si="34"/>
        <v>342</v>
      </c>
      <c r="G343" s="61">
        <f t="shared" si="37"/>
        <v>0</v>
      </c>
      <c r="H343" s="58">
        <f t="shared" si="35"/>
        <v>0</v>
      </c>
      <c r="I343" s="58">
        <f t="shared" si="38"/>
        <v>0</v>
      </c>
    </row>
    <row r="344" spans="1:9" x14ac:dyDescent="0.15">
      <c r="A344" s="23">
        <v>343</v>
      </c>
      <c r="B344" s="56">
        <f t="shared" si="36"/>
        <v>210</v>
      </c>
      <c r="C344" s="56">
        <f t="shared" si="36"/>
        <v>218</v>
      </c>
      <c r="D344" s="52">
        <v>278259</v>
      </c>
      <c r="E344" s="56">
        <f t="shared" si="39"/>
        <v>60</v>
      </c>
      <c r="F344" s="65">
        <f t="shared" si="34"/>
        <v>343</v>
      </c>
      <c r="G344" s="61">
        <f t="shared" si="37"/>
        <v>1</v>
      </c>
      <c r="H344" s="58">
        <f t="shared" si="35"/>
        <v>0</v>
      </c>
      <c r="I344" s="58">
        <f t="shared" si="38"/>
        <v>0</v>
      </c>
    </row>
    <row r="345" spans="1:9" x14ac:dyDescent="0.15">
      <c r="A345" s="23">
        <v>344</v>
      </c>
      <c r="B345" s="56">
        <f t="shared" si="36"/>
        <v>210</v>
      </c>
      <c r="C345" s="56">
        <f t="shared" si="36"/>
        <v>219</v>
      </c>
      <c r="D345" s="52">
        <v>279650</v>
      </c>
      <c r="E345" s="56">
        <f t="shared" si="39"/>
        <v>60</v>
      </c>
      <c r="F345" s="65">
        <f t="shared" si="34"/>
        <v>344</v>
      </c>
      <c r="G345" s="61">
        <f t="shared" si="37"/>
        <v>0</v>
      </c>
      <c r="H345" s="58">
        <f t="shared" si="35"/>
        <v>1</v>
      </c>
      <c r="I345" s="58">
        <f t="shared" si="38"/>
        <v>0</v>
      </c>
    </row>
    <row r="346" spans="1:9" x14ac:dyDescent="0.15">
      <c r="A346" s="23">
        <v>345</v>
      </c>
      <c r="B346" s="56">
        <f t="shared" si="36"/>
        <v>211</v>
      </c>
      <c r="C346" s="56">
        <f t="shared" si="36"/>
        <v>219</v>
      </c>
      <c r="D346" s="52">
        <v>281048</v>
      </c>
      <c r="E346" s="56">
        <f t="shared" si="39"/>
        <v>60</v>
      </c>
      <c r="F346" s="65">
        <f t="shared" si="34"/>
        <v>345</v>
      </c>
      <c r="G346" s="61">
        <f t="shared" si="37"/>
        <v>1</v>
      </c>
      <c r="H346" s="58">
        <f t="shared" si="35"/>
        <v>0</v>
      </c>
      <c r="I346" s="58">
        <f t="shared" si="38"/>
        <v>0</v>
      </c>
    </row>
    <row r="347" spans="1:9" x14ac:dyDescent="0.15">
      <c r="A347" s="23">
        <v>346</v>
      </c>
      <c r="B347" s="56">
        <f t="shared" si="36"/>
        <v>211</v>
      </c>
      <c r="C347" s="56">
        <f t="shared" si="36"/>
        <v>219</v>
      </c>
      <c r="D347" s="52">
        <v>282453</v>
      </c>
      <c r="E347" s="56">
        <f t="shared" si="39"/>
        <v>60</v>
      </c>
      <c r="F347" s="65">
        <f t="shared" si="34"/>
        <v>346</v>
      </c>
      <c r="G347" s="61">
        <f t="shared" si="37"/>
        <v>0</v>
      </c>
      <c r="H347" s="58">
        <f t="shared" si="35"/>
        <v>0</v>
      </c>
      <c r="I347" s="58">
        <f t="shared" si="38"/>
        <v>0</v>
      </c>
    </row>
    <row r="348" spans="1:9" x14ac:dyDescent="0.15">
      <c r="A348" s="23">
        <v>347</v>
      </c>
      <c r="B348" s="56">
        <f t="shared" si="36"/>
        <v>212</v>
      </c>
      <c r="C348" s="56">
        <f t="shared" si="36"/>
        <v>219</v>
      </c>
      <c r="D348" s="52">
        <v>283865</v>
      </c>
      <c r="E348" s="56">
        <f t="shared" si="39"/>
        <v>60</v>
      </c>
      <c r="F348" s="65">
        <f t="shared" si="34"/>
        <v>347</v>
      </c>
      <c r="G348" s="61">
        <f t="shared" si="37"/>
        <v>1</v>
      </c>
      <c r="H348" s="58">
        <f t="shared" si="35"/>
        <v>0</v>
      </c>
      <c r="I348" s="58">
        <f t="shared" si="38"/>
        <v>0</v>
      </c>
    </row>
    <row r="349" spans="1:9" x14ac:dyDescent="0.15">
      <c r="A349" s="23">
        <v>348</v>
      </c>
      <c r="B349" s="56">
        <f t="shared" si="36"/>
        <v>212</v>
      </c>
      <c r="C349" s="56">
        <f t="shared" si="36"/>
        <v>220</v>
      </c>
      <c r="D349" s="52">
        <v>285284</v>
      </c>
      <c r="E349" s="56">
        <f t="shared" si="39"/>
        <v>60</v>
      </c>
      <c r="F349" s="65">
        <f t="shared" si="34"/>
        <v>348</v>
      </c>
      <c r="G349" s="61">
        <f t="shared" si="37"/>
        <v>0</v>
      </c>
      <c r="H349" s="58">
        <f t="shared" si="35"/>
        <v>1</v>
      </c>
      <c r="I349" s="58">
        <f t="shared" si="38"/>
        <v>0</v>
      </c>
    </row>
    <row r="350" spans="1:9" x14ac:dyDescent="0.15">
      <c r="A350" s="23">
        <v>349</v>
      </c>
      <c r="B350" s="56">
        <f t="shared" si="36"/>
        <v>213</v>
      </c>
      <c r="C350" s="56">
        <f t="shared" si="36"/>
        <v>220</v>
      </c>
      <c r="D350" s="52">
        <v>286710</v>
      </c>
      <c r="E350" s="56">
        <f t="shared" si="39"/>
        <v>60</v>
      </c>
      <c r="F350" s="65">
        <f t="shared" si="34"/>
        <v>349</v>
      </c>
      <c r="G350" s="61">
        <f t="shared" si="37"/>
        <v>1</v>
      </c>
      <c r="H350" s="58">
        <f t="shared" si="35"/>
        <v>0</v>
      </c>
      <c r="I350" s="58">
        <f t="shared" si="38"/>
        <v>0</v>
      </c>
    </row>
    <row r="351" spans="1:9" x14ac:dyDescent="0.15">
      <c r="A351" s="23">
        <v>350</v>
      </c>
      <c r="B351" s="56">
        <f t="shared" si="36"/>
        <v>213</v>
      </c>
      <c r="C351" s="56">
        <f t="shared" si="36"/>
        <v>220</v>
      </c>
      <c r="D351" s="52">
        <v>288144</v>
      </c>
      <c r="E351" s="56">
        <f t="shared" si="39"/>
        <v>60</v>
      </c>
      <c r="F351" s="65">
        <f t="shared" si="34"/>
        <v>350</v>
      </c>
      <c r="G351" s="61">
        <f t="shared" si="37"/>
        <v>0</v>
      </c>
      <c r="H351" s="58">
        <f t="shared" si="35"/>
        <v>0</v>
      </c>
      <c r="I351" s="58">
        <f t="shared" si="38"/>
        <v>0</v>
      </c>
    </row>
    <row r="352" spans="1:9" x14ac:dyDescent="0.15">
      <c r="A352" s="23">
        <v>351</v>
      </c>
      <c r="B352" s="56">
        <f t="shared" si="36"/>
        <v>214</v>
      </c>
      <c r="C352" s="56">
        <f t="shared" si="36"/>
        <v>220</v>
      </c>
      <c r="D352" s="52">
        <v>289585</v>
      </c>
      <c r="E352" s="56">
        <f t="shared" si="39"/>
        <v>60</v>
      </c>
      <c r="F352" s="65">
        <f t="shared" si="34"/>
        <v>351</v>
      </c>
      <c r="G352" s="61">
        <f t="shared" si="37"/>
        <v>1</v>
      </c>
      <c r="H352" s="58">
        <f t="shared" si="35"/>
        <v>0</v>
      </c>
      <c r="I352" s="58">
        <f t="shared" si="38"/>
        <v>0</v>
      </c>
    </row>
    <row r="353" spans="1:9" x14ac:dyDescent="0.15">
      <c r="A353" s="23">
        <v>352</v>
      </c>
      <c r="B353" s="56">
        <f t="shared" si="36"/>
        <v>214</v>
      </c>
      <c r="C353" s="56">
        <f t="shared" si="36"/>
        <v>221</v>
      </c>
      <c r="D353" s="52">
        <v>291033</v>
      </c>
      <c r="E353" s="56">
        <f t="shared" si="39"/>
        <v>60</v>
      </c>
      <c r="F353" s="65">
        <f t="shared" si="34"/>
        <v>352</v>
      </c>
      <c r="G353" s="61">
        <f t="shared" si="37"/>
        <v>0</v>
      </c>
      <c r="H353" s="58">
        <f t="shared" si="35"/>
        <v>1</v>
      </c>
      <c r="I353" s="58">
        <f t="shared" si="38"/>
        <v>0</v>
      </c>
    </row>
    <row r="354" spans="1:9" x14ac:dyDescent="0.15">
      <c r="A354" s="23">
        <v>353</v>
      </c>
      <c r="B354" s="56">
        <f t="shared" si="36"/>
        <v>215</v>
      </c>
      <c r="C354" s="56">
        <f t="shared" si="36"/>
        <v>221</v>
      </c>
      <c r="D354" s="52">
        <v>292488</v>
      </c>
      <c r="E354" s="56">
        <f t="shared" si="39"/>
        <v>60</v>
      </c>
      <c r="F354" s="65">
        <f t="shared" si="34"/>
        <v>353</v>
      </c>
      <c r="G354" s="61">
        <f t="shared" si="37"/>
        <v>1</v>
      </c>
      <c r="H354" s="58">
        <f t="shared" si="35"/>
        <v>0</v>
      </c>
      <c r="I354" s="58">
        <f t="shared" si="38"/>
        <v>0</v>
      </c>
    </row>
    <row r="355" spans="1:9" x14ac:dyDescent="0.15">
      <c r="A355" s="23">
        <v>354</v>
      </c>
      <c r="B355" s="56">
        <f t="shared" si="36"/>
        <v>215</v>
      </c>
      <c r="C355" s="56">
        <f t="shared" si="36"/>
        <v>221</v>
      </c>
      <c r="D355" s="52">
        <v>293950</v>
      </c>
      <c r="E355" s="56">
        <f t="shared" si="39"/>
        <v>60</v>
      </c>
      <c r="F355" s="65">
        <f t="shared" si="34"/>
        <v>354</v>
      </c>
      <c r="G355" s="61">
        <f t="shared" si="37"/>
        <v>0</v>
      </c>
      <c r="H355" s="58">
        <f t="shared" si="35"/>
        <v>0</v>
      </c>
      <c r="I355" s="58">
        <f t="shared" si="38"/>
        <v>0</v>
      </c>
    </row>
    <row r="356" spans="1:9" x14ac:dyDescent="0.15">
      <c r="A356" s="23">
        <v>355</v>
      </c>
      <c r="B356" s="56">
        <f t="shared" si="36"/>
        <v>216</v>
      </c>
      <c r="C356" s="56">
        <f t="shared" si="36"/>
        <v>221</v>
      </c>
      <c r="D356" s="52">
        <v>295420</v>
      </c>
      <c r="E356" s="56">
        <f t="shared" si="39"/>
        <v>60</v>
      </c>
      <c r="F356" s="65">
        <f t="shared" si="34"/>
        <v>355</v>
      </c>
      <c r="G356" s="61">
        <f t="shared" si="37"/>
        <v>1</v>
      </c>
      <c r="H356" s="58">
        <f t="shared" si="35"/>
        <v>0</v>
      </c>
      <c r="I356" s="58">
        <f t="shared" si="38"/>
        <v>0</v>
      </c>
    </row>
    <row r="357" spans="1:9" x14ac:dyDescent="0.15">
      <c r="A357" s="23">
        <v>356</v>
      </c>
      <c r="B357" s="56">
        <f t="shared" si="36"/>
        <v>216</v>
      </c>
      <c r="C357" s="56">
        <f t="shared" si="36"/>
        <v>222</v>
      </c>
      <c r="D357" s="52">
        <v>296897</v>
      </c>
      <c r="E357" s="56">
        <f t="shared" si="39"/>
        <v>60</v>
      </c>
      <c r="F357" s="65">
        <f t="shared" si="34"/>
        <v>356</v>
      </c>
      <c r="G357" s="61">
        <f t="shared" si="37"/>
        <v>0</v>
      </c>
      <c r="H357" s="58">
        <f t="shared" si="35"/>
        <v>1</v>
      </c>
      <c r="I357" s="58">
        <f t="shared" si="38"/>
        <v>0</v>
      </c>
    </row>
    <row r="358" spans="1:9" x14ac:dyDescent="0.15">
      <c r="A358" s="23">
        <v>357</v>
      </c>
      <c r="B358" s="56">
        <f t="shared" si="36"/>
        <v>217</v>
      </c>
      <c r="C358" s="56">
        <f t="shared" si="36"/>
        <v>222</v>
      </c>
      <c r="D358" s="52">
        <v>298381</v>
      </c>
      <c r="E358" s="56">
        <f t="shared" si="39"/>
        <v>60</v>
      </c>
      <c r="F358" s="65">
        <f t="shared" si="34"/>
        <v>357</v>
      </c>
      <c r="G358" s="61">
        <f t="shared" si="37"/>
        <v>1</v>
      </c>
      <c r="H358" s="58">
        <f t="shared" si="35"/>
        <v>0</v>
      </c>
      <c r="I358" s="58">
        <f t="shared" si="38"/>
        <v>0</v>
      </c>
    </row>
    <row r="359" spans="1:9" x14ac:dyDescent="0.15">
      <c r="A359" s="23">
        <v>358</v>
      </c>
      <c r="B359" s="56">
        <f t="shared" si="36"/>
        <v>217</v>
      </c>
      <c r="C359" s="56">
        <f t="shared" si="36"/>
        <v>222</v>
      </c>
      <c r="D359" s="52">
        <v>299873</v>
      </c>
      <c r="E359" s="56">
        <f t="shared" si="39"/>
        <v>60</v>
      </c>
      <c r="F359" s="65">
        <f t="shared" si="34"/>
        <v>358</v>
      </c>
      <c r="G359" s="61">
        <f t="shared" si="37"/>
        <v>0</v>
      </c>
      <c r="H359" s="58">
        <f t="shared" si="35"/>
        <v>0</v>
      </c>
      <c r="I359" s="58">
        <f t="shared" si="38"/>
        <v>0</v>
      </c>
    </row>
    <row r="360" spans="1:9" x14ac:dyDescent="0.15">
      <c r="A360" s="23">
        <v>359</v>
      </c>
      <c r="B360" s="56">
        <f t="shared" si="36"/>
        <v>218</v>
      </c>
      <c r="C360" s="56">
        <f t="shared" si="36"/>
        <v>222</v>
      </c>
      <c r="D360" s="52">
        <v>301372</v>
      </c>
      <c r="E360" s="56">
        <f t="shared" si="39"/>
        <v>60</v>
      </c>
      <c r="F360" s="65">
        <f t="shared" si="34"/>
        <v>359</v>
      </c>
      <c r="G360" s="61">
        <f t="shared" si="37"/>
        <v>1</v>
      </c>
      <c r="H360" s="58">
        <f t="shared" si="35"/>
        <v>0</v>
      </c>
      <c r="I360" s="58">
        <f t="shared" si="38"/>
        <v>0</v>
      </c>
    </row>
    <row r="361" spans="1:9" x14ac:dyDescent="0.15">
      <c r="A361" s="23">
        <v>360</v>
      </c>
      <c r="B361" s="56">
        <f t="shared" si="36"/>
        <v>218</v>
      </c>
      <c r="C361" s="56">
        <f t="shared" si="36"/>
        <v>223</v>
      </c>
      <c r="D361" s="52">
        <v>302879</v>
      </c>
      <c r="E361" s="56">
        <f t="shared" si="39"/>
        <v>60</v>
      </c>
      <c r="F361" s="65">
        <f t="shared" si="34"/>
        <v>360</v>
      </c>
      <c r="G361" s="61">
        <f t="shared" si="37"/>
        <v>0</v>
      </c>
      <c r="H361" s="58">
        <f t="shared" si="35"/>
        <v>1</v>
      </c>
      <c r="I361" s="58">
        <f t="shared" si="38"/>
        <v>0</v>
      </c>
    </row>
    <row r="362" spans="1:9" x14ac:dyDescent="0.15">
      <c r="A362" s="23">
        <v>361</v>
      </c>
      <c r="B362" s="56">
        <f t="shared" si="36"/>
        <v>219</v>
      </c>
      <c r="C362" s="56">
        <f t="shared" si="36"/>
        <v>223</v>
      </c>
      <c r="D362" s="52">
        <v>304393</v>
      </c>
      <c r="E362" s="56">
        <f t="shared" si="39"/>
        <v>60</v>
      </c>
      <c r="F362" s="65">
        <f t="shared" si="34"/>
        <v>361</v>
      </c>
      <c r="G362" s="61">
        <f t="shared" si="37"/>
        <v>1</v>
      </c>
      <c r="H362" s="58">
        <f t="shared" si="35"/>
        <v>0</v>
      </c>
      <c r="I362" s="58">
        <f t="shared" si="38"/>
        <v>0</v>
      </c>
    </row>
    <row r="363" spans="1:9" x14ac:dyDescent="0.15">
      <c r="A363" s="23">
        <v>362</v>
      </c>
      <c r="B363" s="56">
        <f t="shared" si="36"/>
        <v>219</v>
      </c>
      <c r="C363" s="56">
        <f t="shared" si="36"/>
        <v>223</v>
      </c>
      <c r="D363" s="52">
        <v>305915</v>
      </c>
      <c r="E363" s="56">
        <f t="shared" si="39"/>
        <v>60</v>
      </c>
      <c r="F363" s="65">
        <f t="shared" si="34"/>
        <v>362</v>
      </c>
      <c r="G363" s="61">
        <f t="shared" si="37"/>
        <v>0</v>
      </c>
      <c r="H363" s="58">
        <f t="shared" si="35"/>
        <v>0</v>
      </c>
      <c r="I363" s="58">
        <f t="shared" si="38"/>
        <v>0</v>
      </c>
    </row>
    <row r="364" spans="1:9" x14ac:dyDescent="0.15">
      <c r="A364" s="23">
        <v>363</v>
      </c>
      <c r="B364" s="56">
        <f t="shared" si="36"/>
        <v>220</v>
      </c>
      <c r="C364" s="56">
        <f t="shared" si="36"/>
        <v>223</v>
      </c>
      <c r="D364" s="52">
        <v>307445</v>
      </c>
      <c r="E364" s="56">
        <f t="shared" si="39"/>
        <v>60</v>
      </c>
      <c r="F364" s="65">
        <f t="shared" si="34"/>
        <v>363</v>
      </c>
      <c r="G364" s="61">
        <f t="shared" si="37"/>
        <v>1</v>
      </c>
      <c r="H364" s="58">
        <f t="shared" si="35"/>
        <v>0</v>
      </c>
      <c r="I364" s="58">
        <f t="shared" si="38"/>
        <v>0</v>
      </c>
    </row>
    <row r="365" spans="1:9" x14ac:dyDescent="0.15">
      <c r="A365" s="23">
        <v>364</v>
      </c>
      <c r="B365" s="56">
        <f t="shared" si="36"/>
        <v>220</v>
      </c>
      <c r="C365" s="56">
        <f t="shared" si="36"/>
        <v>224</v>
      </c>
      <c r="D365" s="52">
        <v>308982</v>
      </c>
      <c r="E365" s="56">
        <f t="shared" si="39"/>
        <v>60</v>
      </c>
      <c r="F365" s="65">
        <f t="shared" si="34"/>
        <v>364</v>
      </c>
      <c r="G365" s="61">
        <f t="shared" si="37"/>
        <v>0</v>
      </c>
      <c r="H365" s="58">
        <f t="shared" si="35"/>
        <v>1</v>
      </c>
      <c r="I365" s="58">
        <f t="shared" si="38"/>
        <v>0</v>
      </c>
    </row>
    <row r="366" spans="1:9" x14ac:dyDescent="0.15">
      <c r="A366" s="23">
        <v>365</v>
      </c>
      <c r="B366" s="56">
        <f t="shared" si="36"/>
        <v>221</v>
      </c>
      <c r="C366" s="56">
        <f t="shared" si="36"/>
        <v>224</v>
      </c>
      <c r="D366" s="52">
        <v>310527</v>
      </c>
      <c r="E366" s="56">
        <f t="shared" si="39"/>
        <v>60</v>
      </c>
      <c r="F366" s="65">
        <f t="shared" si="34"/>
        <v>365</v>
      </c>
      <c r="G366" s="61">
        <f t="shared" si="37"/>
        <v>1</v>
      </c>
      <c r="H366" s="58">
        <f t="shared" si="35"/>
        <v>0</v>
      </c>
      <c r="I366" s="58">
        <f t="shared" si="38"/>
        <v>0</v>
      </c>
    </row>
    <row r="367" spans="1:9" x14ac:dyDescent="0.15">
      <c r="A367" s="23">
        <v>366</v>
      </c>
      <c r="B367" s="56">
        <f t="shared" si="36"/>
        <v>221</v>
      </c>
      <c r="C367" s="56">
        <f t="shared" si="36"/>
        <v>224</v>
      </c>
      <c r="D367" s="52">
        <v>312080</v>
      </c>
      <c r="E367" s="56">
        <f t="shared" si="39"/>
        <v>60</v>
      </c>
      <c r="F367" s="65">
        <f t="shared" si="34"/>
        <v>366</v>
      </c>
      <c r="G367" s="61">
        <f t="shared" si="37"/>
        <v>0</v>
      </c>
      <c r="H367" s="58">
        <f t="shared" si="35"/>
        <v>0</v>
      </c>
      <c r="I367" s="58">
        <f t="shared" si="38"/>
        <v>0</v>
      </c>
    </row>
    <row r="368" spans="1:9" x14ac:dyDescent="0.15">
      <c r="A368" s="23">
        <v>367</v>
      </c>
      <c r="B368" s="56">
        <f t="shared" si="36"/>
        <v>222</v>
      </c>
      <c r="C368" s="56">
        <f t="shared" si="36"/>
        <v>224</v>
      </c>
      <c r="D368" s="52">
        <v>313640</v>
      </c>
      <c r="E368" s="56">
        <f t="shared" si="39"/>
        <v>60</v>
      </c>
      <c r="F368" s="65">
        <f t="shared" si="34"/>
        <v>367</v>
      </c>
      <c r="G368" s="61">
        <f t="shared" si="37"/>
        <v>1</v>
      </c>
      <c r="H368" s="58">
        <f t="shared" si="35"/>
        <v>0</v>
      </c>
      <c r="I368" s="58">
        <f t="shared" si="38"/>
        <v>0</v>
      </c>
    </row>
    <row r="369" spans="1:9" x14ac:dyDescent="0.15">
      <c r="A369" s="23">
        <v>368</v>
      </c>
      <c r="B369" s="56">
        <f t="shared" si="36"/>
        <v>222</v>
      </c>
      <c r="C369" s="56">
        <f t="shared" si="36"/>
        <v>225</v>
      </c>
      <c r="D369" s="52">
        <v>315208</v>
      </c>
      <c r="E369" s="56">
        <f t="shared" si="39"/>
        <v>60</v>
      </c>
      <c r="F369" s="65">
        <f t="shared" si="34"/>
        <v>368</v>
      </c>
      <c r="G369" s="61">
        <f t="shared" si="37"/>
        <v>0</v>
      </c>
      <c r="H369" s="58">
        <f t="shared" si="35"/>
        <v>1</v>
      </c>
      <c r="I369" s="58">
        <f t="shared" si="38"/>
        <v>0</v>
      </c>
    </row>
    <row r="370" spans="1:9" x14ac:dyDescent="0.15">
      <c r="A370" s="23">
        <v>369</v>
      </c>
      <c r="B370" s="56">
        <f t="shared" si="36"/>
        <v>223</v>
      </c>
      <c r="C370" s="56">
        <f t="shared" si="36"/>
        <v>225</v>
      </c>
      <c r="D370" s="52">
        <v>316784</v>
      </c>
      <c r="E370" s="56">
        <f t="shared" si="39"/>
        <v>60</v>
      </c>
      <c r="F370" s="65">
        <f t="shared" si="34"/>
        <v>369</v>
      </c>
      <c r="G370" s="61">
        <f t="shared" si="37"/>
        <v>1</v>
      </c>
      <c r="H370" s="58">
        <f t="shared" si="35"/>
        <v>0</v>
      </c>
      <c r="I370" s="58">
        <f t="shared" si="38"/>
        <v>0</v>
      </c>
    </row>
    <row r="371" spans="1:9" x14ac:dyDescent="0.15">
      <c r="A371" s="23">
        <v>370</v>
      </c>
      <c r="B371" s="56">
        <f t="shared" si="36"/>
        <v>223</v>
      </c>
      <c r="C371" s="56">
        <f t="shared" si="36"/>
        <v>225</v>
      </c>
      <c r="D371" s="52">
        <v>318368</v>
      </c>
      <c r="E371" s="56">
        <f t="shared" si="39"/>
        <v>60</v>
      </c>
      <c r="F371" s="65">
        <f t="shared" si="34"/>
        <v>370</v>
      </c>
      <c r="G371" s="61">
        <f t="shared" si="37"/>
        <v>0</v>
      </c>
      <c r="H371" s="58">
        <f t="shared" si="35"/>
        <v>0</v>
      </c>
      <c r="I371" s="58">
        <f t="shared" si="38"/>
        <v>0</v>
      </c>
    </row>
    <row r="372" spans="1:9" x14ac:dyDescent="0.15">
      <c r="A372" s="23">
        <v>371</v>
      </c>
      <c r="B372" s="56">
        <f t="shared" si="36"/>
        <v>224</v>
      </c>
      <c r="C372" s="56">
        <f t="shared" si="36"/>
        <v>225</v>
      </c>
      <c r="D372" s="52">
        <v>319960</v>
      </c>
      <c r="E372" s="56">
        <f t="shared" si="39"/>
        <v>60</v>
      </c>
      <c r="F372" s="65">
        <f t="shared" si="34"/>
        <v>371</v>
      </c>
      <c r="G372" s="61">
        <f t="shared" si="37"/>
        <v>1</v>
      </c>
      <c r="H372" s="58">
        <f t="shared" si="35"/>
        <v>0</v>
      </c>
      <c r="I372" s="58">
        <f t="shared" si="38"/>
        <v>0</v>
      </c>
    </row>
    <row r="373" spans="1:9" x14ac:dyDescent="0.15">
      <c r="A373" s="23">
        <v>372</v>
      </c>
      <c r="B373" s="56">
        <f t="shared" si="36"/>
        <v>224</v>
      </c>
      <c r="C373" s="56">
        <f t="shared" si="36"/>
        <v>226</v>
      </c>
      <c r="D373" s="52">
        <v>321560</v>
      </c>
      <c r="E373" s="56">
        <f t="shared" si="39"/>
        <v>60</v>
      </c>
      <c r="F373" s="65">
        <f t="shared" si="34"/>
        <v>372</v>
      </c>
      <c r="G373" s="61">
        <f t="shared" si="37"/>
        <v>0</v>
      </c>
      <c r="H373" s="58">
        <f t="shared" si="35"/>
        <v>1</v>
      </c>
      <c r="I373" s="58">
        <f t="shared" si="38"/>
        <v>0</v>
      </c>
    </row>
    <row r="374" spans="1:9" x14ac:dyDescent="0.15">
      <c r="A374" s="23">
        <v>373</v>
      </c>
      <c r="B374" s="56">
        <f t="shared" si="36"/>
        <v>225</v>
      </c>
      <c r="C374" s="56">
        <f t="shared" si="36"/>
        <v>226</v>
      </c>
      <c r="D374" s="52">
        <v>323168</v>
      </c>
      <c r="E374" s="56">
        <f t="shared" si="39"/>
        <v>60</v>
      </c>
      <c r="F374" s="65">
        <f t="shared" si="34"/>
        <v>373</v>
      </c>
      <c r="G374" s="61">
        <f t="shared" si="37"/>
        <v>1</v>
      </c>
      <c r="H374" s="58">
        <f t="shared" si="35"/>
        <v>0</v>
      </c>
      <c r="I374" s="58">
        <f t="shared" si="38"/>
        <v>0</v>
      </c>
    </row>
    <row r="375" spans="1:9" x14ac:dyDescent="0.15">
      <c r="A375" s="23">
        <v>374</v>
      </c>
      <c r="B375" s="56">
        <f t="shared" si="36"/>
        <v>225</v>
      </c>
      <c r="C375" s="56">
        <f t="shared" si="36"/>
        <v>226</v>
      </c>
      <c r="D375" s="52">
        <v>324784</v>
      </c>
      <c r="E375" s="56">
        <f t="shared" si="39"/>
        <v>60</v>
      </c>
      <c r="F375" s="65">
        <f t="shared" si="34"/>
        <v>374</v>
      </c>
      <c r="G375" s="61">
        <f t="shared" si="37"/>
        <v>0</v>
      </c>
      <c r="H375" s="58">
        <f t="shared" si="35"/>
        <v>0</v>
      </c>
      <c r="I375" s="58">
        <f t="shared" si="38"/>
        <v>0</v>
      </c>
    </row>
    <row r="376" spans="1:9" x14ac:dyDescent="0.15">
      <c r="A376" s="23">
        <v>375</v>
      </c>
      <c r="B376" s="56">
        <f t="shared" si="36"/>
        <v>226</v>
      </c>
      <c r="C376" s="56">
        <f t="shared" si="36"/>
        <v>226</v>
      </c>
      <c r="D376" s="52">
        <v>326408</v>
      </c>
      <c r="E376" s="56">
        <f t="shared" si="39"/>
        <v>60</v>
      </c>
      <c r="F376" s="65">
        <f t="shared" si="34"/>
        <v>375</v>
      </c>
      <c r="G376" s="61">
        <f t="shared" si="37"/>
        <v>1</v>
      </c>
      <c r="H376" s="58">
        <f t="shared" si="35"/>
        <v>0</v>
      </c>
      <c r="I376" s="58">
        <f t="shared" si="38"/>
        <v>0</v>
      </c>
    </row>
    <row r="377" spans="1:9" x14ac:dyDescent="0.15">
      <c r="A377" s="23">
        <v>376</v>
      </c>
      <c r="B377" s="56">
        <f t="shared" si="36"/>
        <v>226</v>
      </c>
      <c r="C377" s="56">
        <f t="shared" si="36"/>
        <v>227</v>
      </c>
      <c r="D377" s="52">
        <v>328040</v>
      </c>
      <c r="E377" s="56">
        <f t="shared" si="39"/>
        <v>60</v>
      </c>
      <c r="F377" s="65">
        <f t="shared" si="34"/>
        <v>376</v>
      </c>
      <c r="G377" s="61">
        <f t="shared" si="37"/>
        <v>0</v>
      </c>
      <c r="H377" s="58">
        <f t="shared" si="35"/>
        <v>1</v>
      </c>
      <c r="I377" s="58">
        <f t="shared" si="38"/>
        <v>0</v>
      </c>
    </row>
    <row r="378" spans="1:9" x14ac:dyDescent="0.15">
      <c r="A378" s="23">
        <v>377</v>
      </c>
      <c r="B378" s="56">
        <f t="shared" si="36"/>
        <v>227</v>
      </c>
      <c r="C378" s="56">
        <f t="shared" si="36"/>
        <v>227</v>
      </c>
      <c r="D378" s="52">
        <v>329680</v>
      </c>
      <c r="E378" s="56">
        <f t="shared" si="39"/>
        <v>60</v>
      </c>
      <c r="F378" s="65">
        <f t="shared" si="34"/>
        <v>377</v>
      </c>
      <c r="G378" s="61">
        <f t="shared" si="37"/>
        <v>1</v>
      </c>
      <c r="H378" s="58">
        <f t="shared" si="35"/>
        <v>0</v>
      </c>
      <c r="I378" s="58">
        <f t="shared" si="38"/>
        <v>0</v>
      </c>
    </row>
    <row r="379" spans="1:9" x14ac:dyDescent="0.15">
      <c r="A379" s="23">
        <v>378</v>
      </c>
      <c r="B379" s="56">
        <f t="shared" si="36"/>
        <v>227</v>
      </c>
      <c r="C379" s="56">
        <f t="shared" si="36"/>
        <v>227</v>
      </c>
      <c r="D379" s="52">
        <v>331328</v>
      </c>
      <c r="E379" s="56">
        <f t="shared" si="39"/>
        <v>60</v>
      </c>
      <c r="F379" s="65">
        <f t="shared" si="34"/>
        <v>378</v>
      </c>
      <c r="G379" s="61">
        <f t="shared" si="37"/>
        <v>0</v>
      </c>
      <c r="H379" s="58">
        <f t="shared" si="35"/>
        <v>0</v>
      </c>
      <c r="I379" s="58">
        <f t="shared" si="38"/>
        <v>0</v>
      </c>
    </row>
    <row r="380" spans="1:9" x14ac:dyDescent="0.15">
      <c r="A380" s="23">
        <v>379</v>
      </c>
      <c r="B380" s="56">
        <f t="shared" si="36"/>
        <v>228</v>
      </c>
      <c r="C380" s="56">
        <f t="shared" si="36"/>
        <v>227</v>
      </c>
      <c r="D380" s="52">
        <v>332985</v>
      </c>
      <c r="E380" s="56">
        <f t="shared" si="39"/>
        <v>60</v>
      </c>
      <c r="F380" s="65">
        <f t="shared" si="34"/>
        <v>379</v>
      </c>
      <c r="G380" s="61">
        <f t="shared" si="37"/>
        <v>1</v>
      </c>
      <c r="H380" s="58">
        <f t="shared" si="35"/>
        <v>0</v>
      </c>
      <c r="I380" s="58">
        <f t="shared" si="38"/>
        <v>0</v>
      </c>
    </row>
    <row r="381" spans="1:9" x14ac:dyDescent="0.15">
      <c r="A381" s="23">
        <v>380</v>
      </c>
      <c r="B381" s="56">
        <f t="shared" si="36"/>
        <v>228</v>
      </c>
      <c r="C381" s="56">
        <f t="shared" si="36"/>
        <v>228</v>
      </c>
      <c r="D381" s="52">
        <v>334650</v>
      </c>
      <c r="E381" s="56">
        <f t="shared" si="39"/>
        <v>60</v>
      </c>
      <c r="F381" s="65">
        <f t="shared" si="34"/>
        <v>380</v>
      </c>
      <c r="G381" s="61">
        <f t="shared" si="37"/>
        <v>0</v>
      </c>
      <c r="H381" s="58">
        <f t="shared" si="35"/>
        <v>1</v>
      </c>
      <c r="I381" s="58">
        <f t="shared" si="38"/>
        <v>0</v>
      </c>
    </row>
    <row r="382" spans="1:9" x14ac:dyDescent="0.15">
      <c r="A382" s="23">
        <v>381</v>
      </c>
      <c r="B382" s="56">
        <f t="shared" si="36"/>
        <v>229</v>
      </c>
      <c r="C382" s="56">
        <f t="shared" si="36"/>
        <v>228</v>
      </c>
      <c r="D382" s="52">
        <v>336323</v>
      </c>
      <c r="E382" s="56">
        <f t="shared" si="39"/>
        <v>60</v>
      </c>
      <c r="F382" s="65">
        <f t="shared" si="34"/>
        <v>381</v>
      </c>
      <c r="G382" s="61">
        <f t="shared" si="37"/>
        <v>1</v>
      </c>
      <c r="H382" s="58">
        <f t="shared" si="35"/>
        <v>0</v>
      </c>
      <c r="I382" s="58">
        <f t="shared" si="38"/>
        <v>0</v>
      </c>
    </row>
    <row r="383" spans="1:9" x14ac:dyDescent="0.15">
      <c r="A383" s="23">
        <v>382</v>
      </c>
      <c r="B383" s="56">
        <f t="shared" si="36"/>
        <v>229</v>
      </c>
      <c r="C383" s="56">
        <f t="shared" si="36"/>
        <v>228</v>
      </c>
      <c r="D383" s="52">
        <v>338005</v>
      </c>
      <c r="E383" s="56">
        <f t="shared" si="39"/>
        <v>60</v>
      </c>
      <c r="F383" s="65">
        <f t="shared" si="34"/>
        <v>382</v>
      </c>
      <c r="G383" s="61">
        <f t="shared" si="37"/>
        <v>0</v>
      </c>
      <c r="H383" s="58">
        <f t="shared" si="35"/>
        <v>0</v>
      </c>
      <c r="I383" s="58">
        <f t="shared" si="38"/>
        <v>0</v>
      </c>
    </row>
    <row r="384" spans="1:9" x14ac:dyDescent="0.15">
      <c r="A384" s="23">
        <v>383</v>
      </c>
      <c r="B384" s="56">
        <f t="shared" si="36"/>
        <v>230</v>
      </c>
      <c r="C384" s="56">
        <f t="shared" si="36"/>
        <v>228</v>
      </c>
      <c r="D384" s="52">
        <v>339695</v>
      </c>
      <c r="E384" s="56">
        <f t="shared" si="39"/>
        <v>60</v>
      </c>
      <c r="F384" s="65">
        <f t="shared" si="34"/>
        <v>383</v>
      </c>
      <c r="G384" s="61">
        <f t="shared" si="37"/>
        <v>1</v>
      </c>
      <c r="H384" s="58">
        <f t="shared" si="35"/>
        <v>0</v>
      </c>
      <c r="I384" s="58">
        <f t="shared" si="38"/>
        <v>0</v>
      </c>
    </row>
    <row r="385" spans="1:9" x14ac:dyDescent="0.15">
      <c r="A385" s="23">
        <v>384</v>
      </c>
      <c r="B385" s="56">
        <f t="shared" si="36"/>
        <v>230</v>
      </c>
      <c r="C385" s="56">
        <f t="shared" si="36"/>
        <v>229</v>
      </c>
      <c r="D385" s="52">
        <v>341393</v>
      </c>
      <c r="E385" s="56">
        <f t="shared" si="39"/>
        <v>60</v>
      </c>
      <c r="F385" s="65">
        <f t="shared" si="34"/>
        <v>384</v>
      </c>
      <c r="G385" s="61">
        <f t="shared" si="37"/>
        <v>0</v>
      </c>
      <c r="H385" s="58">
        <f t="shared" si="35"/>
        <v>1</v>
      </c>
      <c r="I385" s="58">
        <f t="shared" si="38"/>
        <v>0</v>
      </c>
    </row>
    <row r="386" spans="1:9" x14ac:dyDescent="0.15">
      <c r="A386" s="23">
        <v>385</v>
      </c>
      <c r="B386" s="56">
        <f t="shared" si="36"/>
        <v>231</v>
      </c>
      <c r="C386" s="56">
        <f t="shared" si="36"/>
        <v>229</v>
      </c>
      <c r="D386" s="52">
        <v>343100</v>
      </c>
      <c r="E386" s="56">
        <f t="shared" si="39"/>
        <v>60</v>
      </c>
      <c r="F386" s="65">
        <f t="shared" ref="F386:F401" si="40">A386</f>
        <v>385</v>
      </c>
      <c r="G386" s="61">
        <f t="shared" si="37"/>
        <v>1</v>
      </c>
      <c r="H386" s="58">
        <f t="shared" ref="H386:H401" si="41">IF($A386&gt;=slow,IF(MOD($A386,upper)=0,slow_upper,0),IF($A386&gt;medium,IF(MOD($A386,bonus)=0,medium_bonus,IF(MOD($A386,upper)=0,medium_upper,IF(MOD($A386,up)=0,medium_up,0))),IF(MOD($A386,bonus)=0,fast_bonus,IF(MOD($A386,upper)=0,fast_upper,IF(MOD($A386,up)=0,fast_up,0)))))</f>
        <v>0</v>
      </c>
      <c r="I386" s="58">
        <f t="shared" si="38"/>
        <v>0</v>
      </c>
    </row>
    <row r="387" spans="1:9" x14ac:dyDescent="0.15">
      <c r="A387" s="23">
        <v>386</v>
      </c>
      <c r="B387" s="56">
        <f t="shared" ref="B387:C401" si="42">B386+G387</f>
        <v>231</v>
      </c>
      <c r="C387" s="56">
        <f t="shared" si="42"/>
        <v>229</v>
      </c>
      <c r="D387" s="52">
        <v>344816</v>
      </c>
      <c r="E387" s="56">
        <f t="shared" si="39"/>
        <v>60</v>
      </c>
      <c r="F387" s="65">
        <f t="shared" si="40"/>
        <v>386</v>
      </c>
      <c r="G387" s="61">
        <f t="shared" ref="G387:G401" si="43">IF(A387&gt;=106, IF(MOD(A387,2)=0,0,1), IF(A387 &gt;= 65, IF(MOD(A387, 2) =0,0, IF(MOD(A387,5)= 0, 2, 1)), IF(MOD(A387, 2) =0,0, IF(MOD(A387,5)= 0, 5, 1))))</f>
        <v>0</v>
      </c>
      <c r="H387" s="58">
        <f t="shared" si="41"/>
        <v>0</v>
      </c>
      <c r="I387" s="58">
        <f t="shared" ref="I387:I401" si="44">IF($A387&gt;=51,0,IF($A387&gt;=30,IF(MOD($A387,5)=0,1,0),IF($A387&gt;=11,IF(MOD($A387,5)=0,3,IF(MOD($A387,2)=0,1,0)),IF(MOD($A387,5)=0,5,IF(MOD($A387,2)=0,2,0)))))</f>
        <v>0</v>
      </c>
    </row>
    <row r="388" spans="1:9" x14ac:dyDescent="0.15">
      <c r="A388" s="23">
        <v>387</v>
      </c>
      <c r="B388" s="56">
        <f t="shared" si="42"/>
        <v>232</v>
      </c>
      <c r="C388" s="56">
        <f t="shared" si="42"/>
        <v>229</v>
      </c>
      <c r="D388" s="52">
        <v>346540</v>
      </c>
      <c r="E388" s="56">
        <f t="shared" ref="E388:E401" si="45">E387+I388</f>
        <v>60</v>
      </c>
      <c r="F388" s="65">
        <f t="shared" si="40"/>
        <v>387</v>
      </c>
      <c r="G388" s="61">
        <f t="shared" si="43"/>
        <v>1</v>
      </c>
      <c r="H388" s="58">
        <f t="shared" si="41"/>
        <v>0</v>
      </c>
      <c r="I388" s="58">
        <f t="shared" si="44"/>
        <v>0</v>
      </c>
    </row>
    <row r="389" spans="1:9" x14ac:dyDescent="0.15">
      <c r="A389" s="23">
        <v>388</v>
      </c>
      <c r="B389" s="56">
        <f t="shared" si="42"/>
        <v>232</v>
      </c>
      <c r="C389" s="56">
        <f t="shared" si="42"/>
        <v>230</v>
      </c>
      <c r="D389" s="52">
        <v>348273</v>
      </c>
      <c r="E389" s="56">
        <f t="shared" si="45"/>
        <v>60</v>
      </c>
      <c r="F389" s="65">
        <f t="shared" si="40"/>
        <v>388</v>
      </c>
      <c r="G389" s="61">
        <f t="shared" si="43"/>
        <v>0</v>
      </c>
      <c r="H389" s="58">
        <f t="shared" si="41"/>
        <v>1</v>
      </c>
      <c r="I389" s="58">
        <f t="shared" si="44"/>
        <v>0</v>
      </c>
    </row>
    <row r="390" spans="1:9" x14ac:dyDescent="0.15">
      <c r="A390" s="23">
        <v>389</v>
      </c>
      <c r="B390" s="56">
        <f t="shared" si="42"/>
        <v>233</v>
      </c>
      <c r="C390" s="56">
        <f t="shared" si="42"/>
        <v>230</v>
      </c>
      <c r="D390" s="52">
        <v>350014</v>
      </c>
      <c r="E390" s="56">
        <f t="shared" si="45"/>
        <v>60</v>
      </c>
      <c r="F390" s="65">
        <f t="shared" si="40"/>
        <v>389</v>
      </c>
      <c r="G390" s="61">
        <f t="shared" si="43"/>
        <v>1</v>
      </c>
      <c r="H390" s="58">
        <f t="shared" si="41"/>
        <v>0</v>
      </c>
      <c r="I390" s="58">
        <f t="shared" si="44"/>
        <v>0</v>
      </c>
    </row>
    <row r="391" spans="1:9" x14ac:dyDescent="0.15">
      <c r="A391" s="23">
        <v>390</v>
      </c>
      <c r="B391" s="56">
        <f t="shared" si="42"/>
        <v>233</v>
      </c>
      <c r="C391" s="56">
        <f t="shared" si="42"/>
        <v>230</v>
      </c>
      <c r="D391" s="52">
        <v>351764</v>
      </c>
      <c r="E391" s="56">
        <f t="shared" si="45"/>
        <v>60</v>
      </c>
      <c r="F391" s="65">
        <f t="shared" si="40"/>
        <v>390</v>
      </c>
      <c r="G391" s="61">
        <f t="shared" si="43"/>
        <v>0</v>
      </c>
      <c r="H391" s="58">
        <f t="shared" si="41"/>
        <v>0</v>
      </c>
      <c r="I391" s="58">
        <f t="shared" si="44"/>
        <v>0</v>
      </c>
    </row>
    <row r="392" spans="1:9" x14ac:dyDescent="0.15">
      <c r="A392" s="23">
        <v>391</v>
      </c>
      <c r="B392" s="56">
        <f t="shared" si="42"/>
        <v>234</v>
      </c>
      <c r="C392" s="56">
        <f t="shared" si="42"/>
        <v>230</v>
      </c>
      <c r="D392" s="52">
        <v>353523</v>
      </c>
      <c r="E392" s="56">
        <f t="shared" si="45"/>
        <v>60</v>
      </c>
      <c r="F392" s="65">
        <f t="shared" si="40"/>
        <v>391</v>
      </c>
      <c r="G392" s="61">
        <f t="shared" si="43"/>
        <v>1</v>
      </c>
      <c r="H392" s="58">
        <f t="shared" si="41"/>
        <v>0</v>
      </c>
      <c r="I392" s="58">
        <f t="shared" si="44"/>
        <v>0</v>
      </c>
    </row>
    <row r="393" spans="1:9" x14ac:dyDescent="0.15">
      <c r="A393" s="23">
        <v>392</v>
      </c>
      <c r="B393" s="56">
        <f t="shared" si="42"/>
        <v>234</v>
      </c>
      <c r="C393" s="56">
        <f t="shared" si="42"/>
        <v>231</v>
      </c>
      <c r="D393" s="52">
        <v>355291</v>
      </c>
      <c r="E393" s="56">
        <f t="shared" si="45"/>
        <v>60</v>
      </c>
      <c r="F393" s="65">
        <f t="shared" si="40"/>
        <v>392</v>
      </c>
      <c r="G393" s="61">
        <f t="shared" si="43"/>
        <v>0</v>
      </c>
      <c r="H393" s="58">
        <f t="shared" si="41"/>
        <v>1</v>
      </c>
      <c r="I393" s="58">
        <f t="shared" si="44"/>
        <v>0</v>
      </c>
    </row>
    <row r="394" spans="1:9" x14ac:dyDescent="0.15">
      <c r="A394" s="23">
        <v>393</v>
      </c>
      <c r="B394" s="56">
        <f t="shared" si="42"/>
        <v>235</v>
      </c>
      <c r="C394" s="56">
        <f t="shared" si="42"/>
        <v>231</v>
      </c>
      <c r="D394" s="52">
        <v>357067</v>
      </c>
      <c r="E394" s="56">
        <f t="shared" si="45"/>
        <v>60</v>
      </c>
      <c r="F394" s="65">
        <f t="shared" si="40"/>
        <v>393</v>
      </c>
      <c r="G394" s="61">
        <f t="shared" si="43"/>
        <v>1</v>
      </c>
      <c r="H394" s="58">
        <f t="shared" si="41"/>
        <v>0</v>
      </c>
      <c r="I394" s="58">
        <f t="shared" si="44"/>
        <v>0</v>
      </c>
    </row>
    <row r="395" spans="1:9" x14ac:dyDescent="0.15">
      <c r="A395" s="23">
        <v>394</v>
      </c>
      <c r="B395" s="56">
        <f t="shared" si="42"/>
        <v>235</v>
      </c>
      <c r="C395" s="56">
        <f t="shared" si="42"/>
        <v>231</v>
      </c>
      <c r="D395" s="52">
        <v>358852</v>
      </c>
      <c r="E395" s="56">
        <f t="shared" si="45"/>
        <v>60</v>
      </c>
      <c r="F395" s="65">
        <f t="shared" si="40"/>
        <v>394</v>
      </c>
      <c r="G395" s="61">
        <f t="shared" si="43"/>
        <v>0</v>
      </c>
      <c r="H395" s="58">
        <f t="shared" si="41"/>
        <v>0</v>
      </c>
      <c r="I395" s="58">
        <f t="shared" si="44"/>
        <v>0</v>
      </c>
    </row>
    <row r="396" spans="1:9" x14ac:dyDescent="0.15">
      <c r="A396" s="23">
        <v>395</v>
      </c>
      <c r="B396" s="56">
        <f t="shared" si="42"/>
        <v>236</v>
      </c>
      <c r="C396" s="56">
        <f t="shared" si="42"/>
        <v>231</v>
      </c>
      <c r="D396" s="52">
        <v>360646</v>
      </c>
      <c r="E396" s="56">
        <f t="shared" si="45"/>
        <v>60</v>
      </c>
      <c r="F396" s="65">
        <f t="shared" si="40"/>
        <v>395</v>
      </c>
      <c r="G396" s="61">
        <f t="shared" si="43"/>
        <v>1</v>
      </c>
      <c r="H396" s="58">
        <f t="shared" si="41"/>
        <v>0</v>
      </c>
      <c r="I396" s="58">
        <f t="shared" si="44"/>
        <v>0</v>
      </c>
    </row>
    <row r="397" spans="1:9" x14ac:dyDescent="0.15">
      <c r="A397" s="23">
        <v>396</v>
      </c>
      <c r="B397" s="56">
        <f t="shared" si="42"/>
        <v>236</v>
      </c>
      <c r="C397" s="56">
        <f t="shared" si="42"/>
        <v>232</v>
      </c>
      <c r="D397" s="52">
        <v>362449</v>
      </c>
      <c r="E397" s="56">
        <f t="shared" si="45"/>
        <v>60</v>
      </c>
      <c r="F397" s="65">
        <f t="shared" si="40"/>
        <v>396</v>
      </c>
      <c r="G397" s="61">
        <f t="shared" si="43"/>
        <v>0</v>
      </c>
      <c r="H397" s="58">
        <f t="shared" si="41"/>
        <v>1</v>
      </c>
      <c r="I397" s="58">
        <f t="shared" si="44"/>
        <v>0</v>
      </c>
    </row>
    <row r="398" spans="1:9" x14ac:dyDescent="0.15">
      <c r="A398" s="23">
        <v>397</v>
      </c>
      <c r="B398" s="56">
        <f t="shared" si="42"/>
        <v>237</v>
      </c>
      <c r="C398" s="56">
        <f t="shared" si="42"/>
        <v>232</v>
      </c>
      <c r="D398" s="52">
        <v>364261</v>
      </c>
      <c r="E398" s="56">
        <f t="shared" si="45"/>
        <v>60</v>
      </c>
      <c r="F398" s="65">
        <f t="shared" si="40"/>
        <v>397</v>
      </c>
      <c r="G398" s="61">
        <f t="shared" si="43"/>
        <v>1</v>
      </c>
      <c r="H398" s="58">
        <f t="shared" si="41"/>
        <v>0</v>
      </c>
      <c r="I398" s="58">
        <f t="shared" si="44"/>
        <v>0</v>
      </c>
    </row>
    <row r="399" spans="1:9" x14ac:dyDescent="0.15">
      <c r="A399" s="23">
        <v>398</v>
      </c>
      <c r="B399" s="56">
        <f t="shared" si="42"/>
        <v>237</v>
      </c>
      <c r="C399" s="56">
        <f t="shared" si="42"/>
        <v>232</v>
      </c>
      <c r="D399" s="52">
        <v>366082</v>
      </c>
      <c r="E399" s="56">
        <f t="shared" si="45"/>
        <v>60</v>
      </c>
      <c r="F399" s="65">
        <f t="shared" si="40"/>
        <v>398</v>
      </c>
      <c r="G399" s="61">
        <f t="shared" si="43"/>
        <v>0</v>
      </c>
      <c r="H399" s="58">
        <f t="shared" si="41"/>
        <v>0</v>
      </c>
      <c r="I399" s="58">
        <f t="shared" si="44"/>
        <v>0</v>
      </c>
    </row>
    <row r="400" spans="1:9" x14ac:dyDescent="0.15">
      <c r="A400" s="23">
        <v>399</v>
      </c>
      <c r="B400" s="56">
        <f t="shared" si="42"/>
        <v>238</v>
      </c>
      <c r="C400" s="56">
        <f t="shared" si="42"/>
        <v>232</v>
      </c>
      <c r="D400" s="52">
        <v>367912</v>
      </c>
      <c r="E400" s="56">
        <f t="shared" si="45"/>
        <v>60</v>
      </c>
      <c r="F400" s="65">
        <f t="shared" si="40"/>
        <v>399</v>
      </c>
      <c r="G400" s="61">
        <f t="shared" si="43"/>
        <v>1</v>
      </c>
      <c r="H400" s="58">
        <f t="shared" si="41"/>
        <v>0</v>
      </c>
      <c r="I400" s="58">
        <f t="shared" si="44"/>
        <v>0</v>
      </c>
    </row>
    <row r="401" spans="1:9" x14ac:dyDescent="0.15">
      <c r="A401" s="23">
        <v>400</v>
      </c>
      <c r="B401" s="56">
        <f t="shared" si="42"/>
        <v>238</v>
      </c>
      <c r="C401" s="56">
        <f t="shared" si="42"/>
        <v>233</v>
      </c>
      <c r="D401" s="52">
        <v>369752</v>
      </c>
      <c r="E401" s="56">
        <f t="shared" si="45"/>
        <v>60</v>
      </c>
      <c r="F401" s="65">
        <f t="shared" si="40"/>
        <v>400</v>
      </c>
      <c r="G401" s="61">
        <f t="shared" si="43"/>
        <v>0</v>
      </c>
      <c r="H401" s="58">
        <f t="shared" si="41"/>
        <v>1</v>
      </c>
      <c r="I401" s="58">
        <f t="shared" si="44"/>
        <v>0</v>
      </c>
    </row>
  </sheetData>
  <autoFilter ref="A1:I201"/>
  <phoneticPr fontId="3"/>
  <pageMargins left="0.7" right="0.7" top="0.75" bottom="0.75" header="0.3" footer="0.3"/>
  <pageSetup paperSize="9" orientation="portrait" horizontalDpi="4294967292" verticalDpi="429496729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3" tint="0.79998168889431442"/>
  </sheetPr>
  <dimension ref="A1:P401"/>
  <sheetViews>
    <sheetView showGridLines="0" workbookViewId="0">
      <pane ySplit="1" topLeftCell="A50" activePane="bottomLeft" state="frozen"/>
      <selection pane="bottomLeft" activeCell="B36" sqref="B36"/>
    </sheetView>
  </sheetViews>
  <sheetFormatPr baseColWidth="12" defaultColWidth="13" defaultRowHeight="15" x14ac:dyDescent="0.15"/>
  <cols>
    <col min="1" max="1" width="7" bestFit="1" customWidth="1"/>
    <col min="2" max="2" width="9.5" bestFit="1" customWidth="1"/>
    <col min="3" max="3" width="7.1640625" bestFit="1" customWidth="1"/>
    <col min="4" max="4" width="11.6640625" bestFit="1" customWidth="1"/>
    <col min="5" max="5" width="11.1640625" bestFit="1" customWidth="1"/>
    <col min="6" max="6" width="7" style="66" bestFit="1" customWidth="1"/>
    <col min="8" max="9" width="12.83203125" customWidth="1"/>
    <col min="10" max="15" width="8.83203125" customWidth="1"/>
  </cols>
  <sheetData>
    <row r="1" spans="1:9" x14ac:dyDescent="0.15">
      <c r="A1" s="62" t="s">
        <v>0</v>
      </c>
      <c r="B1" s="62" t="s">
        <v>60</v>
      </c>
      <c r="C1" s="62" t="s">
        <v>61</v>
      </c>
      <c r="D1" s="63" t="s">
        <v>215</v>
      </c>
      <c r="E1" s="62" t="s">
        <v>62</v>
      </c>
      <c r="F1" s="64" t="s">
        <v>0</v>
      </c>
      <c r="G1" s="17" t="s">
        <v>20</v>
      </c>
      <c r="H1" s="17" t="s">
        <v>21</v>
      </c>
      <c r="I1" s="28" t="s">
        <v>63</v>
      </c>
    </row>
    <row r="2" spans="1:9" x14ac:dyDescent="0.15">
      <c r="A2" s="23">
        <v>1</v>
      </c>
      <c r="B2" s="20">
        <v>10</v>
      </c>
      <c r="C2" s="20">
        <v>59</v>
      </c>
      <c r="D2" s="24">
        <v>0</v>
      </c>
      <c r="E2" s="20">
        <v>20</v>
      </c>
      <c r="F2" s="65">
        <f t="shared" ref="F2:F65" si="0">A2</f>
        <v>1</v>
      </c>
      <c r="G2" s="60"/>
      <c r="H2" s="58">
        <f t="shared" ref="H2:H65" si="1">IF($A2&gt;=slow,IF(MOD($A2,upper)=0,slow_upper,0),IF($A2&gt;medium,IF(MOD($A2,bonus)=0,medium_bonus,IF(MOD($A2,upper)=0,medium_upper,IF(MOD($A2,up)=0,medium_up,0))),IF(MOD($A2,bonus)=0,fast_bonus,IF(MOD($A2,upper)=0,fast_upper,IF(MOD($A2,up)=0,fast_up,0)))))</f>
        <v>0</v>
      </c>
      <c r="I2" s="58">
        <f>IF($A2&gt;=51,0,IF($A2&gt;=30,IF(MOD($A2,5)=0,1,0),IF($A2&gt;=11,IF(MOD($A2,5)=0,3,IF(MOD($A2,2)=0,1,0)),IF(MOD($A2,5)=0,5,IF(MOD($A2,2)=0,2,0)))))</f>
        <v>0</v>
      </c>
    </row>
    <row r="3" spans="1:9" x14ac:dyDescent="0.15">
      <c r="A3" s="23">
        <v>2</v>
      </c>
      <c r="B3" s="56">
        <f t="shared" ref="B3:B66" si="2">B2+G3</f>
        <v>10</v>
      </c>
      <c r="C3" s="59">
        <f t="shared" ref="C3:C66" si="3">C2+H3</f>
        <v>60</v>
      </c>
      <c r="D3" s="26">
        <v>35</v>
      </c>
      <c r="E3" s="56">
        <f>E2+I3</f>
        <v>22</v>
      </c>
      <c r="F3" s="65">
        <f t="shared" si="0"/>
        <v>2</v>
      </c>
      <c r="G3" s="61">
        <f t="shared" ref="G3:G66" si="4">IF(A3&gt;=106, IF(MOD(A3,2)=0,0,1), IF(A3 &gt;= 65, IF(MOD(A3, 2) =0,0, IF(MOD(A3,5)= 0, 2, 1)), IF(MOD(A3, 2) =0,0, IF(MOD(A3,5)= 0, 5, 1))))</f>
        <v>0</v>
      </c>
      <c r="H3" s="58">
        <f t="shared" si="1"/>
        <v>1</v>
      </c>
      <c r="I3" s="58">
        <f t="shared" ref="I3:I66" si="5">IF($A3&gt;=51,0,IF($A3&gt;=30,IF(MOD($A3,5)=0,1,0),IF($A3&gt;=11,IF(MOD($A3,5)=0,3,IF(MOD($A3,2)=0,1,0)),IF(MOD($A3,5)=0,5,IF(MOD($A3,2)=0,2,0)))))</f>
        <v>2</v>
      </c>
    </row>
    <row r="4" spans="1:9" x14ac:dyDescent="0.15">
      <c r="A4" s="23">
        <v>3</v>
      </c>
      <c r="B4" s="56">
        <f t="shared" si="2"/>
        <v>11</v>
      </c>
      <c r="C4" s="56">
        <f t="shared" si="3"/>
        <v>60</v>
      </c>
      <c r="D4" s="26">
        <v>81</v>
      </c>
      <c r="E4" s="56">
        <f t="shared" ref="E4:E67" si="6">E3+I4</f>
        <v>22</v>
      </c>
      <c r="F4" s="65">
        <f t="shared" si="0"/>
        <v>3</v>
      </c>
      <c r="G4" s="61">
        <f t="shared" si="4"/>
        <v>1</v>
      </c>
      <c r="H4" s="58">
        <f t="shared" si="1"/>
        <v>0</v>
      </c>
      <c r="I4" s="58">
        <f t="shared" si="5"/>
        <v>0</v>
      </c>
    </row>
    <row r="5" spans="1:9" x14ac:dyDescent="0.15">
      <c r="A5" s="23">
        <v>4</v>
      </c>
      <c r="B5" s="56">
        <f t="shared" si="2"/>
        <v>11</v>
      </c>
      <c r="C5" s="56">
        <f t="shared" si="3"/>
        <v>62</v>
      </c>
      <c r="D5" s="26">
        <v>138</v>
      </c>
      <c r="E5" s="56">
        <f t="shared" si="6"/>
        <v>24</v>
      </c>
      <c r="F5" s="65">
        <f t="shared" si="0"/>
        <v>4</v>
      </c>
      <c r="G5" s="61">
        <f t="shared" si="4"/>
        <v>0</v>
      </c>
      <c r="H5" s="58">
        <f t="shared" si="1"/>
        <v>2</v>
      </c>
      <c r="I5" s="58">
        <f t="shared" si="5"/>
        <v>2</v>
      </c>
    </row>
    <row r="6" spans="1:9" x14ac:dyDescent="0.15">
      <c r="A6" s="23">
        <v>5</v>
      </c>
      <c r="B6" s="56">
        <f t="shared" si="2"/>
        <v>16</v>
      </c>
      <c r="C6" s="56">
        <f t="shared" si="3"/>
        <v>67</v>
      </c>
      <c r="D6" s="26">
        <v>205</v>
      </c>
      <c r="E6" s="56">
        <f t="shared" si="6"/>
        <v>29</v>
      </c>
      <c r="F6" s="65">
        <f t="shared" si="0"/>
        <v>5</v>
      </c>
      <c r="G6" s="57">
        <f t="shared" si="4"/>
        <v>5</v>
      </c>
      <c r="H6" s="58">
        <f t="shared" si="1"/>
        <v>5</v>
      </c>
      <c r="I6" s="58">
        <f t="shared" si="5"/>
        <v>5</v>
      </c>
    </row>
    <row r="7" spans="1:9" x14ac:dyDescent="0.15">
      <c r="A7" s="23">
        <v>6</v>
      </c>
      <c r="B7" s="56">
        <f t="shared" si="2"/>
        <v>16</v>
      </c>
      <c r="C7" s="56">
        <f t="shared" si="3"/>
        <v>68</v>
      </c>
      <c r="D7" s="26">
        <v>282</v>
      </c>
      <c r="E7" s="56">
        <f t="shared" si="6"/>
        <v>31</v>
      </c>
      <c r="F7" s="65">
        <f t="shared" si="0"/>
        <v>6</v>
      </c>
      <c r="G7" s="61">
        <f t="shared" si="4"/>
        <v>0</v>
      </c>
      <c r="H7" s="58">
        <f t="shared" si="1"/>
        <v>1</v>
      </c>
      <c r="I7" s="58">
        <f t="shared" si="5"/>
        <v>2</v>
      </c>
    </row>
    <row r="8" spans="1:9" x14ac:dyDescent="0.15">
      <c r="A8" s="23">
        <v>7</v>
      </c>
      <c r="B8" s="56">
        <f t="shared" si="2"/>
        <v>17</v>
      </c>
      <c r="C8" s="56">
        <f t="shared" si="3"/>
        <v>68</v>
      </c>
      <c r="D8" s="26">
        <v>368</v>
      </c>
      <c r="E8" s="56">
        <f t="shared" si="6"/>
        <v>31</v>
      </c>
      <c r="F8" s="65">
        <f t="shared" si="0"/>
        <v>7</v>
      </c>
      <c r="G8" s="61">
        <f t="shared" si="4"/>
        <v>1</v>
      </c>
      <c r="H8" s="58">
        <f t="shared" si="1"/>
        <v>0</v>
      </c>
      <c r="I8" s="58">
        <f t="shared" si="5"/>
        <v>0</v>
      </c>
    </row>
    <row r="9" spans="1:9" x14ac:dyDescent="0.15">
      <c r="A9" s="23">
        <v>8</v>
      </c>
      <c r="B9" s="56">
        <f t="shared" si="2"/>
        <v>17</v>
      </c>
      <c r="C9" s="56">
        <f t="shared" si="3"/>
        <v>70</v>
      </c>
      <c r="D9" s="26">
        <v>465</v>
      </c>
      <c r="E9" s="56">
        <f t="shared" si="6"/>
        <v>33</v>
      </c>
      <c r="F9" s="65">
        <f t="shared" si="0"/>
        <v>8</v>
      </c>
      <c r="G9" s="61">
        <f t="shared" si="4"/>
        <v>0</v>
      </c>
      <c r="H9" s="58">
        <f t="shared" si="1"/>
        <v>2</v>
      </c>
      <c r="I9" s="58">
        <f t="shared" si="5"/>
        <v>2</v>
      </c>
    </row>
    <row r="10" spans="1:9" x14ac:dyDescent="0.15">
      <c r="A10" s="23">
        <v>9</v>
      </c>
      <c r="B10" s="56">
        <f t="shared" si="2"/>
        <v>18</v>
      </c>
      <c r="C10" s="56">
        <f t="shared" si="3"/>
        <v>70</v>
      </c>
      <c r="D10" s="26">
        <v>572</v>
      </c>
      <c r="E10" s="56">
        <f t="shared" si="6"/>
        <v>33</v>
      </c>
      <c r="F10" s="65">
        <f t="shared" si="0"/>
        <v>9</v>
      </c>
      <c r="G10" s="61">
        <f t="shared" si="4"/>
        <v>1</v>
      </c>
      <c r="H10" s="58">
        <f t="shared" si="1"/>
        <v>0</v>
      </c>
      <c r="I10" s="58">
        <f t="shared" si="5"/>
        <v>0</v>
      </c>
    </row>
    <row r="11" spans="1:9" x14ac:dyDescent="0.15">
      <c r="A11" s="23">
        <v>10</v>
      </c>
      <c r="B11" s="56">
        <f t="shared" si="2"/>
        <v>18</v>
      </c>
      <c r="C11" s="56">
        <f t="shared" si="3"/>
        <v>75</v>
      </c>
      <c r="D11" s="26">
        <v>688</v>
      </c>
      <c r="E11" s="56">
        <f t="shared" si="6"/>
        <v>38</v>
      </c>
      <c r="F11" s="65">
        <f t="shared" si="0"/>
        <v>10</v>
      </c>
      <c r="G11" s="61">
        <f t="shared" si="4"/>
        <v>0</v>
      </c>
      <c r="H11" s="58">
        <f t="shared" si="1"/>
        <v>5</v>
      </c>
      <c r="I11" s="58">
        <f t="shared" si="5"/>
        <v>5</v>
      </c>
    </row>
    <row r="12" spans="1:9" x14ac:dyDescent="0.15">
      <c r="A12" s="23">
        <v>11</v>
      </c>
      <c r="B12" s="56">
        <f t="shared" si="2"/>
        <v>19</v>
      </c>
      <c r="C12" s="56">
        <f t="shared" si="3"/>
        <v>75</v>
      </c>
      <c r="D12" s="26">
        <v>813</v>
      </c>
      <c r="E12" s="56">
        <f t="shared" si="6"/>
        <v>38</v>
      </c>
      <c r="F12" s="65">
        <f t="shared" si="0"/>
        <v>11</v>
      </c>
      <c r="G12" s="61">
        <f t="shared" si="4"/>
        <v>1</v>
      </c>
      <c r="H12" s="58">
        <f t="shared" si="1"/>
        <v>0</v>
      </c>
      <c r="I12" s="58">
        <f t="shared" si="5"/>
        <v>0</v>
      </c>
    </row>
    <row r="13" spans="1:9" x14ac:dyDescent="0.15">
      <c r="A13" s="23">
        <v>12</v>
      </c>
      <c r="B13" s="56">
        <f t="shared" si="2"/>
        <v>19</v>
      </c>
      <c r="C13" s="56">
        <f t="shared" si="3"/>
        <v>77</v>
      </c>
      <c r="D13" s="26">
        <v>948</v>
      </c>
      <c r="E13" s="56">
        <f t="shared" si="6"/>
        <v>39</v>
      </c>
      <c r="F13" s="65">
        <f t="shared" si="0"/>
        <v>12</v>
      </c>
      <c r="G13" s="61">
        <f t="shared" si="4"/>
        <v>0</v>
      </c>
      <c r="H13" s="58">
        <f t="shared" si="1"/>
        <v>2</v>
      </c>
      <c r="I13" s="58">
        <f t="shared" si="5"/>
        <v>1</v>
      </c>
    </row>
    <row r="14" spans="1:9" x14ac:dyDescent="0.15">
      <c r="A14" s="23">
        <v>13</v>
      </c>
      <c r="B14" s="56">
        <f t="shared" si="2"/>
        <v>20</v>
      </c>
      <c r="C14" s="56">
        <f t="shared" si="3"/>
        <v>77</v>
      </c>
      <c r="D14" s="26">
        <v>1091</v>
      </c>
      <c r="E14" s="56">
        <f t="shared" si="6"/>
        <v>39</v>
      </c>
      <c r="F14" s="65">
        <f t="shared" si="0"/>
        <v>13</v>
      </c>
      <c r="G14" s="61">
        <f t="shared" si="4"/>
        <v>1</v>
      </c>
      <c r="H14" s="58">
        <f t="shared" si="1"/>
        <v>0</v>
      </c>
      <c r="I14" s="58">
        <f t="shared" si="5"/>
        <v>0</v>
      </c>
    </row>
    <row r="15" spans="1:9" x14ac:dyDescent="0.15">
      <c r="A15" s="23">
        <v>14</v>
      </c>
      <c r="B15" s="56">
        <f t="shared" si="2"/>
        <v>20</v>
      </c>
      <c r="C15" s="56">
        <f t="shared" si="3"/>
        <v>78</v>
      </c>
      <c r="D15" s="26">
        <v>1244</v>
      </c>
      <c r="E15" s="56">
        <f t="shared" si="6"/>
        <v>40</v>
      </c>
      <c r="F15" s="65">
        <f t="shared" si="0"/>
        <v>14</v>
      </c>
      <c r="G15" s="61">
        <f t="shared" si="4"/>
        <v>0</v>
      </c>
      <c r="H15" s="58">
        <f t="shared" si="1"/>
        <v>1</v>
      </c>
      <c r="I15" s="58">
        <f t="shared" si="5"/>
        <v>1</v>
      </c>
    </row>
    <row r="16" spans="1:9" x14ac:dyDescent="0.15">
      <c r="A16" s="23">
        <v>15</v>
      </c>
      <c r="B16" s="56">
        <f t="shared" si="2"/>
        <v>25</v>
      </c>
      <c r="C16" s="56">
        <f t="shared" si="3"/>
        <v>83</v>
      </c>
      <c r="D16" s="26">
        <v>1405</v>
      </c>
      <c r="E16" s="56">
        <f t="shared" si="6"/>
        <v>43</v>
      </c>
      <c r="F16" s="65">
        <f t="shared" si="0"/>
        <v>15</v>
      </c>
      <c r="G16" s="57">
        <f t="shared" si="4"/>
        <v>5</v>
      </c>
      <c r="H16" s="58">
        <f t="shared" si="1"/>
        <v>5</v>
      </c>
      <c r="I16" s="58">
        <f t="shared" si="5"/>
        <v>3</v>
      </c>
    </row>
    <row r="17" spans="1:9" x14ac:dyDescent="0.15">
      <c r="A17" s="23">
        <v>16</v>
      </c>
      <c r="B17" s="56">
        <f t="shared" si="2"/>
        <v>25</v>
      </c>
      <c r="C17" s="56">
        <f t="shared" si="3"/>
        <v>85</v>
      </c>
      <c r="D17" s="26">
        <v>1575</v>
      </c>
      <c r="E17" s="56">
        <f t="shared" si="6"/>
        <v>44</v>
      </c>
      <c r="F17" s="65">
        <f t="shared" si="0"/>
        <v>16</v>
      </c>
      <c r="G17" s="61">
        <f t="shared" si="4"/>
        <v>0</v>
      </c>
      <c r="H17" s="58">
        <f t="shared" si="1"/>
        <v>2</v>
      </c>
      <c r="I17" s="58">
        <f t="shared" si="5"/>
        <v>1</v>
      </c>
    </row>
    <row r="18" spans="1:9" x14ac:dyDescent="0.15">
      <c r="A18" s="23">
        <v>17</v>
      </c>
      <c r="B18" s="56">
        <f t="shared" si="2"/>
        <v>26</v>
      </c>
      <c r="C18" s="56">
        <f t="shared" si="3"/>
        <v>85</v>
      </c>
      <c r="D18" s="26">
        <v>1754</v>
      </c>
      <c r="E18" s="56">
        <f t="shared" si="6"/>
        <v>44</v>
      </c>
      <c r="F18" s="65">
        <f t="shared" si="0"/>
        <v>17</v>
      </c>
      <c r="G18" s="61">
        <f t="shared" si="4"/>
        <v>1</v>
      </c>
      <c r="H18" s="58">
        <f t="shared" si="1"/>
        <v>0</v>
      </c>
      <c r="I18" s="58">
        <f t="shared" si="5"/>
        <v>0</v>
      </c>
    </row>
    <row r="19" spans="1:9" x14ac:dyDescent="0.15">
      <c r="A19" s="23">
        <v>18</v>
      </c>
      <c r="B19" s="56">
        <f t="shared" si="2"/>
        <v>26</v>
      </c>
      <c r="C19" s="56">
        <f t="shared" si="3"/>
        <v>86</v>
      </c>
      <c r="D19" s="26">
        <v>1941</v>
      </c>
      <c r="E19" s="56">
        <f t="shared" si="6"/>
        <v>45</v>
      </c>
      <c r="F19" s="65">
        <f t="shared" si="0"/>
        <v>18</v>
      </c>
      <c r="G19" s="61">
        <f t="shared" si="4"/>
        <v>0</v>
      </c>
      <c r="H19" s="58">
        <f t="shared" si="1"/>
        <v>1</v>
      </c>
      <c r="I19" s="58">
        <f t="shared" si="5"/>
        <v>1</v>
      </c>
    </row>
    <row r="20" spans="1:9" x14ac:dyDescent="0.15">
      <c r="A20" s="23">
        <v>19</v>
      </c>
      <c r="B20" s="56">
        <f t="shared" si="2"/>
        <v>27</v>
      </c>
      <c r="C20" s="56">
        <f t="shared" si="3"/>
        <v>86</v>
      </c>
      <c r="D20" s="26">
        <v>2136</v>
      </c>
      <c r="E20" s="56">
        <f t="shared" si="6"/>
        <v>45</v>
      </c>
      <c r="F20" s="65">
        <f t="shared" si="0"/>
        <v>19</v>
      </c>
      <c r="G20" s="61">
        <f t="shared" si="4"/>
        <v>1</v>
      </c>
      <c r="H20" s="58">
        <f t="shared" si="1"/>
        <v>0</v>
      </c>
      <c r="I20" s="58">
        <f t="shared" si="5"/>
        <v>0</v>
      </c>
    </row>
    <row r="21" spans="1:9" x14ac:dyDescent="0.15">
      <c r="A21" s="23">
        <v>20</v>
      </c>
      <c r="B21" s="56">
        <f t="shared" si="2"/>
        <v>27</v>
      </c>
      <c r="C21" s="56">
        <f t="shared" si="3"/>
        <v>91</v>
      </c>
      <c r="D21" s="26">
        <v>2340</v>
      </c>
      <c r="E21" s="56">
        <f t="shared" si="6"/>
        <v>48</v>
      </c>
      <c r="F21" s="65">
        <f t="shared" si="0"/>
        <v>20</v>
      </c>
      <c r="G21" s="61">
        <f t="shared" si="4"/>
        <v>0</v>
      </c>
      <c r="H21" s="58">
        <f t="shared" si="1"/>
        <v>5</v>
      </c>
      <c r="I21" s="58">
        <f t="shared" si="5"/>
        <v>3</v>
      </c>
    </row>
    <row r="22" spans="1:9" x14ac:dyDescent="0.15">
      <c r="A22" s="23">
        <v>21</v>
      </c>
      <c r="B22" s="56">
        <f t="shared" si="2"/>
        <v>28</v>
      </c>
      <c r="C22" s="56">
        <f t="shared" si="3"/>
        <v>91</v>
      </c>
      <c r="D22" s="27">
        <v>2551</v>
      </c>
      <c r="E22" s="56">
        <f t="shared" si="6"/>
        <v>48</v>
      </c>
      <c r="F22" s="65">
        <f t="shared" si="0"/>
        <v>21</v>
      </c>
      <c r="G22" s="61">
        <f t="shared" si="4"/>
        <v>1</v>
      </c>
      <c r="H22" s="58">
        <f t="shared" si="1"/>
        <v>0</v>
      </c>
      <c r="I22" s="58">
        <f t="shared" si="5"/>
        <v>0</v>
      </c>
    </row>
    <row r="23" spans="1:9" x14ac:dyDescent="0.15">
      <c r="A23" s="23">
        <v>22</v>
      </c>
      <c r="B23" s="56">
        <f t="shared" si="2"/>
        <v>28</v>
      </c>
      <c r="C23" s="56">
        <f t="shared" si="3"/>
        <v>92</v>
      </c>
      <c r="D23" s="27">
        <v>2771</v>
      </c>
      <c r="E23" s="56">
        <f t="shared" si="6"/>
        <v>49</v>
      </c>
      <c r="F23" s="65">
        <f t="shared" si="0"/>
        <v>22</v>
      </c>
      <c r="G23" s="61">
        <f t="shared" si="4"/>
        <v>0</v>
      </c>
      <c r="H23" s="58">
        <f t="shared" si="1"/>
        <v>1</v>
      </c>
      <c r="I23" s="58">
        <f t="shared" si="5"/>
        <v>1</v>
      </c>
    </row>
    <row r="24" spans="1:9" x14ac:dyDescent="0.15">
      <c r="A24" s="23">
        <v>23</v>
      </c>
      <c r="B24" s="56">
        <f t="shared" si="2"/>
        <v>29</v>
      </c>
      <c r="C24" s="56">
        <f t="shared" si="3"/>
        <v>92</v>
      </c>
      <c r="D24" s="27">
        <v>2998</v>
      </c>
      <c r="E24" s="56">
        <f t="shared" si="6"/>
        <v>49</v>
      </c>
      <c r="F24" s="65">
        <f t="shared" si="0"/>
        <v>23</v>
      </c>
      <c r="G24" s="61">
        <f t="shared" si="4"/>
        <v>1</v>
      </c>
      <c r="H24" s="58">
        <f t="shared" si="1"/>
        <v>0</v>
      </c>
      <c r="I24" s="58">
        <f t="shared" si="5"/>
        <v>0</v>
      </c>
    </row>
    <row r="25" spans="1:9" x14ac:dyDescent="0.15">
      <c r="A25" s="23">
        <v>24</v>
      </c>
      <c r="B25" s="56">
        <f t="shared" si="2"/>
        <v>29</v>
      </c>
      <c r="C25" s="56">
        <f t="shared" si="3"/>
        <v>94</v>
      </c>
      <c r="D25" s="27">
        <v>3233</v>
      </c>
      <c r="E25" s="56">
        <f t="shared" si="6"/>
        <v>50</v>
      </c>
      <c r="F25" s="65">
        <f t="shared" si="0"/>
        <v>24</v>
      </c>
      <c r="G25" s="61">
        <f t="shared" si="4"/>
        <v>0</v>
      </c>
      <c r="H25" s="58">
        <f t="shared" si="1"/>
        <v>2</v>
      </c>
      <c r="I25" s="58">
        <f t="shared" si="5"/>
        <v>1</v>
      </c>
    </row>
    <row r="26" spans="1:9" x14ac:dyDescent="0.15">
      <c r="A26" s="23">
        <v>25</v>
      </c>
      <c r="B26" s="56">
        <f t="shared" si="2"/>
        <v>34</v>
      </c>
      <c r="C26" s="56">
        <f t="shared" si="3"/>
        <v>99</v>
      </c>
      <c r="D26" s="27">
        <v>3475</v>
      </c>
      <c r="E26" s="56">
        <f t="shared" si="6"/>
        <v>53</v>
      </c>
      <c r="F26" s="65">
        <f t="shared" si="0"/>
        <v>25</v>
      </c>
      <c r="G26" s="57">
        <f t="shared" si="4"/>
        <v>5</v>
      </c>
      <c r="H26" s="58">
        <f t="shared" si="1"/>
        <v>5</v>
      </c>
      <c r="I26" s="58">
        <f t="shared" si="5"/>
        <v>3</v>
      </c>
    </row>
    <row r="27" spans="1:9" x14ac:dyDescent="0.15">
      <c r="A27" s="23">
        <v>26</v>
      </c>
      <c r="B27" s="56">
        <f t="shared" si="2"/>
        <v>34</v>
      </c>
      <c r="C27" s="56">
        <f t="shared" si="3"/>
        <v>100</v>
      </c>
      <c r="D27" s="27">
        <v>3725</v>
      </c>
      <c r="E27" s="56">
        <f t="shared" si="6"/>
        <v>54</v>
      </c>
      <c r="F27" s="65">
        <f t="shared" si="0"/>
        <v>26</v>
      </c>
      <c r="G27" s="61">
        <f t="shared" si="4"/>
        <v>0</v>
      </c>
      <c r="H27" s="58">
        <f t="shared" si="1"/>
        <v>1</v>
      </c>
      <c r="I27" s="58">
        <f t="shared" si="5"/>
        <v>1</v>
      </c>
    </row>
    <row r="28" spans="1:9" x14ac:dyDescent="0.15">
      <c r="A28" s="23">
        <v>27</v>
      </c>
      <c r="B28" s="56">
        <f t="shared" si="2"/>
        <v>35</v>
      </c>
      <c r="C28" s="56">
        <f t="shared" si="3"/>
        <v>100</v>
      </c>
      <c r="D28" s="27">
        <v>3982</v>
      </c>
      <c r="E28" s="56">
        <f t="shared" si="6"/>
        <v>54</v>
      </c>
      <c r="F28" s="65">
        <f t="shared" si="0"/>
        <v>27</v>
      </c>
      <c r="G28" s="61">
        <f t="shared" si="4"/>
        <v>1</v>
      </c>
      <c r="H28" s="58">
        <f t="shared" si="1"/>
        <v>0</v>
      </c>
      <c r="I28" s="58">
        <f t="shared" si="5"/>
        <v>0</v>
      </c>
    </row>
    <row r="29" spans="1:9" x14ac:dyDescent="0.15">
      <c r="A29" s="23">
        <v>28</v>
      </c>
      <c r="B29" s="56">
        <f t="shared" si="2"/>
        <v>35</v>
      </c>
      <c r="C29" s="56">
        <f t="shared" si="3"/>
        <v>102</v>
      </c>
      <c r="D29" s="27">
        <v>4246</v>
      </c>
      <c r="E29" s="56">
        <f t="shared" si="6"/>
        <v>55</v>
      </c>
      <c r="F29" s="65">
        <f t="shared" si="0"/>
        <v>28</v>
      </c>
      <c r="G29" s="61">
        <f t="shared" si="4"/>
        <v>0</v>
      </c>
      <c r="H29" s="58">
        <f t="shared" si="1"/>
        <v>2</v>
      </c>
      <c r="I29" s="58">
        <f t="shared" si="5"/>
        <v>1</v>
      </c>
    </row>
    <row r="30" spans="1:9" x14ac:dyDescent="0.15">
      <c r="A30" s="23">
        <v>29</v>
      </c>
      <c r="B30" s="56">
        <f t="shared" si="2"/>
        <v>36</v>
      </c>
      <c r="C30" s="56">
        <f t="shared" si="3"/>
        <v>102</v>
      </c>
      <c r="D30" s="27">
        <v>4517</v>
      </c>
      <c r="E30" s="56">
        <f t="shared" si="6"/>
        <v>55</v>
      </c>
      <c r="F30" s="65">
        <f t="shared" si="0"/>
        <v>29</v>
      </c>
      <c r="G30" s="61">
        <f t="shared" si="4"/>
        <v>1</v>
      </c>
      <c r="H30" s="58">
        <f t="shared" si="1"/>
        <v>0</v>
      </c>
      <c r="I30" s="58">
        <f t="shared" si="5"/>
        <v>0</v>
      </c>
    </row>
    <row r="31" spans="1:9" x14ac:dyDescent="0.15">
      <c r="A31" s="23">
        <v>30</v>
      </c>
      <c r="B31" s="56">
        <f t="shared" si="2"/>
        <v>36</v>
      </c>
      <c r="C31" s="56">
        <f t="shared" si="3"/>
        <v>107</v>
      </c>
      <c r="D31" s="27">
        <v>4796</v>
      </c>
      <c r="E31" s="56">
        <f t="shared" si="6"/>
        <v>56</v>
      </c>
      <c r="F31" s="65">
        <f t="shared" si="0"/>
        <v>30</v>
      </c>
      <c r="G31" s="61">
        <f t="shared" si="4"/>
        <v>0</v>
      </c>
      <c r="H31" s="58">
        <f t="shared" si="1"/>
        <v>5</v>
      </c>
      <c r="I31" s="58">
        <f t="shared" si="5"/>
        <v>1</v>
      </c>
    </row>
    <row r="32" spans="1:9" x14ac:dyDescent="0.15">
      <c r="A32" s="23">
        <v>31</v>
      </c>
      <c r="B32" s="56">
        <f t="shared" si="2"/>
        <v>37</v>
      </c>
      <c r="C32" s="56">
        <f t="shared" si="3"/>
        <v>107</v>
      </c>
      <c r="D32" s="27">
        <v>5081</v>
      </c>
      <c r="E32" s="56">
        <f t="shared" si="6"/>
        <v>56</v>
      </c>
      <c r="F32" s="65">
        <f t="shared" si="0"/>
        <v>31</v>
      </c>
      <c r="G32" s="61">
        <f t="shared" si="4"/>
        <v>1</v>
      </c>
      <c r="H32" s="58">
        <f t="shared" si="1"/>
        <v>0</v>
      </c>
      <c r="I32" s="58">
        <f t="shared" si="5"/>
        <v>0</v>
      </c>
    </row>
    <row r="33" spans="1:16" x14ac:dyDescent="0.15">
      <c r="A33" s="23">
        <v>32</v>
      </c>
      <c r="B33" s="56">
        <f t="shared" si="2"/>
        <v>37</v>
      </c>
      <c r="C33" s="56">
        <f t="shared" si="3"/>
        <v>108</v>
      </c>
      <c r="D33" s="27">
        <v>5373</v>
      </c>
      <c r="E33" s="56">
        <f t="shared" si="6"/>
        <v>56</v>
      </c>
      <c r="F33" s="65">
        <f t="shared" si="0"/>
        <v>32</v>
      </c>
      <c r="G33" s="61">
        <f t="shared" si="4"/>
        <v>0</v>
      </c>
      <c r="H33" s="58">
        <f t="shared" si="1"/>
        <v>1</v>
      </c>
      <c r="I33" s="58">
        <f t="shared" si="5"/>
        <v>0</v>
      </c>
    </row>
    <row r="34" spans="1:16" x14ac:dyDescent="0.15">
      <c r="A34" s="23">
        <v>33</v>
      </c>
      <c r="B34" s="56">
        <f t="shared" si="2"/>
        <v>38</v>
      </c>
      <c r="C34" s="56">
        <f t="shared" si="3"/>
        <v>108</v>
      </c>
      <c r="D34" s="27">
        <v>5671</v>
      </c>
      <c r="E34" s="56">
        <f t="shared" si="6"/>
        <v>56</v>
      </c>
      <c r="F34" s="65">
        <f t="shared" si="0"/>
        <v>33</v>
      </c>
      <c r="G34" s="61">
        <f t="shared" si="4"/>
        <v>1</v>
      </c>
      <c r="H34" s="58">
        <f t="shared" si="1"/>
        <v>0</v>
      </c>
      <c r="I34" s="58">
        <f t="shared" si="5"/>
        <v>0</v>
      </c>
    </row>
    <row r="35" spans="1:16" x14ac:dyDescent="0.15">
      <c r="A35" s="23">
        <v>34</v>
      </c>
      <c r="B35" s="56">
        <f t="shared" si="2"/>
        <v>38</v>
      </c>
      <c r="C35" s="56">
        <f t="shared" si="3"/>
        <v>109</v>
      </c>
      <c r="D35" s="27">
        <v>5976</v>
      </c>
      <c r="E35" s="56">
        <f t="shared" si="6"/>
        <v>56</v>
      </c>
      <c r="F35" s="65">
        <f t="shared" si="0"/>
        <v>34</v>
      </c>
      <c r="G35" s="61">
        <f t="shared" si="4"/>
        <v>0</v>
      </c>
      <c r="H35" s="58">
        <f t="shared" si="1"/>
        <v>1</v>
      </c>
      <c r="I35" s="58">
        <f t="shared" si="5"/>
        <v>0</v>
      </c>
    </row>
    <row r="36" spans="1:16" x14ac:dyDescent="0.15">
      <c r="A36" s="23">
        <v>35</v>
      </c>
      <c r="B36" s="56">
        <f t="shared" si="2"/>
        <v>43</v>
      </c>
      <c r="C36" s="56">
        <f t="shared" si="3"/>
        <v>111</v>
      </c>
      <c r="D36" s="27">
        <v>6288</v>
      </c>
      <c r="E36" s="56">
        <f t="shared" si="6"/>
        <v>57</v>
      </c>
      <c r="F36" s="65">
        <f t="shared" si="0"/>
        <v>35</v>
      </c>
      <c r="G36" s="57">
        <f t="shared" si="4"/>
        <v>5</v>
      </c>
      <c r="H36" s="58">
        <f t="shared" si="1"/>
        <v>2</v>
      </c>
      <c r="I36" s="58">
        <f t="shared" si="5"/>
        <v>1</v>
      </c>
      <c r="L36" s="68" t="s">
        <v>236</v>
      </c>
      <c r="M36" s="68" t="s">
        <v>237</v>
      </c>
      <c r="N36" s="68"/>
      <c r="O36" s="68" t="s">
        <v>238</v>
      </c>
      <c r="P36" s="68" t="s">
        <v>239</v>
      </c>
    </row>
    <row r="37" spans="1:16" x14ac:dyDescent="0.15">
      <c r="A37" s="23">
        <v>36</v>
      </c>
      <c r="B37" s="56">
        <f t="shared" si="2"/>
        <v>43</v>
      </c>
      <c r="C37" s="56">
        <f t="shared" si="3"/>
        <v>112</v>
      </c>
      <c r="D37" s="27">
        <v>6606</v>
      </c>
      <c r="E37" s="56">
        <f t="shared" si="6"/>
        <v>57</v>
      </c>
      <c r="F37" s="65">
        <f t="shared" si="0"/>
        <v>36</v>
      </c>
      <c r="G37" s="61">
        <f t="shared" si="4"/>
        <v>0</v>
      </c>
      <c r="H37" s="58">
        <f t="shared" si="1"/>
        <v>1</v>
      </c>
      <c r="I37" s="58">
        <f t="shared" si="5"/>
        <v>0</v>
      </c>
      <c r="L37">
        <v>1</v>
      </c>
      <c r="M37">
        <v>2</v>
      </c>
      <c r="N37">
        <v>3</v>
      </c>
      <c r="O37">
        <v>4</v>
      </c>
      <c r="P37">
        <v>5</v>
      </c>
    </row>
    <row r="38" spans="1:16" x14ac:dyDescent="0.15">
      <c r="A38" s="23">
        <v>37</v>
      </c>
      <c r="B38" s="56">
        <f t="shared" si="2"/>
        <v>44</v>
      </c>
      <c r="C38" s="56">
        <f t="shared" si="3"/>
        <v>112</v>
      </c>
      <c r="D38" s="27">
        <v>6930</v>
      </c>
      <c r="E38" s="56">
        <f t="shared" si="6"/>
        <v>57</v>
      </c>
      <c r="F38" s="65">
        <f t="shared" si="0"/>
        <v>37</v>
      </c>
      <c r="G38" s="61">
        <f t="shared" si="4"/>
        <v>1</v>
      </c>
      <c r="H38" s="58">
        <f t="shared" si="1"/>
        <v>0</v>
      </c>
      <c r="I38" s="58">
        <f t="shared" si="5"/>
        <v>0</v>
      </c>
      <c r="J38" s="67" t="s">
        <v>233</v>
      </c>
      <c r="K38">
        <v>91</v>
      </c>
      <c r="L38">
        <v>0</v>
      </c>
      <c r="O38">
        <v>1</v>
      </c>
    </row>
    <row r="39" spans="1:16" x14ac:dyDescent="0.15">
      <c r="A39" s="23">
        <v>38</v>
      </c>
      <c r="B39" s="56">
        <f t="shared" si="2"/>
        <v>44</v>
      </c>
      <c r="C39" s="56">
        <f t="shared" si="3"/>
        <v>113</v>
      </c>
      <c r="D39" s="27">
        <v>7260</v>
      </c>
      <c r="E39" s="56">
        <f t="shared" si="6"/>
        <v>57</v>
      </c>
      <c r="F39" s="65">
        <f t="shared" si="0"/>
        <v>38</v>
      </c>
      <c r="G39" s="61">
        <f t="shared" si="4"/>
        <v>0</v>
      </c>
      <c r="H39" s="58">
        <f t="shared" si="1"/>
        <v>1</v>
      </c>
      <c r="I39" s="58">
        <f t="shared" si="5"/>
        <v>0</v>
      </c>
      <c r="J39" s="67" t="s">
        <v>234</v>
      </c>
      <c r="K39">
        <v>30</v>
      </c>
      <c r="L39">
        <v>0</v>
      </c>
      <c r="M39">
        <v>1</v>
      </c>
      <c r="O39">
        <v>1</v>
      </c>
      <c r="P39">
        <v>2</v>
      </c>
    </row>
    <row r="40" spans="1:16" x14ac:dyDescent="0.15">
      <c r="A40" s="23">
        <v>39</v>
      </c>
      <c r="B40" s="56">
        <f t="shared" si="2"/>
        <v>45</v>
      </c>
      <c r="C40" s="56">
        <f t="shared" si="3"/>
        <v>113</v>
      </c>
      <c r="D40" s="27">
        <v>7596</v>
      </c>
      <c r="E40" s="56">
        <f t="shared" si="6"/>
        <v>57</v>
      </c>
      <c r="F40" s="65">
        <f t="shared" si="0"/>
        <v>39</v>
      </c>
      <c r="G40" s="61">
        <f t="shared" si="4"/>
        <v>1</v>
      </c>
      <c r="H40" s="58">
        <f t="shared" si="1"/>
        <v>0</v>
      </c>
      <c r="I40" s="58">
        <f t="shared" si="5"/>
        <v>0</v>
      </c>
      <c r="J40" s="67" t="s">
        <v>235</v>
      </c>
      <c r="L40">
        <v>0</v>
      </c>
      <c r="M40">
        <v>1</v>
      </c>
      <c r="O40">
        <v>2</v>
      </c>
      <c r="P40">
        <v>5</v>
      </c>
    </row>
    <row r="41" spans="1:16" x14ac:dyDescent="0.15">
      <c r="A41" s="23">
        <v>40</v>
      </c>
      <c r="B41" s="56">
        <f t="shared" si="2"/>
        <v>45</v>
      </c>
      <c r="C41" s="56">
        <f t="shared" si="3"/>
        <v>115</v>
      </c>
      <c r="D41" s="27">
        <v>7938</v>
      </c>
      <c r="E41" s="56">
        <f t="shared" si="6"/>
        <v>58</v>
      </c>
      <c r="F41" s="65">
        <f t="shared" si="0"/>
        <v>40</v>
      </c>
      <c r="G41" s="61">
        <f t="shared" si="4"/>
        <v>0</v>
      </c>
      <c r="H41" s="58">
        <f t="shared" si="1"/>
        <v>2</v>
      </c>
      <c r="I41" s="58">
        <f t="shared" si="5"/>
        <v>1</v>
      </c>
    </row>
    <row r="42" spans="1:16" x14ac:dyDescent="0.15">
      <c r="A42" s="23">
        <v>41</v>
      </c>
      <c r="B42" s="56">
        <f t="shared" si="2"/>
        <v>46</v>
      </c>
      <c r="C42" s="56">
        <f t="shared" si="3"/>
        <v>115</v>
      </c>
      <c r="D42" s="27">
        <v>8287</v>
      </c>
      <c r="E42" s="56">
        <f t="shared" si="6"/>
        <v>58</v>
      </c>
      <c r="F42" s="65">
        <f t="shared" si="0"/>
        <v>41</v>
      </c>
      <c r="G42" s="61">
        <f t="shared" si="4"/>
        <v>1</v>
      </c>
      <c r="H42" s="58">
        <f t="shared" si="1"/>
        <v>0</v>
      </c>
      <c r="I42" s="58">
        <f t="shared" si="5"/>
        <v>0</v>
      </c>
      <c r="J42" s="68" t="s">
        <v>231</v>
      </c>
      <c r="K42" s="68" t="s">
        <v>232</v>
      </c>
      <c r="L42" s="68" t="s">
        <v>240</v>
      </c>
      <c r="M42" s="68" t="s">
        <v>241</v>
      </c>
      <c r="N42" s="68" t="s">
        <v>242</v>
      </c>
    </row>
    <row r="43" spans="1:16" x14ac:dyDescent="0.15">
      <c r="A43" s="23">
        <v>42</v>
      </c>
      <c r="B43" s="56">
        <f t="shared" si="2"/>
        <v>46</v>
      </c>
      <c r="C43" s="56">
        <f t="shared" si="3"/>
        <v>116</v>
      </c>
      <c r="D43" s="27">
        <v>8640</v>
      </c>
      <c r="E43" s="56">
        <f t="shared" si="6"/>
        <v>58</v>
      </c>
      <c r="F43" s="65">
        <f t="shared" si="0"/>
        <v>42</v>
      </c>
      <c r="G43" s="61">
        <f t="shared" si="4"/>
        <v>0</v>
      </c>
      <c r="H43" s="58">
        <f t="shared" si="1"/>
        <v>1</v>
      </c>
      <c r="I43" s="58">
        <f t="shared" si="5"/>
        <v>0</v>
      </c>
      <c r="J43">
        <v>105</v>
      </c>
      <c r="K43">
        <f>IFERROR(VLOOKUP(J43,$C$2:$F$401,4,FALSE),VLOOKUP(J43,$C$2:$F$401,4,TRUE)+1)</f>
        <v>30</v>
      </c>
      <c r="L43" s="69" t="s">
        <v>229</v>
      </c>
      <c r="M43" s="69" t="s">
        <v>229</v>
      </c>
      <c r="N43" s="69" t="s">
        <v>229</v>
      </c>
    </row>
    <row r="44" spans="1:16" x14ac:dyDescent="0.15">
      <c r="A44" s="23">
        <v>43</v>
      </c>
      <c r="B44" s="56">
        <f t="shared" si="2"/>
        <v>47</v>
      </c>
      <c r="C44" s="56">
        <f t="shared" si="3"/>
        <v>116</v>
      </c>
      <c r="D44" s="27">
        <v>9000</v>
      </c>
      <c r="E44" s="56">
        <f t="shared" si="6"/>
        <v>58</v>
      </c>
      <c r="F44" s="65">
        <f t="shared" si="0"/>
        <v>43</v>
      </c>
      <c r="G44" s="61">
        <f t="shared" si="4"/>
        <v>1</v>
      </c>
      <c r="H44" s="58">
        <f t="shared" si="1"/>
        <v>0</v>
      </c>
      <c r="I44" s="58">
        <f t="shared" si="5"/>
        <v>0</v>
      </c>
      <c r="J44">
        <v>110</v>
      </c>
      <c r="K44">
        <f t="shared" ref="K44:K48" si="7">IFERROR(VLOOKUP(J44,$C$2:$F$401,4,FALSE),VLOOKUP(J44,$C$2:$F$401,4,TRUE)+1)</f>
        <v>35</v>
      </c>
      <c r="L44" s="69" t="s">
        <v>230</v>
      </c>
      <c r="M44" s="69" t="s">
        <v>229</v>
      </c>
      <c r="N44" s="69" t="s">
        <v>229</v>
      </c>
    </row>
    <row r="45" spans="1:16" x14ac:dyDescent="0.15">
      <c r="A45" s="23">
        <v>44</v>
      </c>
      <c r="B45" s="56">
        <f t="shared" si="2"/>
        <v>47</v>
      </c>
      <c r="C45" s="56">
        <f t="shared" si="3"/>
        <v>117</v>
      </c>
      <c r="D45" s="27">
        <v>9365</v>
      </c>
      <c r="E45" s="56">
        <f t="shared" si="6"/>
        <v>58</v>
      </c>
      <c r="F45" s="65">
        <f t="shared" si="0"/>
        <v>44</v>
      </c>
      <c r="G45" s="61">
        <f t="shared" si="4"/>
        <v>0</v>
      </c>
      <c r="H45" s="58">
        <f t="shared" si="1"/>
        <v>1</v>
      </c>
      <c r="I45" s="58">
        <f t="shared" si="5"/>
        <v>0</v>
      </c>
      <c r="J45">
        <v>125</v>
      </c>
      <c r="K45">
        <f t="shared" si="7"/>
        <v>54</v>
      </c>
      <c r="L45" s="69" t="s">
        <v>227</v>
      </c>
      <c r="M45" s="69" t="s">
        <v>229</v>
      </c>
      <c r="N45" s="69" t="s">
        <v>229</v>
      </c>
    </row>
    <row r="46" spans="1:16" x14ac:dyDescent="0.15">
      <c r="A46" s="23">
        <v>45</v>
      </c>
      <c r="B46" s="56">
        <f t="shared" si="2"/>
        <v>52</v>
      </c>
      <c r="C46" s="56">
        <f t="shared" si="3"/>
        <v>119</v>
      </c>
      <c r="D46" s="27">
        <v>9736</v>
      </c>
      <c r="E46" s="56">
        <f t="shared" si="6"/>
        <v>59</v>
      </c>
      <c r="F46" s="65">
        <f t="shared" si="0"/>
        <v>45</v>
      </c>
      <c r="G46" s="57">
        <f t="shared" si="4"/>
        <v>5</v>
      </c>
      <c r="H46" s="58">
        <f t="shared" si="1"/>
        <v>2</v>
      </c>
      <c r="I46" s="58">
        <f t="shared" si="5"/>
        <v>1</v>
      </c>
      <c r="J46">
        <v>140</v>
      </c>
      <c r="K46">
        <f t="shared" si="7"/>
        <v>72</v>
      </c>
      <c r="L46" s="69" t="s">
        <v>227</v>
      </c>
      <c r="M46" s="69" t="s">
        <v>228</v>
      </c>
      <c r="N46" s="69" t="s">
        <v>229</v>
      </c>
    </row>
    <row r="47" spans="1:16" x14ac:dyDescent="0.15">
      <c r="A47" s="23">
        <v>46</v>
      </c>
      <c r="B47" s="56">
        <f t="shared" si="2"/>
        <v>52</v>
      </c>
      <c r="C47" s="56">
        <f t="shared" si="3"/>
        <v>120</v>
      </c>
      <c r="D47" s="27">
        <v>10112</v>
      </c>
      <c r="E47" s="56">
        <f t="shared" si="6"/>
        <v>59</v>
      </c>
      <c r="F47" s="65">
        <f t="shared" si="0"/>
        <v>46</v>
      </c>
      <c r="G47" s="61">
        <f t="shared" si="4"/>
        <v>0</v>
      </c>
      <c r="H47" s="58">
        <f t="shared" si="1"/>
        <v>1</v>
      </c>
      <c r="I47" s="58">
        <f t="shared" si="5"/>
        <v>0</v>
      </c>
      <c r="J47">
        <v>155</v>
      </c>
      <c r="K47">
        <f t="shared" si="7"/>
        <v>90</v>
      </c>
      <c r="L47" s="69" t="s">
        <v>227</v>
      </c>
      <c r="M47" s="69" t="s">
        <v>228</v>
      </c>
      <c r="N47" s="69" t="s">
        <v>228</v>
      </c>
    </row>
    <row r="48" spans="1:16" x14ac:dyDescent="0.15">
      <c r="A48" s="23">
        <v>47</v>
      </c>
      <c r="B48" s="56">
        <f t="shared" si="2"/>
        <v>53</v>
      </c>
      <c r="C48" s="56">
        <f t="shared" si="3"/>
        <v>120</v>
      </c>
      <c r="D48" s="27">
        <v>10494</v>
      </c>
      <c r="E48" s="56">
        <f t="shared" si="6"/>
        <v>59</v>
      </c>
      <c r="F48" s="65">
        <f t="shared" si="0"/>
        <v>47</v>
      </c>
      <c r="G48" s="61">
        <f t="shared" si="4"/>
        <v>1</v>
      </c>
      <c r="H48" s="58">
        <f t="shared" si="1"/>
        <v>0</v>
      </c>
      <c r="I48" s="58">
        <f t="shared" si="5"/>
        <v>0</v>
      </c>
      <c r="J48">
        <v>165</v>
      </c>
      <c r="K48">
        <f t="shared" si="7"/>
        <v>128</v>
      </c>
      <c r="L48" s="69" t="s">
        <v>227</v>
      </c>
      <c r="M48" s="69" t="s">
        <v>227</v>
      </c>
      <c r="N48" s="69" t="s">
        <v>227</v>
      </c>
    </row>
    <row r="49" spans="1:9" x14ac:dyDescent="0.15">
      <c r="A49" s="23">
        <v>48</v>
      </c>
      <c r="B49" s="56">
        <f t="shared" si="2"/>
        <v>53</v>
      </c>
      <c r="C49" s="56">
        <f t="shared" si="3"/>
        <v>121</v>
      </c>
      <c r="D49" s="27">
        <v>10881</v>
      </c>
      <c r="E49" s="56">
        <f t="shared" si="6"/>
        <v>59</v>
      </c>
      <c r="F49" s="65">
        <f t="shared" si="0"/>
        <v>48</v>
      </c>
      <c r="G49" s="61">
        <f t="shared" si="4"/>
        <v>0</v>
      </c>
      <c r="H49" s="58">
        <f t="shared" si="1"/>
        <v>1</v>
      </c>
      <c r="I49" s="58">
        <f t="shared" si="5"/>
        <v>0</v>
      </c>
    </row>
    <row r="50" spans="1:9" x14ac:dyDescent="0.15">
      <c r="A50" s="23">
        <v>49</v>
      </c>
      <c r="B50" s="56">
        <f t="shared" si="2"/>
        <v>54</v>
      </c>
      <c r="C50" s="56">
        <f t="shared" si="3"/>
        <v>121</v>
      </c>
      <c r="D50" s="27">
        <v>11273</v>
      </c>
      <c r="E50" s="56">
        <f t="shared" si="6"/>
        <v>59</v>
      </c>
      <c r="F50" s="65">
        <f t="shared" si="0"/>
        <v>49</v>
      </c>
      <c r="G50" s="61">
        <f t="shared" si="4"/>
        <v>1</v>
      </c>
      <c r="H50" s="58">
        <f t="shared" si="1"/>
        <v>0</v>
      </c>
      <c r="I50" s="58">
        <f t="shared" si="5"/>
        <v>0</v>
      </c>
    </row>
    <row r="51" spans="1:9" x14ac:dyDescent="0.15">
      <c r="A51" s="23">
        <v>50</v>
      </c>
      <c r="B51" s="56">
        <f t="shared" si="2"/>
        <v>54</v>
      </c>
      <c r="C51" s="56">
        <f t="shared" si="3"/>
        <v>123</v>
      </c>
      <c r="D51" s="27">
        <v>11670</v>
      </c>
      <c r="E51" s="56">
        <f t="shared" si="6"/>
        <v>60</v>
      </c>
      <c r="F51" s="65">
        <f t="shared" si="0"/>
        <v>50</v>
      </c>
      <c r="G51" s="61">
        <f t="shared" si="4"/>
        <v>0</v>
      </c>
      <c r="H51" s="58">
        <f t="shared" si="1"/>
        <v>2</v>
      </c>
      <c r="I51" s="58">
        <f t="shared" si="5"/>
        <v>1</v>
      </c>
    </row>
    <row r="52" spans="1:9" x14ac:dyDescent="0.15">
      <c r="A52" s="23">
        <v>51</v>
      </c>
      <c r="B52" s="56">
        <f t="shared" si="2"/>
        <v>55</v>
      </c>
      <c r="C52" s="56">
        <f t="shared" si="3"/>
        <v>123</v>
      </c>
      <c r="D52" s="27">
        <v>12072</v>
      </c>
      <c r="E52" s="56">
        <f t="shared" si="6"/>
        <v>60</v>
      </c>
      <c r="F52" s="65">
        <f t="shared" si="0"/>
        <v>51</v>
      </c>
      <c r="G52" s="61">
        <f t="shared" si="4"/>
        <v>1</v>
      </c>
      <c r="H52" s="58">
        <f t="shared" si="1"/>
        <v>0</v>
      </c>
      <c r="I52" s="58">
        <f t="shared" si="5"/>
        <v>0</v>
      </c>
    </row>
    <row r="53" spans="1:9" x14ac:dyDescent="0.15">
      <c r="A53" s="23">
        <v>52</v>
      </c>
      <c r="B53" s="56">
        <f t="shared" si="2"/>
        <v>55</v>
      </c>
      <c r="C53" s="56">
        <f t="shared" si="3"/>
        <v>124</v>
      </c>
      <c r="D53" s="27">
        <v>12479</v>
      </c>
      <c r="E53" s="56">
        <f t="shared" si="6"/>
        <v>60</v>
      </c>
      <c r="F53" s="65">
        <f t="shared" si="0"/>
        <v>52</v>
      </c>
      <c r="G53" s="61">
        <f t="shared" si="4"/>
        <v>0</v>
      </c>
      <c r="H53" s="58">
        <f t="shared" si="1"/>
        <v>1</v>
      </c>
      <c r="I53" s="58">
        <f t="shared" si="5"/>
        <v>0</v>
      </c>
    </row>
    <row r="54" spans="1:9" x14ac:dyDescent="0.15">
      <c r="A54" s="23">
        <v>53</v>
      </c>
      <c r="B54" s="56">
        <f t="shared" si="2"/>
        <v>56</v>
      </c>
      <c r="C54" s="56">
        <f t="shared" si="3"/>
        <v>124</v>
      </c>
      <c r="D54" s="27">
        <v>12891</v>
      </c>
      <c r="E54" s="56">
        <f t="shared" si="6"/>
        <v>60</v>
      </c>
      <c r="F54" s="65">
        <f t="shared" si="0"/>
        <v>53</v>
      </c>
      <c r="G54" s="61">
        <f t="shared" si="4"/>
        <v>1</v>
      </c>
      <c r="H54" s="58">
        <f t="shared" si="1"/>
        <v>0</v>
      </c>
      <c r="I54" s="58">
        <f t="shared" si="5"/>
        <v>0</v>
      </c>
    </row>
    <row r="55" spans="1:9" x14ac:dyDescent="0.15">
      <c r="A55" s="23">
        <v>54</v>
      </c>
      <c r="B55" s="56">
        <f t="shared" si="2"/>
        <v>56</v>
      </c>
      <c r="C55" s="56">
        <f t="shared" si="3"/>
        <v>125</v>
      </c>
      <c r="D55" s="27">
        <v>13308</v>
      </c>
      <c r="E55" s="56">
        <f t="shared" si="6"/>
        <v>60</v>
      </c>
      <c r="F55" s="65">
        <f t="shared" si="0"/>
        <v>54</v>
      </c>
      <c r="G55" s="61">
        <f t="shared" si="4"/>
        <v>0</v>
      </c>
      <c r="H55" s="58">
        <f t="shared" si="1"/>
        <v>1</v>
      </c>
      <c r="I55" s="58">
        <f t="shared" si="5"/>
        <v>0</v>
      </c>
    </row>
    <row r="56" spans="1:9" x14ac:dyDescent="0.15">
      <c r="A56" s="23">
        <v>55</v>
      </c>
      <c r="B56" s="56">
        <f t="shared" si="2"/>
        <v>61</v>
      </c>
      <c r="C56" s="56">
        <f t="shared" si="3"/>
        <v>127</v>
      </c>
      <c r="D56" s="27">
        <v>13730</v>
      </c>
      <c r="E56" s="56">
        <f t="shared" si="6"/>
        <v>60</v>
      </c>
      <c r="F56" s="65">
        <f t="shared" si="0"/>
        <v>55</v>
      </c>
      <c r="G56" s="57">
        <f t="shared" si="4"/>
        <v>5</v>
      </c>
      <c r="H56" s="58">
        <f t="shared" si="1"/>
        <v>2</v>
      </c>
      <c r="I56" s="58">
        <f t="shared" si="5"/>
        <v>0</v>
      </c>
    </row>
    <row r="57" spans="1:9" x14ac:dyDescent="0.15">
      <c r="A57" s="23">
        <v>56</v>
      </c>
      <c r="B57" s="56">
        <f t="shared" si="2"/>
        <v>61</v>
      </c>
      <c r="C57" s="56">
        <f t="shared" si="3"/>
        <v>128</v>
      </c>
      <c r="D57" s="27">
        <v>14156</v>
      </c>
      <c r="E57" s="56">
        <f t="shared" si="6"/>
        <v>60</v>
      </c>
      <c r="F57" s="65">
        <f t="shared" si="0"/>
        <v>56</v>
      </c>
      <c r="G57" s="61">
        <f t="shared" si="4"/>
        <v>0</v>
      </c>
      <c r="H57" s="58">
        <f t="shared" si="1"/>
        <v>1</v>
      </c>
      <c r="I57" s="58">
        <f t="shared" si="5"/>
        <v>0</v>
      </c>
    </row>
    <row r="58" spans="1:9" x14ac:dyDescent="0.15">
      <c r="A58" s="23">
        <v>57</v>
      </c>
      <c r="B58" s="56">
        <f t="shared" si="2"/>
        <v>62</v>
      </c>
      <c r="C58" s="56">
        <f t="shared" si="3"/>
        <v>128</v>
      </c>
      <c r="D58" s="27">
        <v>14587</v>
      </c>
      <c r="E58" s="56">
        <f t="shared" si="6"/>
        <v>60</v>
      </c>
      <c r="F58" s="65">
        <f t="shared" si="0"/>
        <v>57</v>
      </c>
      <c r="G58" s="61">
        <f t="shared" si="4"/>
        <v>1</v>
      </c>
      <c r="H58" s="58">
        <f t="shared" si="1"/>
        <v>0</v>
      </c>
      <c r="I58" s="58">
        <f t="shared" si="5"/>
        <v>0</v>
      </c>
    </row>
    <row r="59" spans="1:9" x14ac:dyDescent="0.15">
      <c r="A59" s="23">
        <v>58</v>
      </c>
      <c r="B59" s="56">
        <f t="shared" si="2"/>
        <v>62</v>
      </c>
      <c r="C59" s="56">
        <f t="shared" si="3"/>
        <v>129</v>
      </c>
      <c r="D59" s="27">
        <v>15023</v>
      </c>
      <c r="E59" s="56">
        <f t="shared" si="6"/>
        <v>60</v>
      </c>
      <c r="F59" s="65">
        <f t="shared" si="0"/>
        <v>58</v>
      </c>
      <c r="G59" s="61">
        <f t="shared" si="4"/>
        <v>0</v>
      </c>
      <c r="H59" s="58">
        <f t="shared" si="1"/>
        <v>1</v>
      </c>
      <c r="I59" s="58">
        <f t="shared" si="5"/>
        <v>0</v>
      </c>
    </row>
    <row r="60" spans="1:9" x14ac:dyDescent="0.15">
      <c r="A60" s="23">
        <v>59</v>
      </c>
      <c r="B60" s="56">
        <f t="shared" si="2"/>
        <v>63</v>
      </c>
      <c r="C60" s="56">
        <f t="shared" si="3"/>
        <v>129</v>
      </c>
      <c r="D60" s="27">
        <v>15463</v>
      </c>
      <c r="E60" s="56">
        <f t="shared" si="6"/>
        <v>60</v>
      </c>
      <c r="F60" s="65">
        <f t="shared" si="0"/>
        <v>59</v>
      </c>
      <c r="G60" s="61">
        <f t="shared" si="4"/>
        <v>1</v>
      </c>
      <c r="H60" s="58">
        <f t="shared" si="1"/>
        <v>0</v>
      </c>
      <c r="I60" s="58">
        <f t="shared" si="5"/>
        <v>0</v>
      </c>
    </row>
    <row r="61" spans="1:9" x14ac:dyDescent="0.15">
      <c r="A61" s="23">
        <v>60</v>
      </c>
      <c r="B61" s="56">
        <f t="shared" si="2"/>
        <v>63</v>
      </c>
      <c r="C61" s="56">
        <f t="shared" si="3"/>
        <v>131</v>
      </c>
      <c r="D61" s="27">
        <v>15907</v>
      </c>
      <c r="E61" s="56">
        <f t="shared" si="6"/>
        <v>60</v>
      </c>
      <c r="F61" s="65">
        <f t="shared" si="0"/>
        <v>60</v>
      </c>
      <c r="G61" s="61">
        <f t="shared" si="4"/>
        <v>0</v>
      </c>
      <c r="H61" s="58">
        <f t="shared" si="1"/>
        <v>2</v>
      </c>
      <c r="I61" s="58">
        <f t="shared" si="5"/>
        <v>0</v>
      </c>
    </row>
    <row r="62" spans="1:9" x14ac:dyDescent="0.15">
      <c r="A62" s="23">
        <v>61</v>
      </c>
      <c r="B62" s="56">
        <f t="shared" si="2"/>
        <v>64</v>
      </c>
      <c r="C62" s="56">
        <f t="shared" si="3"/>
        <v>131</v>
      </c>
      <c r="D62" s="27">
        <v>16356</v>
      </c>
      <c r="E62" s="56">
        <f t="shared" si="6"/>
        <v>60</v>
      </c>
      <c r="F62" s="65">
        <f t="shared" si="0"/>
        <v>61</v>
      </c>
      <c r="G62" s="61">
        <f t="shared" si="4"/>
        <v>1</v>
      </c>
      <c r="H62" s="58">
        <f t="shared" si="1"/>
        <v>0</v>
      </c>
      <c r="I62" s="58">
        <f t="shared" si="5"/>
        <v>0</v>
      </c>
    </row>
    <row r="63" spans="1:9" x14ac:dyDescent="0.15">
      <c r="A63" s="23">
        <v>62</v>
      </c>
      <c r="B63" s="56">
        <f t="shared" si="2"/>
        <v>64</v>
      </c>
      <c r="C63" s="56">
        <f t="shared" si="3"/>
        <v>132</v>
      </c>
      <c r="D63" s="27">
        <v>16809</v>
      </c>
      <c r="E63" s="56">
        <f t="shared" si="6"/>
        <v>60</v>
      </c>
      <c r="F63" s="65">
        <f t="shared" si="0"/>
        <v>62</v>
      </c>
      <c r="G63" s="61">
        <f t="shared" si="4"/>
        <v>0</v>
      </c>
      <c r="H63" s="58">
        <f t="shared" si="1"/>
        <v>1</v>
      </c>
      <c r="I63" s="58">
        <f t="shared" si="5"/>
        <v>0</v>
      </c>
    </row>
    <row r="64" spans="1:9" x14ac:dyDescent="0.15">
      <c r="A64" s="23">
        <v>63</v>
      </c>
      <c r="B64" s="56">
        <f t="shared" si="2"/>
        <v>65</v>
      </c>
      <c r="C64" s="56">
        <f t="shared" si="3"/>
        <v>132</v>
      </c>
      <c r="D64" s="27">
        <v>17266</v>
      </c>
      <c r="E64" s="56">
        <f t="shared" si="6"/>
        <v>60</v>
      </c>
      <c r="F64" s="65">
        <f t="shared" si="0"/>
        <v>63</v>
      </c>
      <c r="G64" s="61">
        <f t="shared" si="4"/>
        <v>1</v>
      </c>
      <c r="H64" s="58">
        <f t="shared" si="1"/>
        <v>0</v>
      </c>
      <c r="I64" s="58">
        <f t="shared" si="5"/>
        <v>0</v>
      </c>
    </row>
    <row r="65" spans="1:9" x14ac:dyDescent="0.15">
      <c r="A65" s="23">
        <v>64</v>
      </c>
      <c r="B65" s="56">
        <f t="shared" si="2"/>
        <v>65</v>
      </c>
      <c r="C65" s="56">
        <f t="shared" si="3"/>
        <v>133</v>
      </c>
      <c r="D65" s="27">
        <v>17728</v>
      </c>
      <c r="E65" s="56">
        <f t="shared" si="6"/>
        <v>60</v>
      </c>
      <c r="F65" s="65">
        <f t="shared" si="0"/>
        <v>64</v>
      </c>
      <c r="G65" s="61">
        <f t="shared" si="4"/>
        <v>0</v>
      </c>
      <c r="H65" s="58">
        <f t="shared" si="1"/>
        <v>1</v>
      </c>
      <c r="I65" s="58">
        <f t="shared" si="5"/>
        <v>0</v>
      </c>
    </row>
    <row r="66" spans="1:9" x14ac:dyDescent="0.15">
      <c r="A66" s="23">
        <v>65</v>
      </c>
      <c r="B66" s="56">
        <f t="shared" si="2"/>
        <v>67</v>
      </c>
      <c r="C66" s="56">
        <f t="shared" si="3"/>
        <v>135</v>
      </c>
      <c r="D66" s="27">
        <v>18194</v>
      </c>
      <c r="E66" s="56">
        <f t="shared" si="6"/>
        <v>60</v>
      </c>
      <c r="F66" s="65">
        <f t="shared" ref="F66:F129" si="8">A66</f>
        <v>65</v>
      </c>
      <c r="G66" s="61">
        <f t="shared" si="4"/>
        <v>2</v>
      </c>
      <c r="H66" s="58">
        <f t="shared" ref="H66:H129" si="9">IF($A66&gt;=slow,IF(MOD($A66,upper)=0,slow_upper,0),IF($A66&gt;medium,IF(MOD($A66,bonus)=0,medium_bonus,IF(MOD($A66,upper)=0,medium_upper,IF(MOD($A66,up)=0,medium_up,0))),IF(MOD($A66,bonus)=0,fast_bonus,IF(MOD($A66,upper)=0,fast_upper,IF(MOD($A66,up)=0,fast_up,0)))))</f>
        <v>2</v>
      </c>
      <c r="I66" s="58">
        <f t="shared" si="5"/>
        <v>0</v>
      </c>
    </row>
    <row r="67" spans="1:9" x14ac:dyDescent="0.15">
      <c r="A67" s="23">
        <v>66</v>
      </c>
      <c r="B67" s="56">
        <f t="shared" ref="B67:B130" si="10">B66+G67</f>
        <v>67</v>
      </c>
      <c r="C67" s="56">
        <f t="shared" ref="C67:C130" si="11">C66+H67</f>
        <v>136</v>
      </c>
      <c r="D67" s="27">
        <v>18663</v>
      </c>
      <c r="E67" s="56">
        <f t="shared" si="6"/>
        <v>60</v>
      </c>
      <c r="F67" s="65">
        <f t="shared" si="8"/>
        <v>66</v>
      </c>
      <c r="G67" s="61">
        <f t="shared" ref="G67:G130" si="12">IF(A67&gt;=106, IF(MOD(A67,2)=0,0,1), IF(A67 &gt;= 65, IF(MOD(A67, 2) =0,0, IF(MOD(A67,5)= 0, 2, 1)), IF(MOD(A67, 2) =0,0, IF(MOD(A67,5)= 0, 5, 1))))</f>
        <v>0</v>
      </c>
      <c r="H67" s="58">
        <f t="shared" si="9"/>
        <v>1</v>
      </c>
      <c r="I67" s="58">
        <f t="shared" ref="I67:I130" si="13">IF($A67&gt;=51,0,IF($A67&gt;=30,IF(MOD($A67,5)=0,1,0),IF($A67&gt;=11,IF(MOD($A67,5)=0,3,IF(MOD($A67,2)=0,1,0)),IF(MOD($A67,5)=0,5,IF(MOD($A67,2)=0,2,0)))))</f>
        <v>0</v>
      </c>
    </row>
    <row r="68" spans="1:9" x14ac:dyDescent="0.15">
      <c r="A68" s="23">
        <v>67</v>
      </c>
      <c r="B68" s="56">
        <f t="shared" si="10"/>
        <v>68</v>
      </c>
      <c r="C68" s="56">
        <f t="shared" si="11"/>
        <v>136</v>
      </c>
      <c r="D68" s="27">
        <v>19137</v>
      </c>
      <c r="E68" s="56">
        <f t="shared" ref="E68:E131" si="14">E67+I68</f>
        <v>60</v>
      </c>
      <c r="F68" s="65">
        <f t="shared" si="8"/>
        <v>67</v>
      </c>
      <c r="G68" s="61">
        <f t="shared" si="12"/>
        <v>1</v>
      </c>
      <c r="H68" s="58">
        <f t="shared" si="9"/>
        <v>0</v>
      </c>
      <c r="I68" s="58">
        <f t="shared" si="13"/>
        <v>0</v>
      </c>
    </row>
    <row r="69" spans="1:9" x14ac:dyDescent="0.15">
      <c r="A69" s="23">
        <v>68</v>
      </c>
      <c r="B69" s="56">
        <f t="shared" si="10"/>
        <v>68</v>
      </c>
      <c r="C69" s="56">
        <f t="shared" si="11"/>
        <v>137</v>
      </c>
      <c r="D69" s="27">
        <v>19615</v>
      </c>
      <c r="E69" s="56">
        <f t="shared" si="14"/>
        <v>60</v>
      </c>
      <c r="F69" s="65">
        <f t="shared" si="8"/>
        <v>68</v>
      </c>
      <c r="G69" s="61">
        <f t="shared" si="12"/>
        <v>0</v>
      </c>
      <c r="H69" s="58">
        <f t="shared" si="9"/>
        <v>1</v>
      </c>
      <c r="I69" s="58">
        <f t="shared" si="13"/>
        <v>0</v>
      </c>
    </row>
    <row r="70" spans="1:9" x14ac:dyDescent="0.15">
      <c r="A70" s="23">
        <v>69</v>
      </c>
      <c r="B70" s="56">
        <f t="shared" si="10"/>
        <v>69</v>
      </c>
      <c r="C70" s="56">
        <f t="shared" si="11"/>
        <v>137</v>
      </c>
      <c r="D70" s="27">
        <v>20096</v>
      </c>
      <c r="E70" s="56">
        <f t="shared" si="14"/>
        <v>60</v>
      </c>
      <c r="F70" s="65">
        <f t="shared" si="8"/>
        <v>69</v>
      </c>
      <c r="G70" s="61">
        <f t="shared" si="12"/>
        <v>1</v>
      </c>
      <c r="H70" s="58">
        <f t="shared" si="9"/>
        <v>0</v>
      </c>
      <c r="I70" s="58">
        <f t="shared" si="13"/>
        <v>0</v>
      </c>
    </row>
    <row r="71" spans="1:9" x14ac:dyDescent="0.15">
      <c r="A71" s="23">
        <v>70</v>
      </c>
      <c r="B71" s="56">
        <f t="shared" si="10"/>
        <v>69</v>
      </c>
      <c r="C71" s="56">
        <f t="shared" si="11"/>
        <v>139</v>
      </c>
      <c r="D71" s="27">
        <v>20582</v>
      </c>
      <c r="E71" s="56">
        <f t="shared" si="14"/>
        <v>60</v>
      </c>
      <c r="F71" s="65">
        <f t="shared" si="8"/>
        <v>70</v>
      </c>
      <c r="G71" s="61">
        <f t="shared" si="12"/>
        <v>0</v>
      </c>
      <c r="H71" s="58">
        <f t="shared" si="9"/>
        <v>2</v>
      </c>
      <c r="I71" s="58">
        <f t="shared" si="13"/>
        <v>0</v>
      </c>
    </row>
    <row r="72" spans="1:9" x14ac:dyDescent="0.15">
      <c r="A72" s="23">
        <v>71</v>
      </c>
      <c r="B72" s="56">
        <f t="shared" si="10"/>
        <v>70</v>
      </c>
      <c r="C72" s="56">
        <f t="shared" si="11"/>
        <v>139</v>
      </c>
      <c r="D72" s="27">
        <v>21071</v>
      </c>
      <c r="E72" s="56">
        <f t="shared" si="14"/>
        <v>60</v>
      </c>
      <c r="F72" s="65">
        <f t="shared" si="8"/>
        <v>71</v>
      </c>
      <c r="G72" s="61">
        <f t="shared" si="12"/>
        <v>1</v>
      </c>
      <c r="H72" s="58">
        <f t="shared" si="9"/>
        <v>0</v>
      </c>
      <c r="I72" s="58">
        <f t="shared" si="13"/>
        <v>0</v>
      </c>
    </row>
    <row r="73" spans="1:9" x14ac:dyDescent="0.15">
      <c r="A73" s="23">
        <v>72</v>
      </c>
      <c r="B73" s="56">
        <f t="shared" si="10"/>
        <v>70</v>
      </c>
      <c r="C73" s="56">
        <f t="shared" si="11"/>
        <v>140</v>
      </c>
      <c r="D73" s="27">
        <v>21564</v>
      </c>
      <c r="E73" s="56">
        <f t="shared" si="14"/>
        <v>60</v>
      </c>
      <c r="F73" s="65">
        <f t="shared" si="8"/>
        <v>72</v>
      </c>
      <c r="G73" s="61">
        <f t="shared" si="12"/>
        <v>0</v>
      </c>
      <c r="H73" s="58">
        <f t="shared" si="9"/>
        <v>1</v>
      </c>
      <c r="I73" s="58">
        <f t="shared" si="13"/>
        <v>0</v>
      </c>
    </row>
    <row r="74" spans="1:9" x14ac:dyDescent="0.15">
      <c r="A74" s="23">
        <v>73</v>
      </c>
      <c r="B74" s="56">
        <f t="shared" si="10"/>
        <v>71</v>
      </c>
      <c r="C74" s="56">
        <f t="shared" si="11"/>
        <v>140</v>
      </c>
      <c r="D74" s="27">
        <v>22061</v>
      </c>
      <c r="E74" s="56">
        <f t="shared" si="14"/>
        <v>60</v>
      </c>
      <c r="F74" s="65">
        <f t="shared" si="8"/>
        <v>73</v>
      </c>
      <c r="G74" s="61">
        <f t="shared" si="12"/>
        <v>1</v>
      </c>
      <c r="H74" s="58">
        <f t="shared" si="9"/>
        <v>0</v>
      </c>
      <c r="I74" s="58">
        <f t="shared" si="13"/>
        <v>0</v>
      </c>
    </row>
    <row r="75" spans="1:9" x14ac:dyDescent="0.15">
      <c r="A75" s="23">
        <v>74</v>
      </c>
      <c r="B75" s="56">
        <f t="shared" si="10"/>
        <v>71</v>
      </c>
      <c r="C75" s="56">
        <f t="shared" si="11"/>
        <v>141</v>
      </c>
      <c r="D75" s="27">
        <v>22562</v>
      </c>
      <c r="E75" s="56">
        <f t="shared" si="14"/>
        <v>60</v>
      </c>
      <c r="F75" s="65">
        <f t="shared" si="8"/>
        <v>74</v>
      </c>
      <c r="G75" s="61">
        <f t="shared" si="12"/>
        <v>0</v>
      </c>
      <c r="H75" s="58">
        <f t="shared" si="9"/>
        <v>1</v>
      </c>
      <c r="I75" s="58">
        <f t="shared" si="13"/>
        <v>0</v>
      </c>
    </row>
    <row r="76" spans="1:9" x14ac:dyDescent="0.15">
      <c r="A76" s="23">
        <v>75</v>
      </c>
      <c r="B76" s="56">
        <f t="shared" si="10"/>
        <v>73</v>
      </c>
      <c r="C76" s="56">
        <f t="shared" si="11"/>
        <v>143</v>
      </c>
      <c r="D76" s="27">
        <v>23066</v>
      </c>
      <c r="E76" s="56">
        <f t="shared" si="14"/>
        <v>60</v>
      </c>
      <c r="F76" s="65">
        <f t="shared" si="8"/>
        <v>75</v>
      </c>
      <c r="G76" s="61">
        <f t="shared" si="12"/>
        <v>2</v>
      </c>
      <c r="H76" s="58">
        <f t="shared" si="9"/>
        <v>2</v>
      </c>
      <c r="I76" s="58">
        <f t="shared" si="13"/>
        <v>0</v>
      </c>
    </row>
    <row r="77" spans="1:9" x14ac:dyDescent="0.15">
      <c r="A77" s="23">
        <v>76</v>
      </c>
      <c r="B77" s="56">
        <f t="shared" si="10"/>
        <v>73</v>
      </c>
      <c r="C77" s="56">
        <f t="shared" si="11"/>
        <v>144</v>
      </c>
      <c r="D77" s="27">
        <v>23573</v>
      </c>
      <c r="E77" s="56">
        <f t="shared" si="14"/>
        <v>60</v>
      </c>
      <c r="F77" s="65">
        <f t="shared" si="8"/>
        <v>76</v>
      </c>
      <c r="G77" s="61">
        <f t="shared" si="12"/>
        <v>0</v>
      </c>
      <c r="H77" s="58">
        <f t="shared" si="9"/>
        <v>1</v>
      </c>
      <c r="I77" s="58">
        <f t="shared" si="13"/>
        <v>0</v>
      </c>
    </row>
    <row r="78" spans="1:9" x14ac:dyDescent="0.15">
      <c r="A78" s="23">
        <v>77</v>
      </c>
      <c r="B78" s="56">
        <f t="shared" si="10"/>
        <v>74</v>
      </c>
      <c r="C78" s="56">
        <f t="shared" si="11"/>
        <v>144</v>
      </c>
      <c r="D78" s="27">
        <v>24084</v>
      </c>
      <c r="E78" s="56">
        <f t="shared" si="14"/>
        <v>60</v>
      </c>
      <c r="F78" s="65">
        <f t="shared" si="8"/>
        <v>77</v>
      </c>
      <c r="G78" s="61">
        <f t="shared" si="12"/>
        <v>1</v>
      </c>
      <c r="H78" s="58">
        <f t="shared" si="9"/>
        <v>0</v>
      </c>
      <c r="I78" s="58">
        <f t="shared" si="13"/>
        <v>0</v>
      </c>
    </row>
    <row r="79" spans="1:9" x14ac:dyDescent="0.15">
      <c r="A79" s="23">
        <v>78</v>
      </c>
      <c r="B79" s="56">
        <f t="shared" si="10"/>
        <v>74</v>
      </c>
      <c r="C79" s="56">
        <f t="shared" si="11"/>
        <v>145</v>
      </c>
      <c r="D79" s="27">
        <v>24599</v>
      </c>
      <c r="E79" s="56">
        <f t="shared" si="14"/>
        <v>60</v>
      </c>
      <c r="F79" s="65">
        <f t="shared" si="8"/>
        <v>78</v>
      </c>
      <c r="G79" s="61">
        <f t="shared" si="12"/>
        <v>0</v>
      </c>
      <c r="H79" s="58">
        <f t="shared" si="9"/>
        <v>1</v>
      </c>
      <c r="I79" s="58">
        <f t="shared" si="13"/>
        <v>0</v>
      </c>
    </row>
    <row r="80" spans="1:9" x14ac:dyDescent="0.15">
      <c r="A80" s="23">
        <v>79</v>
      </c>
      <c r="B80" s="56">
        <f t="shared" si="10"/>
        <v>75</v>
      </c>
      <c r="C80" s="56">
        <f t="shared" si="11"/>
        <v>145</v>
      </c>
      <c r="D80" s="27">
        <v>25117</v>
      </c>
      <c r="E80" s="56">
        <f t="shared" si="14"/>
        <v>60</v>
      </c>
      <c r="F80" s="65">
        <f t="shared" si="8"/>
        <v>79</v>
      </c>
      <c r="G80" s="61">
        <f t="shared" si="12"/>
        <v>1</v>
      </c>
      <c r="H80" s="58">
        <f t="shared" si="9"/>
        <v>0</v>
      </c>
      <c r="I80" s="58">
        <f t="shared" si="13"/>
        <v>0</v>
      </c>
    </row>
    <row r="81" spans="1:9" x14ac:dyDescent="0.15">
      <c r="A81" s="23">
        <v>80</v>
      </c>
      <c r="B81" s="56">
        <f t="shared" si="10"/>
        <v>75</v>
      </c>
      <c r="C81" s="56">
        <f t="shared" si="11"/>
        <v>147</v>
      </c>
      <c r="D81" s="27">
        <v>25638</v>
      </c>
      <c r="E81" s="56">
        <f t="shared" si="14"/>
        <v>60</v>
      </c>
      <c r="F81" s="65">
        <f t="shared" si="8"/>
        <v>80</v>
      </c>
      <c r="G81" s="61">
        <f t="shared" si="12"/>
        <v>0</v>
      </c>
      <c r="H81" s="58">
        <f t="shared" si="9"/>
        <v>2</v>
      </c>
      <c r="I81" s="58">
        <f t="shared" si="13"/>
        <v>0</v>
      </c>
    </row>
    <row r="82" spans="1:9" x14ac:dyDescent="0.15">
      <c r="A82" s="23">
        <v>81</v>
      </c>
      <c r="B82" s="56">
        <f t="shared" si="10"/>
        <v>76</v>
      </c>
      <c r="C82" s="56">
        <f t="shared" si="11"/>
        <v>147</v>
      </c>
      <c r="D82" s="27">
        <v>26163</v>
      </c>
      <c r="E82" s="56">
        <f t="shared" si="14"/>
        <v>60</v>
      </c>
      <c r="F82" s="65">
        <f t="shared" si="8"/>
        <v>81</v>
      </c>
      <c r="G82" s="61">
        <f t="shared" si="12"/>
        <v>1</v>
      </c>
      <c r="H82" s="58">
        <f t="shared" si="9"/>
        <v>0</v>
      </c>
      <c r="I82" s="58">
        <f t="shared" si="13"/>
        <v>0</v>
      </c>
    </row>
    <row r="83" spans="1:9" x14ac:dyDescent="0.15">
      <c r="A83" s="23">
        <v>82</v>
      </c>
      <c r="B83" s="56">
        <f t="shared" si="10"/>
        <v>76</v>
      </c>
      <c r="C83" s="56">
        <f t="shared" si="11"/>
        <v>148</v>
      </c>
      <c r="D83" s="27">
        <v>26691</v>
      </c>
      <c r="E83" s="56">
        <f t="shared" si="14"/>
        <v>60</v>
      </c>
      <c r="F83" s="65">
        <f t="shared" si="8"/>
        <v>82</v>
      </c>
      <c r="G83" s="61">
        <f t="shared" si="12"/>
        <v>0</v>
      </c>
      <c r="H83" s="58">
        <f t="shared" si="9"/>
        <v>1</v>
      </c>
      <c r="I83" s="58">
        <f t="shared" si="13"/>
        <v>0</v>
      </c>
    </row>
    <row r="84" spans="1:9" x14ac:dyDescent="0.15">
      <c r="A84" s="23">
        <v>83</v>
      </c>
      <c r="B84" s="56">
        <f t="shared" si="10"/>
        <v>77</v>
      </c>
      <c r="C84" s="56">
        <f t="shared" si="11"/>
        <v>148</v>
      </c>
      <c r="D84" s="27">
        <v>27222</v>
      </c>
      <c r="E84" s="56">
        <f t="shared" si="14"/>
        <v>60</v>
      </c>
      <c r="F84" s="65">
        <f t="shared" si="8"/>
        <v>83</v>
      </c>
      <c r="G84" s="61">
        <f t="shared" si="12"/>
        <v>1</v>
      </c>
      <c r="H84" s="58">
        <f t="shared" si="9"/>
        <v>0</v>
      </c>
      <c r="I84" s="58">
        <f t="shared" si="13"/>
        <v>0</v>
      </c>
    </row>
    <row r="85" spans="1:9" x14ac:dyDescent="0.15">
      <c r="A85" s="23">
        <v>84</v>
      </c>
      <c r="B85" s="56">
        <f t="shared" si="10"/>
        <v>77</v>
      </c>
      <c r="C85" s="56">
        <f t="shared" si="11"/>
        <v>149</v>
      </c>
      <c r="D85" s="27">
        <v>27757</v>
      </c>
      <c r="E85" s="56">
        <f t="shared" si="14"/>
        <v>60</v>
      </c>
      <c r="F85" s="65">
        <f t="shared" si="8"/>
        <v>84</v>
      </c>
      <c r="G85" s="61">
        <f t="shared" si="12"/>
        <v>0</v>
      </c>
      <c r="H85" s="58">
        <f t="shared" si="9"/>
        <v>1</v>
      </c>
      <c r="I85" s="58">
        <f t="shared" si="13"/>
        <v>0</v>
      </c>
    </row>
    <row r="86" spans="1:9" x14ac:dyDescent="0.15">
      <c r="A86" s="23">
        <v>85</v>
      </c>
      <c r="B86" s="56">
        <f t="shared" si="10"/>
        <v>79</v>
      </c>
      <c r="C86" s="56">
        <f t="shared" si="11"/>
        <v>151</v>
      </c>
      <c r="D86" s="27">
        <v>28294</v>
      </c>
      <c r="E86" s="56">
        <f t="shared" si="14"/>
        <v>60</v>
      </c>
      <c r="F86" s="65">
        <f t="shared" si="8"/>
        <v>85</v>
      </c>
      <c r="G86" s="61">
        <f t="shared" si="12"/>
        <v>2</v>
      </c>
      <c r="H86" s="58">
        <f t="shared" si="9"/>
        <v>2</v>
      </c>
      <c r="I86" s="58">
        <f t="shared" si="13"/>
        <v>0</v>
      </c>
    </row>
    <row r="87" spans="1:9" x14ac:dyDescent="0.15">
      <c r="A87" s="23">
        <v>86</v>
      </c>
      <c r="B87" s="56">
        <f t="shared" si="10"/>
        <v>79</v>
      </c>
      <c r="C87" s="56">
        <f t="shared" si="11"/>
        <v>152</v>
      </c>
      <c r="D87" s="27">
        <v>28835</v>
      </c>
      <c r="E87" s="56">
        <f t="shared" si="14"/>
        <v>60</v>
      </c>
      <c r="F87" s="65">
        <f t="shared" si="8"/>
        <v>86</v>
      </c>
      <c r="G87" s="61">
        <f t="shared" si="12"/>
        <v>0</v>
      </c>
      <c r="H87" s="58">
        <f t="shared" si="9"/>
        <v>1</v>
      </c>
      <c r="I87" s="58">
        <f t="shared" si="13"/>
        <v>0</v>
      </c>
    </row>
    <row r="88" spans="1:9" x14ac:dyDescent="0.15">
      <c r="A88" s="23">
        <v>87</v>
      </c>
      <c r="B88" s="56">
        <f t="shared" si="10"/>
        <v>80</v>
      </c>
      <c r="C88" s="56">
        <f t="shared" si="11"/>
        <v>152</v>
      </c>
      <c r="D88" s="27">
        <v>29379</v>
      </c>
      <c r="E88" s="56">
        <f t="shared" si="14"/>
        <v>60</v>
      </c>
      <c r="F88" s="65">
        <f t="shared" si="8"/>
        <v>87</v>
      </c>
      <c r="G88" s="61">
        <f t="shared" si="12"/>
        <v>1</v>
      </c>
      <c r="H88" s="58">
        <f t="shared" si="9"/>
        <v>0</v>
      </c>
      <c r="I88" s="58">
        <f t="shared" si="13"/>
        <v>0</v>
      </c>
    </row>
    <row r="89" spans="1:9" x14ac:dyDescent="0.15">
      <c r="A89" s="23">
        <v>88</v>
      </c>
      <c r="B89" s="56">
        <f t="shared" si="10"/>
        <v>80</v>
      </c>
      <c r="C89" s="56">
        <f t="shared" si="11"/>
        <v>153</v>
      </c>
      <c r="D89" s="27">
        <v>29926</v>
      </c>
      <c r="E89" s="56">
        <f t="shared" si="14"/>
        <v>60</v>
      </c>
      <c r="F89" s="65">
        <f t="shared" si="8"/>
        <v>88</v>
      </c>
      <c r="G89" s="61">
        <f t="shared" si="12"/>
        <v>0</v>
      </c>
      <c r="H89" s="58">
        <f t="shared" si="9"/>
        <v>1</v>
      </c>
      <c r="I89" s="58">
        <f t="shared" si="13"/>
        <v>0</v>
      </c>
    </row>
    <row r="90" spans="1:9" x14ac:dyDescent="0.15">
      <c r="A90" s="23">
        <v>89</v>
      </c>
      <c r="B90" s="56">
        <f t="shared" si="10"/>
        <v>81</v>
      </c>
      <c r="C90" s="56">
        <f t="shared" si="11"/>
        <v>153</v>
      </c>
      <c r="D90" s="27">
        <v>30476</v>
      </c>
      <c r="E90" s="56">
        <f t="shared" si="14"/>
        <v>60</v>
      </c>
      <c r="F90" s="65">
        <f t="shared" si="8"/>
        <v>89</v>
      </c>
      <c r="G90" s="61">
        <f t="shared" si="12"/>
        <v>1</v>
      </c>
      <c r="H90" s="58">
        <f t="shared" si="9"/>
        <v>0</v>
      </c>
      <c r="I90" s="58">
        <f t="shared" si="13"/>
        <v>0</v>
      </c>
    </row>
    <row r="91" spans="1:9" x14ac:dyDescent="0.15">
      <c r="A91" s="23">
        <v>90</v>
      </c>
      <c r="B91" s="56">
        <f t="shared" si="10"/>
        <v>81</v>
      </c>
      <c r="C91" s="56">
        <f t="shared" si="11"/>
        <v>155</v>
      </c>
      <c r="D91" s="27">
        <v>31029</v>
      </c>
      <c r="E91" s="56">
        <f t="shared" si="14"/>
        <v>60</v>
      </c>
      <c r="F91" s="65">
        <f t="shared" si="8"/>
        <v>90</v>
      </c>
      <c r="G91" s="61">
        <f t="shared" si="12"/>
        <v>0</v>
      </c>
      <c r="H91" s="58">
        <f t="shared" si="9"/>
        <v>2</v>
      </c>
      <c r="I91" s="58">
        <f t="shared" si="13"/>
        <v>0</v>
      </c>
    </row>
    <row r="92" spans="1:9" x14ac:dyDescent="0.15">
      <c r="A92" s="23">
        <v>91</v>
      </c>
      <c r="B92" s="56">
        <f t="shared" si="10"/>
        <v>82</v>
      </c>
      <c r="C92" s="56">
        <f t="shared" si="11"/>
        <v>155</v>
      </c>
      <c r="D92" s="27">
        <v>31585</v>
      </c>
      <c r="E92" s="56">
        <f t="shared" si="14"/>
        <v>60</v>
      </c>
      <c r="F92" s="65">
        <f t="shared" si="8"/>
        <v>91</v>
      </c>
      <c r="G92" s="61">
        <f t="shared" si="12"/>
        <v>1</v>
      </c>
      <c r="H92" s="58">
        <f t="shared" si="9"/>
        <v>0</v>
      </c>
      <c r="I92" s="58">
        <f t="shared" si="13"/>
        <v>0</v>
      </c>
    </row>
    <row r="93" spans="1:9" x14ac:dyDescent="0.15">
      <c r="A93" s="23">
        <v>92</v>
      </c>
      <c r="B93" s="56">
        <f t="shared" si="10"/>
        <v>82</v>
      </c>
      <c r="C93" s="56">
        <f t="shared" si="11"/>
        <v>156</v>
      </c>
      <c r="D93" s="27">
        <v>32144</v>
      </c>
      <c r="E93" s="56">
        <f t="shared" si="14"/>
        <v>60</v>
      </c>
      <c r="F93" s="65">
        <f t="shared" si="8"/>
        <v>92</v>
      </c>
      <c r="G93" s="61">
        <f t="shared" si="12"/>
        <v>0</v>
      </c>
      <c r="H93" s="58">
        <f t="shared" si="9"/>
        <v>1</v>
      </c>
      <c r="I93" s="58">
        <f t="shared" si="13"/>
        <v>0</v>
      </c>
    </row>
    <row r="94" spans="1:9" x14ac:dyDescent="0.15">
      <c r="A94" s="23">
        <v>93</v>
      </c>
      <c r="B94" s="56">
        <f t="shared" si="10"/>
        <v>83</v>
      </c>
      <c r="C94" s="56">
        <f t="shared" si="11"/>
        <v>156</v>
      </c>
      <c r="D94" s="27">
        <v>32706</v>
      </c>
      <c r="E94" s="56">
        <f t="shared" si="14"/>
        <v>60</v>
      </c>
      <c r="F94" s="65">
        <f t="shared" si="8"/>
        <v>93</v>
      </c>
      <c r="G94" s="61">
        <f t="shared" si="12"/>
        <v>1</v>
      </c>
      <c r="H94" s="58">
        <f t="shared" si="9"/>
        <v>0</v>
      </c>
      <c r="I94" s="58">
        <f t="shared" si="13"/>
        <v>0</v>
      </c>
    </row>
    <row r="95" spans="1:9" x14ac:dyDescent="0.15">
      <c r="A95" s="23">
        <v>94</v>
      </c>
      <c r="B95" s="56">
        <f t="shared" si="10"/>
        <v>83</v>
      </c>
      <c r="C95" s="56">
        <f t="shared" si="11"/>
        <v>156</v>
      </c>
      <c r="D95" s="27">
        <v>33270</v>
      </c>
      <c r="E95" s="56">
        <f t="shared" si="14"/>
        <v>60</v>
      </c>
      <c r="F95" s="65">
        <f t="shared" si="8"/>
        <v>94</v>
      </c>
      <c r="G95" s="61">
        <f t="shared" si="12"/>
        <v>0</v>
      </c>
      <c r="H95" s="58">
        <f t="shared" si="9"/>
        <v>0</v>
      </c>
      <c r="I95" s="58">
        <f t="shared" si="13"/>
        <v>0</v>
      </c>
    </row>
    <row r="96" spans="1:9" x14ac:dyDescent="0.15">
      <c r="A96" s="23">
        <v>95</v>
      </c>
      <c r="B96" s="56">
        <f t="shared" si="10"/>
        <v>85</v>
      </c>
      <c r="C96" s="56">
        <f t="shared" si="11"/>
        <v>156</v>
      </c>
      <c r="D96" s="27">
        <v>33838</v>
      </c>
      <c r="E96" s="56">
        <f t="shared" si="14"/>
        <v>60</v>
      </c>
      <c r="F96" s="65">
        <f t="shared" si="8"/>
        <v>95</v>
      </c>
      <c r="G96" s="61">
        <f t="shared" si="12"/>
        <v>2</v>
      </c>
      <c r="H96" s="58">
        <f t="shared" si="9"/>
        <v>0</v>
      </c>
      <c r="I96" s="58">
        <f t="shared" si="13"/>
        <v>0</v>
      </c>
    </row>
    <row r="97" spans="1:9" x14ac:dyDescent="0.15">
      <c r="A97" s="23">
        <v>96</v>
      </c>
      <c r="B97" s="56">
        <f t="shared" si="10"/>
        <v>85</v>
      </c>
      <c r="C97" s="56">
        <f t="shared" si="11"/>
        <v>157</v>
      </c>
      <c r="D97" s="27">
        <v>34408</v>
      </c>
      <c r="E97" s="56">
        <f t="shared" si="14"/>
        <v>60</v>
      </c>
      <c r="F97" s="65">
        <f t="shared" si="8"/>
        <v>96</v>
      </c>
      <c r="G97" s="61">
        <f t="shared" si="12"/>
        <v>0</v>
      </c>
      <c r="H97" s="58">
        <f t="shared" si="9"/>
        <v>1</v>
      </c>
      <c r="I97" s="58">
        <f t="shared" si="13"/>
        <v>0</v>
      </c>
    </row>
    <row r="98" spans="1:9" x14ac:dyDescent="0.15">
      <c r="A98" s="23">
        <v>97</v>
      </c>
      <c r="B98" s="56">
        <f t="shared" si="10"/>
        <v>86</v>
      </c>
      <c r="C98" s="56">
        <f t="shared" si="11"/>
        <v>157</v>
      </c>
      <c r="D98" s="27">
        <v>34981</v>
      </c>
      <c r="E98" s="56">
        <f t="shared" si="14"/>
        <v>60</v>
      </c>
      <c r="F98" s="65">
        <f t="shared" si="8"/>
        <v>97</v>
      </c>
      <c r="G98" s="61">
        <f t="shared" si="12"/>
        <v>1</v>
      </c>
      <c r="H98" s="58">
        <f t="shared" si="9"/>
        <v>0</v>
      </c>
      <c r="I98" s="58">
        <f t="shared" si="13"/>
        <v>0</v>
      </c>
    </row>
    <row r="99" spans="1:9" x14ac:dyDescent="0.15">
      <c r="A99" s="23">
        <v>98</v>
      </c>
      <c r="B99" s="56">
        <f t="shared" si="10"/>
        <v>86</v>
      </c>
      <c r="C99" s="56">
        <f t="shared" si="11"/>
        <v>157</v>
      </c>
      <c r="D99" s="27">
        <v>35557</v>
      </c>
      <c r="E99" s="56">
        <f t="shared" si="14"/>
        <v>60</v>
      </c>
      <c r="F99" s="65">
        <f t="shared" si="8"/>
        <v>98</v>
      </c>
      <c r="G99" s="61">
        <f t="shared" si="12"/>
        <v>0</v>
      </c>
      <c r="H99" s="58">
        <f t="shared" si="9"/>
        <v>0</v>
      </c>
      <c r="I99" s="58">
        <f t="shared" si="13"/>
        <v>0</v>
      </c>
    </row>
    <row r="100" spans="1:9" x14ac:dyDescent="0.15">
      <c r="A100" s="23">
        <v>99</v>
      </c>
      <c r="B100" s="56">
        <f t="shared" si="10"/>
        <v>87</v>
      </c>
      <c r="C100" s="56">
        <f t="shared" si="11"/>
        <v>157</v>
      </c>
      <c r="D100" s="27">
        <v>36135</v>
      </c>
      <c r="E100" s="56">
        <f t="shared" si="14"/>
        <v>60</v>
      </c>
      <c r="F100" s="65">
        <f t="shared" si="8"/>
        <v>99</v>
      </c>
      <c r="G100" s="61">
        <f t="shared" si="12"/>
        <v>1</v>
      </c>
      <c r="H100" s="58">
        <f t="shared" si="9"/>
        <v>0</v>
      </c>
      <c r="I100" s="58">
        <f t="shared" si="13"/>
        <v>0</v>
      </c>
    </row>
    <row r="101" spans="1:9" x14ac:dyDescent="0.15">
      <c r="A101" s="23">
        <v>100</v>
      </c>
      <c r="B101" s="56">
        <f t="shared" si="10"/>
        <v>87</v>
      </c>
      <c r="C101" s="56">
        <f t="shared" si="11"/>
        <v>158</v>
      </c>
      <c r="D101" s="27">
        <v>36716</v>
      </c>
      <c r="E101" s="56">
        <f t="shared" si="14"/>
        <v>60</v>
      </c>
      <c r="F101" s="65">
        <f t="shared" si="8"/>
        <v>100</v>
      </c>
      <c r="G101" s="61">
        <f t="shared" si="12"/>
        <v>0</v>
      </c>
      <c r="H101" s="58">
        <f t="shared" si="9"/>
        <v>1</v>
      </c>
      <c r="I101" s="58">
        <f t="shared" si="13"/>
        <v>0</v>
      </c>
    </row>
    <row r="102" spans="1:9" x14ac:dyDescent="0.15">
      <c r="A102" s="23">
        <v>101</v>
      </c>
      <c r="B102" s="56">
        <f t="shared" si="10"/>
        <v>88</v>
      </c>
      <c r="C102" s="56">
        <f t="shared" si="11"/>
        <v>158</v>
      </c>
      <c r="D102" s="27">
        <v>37300</v>
      </c>
      <c r="E102" s="56">
        <f t="shared" si="14"/>
        <v>60</v>
      </c>
      <c r="F102" s="65">
        <f t="shared" si="8"/>
        <v>101</v>
      </c>
      <c r="G102" s="61">
        <f t="shared" si="12"/>
        <v>1</v>
      </c>
      <c r="H102" s="58">
        <f t="shared" si="9"/>
        <v>0</v>
      </c>
      <c r="I102" s="58">
        <f t="shared" si="13"/>
        <v>0</v>
      </c>
    </row>
    <row r="103" spans="1:9" x14ac:dyDescent="0.15">
      <c r="A103" s="23">
        <v>102</v>
      </c>
      <c r="B103" s="56">
        <f t="shared" si="10"/>
        <v>88</v>
      </c>
      <c r="C103" s="56">
        <f t="shared" si="11"/>
        <v>158</v>
      </c>
      <c r="D103" s="27">
        <v>37886</v>
      </c>
      <c r="E103" s="56">
        <f t="shared" si="14"/>
        <v>60</v>
      </c>
      <c r="F103" s="65">
        <f t="shared" si="8"/>
        <v>102</v>
      </c>
      <c r="G103" s="61">
        <f t="shared" si="12"/>
        <v>0</v>
      </c>
      <c r="H103" s="58">
        <f t="shared" si="9"/>
        <v>0</v>
      </c>
      <c r="I103" s="58">
        <f t="shared" si="13"/>
        <v>0</v>
      </c>
    </row>
    <row r="104" spans="1:9" x14ac:dyDescent="0.15">
      <c r="A104" s="23">
        <v>103</v>
      </c>
      <c r="B104" s="56">
        <f t="shared" si="10"/>
        <v>89</v>
      </c>
      <c r="C104" s="56">
        <f t="shared" si="11"/>
        <v>158</v>
      </c>
      <c r="D104" s="27">
        <v>38475</v>
      </c>
      <c r="E104" s="56">
        <f t="shared" si="14"/>
        <v>60</v>
      </c>
      <c r="F104" s="65">
        <f t="shared" si="8"/>
        <v>103</v>
      </c>
      <c r="G104" s="61">
        <f t="shared" si="12"/>
        <v>1</v>
      </c>
      <c r="H104" s="58">
        <f t="shared" si="9"/>
        <v>0</v>
      </c>
      <c r="I104" s="58">
        <f t="shared" si="13"/>
        <v>0</v>
      </c>
    </row>
    <row r="105" spans="1:9" x14ac:dyDescent="0.15">
      <c r="A105" s="23">
        <v>104</v>
      </c>
      <c r="B105" s="56">
        <f t="shared" si="10"/>
        <v>89</v>
      </c>
      <c r="C105" s="56">
        <f t="shared" si="11"/>
        <v>159</v>
      </c>
      <c r="D105" s="27">
        <v>39067</v>
      </c>
      <c r="E105" s="56">
        <f t="shared" si="14"/>
        <v>60</v>
      </c>
      <c r="F105" s="65">
        <f t="shared" si="8"/>
        <v>104</v>
      </c>
      <c r="G105" s="61">
        <f t="shared" si="12"/>
        <v>0</v>
      </c>
      <c r="H105" s="58">
        <f t="shared" si="9"/>
        <v>1</v>
      </c>
      <c r="I105" s="58">
        <f t="shared" si="13"/>
        <v>0</v>
      </c>
    </row>
    <row r="106" spans="1:9" x14ac:dyDescent="0.15">
      <c r="A106" s="23">
        <v>105</v>
      </c>
      <c r="B106" s="56">
        <f t="shared" si="10"/>
        <v>91</v>
      </c>
      <c r="C106" s="56">
        <f t="shared" si="11"/>
        <v>159</v>
      </c>
      <c r="D106" s="27">
        <v>39660</v>
      </c>
      <c r="E106" s="56">
        <f t="shared" si="14"/>
        <v>60</v>
      </c>
      <c r="F106" s="65">
        <f t="shared" si="8"/>
        <v>105</v>
      </c>
      <c r="G106" s="61">
        <f t="shared" si="12"/>
        <v>2</v>
      </c>
      <c r="H106" s="58">
        <f t="shared" si="9"/>
        <v>0</v>
      </c>
      <c r="I106" s="58">
        <f t="shared" si="13"/>
        <v>0</v>
      </c>
    </row>
    <row r="107" spans="1:9" x14ac:dyDescent="0.15">
      <c r="A107" s="23">
        <v>106</v>
      </c>
      <c r="B107" s="56">
        <f t="shared" si="10"/>
        <v>91</v>
      </c>
      <c r="C107" s="56">
        <f t="shared" si="11"/>
        <v>159</v>
      </c>
      <c r="D107" s="27">
        <v>40257</v>
      </c>
      <c r="E107" s="56">
        <f t="shared" si="14"/>
        <v>60</v>
      </c>
      <c r="F107" s="65">
        <f t="shared" si="8"/>
        <v>106</v>
      </c>
      <c r="G107" s="61">
        <f t="shared" si="12"/>
        <v>0</v>
      </c>
      <c r="H107" s="58">
        <f t="shared" si="9"/>
        <v>0</v>
      </c>
      <c r="I107" s="58">
        <f t="shared" si="13"/>
        <v>0</v>
      </c>
    </row>
    <row r="108" spans="1:9" x14ac:dyDescent="0.15">
      <c r="A108" s="23">
        <v>107</v>
      </c>
      <c r="B108" s="56">
        <f t="shared" si="10"/>
        <v>92</v>
      </c>
      <c r="C108" s="56">
        <f t="shared" si="11"/>
        <v>159</v>
      </c>
      <c r="D108" s="27">
        <v>40856</v>
      </c>
      <c r="E108" s="56">
        <f t="shared" si="14"/>
        <v>60</v>
      </c>
      <c r="F108" s="65">
        <f t="shared" si="8"/>
        <v>107</v>
      </c>
      <c r="G108" s="61">
        <f t="shared" si="12"/>
        <v>1</v>
      </c>
      <c r="H108" s="58">
        <f t="shared" si="9"/>
        <v>0</v>
      </c>
      <c r="I108" s="58">
        <f t="shared" si="13"/>
        <v>0</v>
      </c>
    </row>
    <row r="109" spans="1:9" x14ac:dyDescent="0.15">
      <c r="A109" s="23">
        <v>108</v>
      </c>
      <c r="B109" s="56">
        <f t="shared" si="10"/>
        <v>92</v>
      </c>
      <c r="C109" s="56">
        <f t="shared" si="11"/>
        <v>160</v>
      </c>
      <c r="D109" s="27">
        <v>41457</v>
      </c>
      <c r="E109" s="56">
        <f t="shared" si="14"/>
        <v>60</v>
      </c>
      <c r="F109" s="65">
        <f t="shared" si="8"/>
        <v>108</v>
      </c>
      <c r="G109" s="61">
        <f t="shared" si="12"/>
        <v>0</v>
      </c>
      <c r="H109" s="58">
        <f t="shared" si="9"/>
        <v>1</v>
      </c>
      <c r="I109" s="58">
        <f t="shared" si="13"/>
        <v>0</v>
      </c>
    </row>
    <row r="110" spans="1:9" x14ac:dyDescent="0.15">
      <c r="A110" s="23">
        <v>109</v>
      </c>
      <c r="B110" s="56">
        <f t="shared" si="10"/>
        <v>93</v>
      </c>
      <c r="C110" s="56">
        <f t="shared" si="11"/>
        <v>160</v>
      </c>
      <c r="D110" s="27">
        <v>42061</v>
      </c>
      <c r="E110" s="56">
        <f t="shared" si="14"/>
        <v>60</v>
      </c>
      <c r="F110" s="65">
        <f t="shared" si="8"/>
        <v>109</v>
      </c>
      <c r="G110" s="61">
        <f t="shared" si="12"/>
        <v>1</v>
      </c>
      <c r="H110" s="58">
        <f t="shared" si="9"/>
        <v>0</v>
      </c>
      <c r="I110" s="58">
        <f t="shared" si="13"/>
        <v>0</v>
      </c>
    </row>
    <row r="111" spans="1:9" x14ac:dyDescent="0.15">
      <c r="A111" s="23">
        <v>110</v>
      </c>
      <c r="B111" s="56">
        <f t="shared" si="10"/>
        <v>93</v>
      </c>
      <c r="C111" s="56">
        <f t="shared" si="11"/>
        <v>160</v>
      </c>
      <c r="D111" s="27">
        <v>42667</v>
      </c>
      <c r="E111" s="56">
        <f t="shared" si="14"/>
        <v>60</v>
      </c>
      <c r="F111" s="65">
        <f t="shared" si="8"/>
        <v>110</v>
      </c>
      <c r="G111" s="61">
        <f t="shared" si="12"/>
        <v>0</v>
      </c>
      <c r="H111" s="58">
        <f t="shared" si="9"/>
        <v>0</v>
      </c>
      <c r="I111" s="58">
        <f t="shared" si="13"/>
        <v>0</v>
      </c>
    </row>
    <row r="112" spans="1:9" x14ac:dyDescent="0.15">
      <c r="A112" s="23">
        <v>111</v>
      </c>
      <c r="B112" s="56">
        <f t="shared" si="10"/>
        <v>94</v>
      </c>
      <c r="C112" s="56">
        <f t="shared" si="11"/>
        <v>160</v>
      </c>
      <c r="D112" s="27">
        <v>43275</v>
      </c>
      <c r="E112" s="56">
        <f t="shared" si="14"/>
        <v>60</v>
      </c>
      <c r="F112" s="65">
        <f t="shared" si="8"/>
        <v>111</v>
      </c>
      <c r="G112" s="61">
        <f t="shared" si="12"/>
        <v>1</v>
      </c>
      <c r="H112" s="58">
        <f t="shared" si="9"/>
        <v>0</v>
      </c>
      <c r="I112" s="58">
        <f t="shared" si="13"/>
        <v>0</v>
      </c>
    </row>
    <row r="113" spans="1:9" x14ac:dyDescent="0.15">
      <c r="A113" s="23">
        <v>112</v>
      </c>
      <c r="B113" s="56">
        <f t="shared" si="10"/>
        <v>94</v>
      </c>
      <c r="C113" s="56">
        <f t="shared" si="11"/>
        <v>161</v>
      </c>
      <c r="D113" s="27">
        <v>43886</v>
      </c>
      <c r="E113" s="56">
        <f t="shared" si="14"/>
        <v>60</v>
      </c>
      <c r="F113" s="65">
        <f t="shared" si="8"/>
        <v>112</v>
      </c>
      <c r="G113" s="61">
        <f t="shared" si="12"/>
        <v>0</v>
      </c>
      <c r="H113" s="58">
        <f t="shared" si="9"/>
        <v>1</v>
      </c>
      <c r="I113" s="58">
        <f t="shared" si="13"/>
        <v>0</v>
      </c>
    </row>
    <row r="114" spans="1:9" x14ac:dyDescent="0.15">
      <c r="A114" s="23">
        <v>113</v>
      </c>
      <c r="B114" s="56">
        <f t="shared" si="10"/>
        <v>95</v>
      </c>
      <c r="C114" s="56">
        <f t="shared" si="11"/>
        <v>161</v>
      </c>
      <c r="D114" s="27">
        <v>44499</v>
      </c>
      <c r="E114" s="56">
        <f t="shared" si="14"/>
        <v>60</v>
      </c>
      <c r="F114" s="65">
        <f t="shared" si="8"/>
        <v>113</v>
      </c>
      <c r="G114" s="61">
        <f t="shared" si="12"/>
        <v>1</v>
      </c>
      <c r="H114" s="58">
        <f t="shared" si="9"/>
        <v>0</v>
      </c>
      <c r="I114" s="58">
        <f t="shared" si="13"/>
        <v>0</v>
      </c>
    </row>
    <row r="115" spans="1:9" x14ac:dyDescent="0.15">
      <c r="A115" s="23">
        <v>114</v>
      </c>
      <c r="B115" s="56">
        <f t="shared" si="10"/>
        <v>95</v>
      </c>
      <c r="C115" s="56">
        <f t="shared" si="11"/>
        <v>161</v>
      </c>
      <c r="D115" s="27">
        <v>45114</v>
      </c>
      <c r="E115" s="56">
        <f t="shared" si="14"/>
        <v>60</v>
      </c>
      <c r="F115" s="65">
        <f t="shared" si="8"/>
        <v>114</v>
      </c>
      <c r="G115" s="61">
        <f t="shared" si="12"/>
        <v>0</v>
      </c>
      <c r="H115" s="58">
        <f t="shared" si="9"/>
        <v>0</v>
      </c>
      <c r="I115" s="58">
        <f t="shared" si="13"/>
        <v>0</v>
      </c>
    </row>
    <row r="116" spans="1:9" x14ac:dyDescent="0.15">
      <c r="A116" s="23">
        <v>115</v>
      </c>
      <c r="B116" s="56">
        <f t="shared" si="10"/>
        <v>96</v>
      </c>
      <c r="C116" s="56">
        <f t="shared" si="11"/>
        <v>161</v>
      </c>
      <c r="D116" s="27">
        <v>45732</v>
      </c>
      <c r="E116" s="56">
        <f t="shared" si="14"/>
        <v>60</v>
      </c>
      <c r="F116" s="65">
        <f t="shared" si="8"/>
        <v>115</v>
      </c>
      <c r="G116" s="61">
        <f t="shared" si="12"/>
        <v>1</v>
      </c>
      <c r="H116" s="58">
        <f t="shared" si="9"/>
        <v>0</v>
      </c>
      <c r="I116" s="58">
        <f t="shared" si="13"/>
        <v>0</v>
      </c>
    </row>
    <row r="117" spans="1:9" x14ac:dyDescent="0.15">
      <c r="A117" s="23">
        <v>116</v>
      </c>
      <c r="B117" s="56">
        <f t="shared" si="10"/>
        <v>96</v>
      </c>
      <c r="C117" s="56">
        <f t="shared" si="11"/>
        <v>162</v>
      </c>
      <c r="D117" s="27">
        <v>46351</v>
      </c>
      <c r="E117" s="56">
        <f t="shared" si="14"/>
        <v>60</v>
      </c>
      <c r="F117" s="65">
        <f t="shared" si="8"/>
        <v>116</v>
      </c>
      <c r="G117" s="61">
        <f t="shared" si="12"/>
        <v>0</v>
      </c>
      <c r="H117" s="58">
        <f t="shared" si="9"/>
        <v>1</v>
      </c>
      <c r="I117" s="58">
        <f t="shared" si="13"/>
        <v>0</v>
      </c>
    </row>
    <row r="118" spans="1:9" x14ac:dyDescent="0.15">
      <c r="A118" s="23">
        <v>117</v>
      </c>
      <c r="B118" s="56">
        <f t="shared" si="10"/>
        <v>97</v>
      </c>
      <c r="C118" s="56">
        <f t="shared" si="11"/>
        <v>162</v>
      </c>
      <c r="D118" s="27">
        <v>46973</v>
      </c>
      <c r="E118" s="56">
        <f t="shared" si="14"/>
        <v>60</v>
      </c>
      <c r="F118" s="65">
        <f t="shared" si="8"/>
        <v>117</v>
      </c>
      <c r="G118" s="61">
        <f t="shared" si="12"/>
        <v>1</v>
      </c>
      <c r="H118" s="58">
        <f t="shared" si="9"/>
        <v>0</v>
      </c>
      <c r="I118" s="58">
        <f t="shared" si="13"/>
        <v>0</v>
      </c>
    </row>
    <row r="119" spans="1:9" x14ac:dyDescent="0.15">
      <c r="A119" s="23">
        <v>118</v>
      </c>
      <c r="B119" s="56">
        <f t="shared" si="10"/>
        <v>97</v>
      </c>
      <c r="C119" s="56">
        <f t="shared" si="11"/>
        <v>162</v>
      </c>
      <c r="D119" s="27">
        <v>47597</v>
      </c>
      <c r="E119" s="56">
        <f t="shared" si="14"/>
        <v>60</v>
      </c>
      <c r="F119" s="65">
        <f t="shared" si="8"/>
        <v>118</v>
      </c>
      <c r="G119" s="61">
        <f t="shared" si="12"/>
        <v>0</v>
      </c>
      <c r="H119" s="58">
        <f t="shared" si="9"/>
        <v>0</v>
      </c>
      <c r="I119" s="58">
        <f t="shared" si="13"/>
        <v>0</v>
      </c>
    </row>
    <row r="120" spans="1:9" x14ac:dyDescent="0.15">
      <c r="A120" s="23">
        <v>119</v>
      </c>
      <c r="B120" s="56">
        <f t="shared" si="10"/>
        <v>98</v>
      </c>
      <c r="C120" s="56">
        <f t="shared" si="11"/>
        <v>162</v>
      </c>
      <c r="D120" s="27">
        <v>48223</v>
      </c>
      <c r="E120" s="56">
        <f t="shared" si="14"/>
        <v>60</v>
      </c>
      <c r="F120" s="65">
        <f t="shared" si="8"/>
        <v>119</v>
      </c>
      <c r="G120" s="61">
        <f t="shared" si="12"/>
        <v>1</v>
      </c>
      <c r="H120" s="58">
        <f t="shared" si="9"/>
        <v>0</v>
      </c>
      <c r="I120" s="58">
        <f t="shared" si="13"/>
        <v>0</v>
      </c>
    </row>
    <row r="121" spans="1:9" x14ac:dyDescent="0.15">
      <c r="A121" s="23">
        <v>120</v>
      </c>
      <c r="B121" s="56">
        <f t="shared" si="10"/>
        <v>98</v>
      </c>
      <c r="C121" s="56">
        <f t="shared" si="11"/>
        <v>163</v>
      </c>
      <c r="D121" s="27">
        <v>48852</v>
      </c>
      <c r="E121" s="56">
        <f t="shared" si="14"/>
        <v>60</v>
      </c>
      <c r="F121" s="65">
        <f t="shared" si="8"/>
        <v>120</v>
      </c>
      <c r="G121" s="61">
        <f t="shared" si="12"/>
        <v>0</v>
      </c>
      <c r="H121" s="58">
        <f t="shared" si="9"/>
        <v>1</v>
      </c>
      <c r="I121" s="58">
        <f t="shared" si="13"/>
        <v>0</v>
      </c>
    </row>
    <row r="122" spans="1:9" x14ac:dyDescent="0.15">
      <c r="A122" s="23">
        <v>121</v>
      </c>
      <c r="B122" s="56">
        <f t="shared" si="10"/>
        <v>99</v>
      </c>
      <c r="C122" s="56">
        <f t="shared" si="11"/>
        <v>163</v>
      </c>
      <c r="D122" s="27">
        <v>49482</v>
      </c>
      <c r="E122" s="56">
        <f t="shared" si="14"/>
        <v>60</v>
      </c>
      <c r="F122" s="65">
        <f t="shared" si="8"/>
        <v>121</v>
      </c>
      <c r="G122" s="61">
        <f t="shared" si="12"/>
        <v>1</v>
      </c>
      <c r="H122" s="58">
        <f t="shared" si="9"/>
        <v>0</v>
      </c>
      <c r="I122" s="58">
        <f t="shared" si="13"/>
        <v>0</v>
      </c>
    </row>
    <row r="123" spans="1:9" x14ac:dyDescent="0.15">
      <c r="A123" s="23">
        <v>122</v>
      </c>
      <c r="B123" s="56">
        <f t="shared" si="10"/>
        <v>99</v>
      </c>
      <c r="C123" s="56">
        <f t="shared" si="11"/>
        <v>163</v>
      </c>
      <c r="D123" s="27">
        <v>50114</v>
      </c>
      <c r="E123" s="56">
        <f t="shared" si="14"/>
        <v>60</v>
      </c>
      <c r="F123" s="65">
        <f t="shared" si="8"/>
        <v>122</v>
      </c>
      <c r="G123" s="61">
        <f t="shared" si="12"/>
        <v>0</v>
      </c>
      <c r="H123" s="58">
        <f t="shared" si="9"/>
        <v>0</v>
      </c>
      <c r="I123" s="58">
        <f t="shared" si="13"/>
        <v>0</v>
      </c>
    </row>
    <row r="124" spans="1:9" x14ac:dyDescent="0.15">
      <c r="A124" s="23">
        <v>123</v>
      </c>
      <c r="B124" s="56">
        <f t="shared" si="10"/>
        <v>100</v>
      </c>
      <c r="C124" s="56">
        <f t="shared" si="11"/>
        <v>163</v>
      </c>
      <c r="D124" s="27">
        <v>50749</v>
      </c>
      <c r="E124" s="56">
        <f t="shared" si="14"/>
        <v>60</v>
      </c>
      <c r="F124" s="65">
        <f t="shared" si="8"/>
        <v>123</v>
      </c>
      <c r="G124" s="61">
        <f t="shared" si="12"/>
        <v>1</v>
      </c>
      <c r="H124" s="58">
        <f t="shared" si="9"/>
        <v>0</v>
      </c>
      <c r="I124" s="58">
        <f t="shared" si="13"/>
        <v>0</v>
      </c>
    </row>
    <row r="125" spans="1:9" x14ac:dyDescent="0.15">
      <c r="A125" s="23">
        <v>124</v>
      </c>
      <c r="B125" s="56">
        <f t="shared" si="10"/>
        <v>100</v>
      </c>
      <c r="C125" s="56">
        <f t="shared" si="11"/>
        <v>164</v>
      </c>
      <c r="D125" s="27">
        <v>51385</v>
      </c>
      <c r="E125" s="56">
        <f t="shared" si="14"/>
        <v>60</v>
      </c>
      <c r="F125" s="65">
        <f t="shared" si="8"/>
        <v>124</v>
      </c>
      <c r="G125" s="61">
        <f t="shared" si="12"/>
        <v>0</v>
      </c>
      <c r="H125" s="58">
        <f t="shared" si="9"/>
        <v>1</v>
      </c>
      <c r="I125" s="58">
        <f t="shared" si="13"/>
        <v>0</v>
      </c>
    </row>
    <row r="126" spans="1:9" x14ac:dyDescent="0.15">
      <c r="A126" s="23">
        <v>125</v>
      </c>
      <c r="B126" s="56">
        <f t="shared" si="10"/>
        <v>101</v>
      </c>
      <c r="C126" s="56">
        <f t="shared" si="11"/>
        <v>164</v>
      </c>
      <c r="D126" s="27">
        <v>52023</v>
      </c>
      <c r="E126" s="56">
        <f t="shared" si="14"/>
        <v>60</v>
      </c>
      <c r="F126" s="65">
        <f t="shared" si="8"/>
        <v>125</v>
      </c>
      <c r="G126" s="61">
        <f t="shared" si="12"/>
        <v>1</v>
      </c>
      <c r="H126" s="58">
        <f t="shared" si="9"/>
        <v>0</v>
      </c>
      <c r="I126" s="58">
        <f t="shared" si="13"/>
        <v>0</v>
      </c>
    </row>
    <row r="127" spans="1:9" x14ac:dyDescent="0.15">
      <c r="A127" s="23">
        <v>126</v>
      </c>
      <c r="B127" s="56">
        <f t="shared" si="10"/>
        <v>101</v>
      </c>
      <c r="C127" s="56">
        <f t="shared" si="11"/>
        <v>164</v>
      </c>
      <c r="D127" s="27">
        <v>52664</v>
      </c>
      <c r="E127" s="56">
        <f t="shared" si="14"/>
        <v>60</v>
      </c>
      <c r="F127" s="65">
        <f t="shared" si="8"/>
        <v>126</v>
      </c>
      <c r="G127" s="61">
        <f t="shared" si="12"/>
        <v>0</v>
      </c>
      <c r="H127" s="58">
        <f t="shared" si="9"/>
        <v>0</v>
      </c>
      <c r="I127" s="58">
        <f t="shared" si="13"/>
        <v>0</v>
      </c>
    </row>
    <row r="128" spans="1:9" x14ac:dyDescent="0.15">
      <c r="A128" s="23">
        <v>127</v>
      </c>
      <c r="B128" s="56">
        <f t="shared" si="10"/>
        <v>102</v>
      </c>
      <c r="C128" s="56">
        <f t="shared" si="11"/>
        <v>164</v>
      </c>
      <c r="D128" s="27">
        <v>53306</v>
      </c>
      <c r="E128" s="56">
        <f t="shared" si="14"/>
        <v>60</v>
      </c>
      <c r="F128" s="65">
        <f t="shared" si="8"/>
        <v>127</v>
      </c>
      <c r="G128" s="61">
        <f t="shared" si="12"/>
        <v>1</v>
      </c>
      <c r="H128" s="58">
        <f t="shared" si="9"/>
        <v>0</v>
      </c>
      <c r="I128" s="58">
        <f t="shared" si="13"/>
        <v>0</v>
      </c>
    </row>
    <row r="129" spans="1:9" x14ac:dyDescent="0.15">
      <c r="A129" s="23">
        <v>128</v>
      </c>
      <c r="B129" s="56">
        <f t="shared" si="10"/>
        <v>102</v>
      </c>
      <c r="C129" s="55">
        <f t="shared" si="11"/>
        <v>165</v>
      </c>
      <c r="D129" s="27">
        <v>53950</v>
      </c>
      <c r="E129" s="56">
        <f t="shared" si="14"/>
        <v>60</v>
      </c>
      <c r="F129" s="65">
        <f t="shared" si="8"/>
        <v>128</v>
      </c>
      <c r="G129" s="61">
        <f t="shared" si="12"/>
        <v>0</v>
      </c>
      <c r="H129" s="58">
        <f t="shared" si="9"/>
        <v>1</v>
      </c>
      <c r="I129" s="58">
        <f t="shared" si="13"/>
        <v>0</v>
      </c>
    </row>
    <row r="130" spans="1:9" x14ac:dyDescent="0.15">
      <c r="A130" s="23">
        <v>129</v>
      </c>
      <c r="B130" s="56">
        <f t="shared" si="10"/>
        <v>103</v>
      </c>
      <c r="C130" s="56">
        <f t="shared" si="11"/>
        <v>165</v>
      </c>
      <c r="D130" s="27">
        <v>54596</v>
      </c>
      <c r="E130" s="56">
        <f t="shared" si="14"/>
        <v>60</v>
      </c>
      <c r="F130" s="65">
        <f t="shared" ref="F130:F193" si="15">A130</f>
        <v>129</v>
      </c>
      <c r="G130" s="61">
        <f t="shared" si="12"/>
        <v>1</v>
      </c>
      <c r="H130" s="58">
        <f t="shared" ref="H130:H193" si="16">IF($A130&gt;=slow,IF(MOD($A130,upper)=0,slow_upper,0),IF($A130&gt;medium,IF(MOD($A130,bonus)=0,medium_bonus,IF(MOD($A130,upper)=0,medium_upper,IF(MOD($A130,up)=0,medium_up,0))),IF(MOD($A130,bonus)=0,fast_bonus,IF(MOD($A130,upper)=0,fast_upper,IF(MOD($A130,up)=0,fast_up,0)))))</f>
        <v>0</v>
      </c>
      <c r="I130" s="58">
        <f t="shared" si="13"/>
        <v>0</v>
      </c>
    </row>
    <row r="131" spans="1:9" x14ac:dyDescent="0.15">
      <c r="A131" s="23">
        <v>130</v>
      </c>
      <c r="B131" s="56">
        <f t="shared" ref="B131:B194" si="17">B130+G131</f>
        <v>103</v>
      </c>
      <c r="C131" s="56">
        <f t="shared" ref="C131:C194" si="18">C130+H131</f>
        <v>165</v>
      </c>
      <c r="D131" s="27">
        <v>55243</v>
      </c>
      <c r="E131" s="56">
        <f t="shared" si="14"/>
        <v>60</v>
      </c>
      <c r="F131" s="65">
        <f t="shared" si="15"/>
        <v>130</v>
      </c>
      <c r="G131" s="61">
        <f t="shared" ref="G131:G194" si="19">IF(A131&gt;=106, IF(MOD(A131,2)=0,0,1), IF(A131 &gt;= 65, IF(MOD(A131, 2) =0,0, IF(MOD(A131,5)= 0, 2, 1)), IF(MOD(A131, 2) =0,0, IF(MOD(A131,5)= 0, 5, 1))))</f>
        <v>0</v>
      </c>
      <c r="H131" s="58">
        <f t="shared" si="16"/>
        <v>0</v>
      </c>
      <c r="I131" s="58">
        <f t="shared" ref="I131:I194" si="20">IF($A131&gt;=51,0,IF($A131&gt;=30,IF(MOD($A131,5)=0,1,0),IF($A131&gt;=11,IF(MOD($A131,5)=0,3,IF(MOD($A131,2)=0,1,0)),IF(MOD($A131,5)=0,5,IF(MOD($A131,2)=0,2,0)))))</f>
        <v>0</v>
      </c>
    </row>
    <row r="132" spans="1:9" x14ac:dyDescent="0.15">
      <c r="A132" s="23">
        <v>131</v>
      </c>
      <c r="B132" s="56">
        <f t="shared" si="17"/>
        <v>104</v>
      </c>
      <c r="C132" s="56">
        <f t="shared" si="18"/>
        <v>165</v>
      </c>
      <c r="D132" s="27">
        <v>55893</v>
      </c>
      <c r="E132" s="56">
        <f t="shared" ref="E132:E195" si="21">E131+I132</f>
        <v>60</v>
      </c>
      <c r="F132" s="65">
        <f t="shared" si="15"/>
        <v>131</v>
      </c>
      <c r="G132" s="61">
        <f t="shared" si="19"/>
        <v>1</v>
      </c>
      <c r="H132" s="58">
        <f t="shared" si="16"/>
        <v>0</v>
      </c>
      <c r="I132" s="58">
        <f t="shared" si="20"/>
        <v>0</v>
      </c>
    </row>
    <row r="133" spans="1:9" x14ac:dyDescent="0.15">
      <c r="A133" s="23">
        <v>132</v>
      </c>
      <c r="B133" s="56">
        <f t="shared" si="17"/>
        <v>104</v>
      </c>
      <c r="C133" s="56">
        <f t="shared" si="18"/>
        <v>166</v>
      </c>
      <c r="D133" s="27">
        <v>56544</v>
      </c>
      <c r="E133" s="56">
        <f t="shared" si="21"/>
        <v>60</v>
      </c>
      <c r="F133" s="65">
        <f t="shared" si="15"/>
        <v>132</v>
      </c>
      <c r="G133" s="61">
        <f t="shared" si="19"/>
        <v>0</v>
      </c>
      <c r="H133" s="58">
        <f t="shared" si="16"/>
        <v>1</v>
      </c>
      <c r="I133" s="58">
        <f t="shared" si="20"/>
        <v>0</v>
      </c>
    </row>
    <row r="134" spans="1:9" x14ac:dyDescent="0.15">
      <c r="A134" s="23">
        <v>133</v>
      </c>
      <c r="B134" s="56">
        <f t="shared" si="17"/>
        <v>105</v>
      </c>
      <c r="C134" s="56">
        <f t="shared" si="18"/>
        <v>166</v>
      </c>
      <c r="D134" s="27">
        <v>57197</v>
      </c>
      <c r="E134" s="56">
        <f t="shared" si="21"/>
        <v>60</v>
      </c>
      <c r="F134" s="65">
        <f t="shared" si="15"/>
        <v>133</v>
      </c>
      <c r="G134" s="61">
        <f t="shared" si="19"/>
        <v>1</v>
      </c>
      <c r="H134" s="58">
        <f t="shared" si="16"/>
        <v>0</v>
      </c>
      <c r="I134" s="58">
        <f t="shared" si="20"/>
        <v>0</v>
      </c>
    </row>
    <row r="135" spans="1:9" x14ac:dyDescent="0.15">
      <c r="A135" s="23">
        <v>134</v>
      </c>
      <c r="B135" s="56">
        <f t="shared" si="17"/>
        <v>105</v>
      </c>
      <c r="C135" s="56">
        <f t="shared" si="18"/>
        <v>166</v>
      </c>
      <c r="D135" s="27">
        <v>57852</v>
      </c>
      <c r="E135" s="56">
        <f t="shared" si="21"/>
        <v>60</v>
      </c>
      <c r="F135" s="65">
        <f t="shared" si="15"/>
        <v>134</v>
      </c>
      <c r="G135" s="61">
        <f t="shared" si="19"/>
        <v>0</v>
      </c>
      <c r="H135" s="58">
        <f t="shared" si="16"/>
        <v>0</v>
      </c>
      <c r="I135" s="58">
        <f t="shared" si="20"/>
        <v>0</v>
      </c>
    </row>
    <row r="136" spans="1:9" x14ac:dyDescent="0.15">
      <c r="A136" s="23">
        <v>135</v>
      </c>
      <c r="B136" s="56">
        <f t="shared" si="17"/>
        <v>106</v>
      </c>
      <c r="C136" s="56">
        <f t="shared" si="18"/>
        <v>166</v>
      </c>
      <c r="D136" s="27">
        <v>58509</v>
      </c>
      <c r="E136" s="56">
        <f t="shared" si="21"/>
        <v>60</v>
      </c>
      <c r="F136" s="65">
        <f t="shared" si="15"/>
        <v>135</v>
      </c>
      <c r="G136" s="61">
        <f t="shared" si="19"/>
        <v>1</v>
      </c>
      <c r="H136" s="58">
        <f t="shared" si="16"/>
        <v>0</v>
      </c>
      <c r="I136" s="58">
        <f t="shared" si="20"/>
        <v>0</v>
      </c>
    </row>
    <row r="137" spans="1:9" x14ac:dyDescent="0.15">
      <c r="A137" s="23">
        <v>136</v>
      </c>
      <c r="B137" s="56">
        <f t="shared" si="17"/>
        <v>106</v>
      </c>
      <c r="C137" s="56">
        <f t="shared" si="18"/>
        <v>167</v>
      </c>
      <c r="D137" s="27">
        <v>59167</v>
      </c>
      <c r="E137" s="56">
        <f t="shared" si="21"/>
        <v>60</v>
      </c>
      <c r="F137" s="65">
        <f t="shared" si="15"/>
        <v>136</v>
      </c>
      <c r="G137" s="61">
        <f t="shared" si="19"/>
        <v>0</v>
      </c>
      <c r="H137" s="58">
        <f t="shared" si="16"/>
        <v>1</v>
      </c>
      <c r="I137" s="58">
        <f t="shared" si="20"/>
        <v>0</v>
      </c>
    </row>
    <row r="138" spans="1:9" x14ac:dyDescent="0.15">
      <c r="A138" s="23">
        <v>137</v>
      </c>
      <c r="B138" s="56">
        <f t="shared" si="17"/>
        <v>107</v>
      </c>
      <c r="C138" s="56">
        <f t="shared" si="18"/>
        <v>167</v>
      </c>
      <c r="D138" s="27">
        <v>59826</v>
      </c>
      <c r="E138" s="56">
        <f t="shared" si="21"/>
        <v>60</v>
      </c>
      <c r="F138" s="65">
        <f t="shared" si="15"/>
        <v>137</v>
      </c>
      <c r="G138" s="61">
        <f t="shared" si="19"/>
        <v>1</v>
      </c>
      <c r="H138" s="58">
        <f t="shared" si="16"/>
        <v>0</v>
      </c>
      <c r="I138" s="58">
        <f t="shared" si="20"/>
        <v>0</v>
      </c>
    </row>
    <row r="139" spans="1:9" x14ac:dyDescent="0.15">
      <c r="A139" s="23">
        <v>138</v>
      </c>
      <c r="B139" s="56">
        <f t="shared" si="17"/>
        <v>107</v>
      </c>
      <c r="C139" s="56">
        <f t="shared" si="18"/>
        <v>167</v>
      </c>
      <c r="D139" s="27">
        <v>60488</v>
      </c>
      <c r="E139" s="56">
        <f t="shared" si="21"/>
        <v>60</v>
      </c>
      <c r="F139" s="65">
        <f t="shared" si="15"/>
        <v>138</v>
      </c>
      <c r="G139" s="61">
        <f t="shared" si="19"/>
        <v>0</v>
      </c>
      <c r="H139" s="58">
        <f t="shared" si="16"/>
        <v>0</v>
      </c>
      <c r="I139" s="58">
        <f t="shared" si="20"/>
        <v>0</v>
      </c>
    </row>
    <row r="140" spans="1:9" x14ac:dyDescent="0.15">
      <c r="A140" s="23">
        <v>139</v>
      </c>
      <c r="B140" s="56">
        <f t="shared" si="17"/>
        <v>108</v>
      </c>
      <c r="C140" s="56">
        <f t="shared" si="18"/>
        <v>167</v>
      </c>
      <c r="D140" s="27">
        <v>61151</v>
      </c>
      <c r="E140" s="56">
        <f t="shared" si="21"/>
        <v>60</v>
      </c>
      <c r="F140" s="65">
        <f t="shared" si="15"/>
        <v>139</v>
      </c>
      <c r="G140" s="61">
        <f t="shared" si="19"/>
        <v>1</v>
      </c>
      <c r="H140" s="58">
        <f t="shared" si="16"/>
        <v>0</v>
      </c>
      <c r="I140" s="58">
        <f t="shared" si="20"/>
        <v>0</v>
      </c>
    </row>
    <row r="141" spans="1:9" x14ac:dyDescent="0.15">
      <c r="A141" s="23">
        <v>140</v>
      </c>
      <c r="B141" s="56">
        <f t="shared" si="17"/>
        <v>108</v>
      </c>
      <c r="C141" s="56">
        <f t="shared" si="18"/>
        <v>168</v>
      </c>
      <c r="D141" s="27">
        <v>61815</v>
      </c>
      <c r="E141" s="56">
        <f t="shared" si="21"/>
        <v>60</v>
      </c>
      <c r="F141" s="65">
        <f t="shared" si="15"/>
        <v>140</v>
      </c>
      <c r="G141" s="61">
        <f t="shared" si="19"/>
        <v>0</v>
      </c>
      <c r="H141" s="58">
        <f t="shared" si="16"/>
        <v>1</v>
      </c>
      <c r="I141" s="58">
        <f t="shared" si="20"/>
        <v>0</v>
      </c>
    </row>
    <row r="142" spans="1:9" x14ac:dyDescent="0.15">
      <c r="A142" s="23">
        <v>141</v>
      </c>
      <c r="B142" s="56">
        <f t="shared" si="17"/>
        <v>109</v>
      </c>
      <c r="C142" s="56">
        <f t="shared" si="18"/>
        <v>168</v>
      </c>
      <c r="D142" s="27">
        <v>62481</v>
      </c>
      <c r="E142" s="56">
        <f t="shared" si="21"/>
        <v>60</v>
      </c>
      <c r="F142" s="65">
        <f t="shared" si="15"/>
        <v>141</v>
      </c>
      <c r="G142" s="61">
        <f t="shared" si="19"/>
        <v>1</v>
      </c>
      <c r="H142" s="58">
        <f t="shared" si="16"/>
        <v>0</v>
      </c>
      <c r="I142" s="58">
        <f t="shared" si="20"/>
        <v>0</v>
      </c>
    </row>
    <row r="143" spans="1:9" x14ac:dyDescent="0.15">
      <c r="A143" s="23">
        <v>142</v>
      </c>
      <c r="B143" s="56">
        <f t="shared" si="17"/>
        <v>109</v>
      </c>
      <c r="C143" s="56">
        <f t="shared" si="18"/>
        <v>168</v>
      </c>
      <c r="D143" s="27">
        <v>63148</v>
      </c>
      <c r="E143" s="56">
        <f t="shared" si="21"/>
        <v>60</v>
      </c>
      <c r="F143" s="65">
        <f t="shared" si="15"/>
        <v>142</v>
      </c>
      <c r="G143" s="61">
        <f t="shared" si="19"/>
        <v>0</v>
      </c>
      <c r="H143" s="58">
        <f t="shared" si="16"/>
        <v>0</v>
      </c>
      <c r="I143" s="58">
        <f t="shared" si="20"/>
        <v>0</v>
      </c>
    </row>
    <row r="144" spans="1:9" x14ac:dyDescent="0.15">
      <c r="A144" s="23">
        <v>143</v>
      </c>
      <c r="B144" s="56">
        <f t="shared" si="17"/>
        <v>110</v>
      </c>
      <c r="C144" s="56">
        <f t="shared" si="18"/>
        <v>168</v>
      </c>
      <c r="D144" s="27">
        <v>63817</v>
      </c>
      <c r="E144" s="56">
        <f t="shared" si="21"/>
        <v>60</v>
      </c>
      <c r="F144" s="65">
        <f t="shared" si="15"/>
        <v>143</v>
      </c>
      <c r="G144" s="61">
        <f t="shared" si="19"/>
        <v>1</v>
      </c>
      <c r="H144" s="58">
        <f t="shared" si="16"/>
        <v>0</v>
      </c>
      <c r="I144" s="58">
        <f t="shared" si="20"/>
        <v>0</v>
      </c>
    </row>
    <row r="145" spans="1:9" x14ac:dyDescent="0.15">
      <c r="A145" s="23">
        <v>144</v>
      </c>
      <c r="B145" s="56">
        <f t="shared" si="17"/>
        <v>110</v>
      </c>
      <c r="C145" s="56">
        <f t="shared" si="18"/>
        <v>169</v>
      </c>
      <c r="D145" s="27">
        <v>64487</v>
      </c>
      <c r="E145" s="56">
        <f t="shared" si="21"/>
        <v>60</v>
      </c>
      <c r="F145" s="65">
        <f t="shared" si="15"/>
        <v>144</v>
      </c>
      <c r="G145" s="61">
        <f t="shared" si="19"/>
        <v>0</v>
      </c>
      <c r="H145" s="58">
        <f t="shared" si="16"/>
        <v>1</v>
      </c>
      <c r="I145" s="58">
        <f t="shared" si="20"/>
        <v>0</v>
      </c>
    </row>
    <row r="146" spans="1:9" x14ac:dyDescent="0.15">
      <c r="A146" s="23">
        <v>145</v>
      </c>
      <c r="B146" s="56">
        <f t="shared" si="17"/>
        <v>111</v>
      </c>
      <c r="C146" s="56">
        <f t="shared" si="18"/>
        <v>169</v>
      </c>
      <c r="D146" s="27">
        <v>65159</v>
      </c>
      <c r="E146" s="56">
        <f t="shared" si="21"/>
        <v>60</v>
      </c>
      <c r="F146" s="65">
        <f t="shared" si="15"/>
        <v>145</v>
      </c>
      <c r="G146" s="61">
        <f t="shared" si="19"/>
        <v>1</v>
      </c>
      <c r="H146" s="58">
        <f t="shared" si="16"/>
        <v>0</v>
      </c>
      <c r="I146" s="58">
        <f t="shared" si="20"/>
        <v>0</v>
      </c>
    </row>
    <row r="147" spans="1:9" x14ac:dyDescent="0.15">
      <c r="A147" s="23">
        <v>146</v>
      </c>
      <c r="B147" s="56">
        <f t="shared" si="17"/>
        <v>111</v>
      </c>
      <c r="C147" s="56">
        <f t="shared" si="18"/>
        <v>169</v>
      </c>
      <c r="D147" s="27">
        <v>65832</v>
      </c>
      <c r="E147" s="56">
        <f t="shared" si="21"/>
        <v>60</v>
      </c>
      <c r="F147" s="65">
        <f t="shared" si="15"/>
        <v>146</v>
      </c>
      <c r="G147" s="61">
        <f t="shared" si="19"/>
        <v>0</v>
      </c>
      <c r="H147" s="58">
        <f t="shared" si="16"/>
        <v>0</v>
      </c>
      <c r="I147" s="58">
        <f t="shared" si="20"/>
        <v>0</v>
      </c>
    </row>
    <row r="148" spans="1:9" x14ac:dyDescent="0.15">
      <c r="A148" s="23">
        <v>147</v>
      </c>
      <c r="B148" s="56">
        <f t="shared" si="17"/>
        <v>112</v>
      </c>
      <c r="C148" s="56">
        <f t="shared" si="18"/>
        <v>169</v>
      </c>
      <c r="D148" s="27">
        <v>66506</v>
      </c>
      <c r="E148" s="56">
        <f t="shared" si="21"/>
        <v>60</v>
      </c>
      <c r="F148" s="65">
        <f t="shared" si="15"/>
        <v>147</v>
      </c>
      <c r="G148" s="61">
        <f t="shared" si="19"/>
        <v>1</v>
      </c>
      <c r="H148" s="58">
        <f t="shared" si="16"/>
        <v>0</v>
      </c>
      <c r="I148" s="58">
        <f t="shared" si="20"/>
        <v>0</v>
      </c>
    </row>
    <row r="149" spans="1:9" x14ac:dyDescent="0.15">
      <c r="A149" s="23">
        <v>148</v>
      </c>
      <c r="B149" s="56">
        <f t="shared" si="17"/>
        <v>112</v>
      </c>
      <c r="C149" s="56">
        <f t="shared" si="18"/>
        <v>170</v>
      </c>
      <c r="D149" s="27">
        <v>67182</v>
      </c>
      <c r="E149" s="56">
        <f t="shared" si="21"/>
        <v>60</v>
      </c>
      <c r="F149" s="65">
        <f t="shared" si="15"/>
        <v>148</v>
      </c>
      <c r="G149" s="61">
        <f t="shared" si="19"/>
        <v>0</v>
      </c>
      <c r="H149" s="58">
        <f t="shared" si="16"/>
        <v>1</v>
      </c>
      <c r="I149" s="58">
        <f t="shared" si="20"/>
        <v>0</v>
      </c>
    </row>
    <row r="150" spans="1:9" x14ac:dyDescent="0.15">
      <c r="A150" s="23">
        <v>149</v>
      </c>
      <c r="B150" s="56">
        <f t="shared" si="17"/>
        <v>113</v>
      </c>
      <c r="C150" s="56">
        <f t="shared" si="18"/>
        <v>170</v>
      </c>
      <c r="D150" s="27">
        <v>67859</v>
      </c>
      <c r="E150" s="56">
        <f t="shared" si="21"/>
        <v>60</v>
      </c>
      <c r="F150" s="65">
        <f t="shared" si="15"/>
        <v>149</v>
      </c>
      <c r="G150" s="61">
        <f t="shared" si="19"/>
        <v>1</v>
      </c>
      <c r="H150" s="58">
        <f t="shared" si="16"/>
        <v>0</v>
      </c>
      <c r="I150" s="58">
        <f t="shared" si="20"/>
        <v>0</v>
      </c>
    </row>
    <row r="151" spans="1:9" x14ac:dyDescent="0.15">
      <c r="A151" s="23">
        <v>150</v>
      </c>
      <c r="B151" s="56">
        <f t="shared" si="17"/>
        <v>113</v>
      </c>
      <c r="C151" s="56">
        <f t="shared" si="18"/>
        <v>170</v>
      </c>
      <c r="D151" s="27">
        <v>68537</v>
      </c>
      <c r="E151" s="56">
        <f t="shared" si="21"/>
        <v>60</v>
      </c>
      <c r="F151" s="65">
        <f t="shared" si="15"/>
        <v>150</v>
      </c>
      <c r="G151" s="61">
        <f t="shared" si="19"/>
        <v>0</v>
      </c>
      <c r="H151" s="58">
        <f t="shared" si="16"/>
        <v>0</v>
      </c>
      <c r="I151" s="58">
        <f t="shared" si="20"/>
        <v>0</v>
      </c>
    </row>
    <row r="152" spans="1:9" x14ac:dyDescent="0.15">
      <c r="A152" s="23">
        <v>151</v>
      </c>
      <c r="B152" s="56">
        <f t="shared" si="17"/>
        <v>114</v>
      </c>
      <c r="C152" s="56">
        <f t="shared" si="18"/>
        <v>170</v>
      </c>
      <c r="D152" s="27">
        <v>69216</v>
      </c>
      <c r="E152" s="56">
        <f t="shared" si="21"/>
        <v>60</v>
      </c>
      <c r="F152" s="65">
        <f t="shared" si="15"/>
        <v>151</v>
      </c>
      <c r="G152" s="61">
        <f t="shared" si="19"/>
        <v>1</v>
      </c>
      <c r="H152" s="58">
        <f t="shared" si="16"/>
        <v>0</v>
      </c>
      <c r="I152" s="58">
        <f t="shared" si="20"/>
        <v>0</v>
      </c>
    </row>
    <row r="153" spans="1:9" x14ac:dyDescent="0.15">
      <c r="A153" s="23">
        <v>152</v>
      </c>
      <c r="B153" s="56">
        <f t="shared" si="17"/>
        <v>114</v>
      </c>
      <c r="C153" s="56">
        <f t="shared" si="18"/>
        <v>171</v>
      </c>
      <c r="D153" s="27">
        <v>69896</v>
      </c>
      <c r="E153" s="56">
        <f t="shared" si="21"/>
        <v>60</v>
      </c>
      <c r="F153" s="65">
        <f t="shared" si="15"/>
        <v>152</v>
      </c>
      <c r="G153" s="61">
        <f t="shared" si="19"/>
        <v>0</v>
      </c>
      <c r="H153" s="58">
        <f t="shared" si="16"/>
        <v>1</v>
      </c>
      <c r="I153" s="58">
        <f t="shared" si="20"/>
        <v>0</v>
      </c>
    </row>
    <row r="154" spans="1:9" x14ac:dyDescent="0.15">
      <c r="A154" s="23">
        <v>153</v>
      </c>
      <c r="B154" s="56">
        <f t="shared" si="17"/>
        <v>115</v>
      </c>
      <c r="C154" s="56">
        <f t="shared" si="18"/>
        <v>171</v>
      </c>
      <c r="D154" s="27">
        <v>70577</v>
      </c>
      <c r="E154" s="56">
        <f t="shared" si="21"/>
        <v>60</v>
      </c>
      <c r="F154" s="65">
        <f t="shared" si="15"/>
        <v>153</v>
      </c>
      <c r="G154" s="61">
        <f t="shared" si="19"/>
        <v>1</v>
      </c>
      <c r="H154" s="58">
        <f t="shared" si="16"/>
        <v>0</v>
      </c>
      <c r="I154" s="58">
        <f t="shared" si="20"/>
        <v>0</v>
      </c>
    </row>
    <row r="155" spans="1:9" x14ac:dyDescent="0.15">
      <c r="A155" s="23">
        <v>154</v>
      </c>
      <c r="B155" s="56">
        <f t="shared" si="17"/>
        <v>115</v>
      </c>
      <c r="C155" s="56">
        <f t="shared" si="18"/>
        <v>171</v>
      </c>
      <c r="D155" s="27">
        <v>71260</v>
      </c>
      <c r="E155" s="56">
        <f t="shared" si="21"/>
        <v>60</v>
      </c>
      <c r="F155" s="65">
        <f t="shared" si="15"/>
        <v>154</v>
      </c>
      <c r="G155" s="61">
        <f t="shared" si="19"/>
        <v>0</v>
      </c>
      <c r="H155" s="58">
        <f t="shared" si="16"/>
        <v>0</v>
      </c>
      <c r="I155" s="58">
        <f t="shared" si="20"/>
        <v>0</v>
      </c>
    </row>
    <row r="156" spans="1:9" x14ac:dyDescent="0.15">
      <c r="A156" s="23">
        <v>155</v>
      </c>
      <c r="B156" s="56">
        <f t="shared" si="17"/>
        <v>116</v>
      </c>
      <c r="C156" s="56">
        <f t="shared" si="18"/>
        <v>171</v>
      </c>
      <c r="D156" s="27">
        <v>71943</v>
      </c>
      <c r="E156" s="56">
        <f t="shared" si="21"/>
        <v>60</v>
      </c>
      <c r="F156" s="65">
        <f t="shared" si="15"/>
        <v>155</v>
      </c>
      <c r="G156" s="61">
        <f t="shared" si="19"/>
        <v>1</v>
      </c>
      <c r="H156" s="58">
        <f t="shared" si="16"/>
        <v>0</v>
      </c>
      <c r="I156" s="58">
        <f t="shared" si="20"/>
        <v>0</v>
      </c>
    </row>
    <row r="157" spans="1:9" x14ac:dyDescent="0.15">
      <c r="A157" s="23">
        <v>156</v>
      </c>
      <c r="B157" s="56">
        <f t="shared" si="17"/>
        <v>116</v>
      </c>
      <c r="C157" s="56">
        <f t="shared" si="18"/>
        <v>172</v>
      </c>
      <c r="D157" s="27">
        <v>72627</v>
      </c>
      <c r="E157" s="56">
        <f t="shared" si="21"/>
        <v>60</v>
      </c>
      <c r="F157" s="65">
        <f t="shared" si="15"/>
        <v>156</v>
      </c>
      <c r="G157" s="61">
        <f t="shared" si="19"/>
        <v>0</v>
      </c>
      <c r="H157" s="58">
        <f t="shared" si="16"/>
        <v>1</v>
      </c>
      <c r="I157" s="58">
        <f t="shared" si="20"/>
        <v>0</v>
      </c>
    </row>
    <row r="158" spans="1:9" x14ac:dyDescent="0.15">
      <c r="A158" s="23">
        <v>157</v>
      </c>
      <c r="B158" s="56">
        <f t="shared" si="17"/>
        <v>117</v>
      </c>
      <c r="C158" s="56">
        <f t="shared" si="18"/>
        <v>172</v>
      </c>
      <c r="D158" s="27">
        <v>73313</v>
      </c>
      <c r="E158" s="56">
        <f t="shared" si="21"/>
        <v>60</v>
      </c>
      <c r="F158" s="65">
        <f t="shared" si="15"/>
        <v>157</v>
      </c>
      <c r="G158" s="61">
        <f t="shared" si="19"/>
        <v>1</v>
      </c>
      <c r="H158" s="58">
        <f t="shared" si="16"/>
        <v>0</v>
      </c>
      <c r="I158" s="58">
        <f t="shared" si="20"/>
        <v>0</v>
      </c>
    </row>
    <row r="159" spans="1:9" x14ac:dyDescent="0.15">
      <c r="A159" s="23">
        <v>158</v>
      </c>
      <c r="B159" s="56">
        <f t="shared" si="17"/>
        <v>117</v>
      </c>
      <c r="C159" s="56">
        <f t="shared" si="18"/>
        <v>172</v>
      </c>
      <c r="D159" s="27">
        <v>73999</v>
      </c>
      <c r="E159" s="56">
        <f t="shared" si="21"/>
        <v>60</v>
      </c>
      <c r="F159" s="65">
        <f t="shared" si="15"/>
        <v>158</v>
      </c>
      <c r="G159" s="61">
        <f t="shared" si="19"/>
        <v>0</v>
      </c>
      <c r="H159" s="58">
        <f t="shared" si="16"/>
        <v>0</v>
      </c>
      <c r="I159" s="58">
        <f t="shared" si="20"/>
        <v>0</v>
      </c>
    </row>
    <row r="160" spans="1:9" x14ac:dyDescent="0.15">
      <c r="A160" s="23">
        <v>159</v>
      </c>
      <c r="B160" s="56">
        <f t="shared" si="17"/>
        <v>118</v>
      </c>
      <c r="C160" s="56">
        <f t="shared" si="18"/>
        <v>172</v>
      </c>
      <c r="D160" s="27">
        <v>74686</v>
      </c>
      <c r="E160" s="56">
        <f t="shared" si="21"/>
        <v>60</v>
      </c>
      <c r="F160" s="65">
        <f t="shared" si="15"/>
        <v>159</v>
      </c>
      <c r="G160" s="61">
        <f t="shared" si="19"/>
        <v>1</v>
      </c>
      <c r="H160" s="58">
        <f t="shared" si="16"/>
        <v>0</v>
      </c>
      <c r="I160" s="58">
        <f t="shared" si="20"/>
        <v>0</v>
      </c>
    </row>
    <row r="161" spans="1:9" x14ac:dyDescent="0.15">
      <c r="A161" s="23">
        <v>160</v>
      </c>
      <c r="B161" s="56">
        <f t="shared" si="17"/>
        <v>118</v>
      </c>
      <c r="C161" s="56">
        <f t="shared" si="18"/>
        <v>173</v>
      </c>
      <c r="D161" s="27">
        <v>75374</v>
      </c>
      <c r="E161" s="56">
        <f t="shared" si="21"/>
        <v>60</v>
      </c>
      <c r="F161" s="65">
        <f t="shared" si="15"/>
        <v>160</v>
      </c>
      <c r="G161" s="61">
        <f t="shared" si="19"/>
        <v>0</v>
      </c>
      <c r="H161" s="58">
        <f t="shared" si="16"/>
        <v>1</v>
      </c>
      <c r="I161" s="58">
        <f t="shared" si="20"/>
        <v>0</v>
      </c>
    </row>
    <row r="162" spans="1:9" x14ac:dyDescent="0.15">
      <c r="A162" s="23">
        <v>161</v>
      </c>
      <c r="B162" s="56">
        <f t="shared" si="17"/>
        <v>119</v>
      </c>
      <c r="C162" s="56">
        <f t="shared" si="18"/>
        <v>173</v>
      </c>
      <c r="D162" s="27">
        <v>76062</v>
      </c>
      <c r="E162" s="56">
        <f t="shared" si="21"/>
        <v>60</v>
      </c>
      <c r="F162" s="65">
        <f t="shared" si="15"/>
        <v>161</v>
      </c>
      <c r="G162" s="61">
        <f t="shared" si="19"/>
        <v>1</v>
      </c>
      <c r="H162" s="58">
        <f t="shared" si="16"/>
        <v>0</v>
      </c>
      <c r="I162" s="58">
        <f t="shared" si="20"/>
        <v>0</v>
      </c>
    </row>
    <row r="163" spans="1:9" x14ac:dyDescent="0.15">
      <c r="A163" s="23">
        <v>162</v>
      </c>
      <c r="B163" s="56">
        <f t="shared" si="17"/>
        <v>119</v>
      </c>
      <c r="C163" s="56">
        <f t="shared" si="18"/>
        <v>173</v>
      </c>
      <c r="D163" s="27">
        <v>76752</v>
      </c>
      <c r="E163" s="56">
        <f t="shared" si="21"/>
        <v>60</v>
      </c>
      <c r="F163" s="65">
        <f t="shared" si="15"/>
        <v>162</v>
      </c>
      <c r="G163" s="61">
        <f t="shared" si="19"/>
        <v>0</v>
      </c>
      <c r="H163" s="58">
        <f t="shared" si="16"/>
        <v>0</v>
      </c>
      <c r="I163" s="58">
        <f t="shared" si="20"/>
        <v>0</v>
      </c>
    </row>
    <row r="164" spans="1:9" x14ac:dyDescent="0.15">
      <c r="A164" s="23">
        <v>163</v>
      </c>
      <c r="B164" s="56">
        <f t="shared" si="17"/>
        <v>120</v>
      </c>
      <c r="C164" s="56">
        <f t="shared" si="18"/>
        <v>173</v>
      </c>
      <c r="D164" s="27">
        <v>77441</v>
      </c>
      <c r="E164" s="56">
        <f t="shared" si="21"/>
        <v>60</v>
      </c>
      <c r="F164" s="65">
        <f t="shared" si="15"/>
        <v>163</v>
      </c>
      <c r="G164" s="61">
        <f t="shared" si="19"/>
        <v>1</v>
      </c>
      <c r="H164" s="58">
        <f t="shared" si="16"/>
        <v>0</v>
      </c>
      <c r="I164" s="58">
        <f t="shared" si="20"/>
        <v>0</v>
      </c>
    </row>
    <row r="165" spans="1:9" x14ac:dyDescent="0.15">
      <c r="A165" s="23">
        <v>164</v>
      </c>
      <c r="B165" s="56">
        <f t="shared" si="17"/>
        <v>120</v>
      </c>
      <c r="C165" s="56">
        <f t="shared" si="18"/>
        <v>174</v>
      </c>
      <c r="D165" s="27">
        <v>78132</v>
      </c>
      <c r="E165" s="56">
        <f t="shared" si="21"/>
        <v>60</v>
      </c>
      <c r="F165" s="65">
        <f t="shared" si="15"/>
        <v>164</v>
      </c>
      <c r="G165" s="61">
        <f t="shared" si="19"/>
        <v>0</v>
      </c>
      <c r="H165" s="58">
        <f t="shared" si="16"/>
        <v>1</v>
      </c>
      <c r="I165" s="58">
        <f t="shared" si="20"/>
        <v>0</v>
      </c>
    </row>
    <row r="166" spans="1:9" x14ac:dyDescent="0.15">
      <c r="A166" s="23">
        <v>165</v>
      </c>
      <c r="B166" s="56">
        <f t="shared" si="17"/>
        <v>121</v>
      </c>
      <c r="C166" s="56">
        <f t="shared" si="18"/>
        <v>174</v>
      </c>
      <c r="D166" s="27">
        <v>78823</v>
      </c>
      <c r="E166" s="56">
        <f t="shared" si="21"/>
        <v>60</v>
      </c>
      <c r="F166" s="65">
        <f t="shared" si="15"/>
        <v>165</v>
      </c>
      <c r="G166" s="61">
        <f t="shared" si="19"/>
        <v>1</v>
      </c>
      <c r="H166" s="58">
        <f t="shared" si="16"/>
        <v>0</v>
      </c>
      <c r="I166" s="58">
        <f t="shared" si="20"/>
        <v>0</v>
      </c>
    </row>
    <row r="167" spans="1:9" x14ac:dyDescent="0.15">
      <c r="A167" s="23">
        <v>166</v>
      </c>
      <c r="B167" s="56">
        <f t="shared" si="17"/>
        <v>121</v>
      </c>
      <c r="C167" s="56">
        <f t="shared" si="18"/>
        <v>174</v>
      </c>
      <c r="D167" s="27">
        <v>79515</v>
      </c>
      <c r="E167" s="56">
        <f t="shared" si="21"/>
        <v>60</v>
      </c>
      <c r="F167" s="65">
        <f t="shared" si="15"/>
        <v>166</v>
      </c>
      <c r="G167" s="61">
        <f t="shared" si="19"/>
        <v>0</v>
      </c>
      <c r="H167" s="58">
        <f t="shared" si="16"/>
        <v>0</v>
      </c>
      <c r="I167" s="58">
        <f t="shared" si="20"/>
        <v>0</v>
      </c>
    </row>
    <row r="168" spans="1:9" x14ac:dyDescent="0.15">
      <c r="A168" s="23">
        <v>167</v>
      </c>
      <c r="B168" s="56">
        <f t="shared" si="17"/>
        <v>122</v>
      </c>
      <c r="C168" s="56">
        <f t="shared" si="18"/>
        <v>174</v>
      </c>
      <c r="D168" s="27">
        <v>80207</v>
      </c>
      <c r="E168" s="56">
        <f t="shared" si="21"/>
        <v>60</v>
      </c>
      <c r="F168" s="65">
        <f t="shared" si="15"/>
        <v>167</v>
      </c>
      <c r="G168" s="61">
        <f t="shared" si="19"/>
        <v>1</v>
      </c>
      <c r="H168" s="58">
        <f t="shared" si="16"/>
        <v>0</v>
      </c>
      <c r="I168" s="58">
        <f t="shared" si="20"/>
        <v>0</v>
      </c>
    </row>
    <row r="169" spans="1:9" x14ac:dyDescent="0.15">
      <c r="A169" s="23">
        <v>168</v>
      </c>
      <c r="B169" s="56">
        <f t="shared" si="17"/>
        <v>122</v>
      </c>
      <c r="C169" s="56">
        <f t="shared" si="18"/>
        <v>175</v>
      </c>
      <c r="D169" s="27">
        <v>80900</v>
      </c>
      <c r="E169" s="56">
        <f t="shared" si="21"/>
        <v>60</v>
      </c>
      <c r="F169" s="65">
        <f t="shared" si="15"/>
        <v>168</v>
      </c>
      <c r="G169" s="61">
        <f t="shared" si="19"/>
        <v>0</v>
      </c>
      <c r="H169" s="58">
        <f t="shared" si="16"/>
        <v>1</v>
      </c>
      <c r="I169" s="58">
        <f t="shared" si="20"/>
        <v>0</v>
      </c>
    </row>
    <row r="170" spans="1:9" x14ac:dyDescent="0.15">
      <c r="A170" s="23">
        <v>169</v>
      </c>
      <c r="B170" s="56">
        <f t="shared" si="17"/>
        <v>123</v>
      </c>
      <c r="C170" s="56">
        <f t="shared" si="18"/>
        <v>175</v>
      </c>
      <c r="D170" s="27">
        <v>81593</v>
      </c>
      <c r="E170" s="56">
        <f t="shared" si="21"/>
        <v>60</v>
      </c>
      <c r="F170" s="65">
        <f t="shared" si="15"/>
        <v>169</v>
      </c>
      <c r="G170" s="61">
        <f t="shared" si="19"/>
        <v>1</v>
      </c>
      <c r="H170" s="58">
        <f t="shared" si="16"/>
        <v>0</v>
      </c>
      <c r="I170" s="58">
        <f t="shared" si="20"/>
        <v>0</v>
      </c>
    </row>
    <row r="171" spans="1:9" x14ac:dyDescent="0.15">
      <c r="A171" s="23">
        <v>170</v>
      </c>
      <c r="B171" s="56">
        <f t="shared" si="17"/>
        <v>123</v>
      </c>
      <c r="C171" s="56">
        <f t="shared" si="18"/>
        <v>175</v>
      </c>
      <c r="D171" s="27">
        <v>82286</v>
      </c>
      <c r="E171" s="56">
        <f t="shared" si="21"/>
        <v>60</v>
      </c>
      <c r="F171" s="65">
        <f t="shared" si="15"/>
        <v>170</v>
      </c>
      <c r="G171" s="61">
        <f t="shared" si="19"/>
        <v>0</v>
      </c>
      <c r="H171" s="58">
        <f t="shared" si="16"/>
        <v>0</v>
      </c>
      <c r="I171" s="58">
        <f t="shared" si="20"/>
        <v>0</v>
      </c>
    </row>
    <row r="172" spans="1:9" x14ac:dyDescent="0.15">
      <c r="A172" s="23">
        <v>171</v>
      </c>
      <c r="B172" s="56">
        <f t="shared" si="17"/>
        <v>124</v>
      </c>
      <c r="C172" s="56">
        <f t="shared" si="18"/>
        <v>175</v>
      </c>
      <c r="D172" s="27">
        <v>82979</v>
      </c>
      <c r="E172" s="56">
        <f t="shared" si="21"/>
        <v>60</v>
      </c>
      <c r="F172" s="65">
        <f t="shared" si="15"/>
        <v>171</v>
      </c>
      <c r="G172" s="61">
        <f t="shared" si="19"/>
        <v>1</v>
      </c>
      <c r="H172" s="58">
        <f t="shared" si="16"/>
        <v>0</v>
      </c>
      <c r="I172" s="58">
        <f t="shared" si="20"/>
        <v>0</v>
      </c>
    </row>
    <row r="173" spans="1:9" x14ac:dyDescent="0.15">
      <c r="A173" s="23">
        <v>172</v>
      </c>
      <c r="B173" s="56">
        <f t="shared" si="17"/>
        <v>124</v>
      </c>
      <c r="C173" s="56">
        <f t="shared" si="18"/>
        <v>176</v>
      </c>
      <c r="D173" s="27">
        <v>83673</v>
      </c>
      <c r="E173" s="56">
        <f t="shared" si="21"/>
        <v>60</v>
      </c>
      <c r="F173" s="65">
        <f t="shared" si="15"/>
        <v>172</v>
      </c>
      <c r="G173" s="61">
        <f t="shared" si="19"/>
        <v>0</v>
      </c>
      <c r="H173" s="58">
        <f t="shared" si="16"/>
        <v>1</v>
      </c>
      <c r="I173" s="58">
        <f t="shared" si="20"/>
        <v>0</v>
      </c>
    </row>
    <row r="174" spans="1:9" x14ac:dyDescent="0.15">
      <c r="A174" s="23">
        <v>173</v>
      </c>
      <c r="B174" s="56">
        <f t="shared" si="17"/>
        <v>125</v>
      </c>
      <c r="C174" s="56">
        <f t="shared" si="18"/>
        <v>176</v>
      </c>
      <c r="D174" s="27">
        <v>84367</v>
      </c>
      <c r="E174" s="56">
        <f t="shared" si="21"/>
        <v>60</v>
      </c>
      <c r="F174" s="65">
        <f t="shared" si="15"/>
        <v>173</v>
      </c>
      <c r="G174" s="61">
        <f t="shared" si="19"/>
        <v>1</v>
      </c>
      <c r="H174" s="58">
        <f t="shared" si="16"/>
        <v>0</v>
      </c>
      <c r="I174" s="58">
        <f t="shared" si="20"/>
        <v>0</v>
      </c>
    </row>
    <row r="175" spans="1:9" x14ac:dyDescent="0.15">
      <c r="A175" s="23">
        <v>174</v>
      </c>
      <c r="B175" s="56">
        <f t="shared" si="17"/>
        <v>125</v>
      </c>
      <c r="C175" s="56">
        <f t="shared" si="18"/>
        <v>176</v>
      </c>
      <c r="D175" s="27">
        <v>85061</v>
      </c>
      <c r="E175" s="56">
        <f t="shared" si="21"/>
        <v>60</v>
      </c>
      <c r="F175" s="65">
        <f t="shared" si="15"/>
        <v>174</v>
      </c>
      <c r="G175" s="61">
        <f t="shared" si="19"/>
        <v>0</v>
      </c>
      <c r="H175" s="58">
        <f t="shared" si="16"/>
        <v>0</v>
      </c>
      <c r="I175" s="58">
        <f t="shared" si="20"/>
        <v>0</v>
      </c>
    </row>
    <row r="176" spans="1:9" x14ac:dyDescent="0.15">
      <c r="A176" s="23">
        <v>175</v>
      </c>
      <c r="B176" s="56">
        <f t="shared" si="17"/>
        <v>126</v>
      </c>
      <c r="C176" s="56">
        <f t="shared" si="18"/>
        <v>176</v>
      </c>
      <c r="D176" s="27">
        <v>85755</v>
      </c>
      <c r="E176" s="56">
        <f t="shared" si="21"/>
        <v>60</v>
      </c>
      <c r="F176" s="65">
        <f t="shared" si="15"/>
        <v>175</v>
      </c>
      <c r="G176" s="61">
        <f t="shared" si="19"/>
        <v>1</v>
      </c>
      <c r="H176" s="58">
        <f t="shared" si="16"/>
        <v>0</v>
      </c>
      <c r="I176" s="58">
        <f t="shared" si="20"/>
        <v>0</v>
      </c>
    </row>
    <row r="177" spans="1:9" x14ac:dyDescent="0.15">
      <c r="A177" s="23">
        <v>176</v>
      </c>
      <c r="B177" s="56">
        <f t="shared" si="17"/>
        <v>126</v>
      </c>
      <c r="C177" s="56">
        <f t="shared" si="18"/>
        <v>177</v>
      </c>
      <c r="D177" s="27">
        <v>86449</v>
      </c>
      <c r="E177" s="56">
        <f t="shared" si="21"/>
        <v>60</v>
      </c>
      <c r="F177" s="65">
        <f t="shared" si="15"/>
        <v>176</v>
      </c>
      <c r="G177" s="61">
        <f t="shared" si="19"/>
        <v>0</v>
      </c>
      <c r="H177" s="58">
        <f t="shared" si="16"/>
        <v>1</v>
      </c>
      <c r="I177" s="58">
        <f t="shared" si="20"/>
        <v>0</v>
      </c>
    </row>
    <row r="178" spans="1:9" x14ac:dyDescent="0.15">
      <c r="A178" s="23">
        <v>177</v>
      </c>
      <c r="B178" s="56">
        <f t="shared" si="17"/>
        <v>127</v>
      </c>
      <c r="C178" s="56">
        <f t="shared" si="18"/>
        <v>177</v>
      </c>
      <c r="D178" s="27">
        <v>87143</v>
      </c>
      <c r="E178" s="56">
        <f t="shared" si="21"/>
        <v>60</v>
      </c>
      <c r="F178" s="65">
        <f t="shared" si="15"/>
        <v>177</v>
      </c>
      <c r="G178" s="61">
        <f t="shared" si="19"/>
        <v>1</v>
      </c>
      <c r="H178" s="58">
        <f t="shared" si="16"/>
        <v>0</v>
      </c>
      <c r="I178" s="58">
        <f t="shared" si="20"/>
        <v>0</v>
      </c>
    </row>
    <row r="179" spans="1:9" x14ac:dyDescent="0.15">
      <c r="A179" s="23">
        <v>178</v>
      </c>
      <c r="B179" s="56">
        <f t="shared" si="17"/>
        <v>127</v>
      </c>
      <c r="C179" s="56">
        <f t="shared" si="18"/>
        <v>177</v>
      </c>
      <c r="D179" s="27">
        <v>87837</v>
      </c>
      <c r="E179" s="56">
        <f t="shared" si="21"/>
        <v>60</v>
      </c>
      <c r="F179" s="65">
        <f t="shared" si="15"/>
        <v>178</v>
      </c>
      <c r="G179" s="61">
        <f t="shared" si="19"/>
        <v>0</v>
      </c>
      <c r="H179" s="58">
        <f t="shared" si="16"/>
        <v>0</v>
      </c>
      <c r="I179" s="58">
        <f t="shared" si="20"/>
        <v>0</v>
      </c>
    </row>
    <row r="180" spans="1:9" x14ac:dyDescent="0.15">
      <c r="A180" s="23">
        <v>179</v>
      </c>
      <c r="B180" s="56">
        <f t="shared" si="17"/>
        <v>128</v>
      </c>
      <c r="C180" s="56">
        <f t="shared" si="18"/>
        <v>177</v>
      </c>
      <c r="D180" s="27">
        <v>88531</v>
      </c>
      <c r="E180" s="56">
        <f t="shared" si="21"/>
        <v>60</v>
      </c>
      <c r="F180" s="65">
        <f t="shared" si="15"/>
        <v>179</v>
      </c>
      <c r="G180" s="61">
        <f t="shared" si="19"/>
        <v>1</v>
      </c>
      <c r="H180" s="58">
        <f t="shared" si="16"/>
        <v>0</v>
      </c>
      <c r="I180" s="58">
        <f t="shared" si="20"/>
        <v>0</v>
      </c>
    </row>
    <row r="181" spans="1:9" x14ac:dyDescent="0.15">
      <c r="A181" s="23">
        <v>180</v>
      </c>
      <c r="B181" s="56">
        <f t="shared" si="17"/>
        <v>128</v>
      </c>
      <c r="C181" s="56">
        <f t="shared" si="18"/>
        <v>178</v>
      </c>
      <c r="D181" s="27">
        <v>89224</v>
      </c>
      <c r="E181" s="56">
        <f t="shared" si="21"/>
        <v>60</v>
      </c>
      <c r="F181" s="65">
        <f t="shared" si="15"/>
        <v>180</v>
      </c>
      <c r="G181" s="61">
        <f t="shared" si="19"/>
        <v>0</v>
      </c>
      <c r="H181" s="58">
        <f t="shared" si="16"/>
        <v>1</v>
      </c>
      <c r="I181" s="58">
        <f t="shared" si="20"/>
        <v>0</v>
      </c>
    </row>
    <row r="182" spans="1:9" x14ac:dyDescent="0.15">
      <c r="A182" s="23">
        <v>181</v>
      </c>
      <c r="B182" s="56">
        <f t="shared" si="17"/>
        <v>129</v>
      </c>
      <c r="C182" s="56">
        <f t="shared" si="18"/>
        <v>178</v>
      </c>
      <c r="D182" s="27">
        <v>89917</v>
      </c>
      <c r="E182" s="56">
        <f t="shared" si="21"/>
        <v>60</v>
      </c>
      <c r="F182" s="65">
        <f t="shared" si="15"/>
        <v>181</v>
      </c>
      <c r="G182" s="61">
        <f t="shared" si="19"/>
        <v>1</v>
      </c>
      <c r="H182" s="58">
        <f t="shared" si="16"/>
        <v>0</v>
      </c>
      <c r="I182" s="58">
        <f t="shared" si="20"/>
        <v>0</v>
      </c>
    </row>
    <row r="183" spans="1:9" x14ac:dyDescent="0.15">
      <c r="A183" s="23">
        <v>182</v>
      </c>
      <c r="B183" s="56">
        <f t="shared" si="17"/>
        <v>129</v>
      </c>
      <c r="C183" s="56">
        <f t="shared" si="18"/>
        <v>178</v>
      </c>
      <c r="D183" s="27">
        <v>90610</v>
      </c>
      <c r="E183" s="56">
        <f t="shared" si="21"/>
        <v>60</v>
      </c>
      <c r="F183" s="65">
        <f t="shared" si="15"/>
        <v>182</v>
      </c>
      <c r="G183" s="61">
        <f t="shared" si="19"/>
        <v>0</v>
      </c>
      <c r="H183" s="58">
        <f t="shared" si="16"/>
        <v>0</v>
      </c>
      <c r="I183" s="58">
        <f t="shared" si="20"/>
        <v>0</v>
      </c>
    </row>
    <row r="184" spans="1:9" x14ac:dyDescent="0.15">
      <c r="A184" s="23">
        <v>183</v>
      </c>
      <c r="B184" s="56">
        <f t="shared" si="17"/>
        <v>130</v>
      </c>
      <c r="C184" s="56">
        <f t="shared" si="18"/>
        <v>178</v>
      </c>
      <c r="D184" s="27">
        <v>91302</v>
      </c>
      <c r="E184" s="56">
        <f t="shared" si="21"/>
        <v>60</v>
      </c>
      <c r="F184" s="65">
        <f t="shared" si="15"/>
        <v>183</v>
      </c>
      <c r="G184" s="61">
        <f t="shared" si="19"/>
        <v>1</v>
      </c>
      <c r="H184" s="58">
        <f t="shared" si="16"/>
        <v>0</v>
      </c>
      <c r="I184" s="58">
        <f t="shared" si="20"/>
        <v>0</v>
      </c>
    </row>
    <row r="185" spans="1:9" x14ac:dyDescent="0.15">
      <c r="A185" s="23">
        <v>184</v>
      </c>
      <c r="B185" s="56">
        <f t="shared" si="17"/>
        <v>130</v>
      </c>
      <c r="C185" s="56">
        <f t="shared" si="18"/>
        <v>179</v>
      </c>
      <c r="D185" s="27">
        <v>91994</v>
      </c>
      <c r="E185" s="56">
        <f t="shared" si="21"/>
        <v>60</v>
      </c>
      <c r="F185" s="65">
        <f t="shared" si="15"/>
        <v>184</v>
      </c>
      <c r="G185" s="61">
        <f t="shared" si="19"/>
        <v>0</v>
      </c>
      <c r="H185" s="58">
        <f t="shared" si="16"/>
        <v>1</v>
      </c>
      <c r="I185" s="58">
        <f t="shared" si="20"/>
        <v>0</v>
      </c>
    </row>
    <row r="186" spans="1:9" x14ac:dyDescent="0.15">
      <c r="A186" s="23">
        <v>185</v>
      </c>
      <c r="B186" s="56">
        <f t="shared" si="17"/>
        <v>131</v>
      </c>
      <c r="C186" s="56">
        <f t="shared" si="18"/>
        <v>179</v>
      </c>
      <c r="D186" s="27">
        <v>92685</v>
      </c>
      <c r="E186" s="56">
        <f t="shared" si="21"/>
        <v>60</v>
      </c>
      <c r="F186" s="65">
        <f t="shared" si="15"/>
        <v>185</v>
      </c>
      <c r="G186" s="61">
        <f t="shared" si="19"/>
        <v>1</v>
      </c>
      <c r="H186" s="58">
        <f t="shared" si="16"/>
        <v>0</v>
      </c>
      <c r="I186" s="58">
        <f t="shared" si="20"/>
        <v>0</v>
      </c>
    </row>
    <row r="187" spans="1:9" x14ac:dyDescent="0.15">
      <c r="A187" s="23">
        <v>186</v>
      </c>
      <c r="B187" s="56">
        <f t="shared" si="17"/>
        <v>131</v>
      </c>
      <c r="C187" s="56">
        <f t="shared" si="18"/>
        <v>179</v>
      </c>
      <c r="D187" s="27">
        <v>93376</v>
      </c>
      <c r="E187" s="56">
        <f t="shared" si="21"/>
        <v>60</v>
      </c>
      <c r="F187" s="65">
        <f t="shared" si="15"/>
        <v>186</v>
      </c>
      <c r="G187" s="61">
        <f t="shared" si="19"/>
        <v>0</v>
      </c>
      <c r="H187" s="58">
        <f t="shared" si="16"/>
        <v>0</v>
      </c>
      <c r="I187" s="58">
        <f t="shared" si="20"/>
        <v>0</v>
      </c>
    </row>
    <row r="188" spans="1:9" x14ac:dyDescent="0.15">
      <c r="A188" s="23">
        <v>187</v>
      </c>
      <c r="B188" s="56">
        <f t="shared" si="17"/>
        <v>132</v>
      </c>
      <c r="C188" s="56">
        <f t="shared" si="18"/>
        <v>179</v>
      </c>
      <c r="D188" s="27">
        <v>94065</v>
      </c>
      <c r="E188" s="56">
        <f t="shared" si="21"/>
        <v>60</v>
      </c>
      <c r="F188" s="65">
        <f t="shared" si="15"/>
        <v>187</v>
      </c>
      <c r="G188" s="61">
        <f t="shared" si="19"/>
        <v>1</v>
      </c>
      <c r="H188" s="58">
        <f t="shared" si="16"/>
        <v>0</v>
      </c>
      <c r="I188" s="58">
        <f t="shared" si="20"/>
        <v>0</v>
      </c>
    </row>
    <row r="189" spans="1:9" x14ac:dyDescent="0.15">
      <c r="A189" s="23">
        <v>188</v>
      </c>
      <c r="B189" s="56">
        <f t="shared" si="17"/>
        <v>132</v>
      </c>
      <c r="C189" s="56">
        <f t="shared" si="18"/>
        <v>180</v>
      </c>
      <c r="D189" s="27">
        <v>94754</v>
      </c>
      <c r="E189" s="56">
        <f t="shared" si="21"/>
        <v>60</v>
      </c>
      <c r="F189" s="65">
        <f t="shared" si="15"/>
        <v>188</v>
      </c>
      <c r="G189" s="61">
        <f t="shared" si="19"/>
        <v>0</v>
      </c>
      <c r="H189" s="58">
        <f t="shared" si="16"/>
        <v>1</v>
      </c>
      <c r="I189" s="58">
        <f t="shared" si="20"/>
        <v>0</v>
      </c>
    </row>
    <row r="190" spans="1:9" x14ac:dyDescent="0.15">
      <c r="A190" s="23">
        <v>189</v>
      </c>
      <c r="B190" s="56">
        <f t="shared" si="17"/>
        <v>133</v>
      </c>
      <c r="C190" s="56">
        <f t="shared" si="18"/>
        <v>180</v>
      </c>
      <c r="D190" s="27">
        <v>95442</v>
      </c>
      <c r="E190" s="56">
        <f t="shared" si="21"/>
        <v>60</v>
      </c>
      <c r="F190" s="65">
        <f t="shared" si="15"/>
        <v>189</v>
      </c>
      <c r="G190" s="61">
        <f t="shared" si="19"/>
        <v>1</v>
      </c>
      <c r="H190" s="58">
        <f t="shared" si="16"/>
        <v>0</v>
      </c>
      <c r="I190" s="58">
        <f t="shared" si="20"/>
        <v>0</v>
      </c>
    </row>
    <row r="191" spans="1:9" x14ac:dyDescent="0.15">
      <c r="A191" s="23">
        <v>190</v>
      </c>
      <c r="B191" s="56">
        <f t="shared" si="17"/>
        <v>133</v>
      </c>
      <c r="C191" s="56">
        <f t="shared" si="18"/>
        <v>180</v>
      </c>
      <c r="D191" s="27">
        <v>96129</v>
      </c>
      <c r="E191" s="56">
        <f t="shared" si="21"/>
        <v>60</v>
      </c>
      <c r="F191" s="65">
        <f t="shared" si="15"/>
        <v>190</v>
      </c>
      <c r="G191" s="61">
        <f t="shared" si="19"/>
        <v>0</v>
      </c>
      <c r="H191" s="58">
        <f t="shared" si="16"/>
        <v>0</v>
      </c>
      <c r="I191" s="58">
        <f t="shared" si="20"/>
        <v>0</v>
      </c>
    </row>
    <row r="192" spans="1:9" x14ac:dyDescent="0.15">
      <c r="A192" s="23">
        <v>191</v>
      </c>
      <c r="B192" s="56">
        <f t="shared" si="17"/>
        <v>134</v>
      </c>
      <c r="C192" s="56">
        <f t="shared" si="18"/>
        <v>180</v>
      </c>
      <c r="D192" s="27">
        <v>96815</v>
      </c>
      <c r="E192" s="56">
        <f t="shared" si="21"/>
        <v>60</v>
      </c>
      <c r="F192" s="65">
        <f t="shared" si="15"/>
        <v>191</v>
      </c>
      <c r="G192" s="61">
        <f t="shared" si="19"/>
        <v>1</v>
      </c>
      <c r="H192" s="58">
        <f t="shared" si="16"/>
        <v>0</v>
      </c>
      <c r="I192" s="58">
        <f t="shared" si="20"/>
        <v>0</v>
      </c>
    </row>
    <row r="193" spans="1:9" x14ac:dyDescent="0.15">
      <c r="A193" s="23">
        <v>192</v>
      </c>
      <c r="B193" s="56">
        <f t="shared" si="17"/>
        <v>134</v>
      </c>
      <c r="C193" s="56">
        <f t="shared" si="18"/>
        <v>181</v>
      </c>
      <c r="D193" s="27">
        <v>97500</v>
      </c>
      <c r="E193" s="56">
        <f t="shared" si="21"/>
        <v>60</v>
      </c>
      <c r="F193" s="65">
        <f t="shared" si="15"/>
        <v>192</v>
      </c>
      <c r="G193" s="61">
        <f t="shared" si="19"/>
        <v>0</v>
      </c>
      <c r="H193" s="58">
        <f t="shared" si="16"/>
        <v>1</v>
      </c>
      <c r="I193" s="58">
        <f t="shared" si="20"/>
        <v>0</v>
      </c>
    </row>
    <row r="194" spans="1:9" x14ac:dyDescent="0.15">
      <c r="A194" s="23">
        <v>193</v>
      </c>
      <c r="B194" s="56">
        <f t="shared" si="17"/>
        <v>135</v>
      </c>
      <c r="C194" s="56">
        <f t="shared" si="18"/>
        <v>181</v>
      </c>
      <c r="D194" s="27">
        <v>98184</v>
      </c>
      <c r="E194" s="56">
        <f t="shared" si="21"/>
        <v>60</v>
      </c>
      <c r="F194" s="65">
        <f t="shared" ref="F194:F257" si="22">A194</f>
        <v>193</v>
      </c>
      <c r="G194" s="61">
        <f t="shared" si="19"/>
        <v>1</v>
      </c>
      <c r="H194" s="58">
        <f t="shared" ref="H194:H257" si="23">IF($A194&gt;=slow,IF(MOD($A194,upper)=0,slow_upper,0),IF($A194&gt;medium,IF(MOD($A194,bonus)=0,medium_bonus,IF(MOD($A194,upper)=0,medium_upper,IF(MOD($A194,up)=0,medium_up,0))),IF(MOD($A194,bonus)=0,fast_bonus,IF(MOD($A194,upper)=0,fast_upper,IF(MOD($A194,up)=0,fast_up,0)))))</f>
        <v>0</v>
      </c>
      <c r="I194" s="58">
        <f t="shared" si="20"/>
        <v>0</v>
      </c>
    </row>
    <row r="195" spans="1:9" x14ac:dyDescent="0.15">
      <c r="A195" s="23">
        <v>194</v>
      </c>
      <c r="B195" s="56">
        <f t="shared" ref="B195:B258" si="24">B194+G195</f>
        <v>135</v>
      </c>
      <c r="C195" s="56">
        <f t="shared" ref="C195:C258" si="25">C194+H195</f>
        <v>181</v>
      </c>
      <c r="D195" s="27">
        <v>98866</v>
      </c>
      <c r="E195" s="56">
        <f t="shared" si="21"/>
        <v>60</v>
      </c>
      <c r="F195" s="65">
        <f t="shared" si="22"/>
        <v>194</v>
      </c>
      <c r="G195" s="61">
        <f t="shared" ref="G195:G258" si="26">IF(A195&gt;=106, IF(MOD(A195,2)=0,0,1), IF(A195 &gt;= 65, IF(MOD(A195, 2) =0,0, IF(MOD(A195,5)= 0, 2, 1)), IF(MOD(A195, 2) =0,0, IF(MOD(A195,5)= 0, 5, 1))))</f>
        <v>0</v>
      </c>
      <c r="H195" s="58">
        <f t="shared" si="23"/>
        <v>0</v>
      </c>
      <c r="I195" s="58">
        <f t="shared" ref="I195:I258" si="27">IF($A195&gt;=51,0,IF($A195&gt;=30,IF(MOD($A195,5)=0,1,0),IF($A195&gt;=11,IF(MOD($A195,5)=0,3,IF(MOD($A195,2)=0,1,0)),IF(MOD($A195,5)=0,5,IF(MOD($A195,2)=0,2,0)))))</f>
        <v>0</v>
      </c>
    </row>
    <row r="196" spans="1:9" x14ac:dyDescent="0.15">
      <c r="A196" s="23">
        <v>195</v>
      </c>
      <c r="B196" s="56">
        <f t="shared" si="24"/>
        <v>136</v>
      </c>
      <c r="C196" s="56">
        <f t="shared" si="25"/>
        <v>181</v>
      </c>
      <c r="D196" s="27">
        <v>99547</v>
      </c>
      <c r="E196" s="56">
        <f t="shared" ref="E196:E259" si="28">E195+I196</f>
        <v>60</v>
      </c>
      <c r="F196" s="65">
        <f t="shared" si="22"/>
        <v>195</v>
      </c>
      <c r="G196" s="61">
        <f t="shared" si="26"/>
        <v>1</v>
      </c>
      <c r="H196" s="58">
        <f t="shared" si="23"/>
        <v>0</v>
      </c>
      <c r="I196" s="58">
        <f t="shared" si="27"/>
        <v>0</v>
      </c>
    </row>
    <row r="197" spans="1:9" x14ac:dyDescent="0.15">
      <c r="A197" s="23">
        <v>196</v>
      </c>
      <c r="B197" s="56">
        <f t="shared" si="24"/>
        <v>136</v>
      </c>
      <c r="C197" s="56">
        <f t="shared" si="25"/>
        <v>182</v>
      </c>
      <c r="D197" s="27">
        <v>100227</v>
      </c>
      <c r="E197" s="56">
        <f t="shared" si="28"/>
        <v>60</v>
      </c>
      <c r="F197" s="65">
        <f t="shared" si="22"/>
        <v>196</v>
      </c>
      <c r="G197" s="61">
        <f t="shared" si="26"/>
        <v>0</v>
      </c>
      <c r="H197" s="58">
        <f t="shared" si="23"/>
        <v>1</v>
      </c>
      <c r="I197" s="58">
        <f t="shared" si="27"/>
        <v>0</v>
      </c>
    </row>
    <row r="198" spans="1:9" x14ac:dyDescent="0.15">
      <c r="A198" s="23">
        <v>197</v>
      </c>
      <c r="B198" s="56">
        <f t="shared" si="24"/>
        <v>137</v>
      </c>
      <c r="C198" s="56">
        <f t="shared" si="25"/>
        <v>182</v>
      </c>
      <c r="D198" s="27">
        <v>100905</v>
      </c>
      <c r="E198" s="56">
        <f t="shared" si="28"/>
        <v>60</v>
      </c>
      <c r="F198" s="65">
        <f t="shared" si="22"/>
        <v>197</v>
      </c>
      <c r="G198" s="61">
        <f t="shared" si="26"/>
        <v>1</v>
      </c>
      <c r="H198" s="58">
        <f t="shared" si="23"/>
        <v>0</v>
      </c>
      <c r="I198" s="58">
        <f t="shared" si="27"/>
        <v>0</v>
      </c>
    </row>
    <row r="199" spans="1:9" x14ac:dyDescent="0.15">
      <c r="A199" s="23">
        <v>198</v>
      </c>
      <c r="B199" s="56">
        <f t="shared" si="24"/>
        <v>137</v>
      </c>
      <c r="C199" s="56">
        <f t="shared" si="25"/>
        <v>182</v>
      </c>
      <c r="D199" s="27">
        <v>101581</v>
      </c>
      <c r="E199" s="56">
        <f t="shared" si="28"/>
        <v>60</v>
      </c>
      <c r="F199" s="65">
        <f t="shared" si="22"/>
        <v>198</v>
      </c>
      <c r="G199" s="61">
        <f t="shared" si="26"/>
        <v>0</v>
      </c>
      <c r="H199" s="58">
        <f t="shared" si="23"/>
        <v>0</v>
      </c>
      <c r="I199" s="58">
        <f t="shared" si="27"/>
        <v>0</v>
      </c>
    </row>
    <row r="200" spans="1:9" x14ac:dyDescent="0.15">
      <c r="A200" s="23">
        <v>199</v>
      </c>
      <c r="B200" s="56">
        <f t="shared" si="24"/>
        <v>138</v>
      </c>
      <c r="C200" s="56">
        <f t="shared" si="25"/>
        <v>182</v>
      </c>
      <c r="D200" s="27">
        <v>102256</v>
      </c>
      <c r="E200" s="56">
        <f t="shared" si="28"/>
        <v>60</v>
      </c>
      <c r="F200" s="65">
        <f t="shared" si="22"/>
        <v>199</v>
      </c>
      <c r="G200" s="61">
        <f t="shared" si="26"/>
        <v>1</v>
      </c>
      <c r="H200" s="58">
        <f t="shared" si="23"/>
        <v>0</v>
      </c>
      <c r="I200" s="58">
        <f t="shared" si="27"/>
        <v>0</v>
      </c>
    </row>
    <row r="201" spans="1:9" x14ac:dyDescent="0.15">
      <c r="A201" s="23">
        <v>200</v>
      </c>
      <c r="B201" s="56">
        <f t="shared" si="24"/>
        <v>138</v>
      </c>
      <c r="C201" s="56">
        <f t="shared" si="25"/>
        <v>183</v>
      </c>
      <c r="D201" s="27">
        <v>102929</v>
      </c>
      <c r="E201" s="56">
        <f t="shared" si="28"/>
        <v>60</v>
      </c>
      <c r="F201" s="65">
        <f t="shared" si="22"/>
        <v>200</v>
      </c>
      <c r="G201" s="61">
        <f t="shared" si="26"/>
        <v>0</v>
      </c>
      <c r="H201" s="58">
        <f t="shared" si="23"/>
        <v>1</v>
      </c>
      <c r="I201" s="58">
        <f t="shared" si="27"/>
        <v>0</v>
      </c>
    </row>
    <row r="202" spans="1:9" x14ac:dyDescent="0.15">
      <c r="A202" s="23">
        <v>201</v>
      </c>
      <c r="B202" s="56">
        <f t="shared" si="24"/>
        <v>139</v>
      </c>
      <c r="C202" s="56">
        <f t="shared" si="25"/>
        <v>183</v>
      </c>
      <c r="D202" s="52">
        <v>103600</v>
      </c>
      <c r="E202" s="56">
        <f t="shared" si="28"/>
        <v>60</v>
      </c>
      <c r="F202" s="65">
        <f t="shared" si="22"/>
        <v>201</v>
      </c>
      <c r="G202" s="61">
        <f t="shared" si="26"/>
        <v>1</v>
      </c>
      <c r="H202" s="58">
        <f t="shared" si="23"/>
        <v>0</v>
      </c>
      <c r="I202" s="58">
        <f t="shared" si="27"/>
        <v>0</v>
      </c>
    </row>
    <row r="203" spans="1:9" x14ac:dyDescent="0.15">
      <c r="A203" s="23">
        <v>202</v>
      </c>
      <c r="B203" s="56">
        <f t="shared" si="24"/>
        <v>139</v>
      </c>
      <c r="C203" s="56">
        <f t="shared" si="25"/>
        <v>183</v>
      </c>
      <c r="D203" s="52">
        <v>104480</v>
      </c>
      <c r="E203" s="56">
        <f t="shared" si="28"/>
        <v>60</v>
      </c>
      <c r="F203" s="65">
        <f t="shared" si="22"/>
        <v>202</v>
      </c>
      <c r="G203" s="61">
        <f t="shared" si="26"/>
        <v>0</v>
      </c>
      <c r="H203" s="58">
        <f t="shared" si="23"/>
        <v>0</v>
      </c>
      <c r="I203" s="58">
        <f t="shared" si="27"/>
        <v>0</v>
      </c>
    </row>
    <row r="204" spans="1:9" x14ac:dyDescent="0.15">
      <c r="A204" s="23">
        <v>203</v>
      </c>
      <c r="B204" s="56">
        <f t="shared" si="24"/>
        <v>140</v>
      </c>
      <c r="C204" s="56">
        <f t="shared" si="25"/>
        <v>183</v>
      </c>
      <c r="D204" s="52">
        <v>105368</v>
      </c>
      <c r="E204" s="56">
        <f t="shared" si="28"/>
        <v>60</v>
      </c>
      <c r="F204" s="65">
        <f t="shared" si="22"/>
        <v>203</v>
      </c>
      <c r="G204" s="61">
        <f t="shared" si="26"/>
        <v>1</v>
      </c>
      <c r="H204" s="58">
        <f t="shared" si="23"/>
        <v>0</v>
      </c>
      <c r="I204" s="58">
        <f t="shared" si="27"/>
        <v>0</v>
      </c>
    </row>
    <row r="205" spans="1:9" x14ac:dyDescent="0.15">
      <c r="A205" s="23">
        <v>204</v>
      </c>
      <c r="B205" s="56">
        <f t="shared" si="24"/>
        <v>140</v>
      </c>
      <c r="C205" s="56">
        <f t="shared" si="25"/>
        <v>184</v>
      </c>
      <c r="D205" s="52">
        <v>106264</v>
      </c>
      <c r="E205" s="56">
        <f t="shared" si="28"/>
        <v>60</v>
      </c>
      <c r="F205" s="65">
        <f t="shared" si="22"/>
        <v>204</v>
      </c>
      <c r="G205" s="61">
        <f t="shared" si="26"/>
        <v>0</v>
      </c>
      <c r="H205" s="58">
        <f t="shared" si="23"/>
        <v>1</v>
      </c>
      <c r="I205" s="58">
        <f t="shared" si="27"/>
        <v>0</v>
      </c>
    </row>
    <row r="206" spans="1:9" x14ac:dyDescent="0.15">
      <c r="A206" s="23">
        <v>205</v>
      </c>
      <c r="B206" s="56">
        <f t="shared" si="24"/>
        <v>141</v>
      </c>
      <c r="C206" s="56">
        <f t="shared" si="25"/>
        <v>184</v>
      </c>
      <c r="D206" s="52">
        <v>107167</v>
      </c>
      <c r="E206" s="56">
        <f t="shared" si="28"/>
        <v>60</v>
      </c>
      <c r="F206" s="65">
        <f t="shared" si="22"/>
        <v>205</v>
      </c>
      <c r="G206" s="61">
        <f t="shared" si="26"/>
        <v>1</v>
      </c>
      <c r="H206" s="58">
        <f t="shared" si="23"/>
        <v>0</v>
      </c>
      <c r="I206" s="58">
        <f t="shared" si="27"/>
        <v>0</v>
      </c>
    </row>
    <row r="207" spans="1:9" x14ac:dyDescent="0.15">
      <c r="A207" s="23">
        <v>206</v>
      </c>
      <c r="B207" s="56">
        <f t="shared" si="24"/>
        <v>141</v>
      </c>
      <c r="C207" s="56">
        <f t="shared" si="25"/>
        <v>184</v>
      </c>
      <c r="D207" s="52">
        <v>108078</v>
      </c>
      <c r="E207" s="56">
        <f t="shared" si="28"/>
        <v>60</v>
      </c>
      <c r="F207" s="65">
        <f t="shared" si="22"/>
        <v>206</v>
      </c>
      <c r="G207" s="61">
        <f t="shared" si="26"/>
        <v>0</v>
      </c>
      <c r="H207" s="58">
        <f t="shared" si="23"/>
        <v>0</v>
      </c>
      <c r="I207" s="58">
        <f t="shared" si="27"/>
        <v>0</v>
      </c>
    </row>
    <row r="208" spans="1:9" x14ac:dyDescent="0.15">
      <c r="A208" s="23">
        <v>207</v>
      </c>
      <c r="B208" s="56">
        <f t="shared" si="24"/>
        <v>142</v>
      </c>
      <c r="C208" s="56">
        <f t="shared" si="25"/>
        <v>184</v>
      </c>
      <c r="D208" s="52">
        <v>108997</v>
      </c>
      <c r="E208" s="56">
        <f t="shared" si="28"/>
        <v>60</v>
      </c>
      <c r="F208" s="65">
        <f t="shared" si="22"/>
        <v>207</v>
      </c>
      <c r="G208" s="61">
        <f t="shared" si="26"/>
        <v>1</v>
      </c>
      <c r="H208" s="58">
        <f t="shared" si="23"/>
        <v>0</v>
      </c>
      <c r="I208" s="58">
        <f t="shared" si="27"/>
        <v>0</v>
      </c>
    </row>
    <row r="209" spans="1:9" x14ac:dyDescent="0.15">
      <c r="A209" s="23">
        <v>208</v>
      </c>
      <c r="B209" s="56">
        <f t="shared" si="24"/>
        <v>142</v>
      </c>
      <c r="C209" s="56">
        <f t="shared" si="25"/>
        <v>185</v>
      </c>
      <c r="D209" s="52">
        <v>109923</v>
      </c>
      <c r="E209" s="56">
        <f t="shared" si="28"/>
        <v>60</v>
      </c>
      <c r="F209" s="65">
        <f t="shared" si="22"/>
        <v>208</v>
      </c>
      <c r="G209" s="61">
        <f t="shared" si="26"/>
        <v>0</v>
      </c>
      <c r="H209" s="58">
        <f t="shared" si="23"/>
        <v>1</v>
      </c>
      <c r="I209" s="58">
        <f t="shared" si="27"/>
        <v>0</v>
      </c>
    </row>
    <row r="210" spans="1:9" x14ac:dyDescent="0.15">
      <c r="A210" s="23">
        <v>209</v>
      </c>
      <c r="B210" s="56">
        <f t="shared" si="24"/>
        <v>143</v>
      </c>
      <c r="C210" s="56">
        <f t="shared" si="25"/>
        <v>185</v>
      </c>
      <c r="D210" s="52">
        <v>110857</v>
      </c>
      <c r="E210" s="56">
        <f t="shared" si="28"/>
        <v>60</v>
      </c>
      <c r="F210" s="65">
        <f t="shared" si="22"/>
        <v>209</v>
      </c>
      <c r="G210" s="61">
        <f t="shared" si="26"/>
        <v>1</v>
      </c>
      <c r="H210" s="58">
        <f t="shared" si="23"/>
        <v>0</v>
      </c>
      <c r="I210" s="58">
        <f t="shared" si="27"/>
        <v>0</v>
      </c>
    </row>
    <row r="211" spans="1:9" x14ac:dyDescent="0.15">
      <c r="A211" s="23">
        <v>210</v>
      </c>
      <c r="B211" s="56">
        <f t="shared" si="24"/>
        <v>143</v>
      </c>
      <c r="C211" s="56">
        <f t="shared" si="25"/>
        <v>185</v>
      </c>
      <c r="D211" s="52">
        <v>111800</v>
      </c>
      <c r="E211" s="56">
        <f t="shared" si="28"/>
        <v>60</v>
      </c>
      <c r="F211" s="65">
        <f t="shared" si="22"/>
        <v>210</v>
      </c>
      <c r="G211" s="61">
        <f t="shared" si="26"/>
        <v>0</v>
      </c>
      <c r="H211" s="58">
        <f t="shared" si="23"/>
        <v>0</v>
      </c>
      <c r="I211" s="58">
        <f t="shared" si="27"/>
        <v>0</v>
      </c>
    </row>
    <row r="212" spans="1:9" x14ac:dyDescent="0.15">
      <c r="A212" s="23">
        <v>211</v>
      </c>
      <c r="B212" s="56">
        <f t="shared" si="24"/>
        <v>144</v>
      </c>
      <c r="C212" s="56">
        <f t="shared" si="25"/>
        <v>185</v>
      </c>
      <c r="D212" s="52">
        <v>112750</v>
      </c>
      <c r="E212" s="56">
        <f t="shared" si="28"/>
        <v>60</v>
      </c>
      <c r="F212" s="65">
        <f t="shared" si="22"/>
        <v>211</v>
      </c>
      <c r="G212" s="61">
        <f t="shared" si="26"/>
        <v>1</v>
      </c>
      <c r="H212" s="58">
        <f t="shared" si="23"/>
        <v>0</v>
      </c>
      <c r="I212" s="58">
        <f t="shared" si="27"/>
        <v>0</v>
      </c>
    </row>
    <row r="213" spans="1:9" x14ac:dyDescent="0.15">
      <c r="A213" s="23">
        <v>212</v>
      </c>
      <c r="B213" s="56">
        <f t="shared" si="24"/>
        <v>144</v>
      </c>
      <c r="C213" s="56">
        <f t="shared" si="25"/>
        <v>186</v>
      </c>
      <c r="D213" s="52">
        <v>113708</v>
      </c>
      <c r="E213" s="56">
        <f t="shared" si="28"/>
        <v>60</v>
      </c>
      <c r="F213" s="65">
        <f t="shared" si="22"/>
        <v>212</v>
      </c>
      <c r="G213" s="61">
        <f t="shared" si="26"/>
        <v>0</v>
      </c>
      <c r="H213" s="58">
        <f t="shared" si="23"/>
        <v>1</v>
      </c>
      <c r="I213" s="58">
        <f t="shared" si="27"/>
        <v>0</v>
      </c>
    </row>
    <row r="214" spans="1:9" x14ac:dyDescent="0.15">
      <c r="A214" s="23">
        <v>213</v>
      </c>
      <c r="B214" s="56">
        <f t="shared" si="24"/>
        <v>145</v>
      </c>
      <c r="C214" s="56">
        <f t="shared" si="25"/>
        <v>186</v>
      </c>
      <c r="D214" s="52">
        <v>114675</v>
      </c>
      <c r="E214" s="56">
        <f t="shared" si="28"/>
        <v>60</v>
      </c>
      <c r="F214" s="65">
        <f t="shared" si="22"/>
        <v>213</v>
      </c>
      <c r="G214" s="61">
        <f t="shared" si="26"/>
        <v>1</v>
      </c>
      <c r="H214" s="58">
        <f t="shared" si="23"/>
        <v>0</v>
      </c>
      <c r="I214" s="58">
        <f t="shared" si="27"/>
        <v>0</v>
      </c>
    </row>
    <row r="215" spans="1:9" x14ac:dyDescent="0.15">
      <c r="A215" s="23">
        <v>214</v>
      </c>
      <c r="B215" s="56">
        <f t="shared" si="24"/>
        <v>145</v>
      </c>
      <c r="C215" s="56">
        <f t="shared" si="25"/>
        <v>186</v>
      </c>
      <c r="D215" s="52">
        <v>115650</v>
      </c>
      <c r="E215" s="56">
        <f t="shared" si="28"/>
        <v>60</v>
      </c>
      <c r="F215" s="65">
        <f t="shared" si="22"/>
        <v>214</v>
      </c>
      <c r="G215" s="61">
        <f t="shared" si="26"/>
        <v>0</v>
      </c>
      <c r="H215" s="58">
        <f t="shared" si="23"/>
        <v>0</v>
      </c>
      <c r="I215" s="58">
        <f t="shared" si="27"/>
        <v>0</v>
      </c>
    </row>
    <row r="216" spans="1:9" x14ac:dyDescent="0.15">
      <c r="A216" s="23">
        <v>215</v>
      </c>
      <c r="B216" s="56">
        <f t="shared" si="24"/>
        <v>146</v>
      </c>
      <c r="C216" s="56">
        <f t="shared" si="25"/>
        <v>186</v>
      </c>
      <c r="D216" s="52">
        <v>116633</v>
      </c>
      <c r="E216" s="56">
        <f t="shared" si="28"/>
        <v>60</v>
      </c>
      <c r="F216" s="65">
        <f t="shared" si="22"/>
        <v>215</v>
      </c>
      <c r="G216" s="61">
        <f t="shared" si="26"/>
        <v>1</v>
      </c>
      <c r="H216" s="58">
        <f t="shared" si="23"/>
        <v>0</v>
      </c>
      <c r="I216" s="58">
        <f t="shared" si="27"/>
        <v>0</v>
      </c>
    </row>
    <row r="217" spans="1:9" x14ac:dyDescent="0.15">
      <c r="A217" s="23">
        <v>216</v>
      </c>
      <c r="B217" s="56">
        <f t="shared" si="24"/>
        <v>146</v>
      </c>
      <c r="C217" s="56">
        <f t="shared" si="25"/>
        <v>187</v>
      </c>
      <c r="D217" s="52">
        <v>117624</v>
      </c>
      <c r="E217" s="56">
        <f t="shared" si="28"/>
        <v>60</v>
      </c>
      <c r="F217" s="65">
        <f t="shared" si="22"/>
        <v>216</v>
      </c>
      <c r="G217" s="61">
        <f t="shared" si="26"/>
        <v>0</v>
      </c>
      <c r="H217" s="58">
        <f t="shared" si="23"/>
        <v>1</v>
      </c>
      <c r="I217" s="58">
        <f t="shared" si="27"/>
        <v>0</v>
      </c>
    </row>
    <row r="218" spans="1:9" x14ac:dyDescent="0.15">
      <c r="A218" s="23">
        <v>217</v>
      </c>
      <c r="B218" s="56">
        <f t="shared" si="24"/>
        <v>147</v>
      </c>
      <c r="C218" s="56">
        <f t="shared" si="25"/>
        <v>187</v>
      </c>
      <c r="D218" s="52">
        <v>118624</v>
      </c>
      <c r="E218" s="56">
        <f t="shared" si="28"/>
        <v>60</v>
      </c>
      <c r="F218" s="65">
        <f t="shared" si="22"/>
        <v>217</v>
      </c>
      <c r="G218" s="61">
        <f t="shared" si="26"/>
        <v>1</v>
      </c>
      <c r="H218" s="58">
        <f t="shared" si="23"/>
        <v>0</v>
      </c>
      <c r="I218" s="58">
        <f t="shared" si="27"/>
        <v>0</v>
      </c>
    </row>
    <row r="219" spans="1:9" x14ac:dyDescent="0.15">
      <c r="A219" s="23">
        <v>218</v>
      </c>
      <c r="B219" s="56">
        <f t="shared" si="24"/>
        <v>147</v>
      </c>
      <c r="C219" s="56">
        <f t="shared" si="25"/>
        <v>187</v>
      </c>
      <c r="D219" s="52">
        <v>119632</v>
      </c>
      <c r="E219" s="56">
        <f t="shared" si="28"/>
        <v>60</v>
      </c>
      <c r="F219" s="65">
        <f t="shared" si="22"/>
        <v>218</v>
      </c>
      <c r="G219" s="61">
        <f t="shared" si="26"/>
        <v>0</v>
      </c>
      <c r="H219" s="58">
        <f t="shared" si="23"/>
        <v>0</v>
      </c>
      <c r="I219" s="58">
        <f t="shared" si="27"/>
        <v>0</v>
      </c>
    </row>
    <row r="220" spans="1:9" x14ac:dyDescent="0.15">
      <c r="A220" s="23">
        <v>219</v>
      </c>
      <c r="B220" s="56">
        <f t="shared" si="24"/>
        <v>148</v>
      </c>
      <c r="C220" s="56">
        <f t="shared" si="25"/>
        <v>187</v>
      </c>
      <c r="D220" s="52">
        <v>120649</v>
      </c>
      <c r="E220" s="56">
        <f t="shared" si="28"/>
        <v>60</v>
      </c>
      <c r="F220" s="65">
        <f t="shared" si="22"/>
        <v>219</v>
      </c>
      <c r="G220" s="61">
        <f t="shared" si="26"/>
        <v>1</v>
      </c>
      <c r="H220" s="58">
        <f t="shared" si="23"/>
        <v>0</v>
      </c>
      <c r="I220" s="58">
        <f t="shared" si="27"/>
        <v>0</v>
      </c>
    </row>
    <row r="221" spans="1:9" x14ac:dyDescent="0.15">
      <c r="A221" s="23">
        <v>220</v>
      </c>
      <c r="B221" s="56">
        <f t="shared" si="24"/>
        <v>148</v>
      </c>
      <c r="C221" s="56">
        <f t="shared" si="25"/>
        <v>188</v>
      </c>
      <c r="D221" s="52">
        <v>121675</v>
      </c>
      <c r="E221" s="56">
        <f t="shared" si="28"/>
        <v>60</v>
      </c>
      <c r="F221" s="65">
        <f t="shared" si="22"/>
        <v>220</v>
      </c>
      <c r="G221" s="61">
        <f t="shared" si="26"/>
        <v>0</v>
      </c>
      <c r="H221" s="58">
        <f t="shared" si="23"/>
        <v>1</v>
      </c>
      <c r="I221" s="58">
        <f t="shared" si="27"/>
        <v>0</v>
      </c>
    </row>
    <row r="222" spans="1:9" x14ac:dyDescent="0.15">
      <c r="A222" s="23">
        <v>221</v>
      </c>
      <c r="B222" s="56">
        <f t="shared" si="24"/>
        <v>149</v>
      </c>
      <c r="C222" s="56">
        <f t="shared" si="25"/>
        <v>188</v>
      </c>
      <c r="D222" s="52">
        <v>122648</v>
      </c>
      <c r="E222" s="56">
        <f t="shared" si="28"/>
        <v>60</v>
      </c>
      <c r="F222" s="65">
        <f t="shared" si="22"/>
        <v>221</v>
      </c>
      <c r="G222" s="61">
        <f t="shared" si="26"/>
        <v>1</v>
      </c>
      <c r="H222" s="58">
        <f t="shared" si="23"/>
        <v>0</v>
      </c>
      <c r="I222" s="58">
        <f t="shared" si="27"/>
        <v>0</v>
      </c>
    </row>
    <row r="223" spans="1:9" x14ac:dyDescent="0.15">
      <c r="A223" s="23">
        <v>222</v>
      </c>
      <c r="B223" s="56">
        <f t="shared" si="24"/>
        <v>149</v>
      </c>
      <c r="C223" s="56">
        <f t="shared" si="25"/>
        <v>188</v>
      </c>
      <c r="D223" s="52">
        <v>123629</v>
      </c>
      <c r="E223" s="56">
        <f t="shared" si="28"/>
        <v>60</v>
      </c>
      <c r="F223" s="65">
        <f t="shared" si="22"/>
        <v>222</v>
      </c>
      <c r="G223" s="61">
        <f t="shared" si="26"/>
        <v>0</v>
      </c>
      <c r="H223" s="58">
        <f t="shared" si="23"/>
        <v>0</v>
      </c>
      <c r="I223" s="58">
        <f t="shared" si="27"/>
        <v>0</v>
      </c>
    </row>
    <row r="224" spans="1:9" x14ac:dyDescent="0.15">
      <c r="A224" s="23">
        <v>223</v>
      </c>
      <c r="B224" s="56">
        <f t="shared" si="24"/>
        <v>150</v>
      </c>
      <c r="C224" s="56">
        <f t="shared" si="25"/>
        <v>188</v>
      </c>
      <c r="D224" s="52">
        <v>124618</v>
      </c>
      <c r="E224" s="56">
        <f t="shared" si="28"/>
        <v>60</v>
      </c>
      <c r="F224" s="65">
        <f t="shared" si="22"/>
        <v>223</v>
      </c>
      <c r="G224" s="61">
        <f t="shared" si="26"/>
        <v>1</v>
      </c>
      <c r="H224" s="58">
        <f t="shared" si="23"/>
        <v>0</v>
      </c>
      <c r="I224" s="58">
        <f t="shared" si="27"/>
        <v>0</v>
      </c>
    </row>
    <row r="225" spans="1:9" x14ac:dyDescent="0.15">
      <c r="A225" s="23">
        <v>224</v>
      </c>
      <c r="B225" s="56">
        <f t="shared" si="24"/>
        <v>150</v>
      </c>
      <c r="C225" s="56">
        <f t="shared" si="25"/>
        <v>189</v>
      </c>
      <c r="D225" s="52">
        <v>125615</v>
      </c>
      <c r="E225" s="56">
        <f t="shared" si="28"/>
        <v>60</v>
      </c>
      <c r="F225" s="65">
        <f t="shared" si="22"/>
        <v>224</v>
      </c>
      <c r="G225" s="61">
        <f t="shared" si="26"/>
        <v>0</v>
      </c>
      <c r="H225" s="58">
        <f t="shared" si="23"/>
        <v>1</v>
      </c>
      <c r="I225" s="58">
        <f t="shared" si="27"/>
        <v>0</v>
      </c>
    </row>
    <row r="226" spans="1:9" x14ac:dyDescent="0.15">
      <c r="A226" s="23">
        <v>225</v>
      </c>
      <c r="B226" s="56">
        <f t="shared" si="24"/>
        <v>151</v>
      </c>
      <c r="C226" s="56">
        <f t="shared" si="25"/>
        <v>189</v>
      </c>
      <c r="D226" s="52">
        <v>126620</v>
      </c>
      <c r="E226" s="56">
        <f t="shared" si="28"/>
        <v>60</v>
      </c>
      <c r="F226" s="65">
        <f t="shared" si="22"/>
        <v>225</v>
      </c>
      <c r="G226" s="61">
        <f t="shared" si="26"/>
        <v>1</v>
      </c>
      <c r="H226" s="58">
        <f t="shared" si="23"/>
        <v>0</v>
      </c>
      <c r="I226" s="58">
        <f t="shared" si="27"/>
        <v>0</v>
      </c>
    </row>
    <row r="227" spans="1:9" x14ac:dyDescent="0.15">
      <c r="A227" s="23">
        <v>226</v>
      </c>
      <c r="B227" s="56">
        <f t="shared" si="24"/>
        <v>151</v>
      </c>
      <c r="C227" s="56">
        <f t="shared" si="25"/>
        <v>189</v>
      </c>
      <c r="D227" s="52">
        <v>127633</v>
      </c>
      <c r="E227" s="56">
        <f t="shared" si="28"/>
        <v>60</v>
      </c>
      <c r="F227" s="65">
        <f t="shared" si="22"/>
        <v>226</v>
      </c>
      <c r="G227" s="61">
        <f t="shared" si="26"/>
        <v>0</v>
      </c>
      <c r="H227" s="58">
        <f t="shared" si="23"/>
        <v>0</v>
      </c>
      <c r="I227" s="58">
        <f t="shared" si="27"/>
        <v>0</v>
      </c>
    </row>
    <row r="228" spans="1:9" x14ac:dyDescent="0.15">
      <c r="A228" s="23">
        <v>227</v>
      </c>
      <c r="B228" s="56">
        <f t="shared" si="24"/>
        <v>152</v>
      </c>
      <c r="C228" s="56">
        <f t="shared" si="25"/>
        <v>189</v>
      </c>
      <c r="D228" s="52">
        <v>128654</v>
      </c>
      <c r="E228" s="56">
        <f t="shared" si="28"/>
        <v>60</v>
      </c>
      <c r="F228" s="65">
        <f t="shared" si="22"/>
        <v>227</v>
      </c>
      <c r="G228" s="61">
        <f t="shared" si="26"/>
        <v>1</v>
      </c>
      <c r="H228" s="58">
        <f t="shared" si="23"/>
        <v>0</v>
      </c>
      <c r="I228" s="58">
        <f t="shared" si="27"/>
        <v>0</v>
      </c>
    </row>
    <row r="229" spans="1:9" x14ac:dyDescent="0.15">
      <c r="A229" s="23">
        <v>228</v>
      </c>
      <c r="B229" s="56">
        <f t="shared" si="24"/>
        <v>152</v>
      </c>
      <c r="C229" s="56">
        <f t="shared" si="25"/>
        <v>190</v>
      </c>
      <c r="D229" s="52">
        <v>129683</v>
      </c>
      <c r="E229" s="56">
        <f t="shared" si="28"/>
        <v>60</v>
      </c>
      <c r="F229" s="65">
        <f t="shared" si="22"/>
        <v>228</v>
      </c>
      <c r="G229" s="61">
        <f t="shared" si="26"/>
        <v>0</v>
      </c>
      <c r="H229" s="58">
        <f t="shared" si="23"/>
        <v>1</v>
      </c>
      <c r="I229" s="58">
        <f t="shared" si="27"/>
        <v>0</v>
      </c>
    </row>
    <row r="230" spans="1:9" x14ac:dyDescent="0.15">
      <c r="A230" s="23">
        <v>229</v>
      </c>
      <c r="B230" s="56">
        <f t="shared" si="24"/>
        <v>153</v>
      </c>
      <c r="C230" s="56">
        <f t="shared" si="25"/>
        <v>190</v>
      </c>
      <c r="D230" s="52">
        <v>130721</v>
      </c>
      <c r="E230" s="56">
        <f t="shared" si="28"/>
        <v>60</v>
      </c>
      <c r="F230" s="65">
        <f t="shared" si="22"/>
        <v>229</v>
      </c>
      <c r="G230" s="61">
        <f t="shared" si="26"/>
        <v>1</v>
      </c>
      <c r="H230" s="58">
        <f t="shared" si="23"/>
        <v>0</v>
      </c>
      <c r="I230" s="58">
        <f t="shared" si="27"/>
        <v>0</v>
      </c>
    </row>
    <row r="231" spans="1:9" x14ac:dyDescent="0.15">
      <c r="A231" s="23">
        <v>230</v>
      </c>
      <c r="B231" s="56">
        <f t="shared" si="24"/>
        <v>153</v>
      </c>
      <c r="C231" s="56">
        <f t="shared" si="25"/>
        <v>190</v>
      </c>
      <c r="D231" s="52">
        <v>131767</v>
      </c>
      <c r="E231" s="56">
        <f t="shared" si="28"/>
        <v>60</v>
      </c>
      <c r="F231" s="65">
        <f t="shared" si="22"/>
        <v>230</v>
      </c>
      <c r="G231" s="61">
        <f t="shared" si="26"/>
        <v>0</v>
      </c>
      <c r="H231" s="58">
        <f t="shared" si="23"/>
        <v>0</v>
      </c>
      <c r="I231" s="58">
        <f t="shared" si="27"/>
        <v>0</v>
      </c>
    </row>
    <row r="232" spans="1:9" x14ac:dyDescent="0.15">
      <c r="A232" s="23">
        <v>231</v>
      </c>
      <c r="B232" s="56">
        <f t="shared" si="24"/>
        <v>154</v>
      </c>
      <c r="C232" s="56">
        <f t="shared" si="25"/>
        <v>190</v>
      </c>
      <c r="D232" s="52">
        <v>132821</v>
      </c>
      <c r="E232" s="56">
        <f t="shared" si="28"/>
        <v>60</v>
      </c>
      <c r="F232" s="65">
        <f t="shared" si="22"/>
        <v>231</v>
      </c>
      <c r="G232" s="61">
        <f t="shared" si="26"/>
        <v>1</v>
      </c>
      <c r="H232" s="58">
        <f t="shared" si="23"/>
        <v>0</v>
      </c>
      <c r="I232" s="58">
        <f t="shared" si="27"/>
        <v>0</v>
      </c>
    </row>
    <row r="233" spans="1:9" x14ac:dyDescent="0.15">
      <c r="A233" s="23">
        <v>232</v>
      </c>
      <c r="B233" s="56">
        <f t="shared" si="24"/>
        <v>154</v>
      </c>
      <c r="C233" s="56">
        <f t="shared" si="25"/>
        <v>191</v>
      </c>
      <c r="D233" s="52">
        <v>133883</v>
      </c>
      <c r="E233" s="56">
        <f t="shared" si="28"/>
        <v>60</v>
      </c>
      <c r="F233" s="65">
        <f t="shared" si="22"/>
        <v>232</v>
      </c>
      <c r="G233" s="61">
        <f t="shared" si="26"/>
        <v>0</v>
      </c>
      <c r="H233" s="58">
        <f t="shared" si="23"/>
        <v>1</v>
      </c>
      <c r="I233" s="58">
        <f t="shared" si="27"/>
        <v>0</v>
      </c>
    </row>
    <row r="234" spans="1:9" x14ac:dyDescent="0.15">
      <c r="A234" s="23">
        <v>233</v>
      </c>
      <c r="B234" s="56">
        <f t="shared" si="24"/>
        <v>155</v>
      </c>
      <c r="C234" s="56">
        <f t="shared" si="25"/>
        <v>191</v>
      </c>
      <c r="D234" s="52">
        <v>134954</v>
      </c>
      <c r="E234" s="56">
        <f t="shared" si="28"/>
        <v>60</v>
      </c>
      <c r="F234" s="65">
        <f t="shared" si="22"/>
        <v>233</v>
      </c>
      <c r="G234" s="61">
        <f t="shared" si="26"/>
        <v>1</v>
      </c>
      <c r="H234" s="58">
        <f t="shared" si="23"/>
        <v>0</v>
      </c>
      <c r="I234" s="58">
        <f t="shared" si="27"/>
        <v>0</v>
      </c>
    </row>
    <row r="235" spans="1:9" x14ac:dyDescent="0.15">
      <c r="A235" s="23">
        <v>234</v>
      </c>
      <c r="B235" s="56">
        <f t="shared" si="24"/>
        <v>155</v>
      </c>
      <c r="C235" s="56">
        <f t="shared" si="25"/>
        <v>191</v>
      </c>
      <c r="D235" s="52">
        <v>136034</v>
      </c>
      <c r="E235" s="56">
        <f t="shared" si="28"/>
        <v>60</v>
      </c>
      <c r="F235" s="65">
        <f t="shared" si="22"/>
        <v>234</v>
      </c>
      <c r="G235" s="61">
        <f t="shared" si="26"/>
        <v>0</v>
      </c>
      <c r="H235" s="58">
        <f t="shared" si="23"/>
        <v>0</v>
      </c>
      <c r="I235" s="58">
        <f t="shared" si="27"/>
        <v>0</v>
      </c>
    </row>
    <row r="236" spans="1:9" x14ac:dyDescent="0.15">
      <c r="A236" s="23">
        <v>235</v>
      </c>
      <c r="B236" s="56">
        <f t="shared" si="24"/>
        <v>156</v>
      </c>
      <c r="C236" s="56">
        <f t="shared" si="25"/>
        <v>191</v>
      </c>
      <c r="D236" s="52">
        <v>137122</v>
      </c>
      <c r="E236" s="56">
        <f t="shared" si="28"/>
        <v>60</v>
      </c>
      <c r="F236" s="65">
        <f t="shared" si="22"/>
        <v>235</v>
      </c>
      <c r="G236" s="61">
        <f t="shared" si="26"/>
        <v>1</v>
      </c>
      <c r="H236" s="58">
        <f t="shared" si="23"/>
        <v>0</v>
      </c>
      <c r="I236" s="58">
        <f t="shared" si="27"/>
        <v>0</v>
      </c>
    </row>
    <row r="237" spans="1:9" x14ac:dyDescent="0.15">
      <c r="A237" s="23">
        <v>236</v>
      </c>
      <c r="B237" s="56">
        <f t="shared" si="24"/>
        <v>156</v>
      </c>
      <c r="C237" s="56">
        <f t="shared" si="25"/>
        <v>192</v>
      </c>
      <c r="D237" s="52">
        <v>138219</v>
      </c>
      <c r="E237" s="56">
        <f t="shared" si="28"/>
        <v>60</v>
      </c>
      <c r="F237" s="65">
        <f t="shared" si="22"/>
        <v>236</v>
      </c>
      <c r="G237" s="61">
        <f t="shared" si="26"/>
        <v>0</v>
      </c>
      <c r="H237" s="58">
        <f t="shared" si="23"/>
        <v>1</v>
      </c>
      <c r="I237" s="58">
        <f t="shared" si="27"/>
        <v>0</v>
      </c>
    </row>
    <row r="238" spans="1:9" x14ac:dyDescent="0.15">
      <c r="A238" s="23">
        <v>237</v>
      </c>
      <c r="B238" s="56">
        <f t="shared" si="24"/>
        <v>157</v>
      </c>
      <c r="C238" s="56">
        <f t="shared" si="25"/>
        <v>192</v>
      </c>
      <c r="D238" s="52">
        <v>139325</v>
      </c>
      <c r="E238" s="56">
        <f t="shared" si="28"/>
        <v>60</v>
      </c>
      <c r="F238" s="65">
        <f t="shared" si="22"/>
        <v>237</v>
      </c>
      <c r="G238" s="61">
        <f t="shared" si="26"/>
        <v>1</v>
      </c>
      <c r="H238" s="58">
        <f t="shared" si="23"/>
        <v>0</v>
      </c>
      <c r="I238" s="58">
        <f t="shared" si="27"/>
        <v>0</v>
      </c>
    </row>
    <row r="239" spans="1:9" x14ac:dyDescent="0.15">
      <c r="A239" s="23">
        <v>238</v>
      </c>
      <c r="B239" s="56">
        <f t="shared" si="24"/>
        <v>157</v>
      </c>
      <c r="C239" s="56">
        <f t="shared" si="25"/>
        <v>192</v>
      </c>
      <c r="D239" s="52">
        <v>140440</v>
      </c>
      <c r="E239" s="56">
        <f t="shared" si="28"/>
        <v>60</v>
      </c>
      <c r="F239" s="65">
        <f t="shared" si="22"/>
        <v>238</v>
      </c>
      <c r="G239" s="61">
        <f t="shared" si="26"/>
        <v>0</v>
      </c>
      <c r="H239" s="58">
        <f t="shared" si="23"/>
        <v>0</v>
      </c>
      <c r="I239" s="58">
        <f t="shared" si="27"/>
        <v>0</v>
      </c>
    </row>
    <row r="240" spans="1:9" x14ac:dyDescent="0.15">
      <c r="A240" s="23">
        <v>239</v>
      </c>
      <c r="B240" s="56">
        <f t="shared" si="24"/>
        <v>158</v>
      </c>
      <c r="C240" s="56">
        <f t="shared" si="25"/>
        <v>192</v>
      </c>
      <c r="D240" s="52">
        <v>141563</v>
      </c>
      <c r="E240" s="56">
        <f t="shared" si="28"/>
        <v>60</v>
      </c>
      <c r="F240" s="65">
        <f t="shared" si="22"/>
        <v>239</v>
      </c>
      <c r="G240" s="61">
        <f t="shared" si="26"/>
        <v>1</v>
      </c>
      <c r="H240" s="58">
        <f t="shared" si="23"/>
        <v>0</v>
      </c>
      <c r="I240" s="58">
        <f t="shared" si="27"/>
        <v>0</v>
      </c>
    </row>
    <row r="241" spans="1:9" x14ac:dyDescent="0.15">
      <c r="A241" s="23">
        <v>240</v>
      </c>
      <c r="B241" s="56">
        <f t="shared" si="24"/>
        <v>158</v>
      </c>
      <c r="C241" s="56">
        <f t="shared" si="25"/>
        <v>193</v>
      </c>
      <c r="D241" s="52">
        <v>142696</v>
      </c>
      <c r="E241" s="56">
        <f t="shared" si="28"/>
        <v>60</v>
      </c>
      <c r="F241" s="65">
        <f t="shared" si="22"/>
        <v>240</v>
      </c>
      <c r="G241" s="61">
        <f t="shared" si="26"/>
        <v>0</v>
      </c>
      <c r="H241" s="58">
        <f t="shared" si="23"/>
        <v>1</v>
      </c>
      <c r="I241" s="58">
        <f t="shared" si="27"/>
        <v>0</v>
      </c>
    </row>
    <row r="242" spans="1:9" x14ac:dyDescent="0.15">
      <c r="A242" s="23">
        <v>241</v>
      </c>
      <c r="B242" s="56">
        <f t="shared" si="24"/>
        <v>159</v>
      </c>
      <c r="C242" s="56">
        <f t="shared" si="25"/>
        <v>193</v>
      </c>
      <c r="D242" s="52">
        <v>143766</v>
      </c>
      <c r="E242" s="56">
        <f t="shared" si="28"/>
        <v>60</v>
      </c>
      <c r="F242" s="65">
        <f t="shared" si="22"/>
        <v>241</v>
      </c>
      <c r="G242" s="61">
        <f t="shared" si="26"/>
        <v>1</v>
      </c>
      <c r="H242" s="58">
        <f t="shared" si="23"/>
        <v>0</v>
      </c>
      <c r="I242" s="58">
        <f t="shared" si="27"/>
        <v>0</v>
      </c>
    </row>
    <row r="243" spans="1:9" x14ac:dyDescent="0.15">
      <c r="A243" s="23">
        <v>242</v>
      </c>
      <c r="B243" s="56">
        <f t="shared" si="24"/>
        <v>159</v>
      </c>
      <c r="C243" s="56">
        <f t="shared" si="25"/>
        <v>193</v>
      </c>
      <c r="D243" s="52">
        <v>144844</v>
      </c>
      <c r="E243" s="56">
        <f t="shared" si="28"/>
        <v>60</v>
      </c>
      <c r="F243" s="65">
        <f t="shared" si="22"/>
        <v>242</v>
      </c>
      <c r="G243" s="61">
        <f t="shared" si="26"/>
        <v>0</v>
      </c>
      <c r="H243" s="58">
        <f t="shared" si="23"/>
        <v>0</v>
      </c>
      <c r="I243" s="58">
        <f t="shared" si="27"/>
        <v>0</v>
      </c>
    </row>
    <row r="244" spans="1:9" x14ac:dyDescent="0.15">
      <c r="A244" s="23">
        <v>243</v>
      </c>
      <c r="B244" s="56">
        <f t="shared" si="24"/>
        <v>160</v>
      </c>
      <c r="C244" s="56">
        <f t="shared" si="25"/>
        <v>193</v>
      </c>
      <c r="D244" s="52">
        <v>145931</v>
      </c>
      <c r="E244" s="56">
        <f t="shared" si="28"/>
        <v>60</v>
      </c>
      <c r="F244" s="65">
        <f t="shared" si="22"/>
        <v>243</v>
      </c>
      <c r="G244" s="61">
        <f t="shared" si="26"/>
        <v>1</v>
      </c>
      <c r="H244" s="58">
        <f t="shared" si="23"/>
        <v>0</v>
      </c>
      <c r="I244" s="58">
        <f t="shared" si="27"/>
        <v>0</v>
      </c>
    </row>
    <row r="245" spans="1:9" x14ac:dyDescent="0.15">
      <c r="A245" s="23">
        <v>244</v>
      </c>
      <c r="B245" s="56">
        <f t="shared" si="24"/>
        <v>160</v>
      </c>
      <c r="C245" s="56">
        <f t="shared" si="25"/>
        <v>194</v>
      </c>
      <c r="D245" s="52">
        <v>147025</v>
      </c>
      <c r="E245" s="56">
        <f t="shared" si="28"/>
        <v>60</v>
      </c>
      <c r="F245" s="65">
        <f t="shared" si="22"/>
        <v>244</v>
      </c>
      <c r="G245" s="61">
        <f t="shared" si="26"/>
        <v>0</v>
      </c>
      <c r="H245" s="58">
        <f t="shared" si="23"/>
        <v>1</v>
      </c>
      <c r="I245" s="58">
        <f t="shared" si="27"/>
        <v>0</v>
      </c>
    </row>
    <row r="246" spans="1:9" x14ac:dyDescent="0.15">
      <c r="A246" s="23">
        <v>245</v>
      </c>
      <c r="B246" s="56">
        <f t="shared" si="24"/>
        <v>161</v>
      </c>
      <c r="C246" s="56">
        <f t="shared" si="25"/>
        <v>194</v>
      </c>
      <c r="D246" s="52">
        <v>148128</v>
      </c>
      <c r="E246" s="56">
        <f t="shared" si="28"/>
        <v>60</v>
      </c>
      <c r="F246" s="65">
        <f t="shared" si="22"/>
        <v>245</v>
      </c>
      <c r="G246" s="61">
        <f t="shared" si="26"/>
        <v>1</v>
      </c>
      <c r="H246" s="58">
        <f t="shared" si="23"/>
        <v>0</v>
      </c>
      <c r="I246" s="58">
        <f t="shared" si="27"/>
        <v>0</v>
      </c>
    </row>
    <row r="247" spans="1:9" x14ac:dyDescent="0.15">
      <c r="A247" s="23">
        <v>246</v>
      </c>
      <c r="B247" s="56">
        <f t="shared" si="24"/>
        <v>161</v>
      </c>
      <c r="C247" s="56">
        <f t="shared" si="25"/>
        <v>194</v>
      </c>
      <c r="D247" s="52">
        <v>149239</v>
      </c>
      <c r="E247" s="56">
        <f t="shared" si="28"/>
        <v>60</v>
      </c>
      <c r="F247" s="65">
        <f t="shared" si="22"/>
        <v>246</v>
      </c>
      <c r="G247" s="61">
        <f t="shared" si="26"/>
        <v>0</v>
      </c>
      <c r="H247" s="58">
        <f t="shared" si="23"/>
        <v>0</v>
      </c>
      <c r="I247" s="58">
        <f t="shared" si="27"/>
        <v>0</v>
      </c>
    </row>
    <row r="248" spans="1:9" x14ac:dyDescent="0.15">
      <c r="A248" s="23">
        <v>247</v>
      </c>
      <c r="B248" s="56">
        <f t="shared" si="24"/>
        <v>162</v>
      </c>
      <c r="C248" s="56">
        <f t="shared" si="25"/>
        <v>194</v>
      </c>
      <c r="D248" s="52">
        <v>150358</v>
      </c>
      <c r="E248" s="56">
        <f t="shared" si="28"/>
        <v>60</v>
      </c>
      <c r="F248" s="65">
        <f t="shared" si="22"/>
        <v>247</v>
      </c>
      <c r="G248" s="61">
        <f t="shared" si="26"/>
        <v>1</v>
      </c>
      <c r="H248" s="58">
        <f t="shared" si="23"/>
        <v>0</v>
      </c>
      <c r="I248" s="58">
        <f t="shared" si="27"/>
        <v>0</v>
      </c>
    </row>
    <row r="249" spans="1:9" x14ac:dyDescent="0.15">
      <c r="A249" s="23">
        <v>248</v>
      </c>
      <c r="B249" s="56">
        <f t="shared" si="24"/>
        <v>162</v>
      </c>
      <c r="C249" s="56">
        <f t="shared" si="25"/>
        <v>195</v>
      </c>
      <c r="D249" s="52">
        <v>151486</v>
      </c>
      <c r="E249" s="56">
        <f t="shared" si="28"/>
        <v>60</v>
      </c>
      <c r="F249" s="65">
        <f t="shared" si="22"/>
        <v>248</v>
      </c>
      <c r="G249" s="61">
        <f t="shared" si="26"/>
        <v>0</v>
      </c>
      <c r="H249" s="58">
        <f t="shared" si="23"/>
        <v>1</v>
      </c>
      <c r="I249" s="58">
        <f t="shared" si="27"/>
        <v>0</v>
      </c>
    </row>
    <row r="250" spans="1:9" x14ac:dyDescent="0.15">
      <c r="A250" s="23">
        <v>249</v>
      </c>
      <c r="B250" s="56">
        <f t="shared" si="24"/>
        <v>163</v>
      </c>
      <c r="C250" s="56">
        <f t="shared" si="25"/>
        <v>195</v>
      </c>
      <c r="D250" s="52">
        <v>152622</v>
      </c>
      <c r="E250" s="56">
        <f t="shared" si="28"/>
        <v>60</v>
      </c>
      <c r="F250" s="65">
        <f t="shared" si="22"/>
        <v>249</v>
      </c>
      <c r="G250" s="61">
        <f t="shared" si="26"/>
        <v>1</v>
      </c>
      <c r="H250" s="58">
        <f t="shared" si="23"/>
        <v>0</v>
      </c>
      <c r="I250" s="58">
        <f t="shared" si="27"/>
        <v>0</v>
      </c>
    </row>
    <row r="251" spans="1:9" x14ac:dyDescent="0.15">
      <c r="A251" s="23">
        <v>250</v>
      </c>
      <c r="B251" s="56">
        <f t="shared" si="24"/>
        <v>163</v>
      </c>
      <c r="C251" s="56">
        <f t="shared" si="25"/>
        <v>195</v>
      </c>
      <c r="D251" s="52">
        <v>153766</v>
      </c>
      <c r="E251" s="56">
        <f t="shared" si="28"/>
        <v>60</v>
      </c>
      <c r="F251" s="65">
        <f t="shared" si="22"/>
        <v>250</v>
      </c>
      <c r="G251" s="61">
        <f t="shared" si="26"/>
        <v>0</v>
      </c>
      <c r="H251" s="58">
        <f t="shared" si="23"/>
        <v>0</v>
      </c>
      <c r="I251" s="58">
        <f t="shared" si="27"/>
        <v>0</v>
      </c>
    </row>
    <row r="252" spans="1:9" x14ac:dyDescent="0.15">
      <c r="A252" s="23">
        <v>251</v>
      </c>
      <c r="B252" s="56">
        <f t="shared" si="24"/>
        <v>164</v>
      </c>
      <c r="C252" s="56">
        <f t="shared" si="25"/>
        <v>195</v>
      </c>
      <c r="D252" s="52">
        <v>154920</v>
      </c>
      <c r="E252" s="56">
        <f t="shared" si="28"/>
        <v>60</v>
      </c>
      <c r="F252" s="65">
        <f t="shared" si="22"/>
        <v>251</v>
      </c>
      <c r="G252" s="61">
        <f t="shared" si="26"/>
        <v>1</v>
      </c>
      <c r="H252" s="58">
        <f t="shared" si="23"/>
        <v>0</v>
      </c>
      <c r="I252" s="58">
        <f t="shared" si="27"/>
        <v>0</v>
      </c>
    </row>
    <row r="253" spans="1:9" x14ac:dyDescent="0.15">
      <c r="A253" s="23">
        <v>252</v>
      </c>
      <c r="B253" s="56">
        <f t="shared" si="24"/>
        <v>164</v>
      </c>
      <c r="C253" s="56">
        <f t="shared" si="25"/>
        <v>196</v>
      </c>
      <c r="D253" s="52">
        <v>156082</v>
      </c>
      <c r="E253" s="56">
        <f t="shared" si="28"/>
        <v>60</v>
      </c>
      <c r="F253" s="65">
        <f t="shared" si="22"/>
        <v>252</v>
      </c>
      <c r="G253" s="61">
        <f t="shared" si="26"/>
        <v>0</v>
      </c>
      <c r="H253" s="58">
        <f t="shared" si="23"/>
        <v>1</v>
      </c>
      <c r="I253" s="58">
        <f t="shared" si="27"/>
        <v>0</v>
      </c>
    </row>
    <row r="254" spans="1:9" x14ac:dyDescent="0.15">
      <c r="A254" s="23">
        <v>253</v>
      </c>
      <c r="B254" s="56">
        <f t="shared" si="24"/>
        <v>165</v>
      </c>
      <c r="C254" s="56">
        <f t="shared" si="25"/>
        <v>196</v>
      </c>
      <c r="D254" s="52">
        <v>157252</v>
      </c>
      <c r="E254" s="56">
        <f t="shared" si="28"/>
        <v>60</v>
      </c>
      <c r="F254" s="65">
        <f t="shared" si="22"/>
        <v>253</v>
      </c>
      <c r="G254" s="61">
        <f t="shared" si="26"/>
        <v>1</v>
      </c>
      <c r="H254" s="58">
        <f t="shared" si="23"/>
        <v>0</v>
      </c>
      <c r="I254" s="58">
        <f t="shared" si="27"/>
        <v>0</v>
      </c>
    </row>
    <row r="255" spans="1:9" x14ac:dyDescent="0.15">
      <c r="A255" s="23">
        <v>254</v>
      </c>
      <c r="B255" s="56">
        <f t="shared" si="24"/>
        <v>165</v>
      </c>
      <c r="C255" s="56">
        <f t="shared" si="25"/>
        <v>196</v>
      </c>
      <c r="D255" s="52">
        <v>158432</v>
      </c>
      <c r="E255" s="56">
        <f t="shared" si="28"/>
        <v>60</v>
      </c>
      <c r="F255" s="65">
        <f t="shared" si="22"/>
        <v>254</v>
      </c>
      <c r="G255" s="61">
        <f t="shared" si="26"/>
        <v>0</v>
      </c>
      <c r="H255" s="58">
        <f t="shared" si="23"/>
        <v>0</v>
      </c>
      <c r="I255" s="58">
        <f t="shared" si="27"/>
        <v>0</v>
      </c>
    </row>
    <row r="256" spans="1:9" x14ac:dyDescent="0.15">
      <c r="A256" s="23">
        <v>255</v>
      </c>
      <c r="B256" s="56">
        <f t="shared" si="24"/>
        <v>166</v>
      </c>
      <c r="C256" s="56">
        <f t="shared" si="25"/>
        <v>196</v>
      </c>
      <c r="D256" s="52">
        <v>159620</v>
      </c>
      <c r="E256" s="56">
        <f t="shared" si="28"/>
        <v>60</v>
      </c>
      <c r="F256" s="65">
        <f t="shared" si="22"/>
        <v>255</v>
      </c>
      <c r="G256" s="61">
        <f t="shared" si="26"/>
        <v>1</v>
      </c>
      <c r="H256" s="58">
        <f t="shared" si="23"/>
        <v>0</v>
      </c>
      <c r="I256" s="58">
        <f t="shared" si="27"/>
        <v>0</v>
      </c>
    </row>
    <row r="257" spans="1:9" x14ac:dyDescent="0.15">
      <c r="A257" s="23">
        <v>256</v>
      </c>
      <c r="B257" s="56">
        <f t="shared" si="24"/>
        <v>166</v>
      </c>
      <c r="C257" s="56">
        <f t="shared" si="25"/>
        <v>197</v>
      </c>
      <c r="D257" s="52">
        <v>160817</v>
      </c>
      <c r="E257" s="56">
        <f t="shared" si="28"/>
        <v>60</v>
      </c>
      <c r="F257" s="65">
        <f t="shared" si="22"/>
        <v>256</v>
      </c>
      <c r="G257" s="61">
        <f t="shared" si="26"/>
        <v>0</v>
      </c>
      <c r="H257" s="58">
        <f t="shared" si="23"/>
        <v>1</v>
      </c>
      <c r="I257" s="58">
        <f t="shared" si="27"/>
        <v>0</v>
      </c>
    </row>
    <row r="258" spans="1:9" x14ac:dyDescent="0.15">
      <c r="A258" s="23">
        <v>257</v>
      </c>
      <c r="B258" s="56">
        <f t="shared" si="24"/>
        <v>167</v>
      </c>
      <c r="C258" s="56">
        <f t="shared" si="25"/>
        <v>197</v>
      </c>
      <c r="D258" s="52">
        <v>162023</v>
      </c>
      <c r="E258" s="56">
        <f t="shared" si="28"/>
        <v>60</v>
      </c>
      <c r="F258" s="65">
        <f t="shared" ref="F258:F321" si="29">A258</f>
        <v>257</v>
      </c>
      <c r="G258" s="61">
        <f t="shared" si="26"/>
        <v>1</v>
      </c>
      <c r="H258" s="58">
        <f t="shared" ref="H258:H321" si="30">IF($A258&gt;=slow,IF(MOD($A258,upper)=0,slow_upper,0),IF($A258&gt;medium,IF(MOD($A258,bonus)=0,medium_bonus,IF(MOD($A258,upper)=0,medium_upper,IF(MOD($A258,up)=0,medium_up,0))),IF(MOD($A258,bonus)=0,fast_bonus,IF(MOD($A258,upper)=0,fast_upper,IF(MOD($A258,up)=0,fast_up,0)))))</f>
        <v>0</v>
      </c>
      <c r="I258" s="58">
        <f t="shared" si="27"/>
        <v>0</v>
      </c>
    </row>
    <row r="259" spans="1:9" x14ac:dyDescent="0.15">
      <c r="A259" s="23">
        <v>258</v>
      </c>
      <c r="B259" s="56">
        <f t="shared" ref="B259:B322" si="31">B258+G259</f>
        <v>167</v>
      </c>
      <c r="C259" s="56">
        <f t="shared" ref="C259:C322" si="32">C258+H259</f>
        <v>197</v>
      </c>
      <c r="D259" s="52">
        <v>163238</v>
      </c>
      <c r="E259" s="56">
        <f t="shared" si="28"/>
        <v>60</v>
      </c>
      <c r="F259" s="65">
        <f t="shared" si="29"/>
        <v>258</v>
      </c>
      <c r="G259" s="61">
        <f t="shared" ref="G259:G322" si="33">IF(A259&gt;=106, IF(MOD(A259,2)=0,0,1), IF(A259 &gt;= 65, IF(MOD(A259, 2) =0,0, IF(MOD(A259,5)= 0, 2, 1)), IF(MOD(A259, 2) =0,0, IF(MOD(A259,5)= 0, 5, 1))))</f>
        <v>0</v>
      </c>
      <c r="H259" s="58">
        <f t="shared" si="30"/>
        <v>0</v>
      </c>
      <c r="I259" s="58">
        <f t="shared" ref="I259:I322" si="34">IF($A259&gt;=51,0,IF($A259&gt;=30,IF(MOD($A259,5)=0,1,0),IF($A259&gt;=11,IF(MOD($A259,5)=0,3,IF(MOD($A259,2)=0,1,0)),IF(MOD($A259,5)=0,5,IF(MOD($A259,2)=0,2,0)))))</f>
        <v>0</v>
      </c>
    </row>
    <row r="260" spans="1:9" x14ac:dyDescent="0.15">
      <c r="A260" s="23">
        <v>259</v>
      </c>
      <c r="B260" s="56">
        <f t="shared" si="31"/>
        <v>168</v>
      </c>
      <c r="C260" s="56">
        <f t="shared" si="32"/>
        <v>197</v>
      </c>
      <c r="D260" s="52">
        <v>164463</v>
      </c>
      <c r="E260" s="56">
        <f t="shared" ref="E260:E323" si="35">E259+I260</f>
        <v>60</v>
      </c>
      <c r="F260" s="65">
        <f t="shared" si="29"/>
        <v>259</v>
      </c>
      <c r="G260" s="61">
        <f t="shared" si="33"/>
        <v>1</v>
      </c>
      <c r="H260" s="58">
        <f t="shared" si="30"/>
        <v>0</v>
      </c>
      <c r="I260" s="58">
        <f t="shared" si="34"/>
        <v>0</v>
      </c>
    </row>
    <row r="261" spans="1:9" x14ac:dyDescent="0.15">
      <c r="A261" s="23">
        <v>260</v>
      </c>
      <c r="B261" s="56">
        <f t="shared" si="31"/>
        <v>168</v>
      </c>
      <c r="C261" s="56">
        <f t="shared" si="32"/>
        <v>198</v>
      </c>
      <c r="D261" s="52">
        <v>165696</v>
      </c>
      <c r="E261" s="56">
        <f t="shared" si="35"/>
        <v>60</v>
      </c>
      <c r="F261" s="65">
        <f t="shared" si="29"/>
        <v>260</v>
      </c>
      <c r="G261" s="61">
        <f t="shared" si="33"/>
        <v>0</v>
      </c>
      <c r="H261" s="58">
        <f t="shared" si="30"/>
        <v>1</v>
      </c>
      <c r="I261" s="58">
        <f t="shared" si="34"/>
        <v>0</v>
      </c>
    </row>
    <row r="262" spans="1:9" x14ac:dyDescent="0.15">
      <c r="A262" s="23">
        <v>261</v>
      </c>
      <c r="B262" s="56">
        <f t="shared" si="31"/>
        <v>169</v>
      </c>
      <c r="C262" s="56">
        <f t="shared" si="32"/>
        <v>198</v>
      </c>
      <c r="D262" s="52">
        <v>166856</v>
      </c>
      <c r="E262" s="56">
        <f t="shared" si="35"/>
        <v>60</v>
      </c>
      <c r="F262" s="65">
        <f t="shared" si="29"/>
        <v>261</v>
      </c>
      <c r="G262" s="61">
        <f t="shared" si="33"/>
        <v>1</v>
      </c>
      <c r="H262" s="58">
        <f t="shared" si="30"/>
        <v>0</v>
      </c>
      <c r="I262" s="58">
        <f t="shared" si="34"/>
        <v>0</v>
      </c>
    </row>
    <row r="263" spans="1:9" x14ac:dyDescent="0.15">
      <c r="A263" s="23">
        <v>262</v>
      </c>
      <c r="B263" s="56">
        <f t="shared" si="31"/>
        <v>169</v>
      </c>
      <c r="C263" s="56">
        <f t="shared" si="32"/>
        <v>198</v>
      </c>
      <c r="D263" s="52">
        <v>168024</v>
      </c>
      <c r="E263" s="56">
        <f t="shared" si="35"/>
        <v>60</v>
      </c>
      <c r="F263" s="65">
        <f t="shared" si="29"/>
        <v>262</v>
      </c>
      <c r="G263" s="61">
        <f t="shared" si="33"/>
        <v>0</v>
      </c>
      <c r="H263" s="58">
        <f t="shared" si="30"/>
        <v>0</v>
      </c>
      <c r="I263" s="58">
        <f t="shared" si="34"/>
        <v>0</v>
      </c>
    </row>
    <row r="264" spans="1:9" x14ac:dyDescent="0.15">
      <c r="A264" s="23">
        <v>263</v>
      </c>
      <c r="B264" s="56">
        <f t="shared" si="31"/>
        <v>170</v>
      </c>
      <c r="C264" s="56">
        <f t="shared" si="32"/>
        <v>198</v>
      </c>
      <c r="D264" s="52">
        <v>169200</v>
      </c>
      <c r="E264" s="56">
        <f t="shared" si="35"/>
        <v>60</v>
      </c>
      <c r="F264" s="65">
        <f t="shared" si="29"/>
        <v>263</v>
      </c>
      <c r="G264" s="61">
        <f t="shared" si="33"/>
        <v>1</v>
      </c>
      <c r="H264" s="58">
        <f t="shared" si="30"/>
        <v>0</v>
      </c>
      <c r="I264" s="58">
        <f t="shared" si="34"/>
        <v>0</v>
      </c>
    </row>
    <row r="265" spans="1:9" x14ac:dyDescent="0.15">
      <c r="A265" s="23">
        <v>264</v>
      </c>
      <c r="B265" s="56">
        <f t="shared" si="31"/>
        <v>170</v>
      </c>
      <c r="C265" s="56">
        <f t="shared" si="32"/>
        <v>199</v>
      </c>
      <c r="D265" s="52">
        <v>170385</v>
      </c>
      <c r="E265" s="56">
        <f t="shared" si="35"/>
        <v>60</v>
      </c>
      <c r="F265" s="65">
        <f t="shared" si="29"/>
        <v>264</v>
      </c>
      <c r="G265" s="61">
        <f t="shared" si="33"/>
        <v>0</v>
      </c>
      <c r="H265" s="58">
        <f t="shared" si="30"/>
        <v>1</v>
      </c>
      <c r="I265" s="58">
        <f t="shared" si="34"/>
        <v>0</v>
      </c>
    </row>
    <row r="266" spans="1:9" x14ac:dyDescent="0.15">
      <c r="A266" s="23">
        <v>265</v>
      </c>
      <c r="B266" s="56">
        <f t="shared" si="31"/>
        <v>171</v>
      </c>
      <c r="C266" s="56">
        <f t="shared" si="32"/>
        <v>199</v>
      </c>
      <c r="D266" s="52">
        <v>171577</v>
      </c>
      <c r="E266" s="56">
        <f t="shared" si="35"/>
        <v>60</v>
      </c>
      <c r="F266" s="65">
        <f t="shared" si="29"/>
        <v>265</v>
      </c>
      <c r="G266" s="61">
        <f t="shared" si="33"/>
        <v>1</v>
      </c>
      <c r="H266" s="58">
        <f t="shared" si="30"/>
        <v>0</v>
      </c>
      <c r="I266" s="58">
        <f t="shared" si="34"/>
        <v>0</v>
      </c>
    </row>
    <row r="267" spans="1:9" x14ac:dyDescent="0.15">
      <c r="A267" s="23">
        <v>266</v>
      </c>
      <c r="B267" s="56">
        <f t="shared" si="31"/>
        <v>171</v>
      </c>
      <c r="C267" s="56">
        <f t="shared" si="32"/>
        <v>199</v>
      </c>
      <c r="D267" s="52">
        <v>172778</v>
      </c>
      <c r="E267" s="56">
        <f t="shared" si="35"/>
        <v>60</v>
      </c>
      <c r="F267" s="65">
        <f t="shared" si="29"/>
        <v>266</v>
      </c>
      <c r="G267" s="61">
        <f t="shared" si="33"/>
        <v>0</v>
      </c>
      <c r="H267" s="58">
        <f t="shared" si="30"/>
        <v>0</v>
      </c>
      <c r="I267" s="58">
        <f t="shared" si="34"/>
        <v>0</v>
      </c>
    </row>
    <row r="268" spans="1:9" x14ac:dyDescent="0.15">
      <c r="A268" s="23">
        <v>267</v>
      </c>
      <c r="B268" s="56">
        <f t="shared" si="31"/>
        <v>172</v>
      </c>
      <c r="C268" s="56">
        <f t="shared" si="32"/>
        <v>199</v>
      </c>
      <c r="D268" s="52">
        <v>173988</v>
      </c>
      <c r="E268" s="56">
        <f t="shared" si="35"/>
        <v>60</v>
      </c>
      <c r="F268" s="65">
        <f t="shared" si="29"/>
        <v>267</v>
      </c>
      <c r="G268" s="61">
        <f t="shared" si="33"/>
        <v>1</v>
      </c>
      <c r="H268" s="58">
        <f t="shared" si="30"/>
        <v>0</v>
      </c>
      <c r="I268" s="58">
        <f t="shared" si="34"/>
        <v>0</v>
      </c>
    </row>
    <row r="269" spans="1:9" x14ac:dyDescent="0.15">
      <c r="A269" s="23">
        <v>268</v>
      </c>
      <c r="B269" s="56">
        <f t="shared" si="31"/>
        <v>172</v>
      </c>
      <c r="C269" s="56">
        <f t="shared" si="32"/>
        <v>200</v>
      </c>
      <c r="D269" s="52">
        <v>175206</v>
      </c>
      <c r="E269" s="56">
        <f t="shared" si="35"/>
        <v>60</v>
      </c>
      <c r="F269" s="65">
        <f t="shared" si="29"/>
        <v>268</v>
      </c>
      <c r="G269" s="61">
        <f t="shared" si="33"/>
        <v>0</v>
      </c>
      <c r="H269" s="58">
        <f t="shared" si="30"/>
        <v>1</v>
      </c>
      <c r="I269" s="58">
        <f t="shared" si="34"/>
        <v>0</v>
      </c>
    </row>
    <row r="270" spans="1:9" x14ac:dyDescent="0.15">
      <c r="A270" s="23">
        <v>269</v>
      </c>
      <c r="B270" s="56">
        <f t="shared" si="31"/>
        <v>173</v>
      </c>
      <c r="C270" s="56">
        <f t="shared" si="32"/>
        <v>200</v>
      </c>
      <c r="D270" s="52">
        <v>176432</v>
      </c>
      <c r="E270" s="56">
        <f t="shared" si="35"/>
        <v>60</v>
      </c>
      <c r="F270" s="65">
        <f t="shared" si="29"/>
        <v>269</v>
      </c>
      <c r="G270" s="61">
        <f t="shared" si="33"/>
        <v>1</v>
      </c>
      <c r="H270" s="58">
        <f t="shared" si="30"/>
        <v>0</v>
      </c>
      <c r="I270" s="58">
        <f t="shared" si="34"/>
        <v>0</v>
      </c>
    </row>
    <row r="271" spans="1:9" x14ac:dyDescent="0.15">
      <c r="A271" s="23">
        <v>270</v>
      </c>
      <c r="B271" s="56">
        <f t="shared" si="31"/>
        <v>173</v>
      </c>
      <c r="C271" s="56">
        <f t="shared" si="32"/>
        <v>200</v>
      </c>
      <c r="D271" s="52">
        <v>177667</v>
      </c>
      <c r="E271" s="56">
        <f t="shared" si="35"/>
        <v>60</v>
      </c>
      <c r="F271" s="65">
        <f t="shared" si="29"/>
        <v>270</v>
      </c>
      <c r="G271" s="61">
        <f t="shared" si="33"/>
        <v>0</v>
      </c>
      <c r="H271" s="58">
        <f t="shared" si="30"/>
        <v>0</v>
      </c>
      <c r="I271" s="58">
        <f t="shared" si="34"/>
        <v>0</v>
      </c>
    </row>
    <row r="272" spans="1:9" x14ac:dyDescent="0.15">
      <c r="A272" s="23">
        <v>271</v>
      </c>
      <c r="B272" s="56">
        <f t="shared" si="31"/>
        <v>174</v>
      </c>
      <c r="C272" s="56">
        <f t="shared" si="32"/>
        <v>200</v>
      </c>
      <c r="D272" s="52">
        <v>178911</v>
      </c>
      <c r="E272" s="56">
        <f t="shared" si="35"/>
        <v>60</v>
      </c>
      <c r="F272" s="65">
        <f t="shared" si="29"/>
        <v>271</v>
      </c>
      <c r="G272" s="61">
        <f t="shared" si="33"/>
        <v>1</v>
      </c>
      <c r="H272" s="58">
        <f t="shared" si="30"/>
        <v>0</v>
      </c>
      <c r="I272" s="58">
        <f t="shared" si="34"/>
        <v>0</v>
      </c>
    </row>
    <row r="273" spans="1:9" x14ac:dyDescent="0.15">
      <c r="A273" s="23">
        <v>272</v>
      </c>
      <c r="B273" s="56">
        <f t="shared" si="31"/>
        <v>174</v>
      </c>
      <c r="C273" s="56">
        <f t="shared" si="32"/>
        <v>201</v>
      </c>
      <c r="D273" s="52">
        <v>180163</v>
      </c>
      <c r="E273" s="56">
        <f t="shared" si="35"/>
        <v>60</v>
      </c>
      <c r="F273" s="65">
        <f t="shared" si="29"/>
        <v>272</v>
      </c>
      <c r="G273" s="61">
        <f t="shared" si="33"/>
        <v>0</v>
      </c>
      <c r="H273" s="58">
        <f t="shared" si="30"/>
        <v>1</v>
      </c>
      <c r="I273" s="58">
        <f t="shared" si="34"/>
        <v>0</v>
      </c>
    </row>
    <row r="274" spans="1:9" x14ac:dyDescent="0.15">
      <c r="A274" s="23">
        <v>273</v>
      </c>
      <c r="B274" s="56">
        <f t="shared" si="31"/>
        <v>175</v>
      </c>
      <c r="C274" s="56">
        <f t="shared" si="32"/>
        <v>201</v>
      </c>
      <c r="D274" s="52">
        <v>181424</v>
      </c>
      <c r="E274" s="56">
        <f t="shared" si="35"/>
        <v>60</v>
      </c>
      <c r="F274" s="65">
        <f t="shared" si="29"/>
        <v>273</v>
      </c>
      <c r="G274" s="61">
        <f t="shared" si="33"/>
        <v>1</v>
      </c>
      <c r="H274" s="58">
        <f t="shared" si="30"/>
        <v>0</v>
      </c>
      <c r="I274" s="58">
        <f t="shared" si="34"/>
        <v>0</v>
      </c>
    </row>
    <row r="275" spans="1:9" x14ac:dyDescent="0.15">
      <c r="A275" s="23">
        <v>274</v>
      </c>
      <c r="B275" s="56">
        <f t="shared" si="31"/>
        <v>175</v>
      </c>
      <c r="C275" s="56">
        <f t="shared" si="32"/>
        <v>201</v>
      </c>
      <c r="D275" s="52">
        <v>182694</v>
      </c>
      <c r="E275" s="56">
        <f t="shared" si="35"/>
        <v>60</v>
      </c>
      <c r="F275" s="65">
        <f t="shared" si="29"/>
        <v>274</v>
      </c>
      <c r="G275" s="61">
        <f t="shared" si="33"/>
        <v>0</v>
      </c>
      <c r="H275" s="58">
        <f t="shared" si="30"/>
        <v>0</v>
      </c>
      <c r="I275" s="58">
        <f t="shared" si="34"/>
        <v>0</v>
      </c>
    </row>
    <row r="276" spans="1:9" x14ac:dyDescent="0.15">
      <c r="A276" s="23">
        <v>275</v>
      </c>
      <c r="B276" s="56">
        <f t="shared" si="31"/>
        <v>176</v>
      </c>
      <c r="C276" s="56">
        <f t="shared" si="32"/>
        <v>201</v>
      </c>
      <c r="D276" s="52">
        <v>183973</v>
      </c>
      <c r="E276" s="56">
        <f t="shared" si="35"/>
        <v>60</v>
      </c>
      <c r="F276" s="65">
        <f t="shared" si="29"/>
        <v>275</v>
      </c>
      <c r="G276" s="61">
        <f t="shared" si="33"/>
        <v>1</v>
      </c>
      <c r="H276" s="58">
        <f t="shared" si="30"/>
        <v>0</v>
      </c>
      <c r="I276" s="58">
        <f t="shared" si="34"/>
        <v>0</v>
      </c>
    </row>
    <row r="277" spans="1:9" x14ac:dyDescent="0.15">
      <c r="A277" s="23">
        <v>276</v>
      </c>
      <c r="B277" s="56">
        <f t="shared" si="31"/>
        <v>176</v>
      </c>
      <c r="C277" s="56">
        <f t="shared" si="32"/>
        <v>202</v>
      </c>
      <c r="D277" s="52">
        <v>185261</v>
      </c>
      <c r="E277" s="56">
        <f t="shared" si="35"/>
        <v>60</v>
      </c>
      <c r="F277" s="65">
        <f t="shared" si="29"/>
        <v>276</v>
      </c>
      <c r="G277" s="61">
        <f t="shared" si="33"/>
        <v>0</v>
      </c>
      <c r="H277" s="58">
        <f t="shared" si="30"/>
        <v>1</v>
      </c>
      <c r="I277" s="58">
        <f t="shared" si="34"/>
        <v>0</v>
      </c>
    </row>
    <row r="278" spans="1:9" x14ac:dyDescent="0.15">
      <c r="A278" s="23">
        <v>277</v>
      </c>
      <c r="B278" s="56">
        <f t="shared" si="31"/>
        <v>177</v>
      </c>
      <c r="C278" s="56">
        <f t="shared" si="32"/>
        <v>202</v>
      </c>
      <c r="D278" s="52">
        <v>186558</v>
      </c>
      <c r="E278" s="56">
        <f t="shared" si="35"/>
        <v>60</v>
      </c>
      <c r="F278" s="65">
        <f t="shared" si="29"/>
        <v>277</v>
      </c>
      <c r="G278" s="61">
        <f t="shared" si="33"/>
        <v>1</v>
      </c>
      <c r="H278" s="58">
        <f t="shared" si="30"/>
        <v>0</v>
      </c>
      <c r="I278" s="58">
        <f t="shared" si="34"/>
        <v>0</v>
      </c>
    </row>
    <row r="279" spans="1:9" x14ac:dyDescent="0.15">
      <c r="A279" s="23">
        <v>278</v>
      </c>
      <c r="B279" s="56">
        <f t="shared" si="31"/>
        <v>177</v>
      </c>
      <c r="C279" s="56">
        <f t="shared" si="32"/>
        <v>202</v>
      </c>
      <c r="D279" s="52">
        <v>187864</v>
      </c>
      <c r="E279" s="56">
        <f t="shared" si="35"/>
        <v>60</v>
      </c>
      <c r="F279" s="65">
        <f t="shared" si="29"/>
        <v>278</v>
      </c>
      <c r="G279" s="61">
        <f t="shared" si="33"/>
        <v>0</v>
      </c>
      <c r="H279" s="58">
        <f t="shared" si="30"/>
        <v>0</v>
      </c>
      <c r="I279" s="58">
        <f t="shared" si="34"/>
        <v>0</v>
      </c>
    </row>
    <row r="280" spans="1:9" x14ac:dyDescent="0.15">
      <c r="A280" s="23">
        <v>279</v>
      </c>
      <c r="B280" s="56">
        <f t="shared" si="31"/>
        <v>178</v>
      </c>
      <c r="C280" s="56">
        <f t="shared" si="32"/>
        <v>202</v>
      </c>
      <c r="D280" s="52">
        <v>189179</v>
      </c>
      <c r="E280" s="56">
        <f t="shared" si="35"/>
        <v>60</v>
      </c>
      <c r="F280" s="65">
        <f t="shared" si="29"/>
        <v>279</v>
      </c>
      <c r="G280" s="61">
        <f t="shared" si="33"/>
        <v>1</v>
      </c>
      <c r="H280" s="58">
        <f t="shared" si="30"/>
        <v>0</v>
      </c>
      <c r="I280" s="58">
        <f t="shared" si="34"/>
        <v>0</v>
      </c>
    </row>
    <row r="281" spans="1:9" x14ac:dyDescent="0.15">
      <c r="A281" s="23">
        <v>280</v>
      </c>
      <c r="B281" s="56">
        <f t="shared" si="31"/>
        <v>178</v>
      </c>
      <c r="C281" s="56">
        <f t="shared" si="32"/>
        <v>203</v>
      </c>
      <c r="D281" s="52">
        <v>190503</v>
      </c>
      <c r="E281" s="56">
        <f t="shared" si="35"/>
        <v>60</v>
      </c>
      <c r="F281" s="65">
        <f t="shared" si="29"/>
        <v>280</v>
      </c>
      <c r="G281" s="61">
        <f t="shared" si="33"/>
        <v>0</v>
      </c>
      <c r="H281" s="58">
        <f t="shared" si="30"/>
        <v>1</v>
      </c>
      <c r="I281" s="58">
        <f t="shared" si="34"/>
        <v>0</v>
      </c>
    </row>
    <row r="282" spans="1:9" x14ac:dyDescent="0.15">
      <c r="A282" s="23">
        <v>281</v>
      </c>
      <c r="B282" s="56">
        <f t="shared" si="31"/>
        <v>179</v>
      </c>
      <c r="C282" s="56">
        <f t="shared" si="32"/>
        <v>203</v>
      </c>
      <c r="D282" s="52">
        <v>191741</v>
      </c>
      <c r="E282" s="56">
        <f t="shared" si="35"/>
        <v>60</v>
      </c>
      <c r="F282" s="65">
        <f t="shared" si="29"/>
        <v>281</v>
      </c>
      <c r="G282" s="61">
        <f t="shared" si="33"/>
        <v>1</v>
      </c>
      <c r="H282" s="58">
        <f t="shared" si="30"/>
        <v>0</v>
      </c>
      <c r="I282" s="58">
        <f t="shared" si="34"/>
        <v>0</v>
      </c>
    </row>
    <row r="283" spans="1:9" x14ac:dyDescent="0.15">
      <c r="A283" s="23">
        <v>282</v>
      </c>
      <c r="B283" s="56">
        <f t="shared" si="31"/>
        <v>179</v>
      </c>
      <c r="C283" s="56">
        <f t="shared" si="32"/>
        <v>203</v>
      </c>
      <c r="D283" s="52">
        <v>192988</v>
      </c>
      <c r="E283" s="56">
        <f t="shared" si="35"/>
        <v>60</v>
      </c>
      <c r="F283" s="65">
        <f t="shared" si="29"/>
        <v>282</v>
      </c>
      <c r="G283" s="61">
        <f t="shared" si="33"/>
        <v>0</v>
      </c>
      <c r="H283" s="58">
        <f t="shared" si="30"/>
        <v>0</v>
      </c>
      <c r="I283" s="58">
        <f t="shared" si="34"/>
        <v>0</v>
      </c>
    </row>
    <row r="284" spans="1:9" x14ac:dyDescent="0.15">
      <c r="A284" s="23">
        <v>283</v>
      </c>
      <c r="B284" s="56">
        <f t="shared" si="31"/>
        <v>180</v>
      </c>
      <c r="C284" s="56">
        <f t="shared" si="32"/>
        <v>203</v>
      </c>
      <c r="D284" s="52">
        <v>194242</v>
      </c>
      <c r="E284" s="56">
        <f t="shared" si="35"/>
        <v>60</v>
      </c>
      <c r="F284" s="65">
        <f t="shared" si="29"/>
        <v>283</v>
      </c>
      <c r="G284" s="61">
        <f t="shared" si="33"/>
        <v>1</v>
      </c>
      <c r="H284" s="58">
        <f t="shared" si="30"/>
        <v>0</v>
      </c>
      <c r="I284" s="58">
        <f t="shared" si="34"/>
        <v>0</v>
      </c>
    </row>
    <row r="285" spans="1:9" x14ac:dyDescent="0.15">
      <c r="A285" s="23">
        <v>284</v>
      </c>
      <c r="B285" s="56">
        <f t="shared" si="31"/>
        <v>180</v>
      </c>
      <c r="C285" s="56">
        <f t="shared" si="32"/>
        <v>204</v>
      </c>
      <c r="D285" s="52">
        <v>195505</v>
      </c>
      <c r="E285" s="56">
        <f t="shared" si="35"/>
        <v>60</v>
      </c>
      <c r="F285" s="65">
        <f t="shared" si="29"/>
        <v>284</v>
      </c>
      <c r="G285" s="61">
        <f t="shared" si="33"/>
        <v>0</v>
      </c>
      <c r="H285" s="58">
        <f t="shared" si="30"/>
        <v>1</v>
      </c>
      <c r="I285" s="58">
        <f t="shared" si="34"/>
        <v>0</v>
      </c>
    </row>
    <row r="286" spans="1:9" x14ac:dyDescent="0.15">
      <c r="A286" s="23">
        <v>285</v>
      </c>
      <c r="B286" s="56">
        <f t="shared" si="31"/>
        <v>181</v>
      </c>
      <c r="C286" s="56">
        <f t="shared" si="32"/>
        <v>204</v>
      </c>
      <c r="D286" s="52">
        <v>196775</v>
      </c>
      <c r="E286" s="56">
        <f t="shared" si="35"/>
        <v>60</v>
      </c>
      <c r="F286" s="65">
        <f t="shared" si="29"/>
        <v>285</v>
      </c>
      <c r="G286" s="61">
        <f t="shared" si="33"/>
        <v>1</v>
      </c>
      <c r="H286" s="58">
        <f t="shared" si="30"/>
        <v>0</v>
      </c>
      <c r="I286" s="58">
        <f t="shared" si="34"/>
        <v>0</v>
      </c>
    </row>
    <row r="287" spans="1:9" x14ac:dyDescent="0.15">
      <c r="A287" s="23">
        <v>286</v>
      </c>
      <c r="B287" s="56">
        <f t="shared" si="31"/>
        <v>181</v>
      </c>
      <c r="C287" s="56">
        <f t="shared" si="32"/>
        <v>204</v>
      </c>
      <c r="D287" s="52">
        <v>198054</v>
      </c>
      <c r="E287" s="56">
        <f t="shared" si="35"/>
        <v>60</v>
      </c>
      <c r="F287" s="65">
        <f t="shared" si="29"/>
        <v>286</v>
      </c>
      <c r="G287" s="61">
        <f t="shared" si="33"/>
        <v>0</v>
      </c>
      <c r="H287" s="58">
        <f t="shared" si="30"/>
        <v>0</v>
      </c>
      <c r="I287" s="58">
        <f t="shared" si="34"/>
        <v>0</v>
      </c>
    </row>
    <row r="288" spans="1:9" x14ac:dyDescent="0.15">
      <c r="A288" s="23">
        <v>287</v>
      </c>
      <c r="B288" s="56">
        <f t="shared" si="31"/>
        <v>182</v>
      </c>
      <c r="C288" s="56">
        <f t="shared" si="32"/>
        <v>204</v>
      </c>
      <c r="D288" s="52">
        <v>199342</v>
      </c>
      <c r="E288" s="56">
        <f t="shared" si="35"/>
        <v>60</v>
      </c>
      <c r="F288" s="65">
        <f t="shared" si="29"/>
        <v>287</v>
      </c>
      <c r="G288" s="61">
        <f t="shared" si="33"/>
        <v>1</v>
      </c>
      <c r="H288" s="58">
        <f t="shared" si="30"/>
        <v>0</v>
      </c>
      <c r="I288" s="58">
        <f t="shared" si="34"/>
        <v>0</v>
      </c>
    </row>
    <row r="289" spans="1:9" x14ac:dyDescent="0.15">
      <c r="A289" s="23">
        <v>288</v>
      </c>
      <c r="B289" s="56">
        <f t="shared" si="31"/>
        <v>182</v>
      </c>
      <c r="C289" s="56">
        <f t="shared" si="32"/>
        <v>205</v>
      </c>
      <c r="D289" s="52">
        <v>200638</v>
      </c>
      <c r="E289" s="56">
        <f t="shared" si="35"/>
        <v>60</v>
      </c>
      <c r="F289" s="65">
        <f t="shared" si="29"/>
        <v>288</v>
      </c>
      <c r="G289" s="61">
        <f t="shared" si="33"/>
        <v>0</v>
      </c>
      <c r="H289" s="58">
        <f t="shared" si="30"/>
        <v>1</v>
      </c>
      <c r="I289" s="58">
        <f t="shared" si="34"/>
        <v>0</v>
      </c>
    </row>
    <row r="290" spans="1:9" x14ac:dyDescent="0.15">
      <c r="A290" s="23">
        <v>289</v>
      </c>
      <c r="B290" s="56">
        <f t="shared" si="31"/>
        <v>183</v>
      </c>
      <c r="C290" s="56">
        <f t="shared" si="32"/>
        <v>205</v>
      </c>
      <c r="D290" s="52">
        <v>201942</v>
      </c>
      <c r="E290" s="56">
        <f t="shared" si="35"/>
        <v>60</v>
      </c>
      <c r="F290" s="65">
        <f t="shared" si="29"/>
        <v>289</v>
      </c>
      <c r="G290" s="61">
        <f t="shared" si="33"/>
        <v>1</v>
      </c>
      <c r="H290" s="58">
        <f t="shared" si="30"/>
        <v>0</v>
      </c>
      <c r="I290" s="58">
        <f t="shared" si="34"/>
        <v>0</v>
      </c>
    </row>
    <row r="291" spans="1:9" x14ac:dyDescent="0.15">
      <c r="A291" s="23">
        <v>290</v>
      </c>
      <c r="B291" s="56">
        <f t="shared" si="31"/>
        <v>183</v>
      </c>
      <c r="C291" s="56">
        <f t="shared" si="32"/>
        <v>205</v>
      </c>
      <c r="D291" s="52">
        <v>203254</v>
      </c>
      <c r="E291" s="56">
        <f t="shared" si="35"/>
        <v>60</v>
      </c>
      <c r="F291" s="65">
        <f t="shared" si="29"/>
        <v>290</v>
      </c>
      <c r="G291" s="61">
        <f t="shared" si="33"/>
        <v>0</v>
      </c>
      <c r="H291" s="58">
        <f t="shared" si="30"/>
        <v>0</v>
      </c>
      <c r="I291" s="58">
        <f t="shared" si="34"/>
        <v>0</v>
      </c>
    </row>
    <row r="292" spans="1:9" x14ac:dyDescent="0.15">
      <c r="A292" s="23">
        <v>291</v>
      </c>
      <c r="B292" s="56">
        <f t="shared" si="31"/>
        <v>184</v>
      </c>
      <c r="C292" s="56">
        <f t="shared" si="32"/>
        <v>205</v>
      </c>
      <c r="D292" s="52">
        <v>204575</v>
      </c>
      <c r="E292" s="56">
        <f t="shared" si="35"/>
        <v>60</v>
      </c>
      <c r="F292" s="65">
        <f t="shared" si="29"/>
        <v>291</v>
      </c>
      <c r="G292" s="61">
        <f t="shared" si="33"/>
        <v>1</v>
      </c>
      <c r="H292" s="58">
        <f t="shared" si="30"/>
        <v>0</v>
      </c>
      <c r="I292" s="58">
        <f t="shared" si="34"/>
        <v>0</v>
      </c>
    </row>
    <row r="293" spans="1:9" x14ac:dyDescent="0.15">
      <c r="A293" s="23">
        <v>292</v>
      </c>
      <c r="B293" s="56">
        <f t="shared" si="31"/>
        <v>184</v>
      </c>
      <c r="C293" s="56">
        <f t="shared" si="32"/>
        <v>206</v>
      </c>
      <c r="D293" s="52">
        <v>205905</v>
      </c>
      <c r="E293" s="56">
        <f t="shared" si="35"/>
        <v>60</v>
      </c>
      <c r="F293" s="65">
        <f t="shared" si="29"/>
        <v>292</v>
      </c>
      <c r="G293" s="61">
        <f t="shared" si="33"/>
        <v>0</v>
      </c>
      <c r="H293" s="58">
        <f t="shared" si="30"/>
        <v>1</v>
      </c>
      <c r="I293" s="58">
        <f t="shared" si="34"/>
        <v>0</v>
      </c>
    </row>
    <row r="294" spans="1:9" x14ac:dyDescent="0.15">
      <c r="A294" s="23">
        <v>293</v>
      </c>
      <c r="B294" s="56">
        <f t="shared" si="31"/>
        <v>185</v>
      </c>
      <c r="C294" s="56">
        <f t="shared" si="32"/>
        <v>206</v>
      </c>
      <c r="D294" s="52">
        <v>207244</v>
      </c>
      <c r="E294" s="56">
        <f t="shared" si="35"/>
        <v>60</v>
      </c>
      <c r="F294" s="65">
        <f t="shared" si="29"/>
        <v>293</v>
      </c>
      <c r="G294" s="61">
        <f t="shared" si="33"/>
        <v>1</v>
      </c>
      <c r="H294" s="58">
        <f t="shared" si="30"/>
        <v>0</v>
      </c>
      <c r="I294" s="58">
        <f t="shared" si="34"/>
        <v>0</v>
      </c>
    </row>
    <row r="295" spans="1:9" x14ac:dyDescent="0.15">
      <c r="A295" s="23">
        <v>294</v>
      </c>
      <c r="B295" s="56">
        <f t="shared" si="31"/>
        <v>185</v>
      </c>
      <c r="C295" s="56">
        <f t="shared" si="32"/>
        <v>206</v>
      </c>
      <c r="D295" s="52">
        <v>208591</v>
      </c>
      <c r="E295" s="56">
        <f t="shared" si="35"/>
        <v>60</v>
      </c>
      <c r="F295" s="65">
        <f t="shared" si="29"/>
        <v>294</v>
      </c>
      <c r="G295" s="61">
        <f t="shared" si="33"/>
        <v>0</v>
      </c>
      <c r="H295" s="58">
        <f t="shared" si="30"/>
        <v>0</v>
      </c>
      <c r="I295" s="58">
        <f t="shared" si="34"/>
        <v>0</v>
      </c>
    </row>
    <row r="296" spans="1:9" x14ac:dyDescent="0.15">
      <c r="A296" s="23">
        <v>295</v>
      </c>
      <c r="B296" s="56">
        <f t="shared" si="31"/>
        <v>186</v>
      </c>
      <c r="C296" s="56">
        <f t="shared" si="32"/>
        <v>206</v>
      </c>
      <c r="D296" s="52">
        <v>209947</v>
      </c>
      <c r="E296" s="56">
        <f t="shared" si="35"/>
        <v>60</v>
      </c>
      <c r="F296" s="65">
        <f t="shared" si="29"/>
        <v>295</v>
      </c>
      <c r="G296" s="61">
        <f t="shared" si="33"/>
        <v>1</v>
      </c>
      <c r="H296" s="58">
        <f t="shared" si="30"/>
        <v>0</v>
      </c>
      <c r="I296" s="58">
        <f t="shared" si="34"/>
        <v>0</v>
      </c>
    </row>
    <row r="297" spans="1:9" x14ac:dyDescent="0.15">
      <c r="A297" s="23">
        <v>296</v>
      </c>
      <c r="B297" s="56">
        <f t="shared" si="31"/>
        <v>186</v>
      </c>
      <c r="C297" s="56">
        <f t="shared" si="32"/>
        <v>207</v>
      </c>
      <c r="D297" s="52">
        <v>211311</v>
      </c>
      <c r="E297" s="56">
        <f t="shared" si="35"/>
        <v>60</v>
      </c>
      <c r="F297" s="65">
        <f t="shared" si="29"/>
        <v>296</v>
      </c>
      <c r="G297" s="61">
        <f t="shared" si="33"/>
        <v>0</v>
      </c>
      <c r="H297" s="58">
        <f t="shared" si="30"/>
        <v>1</v>
      </c>
      <c r="I297" s="58">
        <f t="shared" si="34"/>
        <v>0</v>
      </c>
    </row>
    <row r="298" spans="1:9" x14ac:dyDescent="0.15">
      <c r="A298" s="23">
        <v>297</v>
      </c>
      <c r="B298" s="56">
        <f t="shared" si="31"/>
        <v>187</v>
      </c>
      <c r="C298" s="56">
        <f t="shared" si="32"/>
        <v>207</v>
      </c>
      <c r="D298" s="52">
        <v>212685</v>
      </c>
      <c r="E298" s="56">
        <f t="shared" si="35"/>
        <v>60</v>
      </c>
      <c r="F298" s="65">
        <f t="shared" si="29"/>
        <v>297</v>
      </c>
      <c r="G298" s="61">
        <f t="shared" si="33"/>
        <v>1</v>
      </c>
      <c r="H298" s="58">
        <f t="shared" si="30"/>
        <v>0</v>
      </c>
      <c r="I298" s="58">
        <f t="shared" si="34"/>
        <v>0</v>
      </c>
    </row>
    <row r="299" spans="1:9" x14ac:dyDescent="0.15">
      <c r="A299" s="23">
        <v>298</v>
      </c>
      <c r="B299" s="56">
        <f t="shared" si="31"/>
        <v>187</v>
      </c>
      <c r="C299" s="56">
        <f t="shared" si="32"/>
        <v>207</v>
      </c>
      <c r="D299" s="52">
        <v>214067</v>
      </c>
      <c r="E299" s="56">
        <f t="shared" si="35"/>
        <v>60</v>
      </c>
      <c r="F299" s="65">
        <f t="shared" si="29"/>
        <v>298</v>
      </c>
      <c r="G299" s="61">
        <f t="shared" si="33"/>
        <v>0</v>
      </c>
      <c r="H299" s="58">
        <f t="shared" si="30"/>
        <v>0</v>
      </c>
      <c r="I299" s="58">
        <f t="shared" si="34"/>
        <v>0</v>
      </c>
    </row>
    <row r="300" spans="1:9" x14ac:dyDescent="0.15">
      <c r="A300" s="23">
        <v>299</v>
      </c>
      <c r="B300" s="56">
        <f t="shared" si="31"/>
        <v>188</v>
      </c>
      <c r="C300" s="56">
        <f t="shared" si="32"/>
        <v>207</v>
      </c>
      <c r="D300" s="52">
        <v>215459</v>
      </c>
      <c r="E300" s="56">
        <f t="shared" si="35"/>
        <v>60</v>
      </c>
      <c r="F300" s="65">
        <f t="shared" si="29"/>
        <v>299</v>
      </c>
      <c r="G300" s="61">
        <f t="shared" si="33"/>
        <v>1</v>
      </c>
      <c r="H300" s="58">
        <f t="shared" si="30"/>
        <v>0</v>
      </c>
      <c r="I300" s="58">
        <f t="shared" si="34"/>
        <v>0</v>
      </c>
    </row>
    <row r="301" spans="1:9" x14ac:dyDescent="0.15">
      <c r="A301" s="23">
        <v>300</v>
      </c>
      <c r="B301" s="56">
        <f t="shared" si="31"/>
        <v>188</v>
      </c>
      <c r="C301" s="56">
        <f t="shared" si="32"/>
        <v>208</v>
      </c>
      <c r="D301" s="52">
        <v>216859</v>
      </c>
      <c r="E301" s="56">
        <f t="shared" si="35"/>
        <v>60</v>
      </c>
      <c r="F301" s="65">
        <f t="shared" si="29"/>
        <v>300</v>
      </c>
      <c r="G301" s="61">
        <f t="shared" si="33"/>
        <v>0</v>
      </c>
      <c r="H301" s="58">
        <f t="shared" si="30"/>
        <v>1</v>
      </c>
      <c r="I301" s="58">
        <f t="shared" si="34"/>
        <v>0</v>
      </c>
    </row>
    <row r="302" spans="1:9" x14ac:dyDescent="0.15">
      <c r="A302" s="23">
        <v>301</v>
      </c>
      <c r="B302" s="56">
        <f t="shared" si="31"/>
        <v>189</v>
      </c>
      <c r="C302" s="56">
        <f t="shared" si="32"/>
        <v>208</v>
      </c>
      <c r="D302" s="52">
        <v>219470</v>
      </c>
      <c r="E302" s="56">
        <f t="shared" si="35"/>
        <v>60</v>
      </c>
      <c r="F302" s="65">
        <f t="shared" si="29"/>
        <v>301</v>
      </c>
      <c r="G302" s="61">
        <f t="shared" si="33"/>
        <v>1</v>
      </c>
      <c r="H302" s="58">
        <f t="shared" si="30"/>
        <v>0</v>
      </c>
      <c r="I302" s="58">
        <f t="shared" si="34"/>
        <v>0</v>
      </c>
    </row>
    <row r="303" spans="1:9" x14ac:dyDescent="0.15">
      <c r="A303" s="23">
        <v>302</v>
      </c>
      <c r="B303" s="56">
        <f t="shared" si="31"/>
        <v>189</v>
      </c>
      <c r="C303" s="56">
        <f t="shared" si="32"/>
        <v>208</v>
      </c>
      <c r="D303" s="52">
        <v>220787</v>
      </c>
      <c r="E303" s="56">
        <f t="shared" si="35"/>
        <v>60</v>
      </c>
      <c r="F303" s="65">
        <f t="shared" si="29"/>
        <v>302</v>
      </c>
      <c r="G303" s="61">
        <f t="shared" si="33"/>
        <v>0</v>
      </c>
      <c r="H303" s="58">
        <f t="shared" si="30"/>
        <v>0</v>
      </c>
      <c r="I303" s="58">
        <f t="shared" si="34"/>
        <v>0</v>
      </c>
    </row>
    <row r="304" spans="1:9" x14ac:dyDescent="0.15">
      <c r="A304" s="23">
        <v>303</v>
      </c>
      <c r="B304" s="56">
        <f t="shared" si="31"/>
        <v>190</v>
      </c>
      <c r="C304" s="56">
        <f t="shared" si="32"/>
        <v>208</v>
      </c>
      <c r="D304" s="52">
        <v>222112</v>
      </c>
      <c r="E304" s="56">
        <f t="shared" si="35"/>
        <v>60</v>
      </c>
      <c r="F304" s="65">
        <f t="shared" si="29"/>
        <v>303</v>
      </c>
      <c r="G304" s="61">
        <f t="shared" si="33"/>
        <v>1</v>
      </c>
      <c r="H304" s="58">
        <f t="shared" si="30"/>
        <v>0</v>
      </c>
      <c r="I304" s="58">
        <f t="shared" si="34"/>
        <v>0</v>
      </c>
    </row>
    <row r="305" spans="1:9" x14ac:dyDescent="0.15">
      <c r="A305" s="23">
        <v>304</v>
      </c>
      <c r="B305" s="56">
        <f t="shared" si="31"/>
        <v>190</v>
      </c>
      <c r="C305" s="56">
        <f t="shared" si="32"/>
        <v>209</v>
      </c>
      <c r="D305" s="52">
        <v>223445</v>
      </c>
      <c r="E305" s="56">
        <f t="shared" si="35"/>
        <v>60</v>
      </c>
      <c r="F305" s="65">
        <f t="shared" si="29"/>
        <v>304</v>
      </c>
      <c r="G305" s="61">
        <f t="shared" si="33"/>
        <v>0</v>
      </c>
      <c r="H305" s="58">
        <f t="shared" si="30"/>
        <v>1</v>
      </c>
      <c r="I305" s="58">
        <f t="shared" si="34"/>
        <v>0</v>
      </c>
    </row>
    <row r="306" spans="1:9" x14ac:dyDescent="0.15">
      <c r="A306" s="23">
        <v>305</v>
      </c>
      <c r="B306" s="56">
        <f t="shared" si="31"/>
        <v>191</v>
      </c>
      <c r="C306" s="56">
        <f t="shared" si="32"/>
        <v>209</v>
      </c>
      <c r="D306" s="52">
        <v>224786</v>
      </c>
      <c r="E306" s="56">
        <f t="shared" si="35"/>
        <v>60</v>
      </c>
      <c r="F306" s="65">
        <f t="shared" si="29"/>
        <v>305</v>
      </c>
      <c r="G306" s="61">
        <f t="shared" si="33"/>
        <v>1</v>
      </c>
      <c r="H306" s="58">
        <f t="shared" si="30"/>
        <v>0</v>
      </c>
      <c r="I306" s="58">
        <f t="shared" si="34"/>
        <v>0</v>
      </c>
    </row>
    <row r="307" spans="1:9" x14ac:dyDescent="0.15">
      <c r="A307" s="23">
        <v>306</v>
      </c>
      <c r="B307" s="56">
        <f t="shared" si="31"/>
        <v>191</v>
      </c>
      <c r="C307" s="56">
        <f t="shared" si="32"/>
        <v>209</v>
      </c>
      <c r="D307" s="52">
        <v>226135</v>
      </c>
      <c r="E307" s="56">
        <f t="shared" si="35"/>
        <v>60</v>
      </c>
      <c r="F307" s="65">
        <f t="shared" si="29"/>
        <v>306</v>
      </c>
      <c r="G307" s="61">
        <f t="shared" si="33"/>
        <v>0</v>
      </c>
      <c r="H307" s="58">
        <f t="shared" si="30"/>
        <v>0</v>
      </c>
      <c r="I307" s="58">
        <f t="shared" si="34"/>
        <v>0</v>
      </c>
    </row>
    <row r="308" spans="1:9" x14ac:dyDescent="0.15">
      <c r="A308" s="23">
        <v>307</v>
      </c>
      <c r="B308" s="56">
        <f t="shared" si="31"/>
        <v>192</v>
      </c>
      <c r="C308" s="56">
        <f t="shared" si="32"/>
        <v>209</v>
      </c>
      <c r="D308" s="52">
        <v>227492</v>
      </c>
      <c r="E308" s="56">
        <f t="shared" si="35"/>
        <v>60</v>
      </c>
      <c r="F308" s="65">
        <f t="shared" si="29"/>
        <v>307</v>
      </c>
      <c r="G308" s="61">
        <f t="shared" si="33"/>
        <v>1</v>
      </c>
      <c r="H308" s="58">
        <f t="shared" si="30"/>
        <v>0</v>
      </c>
      <c r="I308" s="58">
        <f t="shared" si="34"/>
        <v>0</v>
      </c>
    </row>
    <row r="309" spans="1:9" x14ac:dyDescent="0.15">
      <c r="A309" s="23">
        <v>308</v>
      </c>
      <c r="B309" s="56">
        <f t="shared" si="31"/>
        <v>192</v>
      </c>
      <c r="C309" s="56">
        <f t="shared" si="32"/>
        <v>210</v>
      </c>
      <c r="D309" s="52">
        <v>228857</v>
      </c>
      <c r="E309" s="56">
        <f t="shared" si="35"/>
        <v>60</v>
      </c>
      <c r="F309" s="65">
        <f t="shared" si="29"/>
        <v>308</v>
      </c>
      <c r="G309" s="61">
        <f t="shared" si="33"/>
        <v>0</v>
      </c>
      <c r="H309" s="58">
        <f t="shared" si="30"/>
        <v>1</v>
      </c>
      <c r="I309" s="58">
        <f t="shared" si="34"/>
        <v>0</v>
      </c>
    </row>
    <row r="310" spans="1:9" x14ac:dyDescent="0.15">
      <c r="A310" s="23">
        <v>309</v>
      </c>
      <c r="B310" s="56">
        <f t="shared" si="31"/>
        <v>193</v>
      </c>
      <c r="C310" s="56">
        <f t="shared" si="32"/>
        <v>210</v>
      </c>
      <c r="D310" s="52">
        <v>230230</v>
      </c>
      <c r="E310" s="56">
        <f t="shared" si="35"/>
        <v>60</v>
      </c>
      <c r="F310" s="65">
        <f t="shared" si="29"/>
        <v>309</v>
      </c>
      <c r="G310" s="61">
        <f t="shared" si="33"/>
        <v>1</v>
      </c>
      <c r="H310" s="58">
        <f t="shared" si="30"/>
        <v>0</v>
      </c>
      <c r="I310" s="58">
        <f t="shared" si="34"/>
        <v>0</v>
      </c>
    </row>
    <row r="311" spans="1:9" x14ac:dyDescent="0.15">
      <c r="A311" s="23">
        <v>310</v>
      </c>
      <c r="B311" s="56">
        <f t="shared" si="31"/>
        <v>193</v>
      </c>
      <c r="C311" s="56">
        <f t="shared" si="32"/>
        <v>210</v>
      </c>
      <c r="D311" s="52">
        <v>231611</v>
      </c>
      <c r="E311" s="56">
        <f t="shared" si="35"/>
        <v>60</v>
      </c>
      <c r="F311" s="65">
        <f t="shared" si="29"/>
        <v>310</v>
      </c>
      <c r="G311" s="61">
        <f t="shared" si="33"/>
        <v>0</v>
      </c>
      <c r="H311" s="58">
        <f t="shared" si="30"/>
        <v>0</v>
      </c>
      <c r="I311" s="58">
        <f t="shared" si="34"/>
        <v>0</v>
      </c>
    </row>
    <row r="312" spans="1:9" x14ac:dyDescent="0.15">
      <c r="A312" s="23">
        <v>311</v>
      </c>
      <c r="B312" s="56">
        <f t="shared" si="31"/>
        <v>194</v>
      </c>
      <c r="C312" s="56">
        <f t="shared" si="32"/>
        <v>210</v>
      </c>
      <c r="D312" s="52">
        <v>233001</v>
      </c>
      <c r="E312" s="56">
        <f t="shared" si="35"/>
        <v>60</v>
      </c>
      <c r="F312" s="65">
        <f t="shared" si="29"/>
        <v>311</v>
      </c>
      <c r="G312" s="61">
        <f t="shared" si="33"/>
        <v>1</v>
      </c>
      <c r="H312" s="58">
        <f t="shared" si="30"/>
        <v>0</v>
      </c>
      <c r="I312" s="58">
        <f t="shared" si="34"/>
        <v>0</v>
      </c>
    </row>
    <row r="313" spans="1:9" x14ac:dyDescent="0.15">
      <c r="A313" s="23">
        <v>312</v>
      </c>
      <c r="B313" s="56">
        <f t="shared" si="31"/>
        <v>194</v>
      </c>
      <c r="C313" s="56">
        <f t="shared" si="32"/>
        <v>211</v>
      </c>
      <c r="D313" s="52">
        <v>234399</v>
      </c>
      <c r="E313" s="56">
        <f t="shared" si="35"/>
        <v>60</v>
      </c>
      <c r="F313" s="65">
        <f t="shared" si="29"/>
        <v>312</v>
      </c>
      <c r="G313" s="61">
        <f t="shared" si="33"/>
        <v>0</v>
      </c>
      <c r="H313" s="58">
        <f t="shared" si="30"/>
        <v>1</v>
      </c>
      <c r="I313" s="58">
        <f t="shared" si="34"/>
        <v>0</v>
      </c>
    </row>
    <row r="314" spans="1:9" x14ac:dyDescent="0.15">
      <c r="A314" s="23">
        <v>313</v>
      </c>
      <c r="B314" s="56">
        <f t="shared" si="31"/>
        <v>195</v>
      </c>
      <c r="C314" s="56">
        <f t="shared" si="32"/>
        <v>211</v>
      </c>
      <c r="D314" s="52">
        <v>235805</v>
      </c>
      <c r="E314" s="56">
        <f t="shared" si="35"/>
        <v>60</v>
      </c>
      <c r="F314" s="65">
        <f t="shared" si="29"/>
        <v>313</v>
      </c>
      <c r="G314" s="61">
        <f t="shared" si="33"/>
        <v>1</v>
      </c>
      <c r="H314" s="58">
        <f t="shared" si="30"/>
        <v>0</v>
      </c>
      <c r="I314" s="58">
        <f t="shared" si="34"/>
        <v>0</v>
      </c>
    </row>
    <row r="315" spans="1:9" x14ac:dyDescent="0.15">
      <c r="A315" s="23">
        <v>314</v>
      </c>
      <c r="B315" s="56">
        <f t="shared" si="31"/>
        <v>195</v>
      </c>
      <c r="C315" s="56">
        <f t="shared" si="32"/>
        <v>211</v>
      </c>
      <c r="D315" s="52">
        <v>237220</v>
      </c>
      <c r="E315" s="56">
        <f t="shared" si="35"/>
        <v>60</v>
      </c>
      <c r="F315" s="65">
        <f t="shared" si="29"/>
        <v>314</v>
      </c>
      <c r="G315" s="61">
        <f t="shared" si="33"/>
        <v>0</v>
      </c>
      <c r="H315" s="58">
        <f t="shared" si="30"/>
        <v>0</v>
      </c>
      <c r="I315" s="58">
        <f t="shared" si="34"/>
        <v>0</v>
      </c>
    </row>
    <row r="316" spans="1:9" x14ac:dyDescent="0.15">
      <c r="A316" s="23">
        <v>315</v>
      </c>
      <c r="B316" s="56">
        <f t="shared" si="31"/>
        <v>196</v>
      </c>
      <c r="C316" s="56">
        <f t="shared" si="32"/>
        <v>211</v>
      </c>
      <c r="D316" s="52">
        <v>238643</v>
      </c>
      <c r="E316" s="56">
        <f t="shared" si="35"/>
        <v>60</v>
      </c>
      <c r="F316" s="65">
        <f t="shared" si="29"/>
        <v>315</v>
      </c>
      <c r="G316" s="61">
        <f t="shared" si="33"/>
        <v>1</v>
      </c>
      <c r="H316" s="58">
        <f t="shared" si="30"/>
        <v>0</v>
      </c>
      <c r="I316" s="58">
        <f t="shared" si="34"/>
        <v>0</v>
      </c>
    </row>
    <row r="317" spans="1:9" x14ac:dyDescent="0.15">
      <c r="A317" s="23">
        <v>316</v>
      </c>
      <c r="B317" s="56">
        <f t="shared" si="31"/>
        <v>196</v>
      </c>
      <c r="C317" s="56">
        <f t="shared" si="32"/>
        <v>212</v>
      </c>
      <c r="D317" s="52">
        <v>240075</v>
      </c>
      <c r="E317" s="56">
        <f t="shared" si="35"/>
        <v>60</v>
      </c>
      <c r="F317" s="65">
        <f t="shared" si="29"/>
        <v>316</v>
      </c>
      <c r="G317" s="61">
        <f t="shared" si="33"/>
        <v>0</v>
      </c>
      <c r="H317" s="58">
        <f t="shared" si="30"/>
        <v>1</v>
      </c>
      <c r="I317" s="58">
        <f t="shared" si="34"/>
        <v>0</v>
      </c>
    </row>
    <row r="318" spans="1:9" x14ac:dyDescent="0.15">
      <c r="A318" s="23">
        <v>317</v>
      </c>
      <c r="B318" s="56">
        <f t="shared" si="31"/>
        <v>197</v>
      </c>
      <c r="C318" s="56">
        <f t="shared" si="32"/>
        <v>212</v>
      </c>
      <c r="D318" s="52">
        <v>241515</v>
      </c>
      <c r="E318" s="56">
        <f t="shared" si="35"/>
        <v>60</v>
      </c>
      <c r="F318" s="65">
        <f t="shared" si="29"/>
        <v>317</v>
      </c>
      <c r="G318" s="61">
        <f t="shared" si="33"/>
        <v>1</v>
      </c>
      <c r="H318" s="58">
        <f t="shared" si="30"/>
        <v>0</v>
      </c>
      <c r="I318" s="58">
        <f t="shared" si="34"/>
        <v>0</v>
      </c>
    </row>
    <row r="319" spans="1:9" x14ac:dyDescent="0.15">
      <c r="A319" s="23">
        <v>318</v>
      </c>
      <c r="B319" s="56">
        <f t="shared" si="31"/>
        <v>197</v>
      </c>
      <c r="C319" s="56">
        <f t="shared" si="32"/>
        <v>212</v>
      </c>
      <c r="D319" s="52">
        <v>242964</v>
      </c>
      <c r="E319" s="56">
        <f t="shared" si="35"/>
        <v>60</v>
      </c>
      <c r="F319" s="65">
        <f t="shared" si="29"/>
        <v>318</v>
      </c>
      <c r="G319" s="61">
        <f t="shared" si="33"/>
        <v>0</v>
      </c>
      <c r="H319" s="58">
        <f t="shared" si="30"/>
        <v>0</v>
      </c>
      <c r="I319" s="58">
        <f t="shared" si="34"/>
        <v>0</v>
      </c>
    </row>
    <row r="320" spans="1:9" x14ac:dyDescent="0.15">
      <c r="A320" s="23">
        <v>319</v>
      </c>
      <c r="B320" s="56">
        <f t="shared" si="31"/>
        <v>198</v>
      </c>
      <c r="C320" s="56">
        <f t="shared" si="32"/>
        <v>212</v>
      </c>
      <c r="D320" s="52">
        <v>244422</v>
      </c>
      <c r="E320" s="56">
        <f t="shared" si="35"/>
        <v>60</v>
      </c>
      <c r="F320" s="65">
        <f t="shared" si="29"/>
        <v>319</v>
      </c>
      <c r="G320" s="61">
        <f t="shared" si="33"/>
        <v>1</v>
      </c>
      <c r="H320" s="58">
        <f t="shared" si="30"/>
        <v>0</v>
      </c>
      <c r="I320" s="58">
        <f t="shared" si="34"/>
        <v>0</v>
      </c>
    </row>
    <row r="321" spans="1:9" x14ac:dyDescent="0.15">
      <c r="A321" s="23">
        <v>320</v>
      </c>
      <c r="B321" s="56">
        <f t="shared" si="31"/>
        <v>198</v>
      </c>
      <c r="C321" s="56">
        <f t="shared" si="32"/>
        <v>213</v>
      </c>
      <c r="D321" s="52">
        <v>245766</v>
      </c>
      <c r="E321" s="56">
        <f t="shared" si="35"/>
        <v>60</v>
      </c>
      <c r="F321" s="65">
        <f t="shared" si="29"/>
        <v>320</v>
      </c>
      <c r="G321" s="61">
        <f t="shared" si="33"/>
        <v>0</v>
      </c>
      <c r="H321" s="58">
        <f t="shared" si="30"/>
        <v>1</v>
      </c>
      <c r="I321" s="58">
        <f t="shared" si="34"/>
        <v>0</v>
      </c>
    </row>
    <row r="322" spans="1:9" x14ac:dyDescent="0.15">
      <c r="A322" s="23">
        <v>321</v>
      </c>
      <c r="B322" s="56">
        <f t="shared" si="31"/>
        <v>199</v>
      </c>
      <c r="C322" s="56">
        <f t="shared" si="32"/>
        <v>213</v>
      </c>
      <c r="D322" s="52">
        <v>247118</v>
      </c>
      <c r="E322" s="56">
        <f t="shared" si="35"/>
        <v>60</v>
      </c>
      <c r="F322" s="65">
        <f t="shared" ref="F322:F385" si="36">A322</f>
        <v>321</v>
      </c>
      <c r="G322" s="61">
        <f t="shared" si="33"/>
        <v>1</v>
      </c>
      <c r="H322" s="58">
        <f t="shared" ref="H322:H385" si="37">IF($A322&gt;=slow,IF(MOD($A322,upper)=0,slow_upper,0),IF($A322&gt;medium,IF(MOD($A322,bonus)=0,medium_bonus,IF(MOD($A322,upper)=0,medium_upper,IF(MOD($A322,up)=0,medium_up,0))),IF(MOD($A322,bonus)=0,fast_bonus,IF(MOD($A322,upper)=0,fast_upper,IF(MOD($A322,up)=0,fast_up,0)))))</f>
        <v>0</v>
      </c>
      <c r="I322" s="58">
        <f t="shared" si="34"/>
        <v>0</v>
      </c>
    </row>
    <row r="323" spans="1:9" x14ac:dyDescent="0.15">
      <c r="A323" s="23">
        <v>322</v>
      </c>
      <c r="B323" s="56">
        <f t="shared" ref="B323:B386" si="38">B322+G323</f>
        <v>199</v>
      </c>
      <c r="C323" s="56">
        <f t="shared" ref="C323:C386" si="39">C322+H323</f>
        <v>213</v>
      </c>
      <c r="D323" s="52">
        <v>248477</v>
      </c>
      <c r="E323" s="56">
        <f t="shared" si="35"/>
        <v>60</v>
      </c>
      <c r="F323" s="65">
        <f t="shared" si="36"/>
        <v>322</v>
      </c>
      <c r="G323" s="61">
        <f t="shared" ref="G323:G386" si="40">IF(A323&gt;=106, IF(MOD(A323,2)=0,0,1), IF(A323 &gt;= 65, IF(MOD(A323, 2) =0,0, IF(MOD(A323,5)= 0, 2, 1)), IF(MOD(A323, 2) =0,0, IF(MOD(A323,5)= 0, 5, 1))))</f>
        <v>0</v>
      </c>
      <c r="H323" s="58">
        <f t="shared" si="37"/>
        <v>0</v>
      </c>
      <c r="I323" s="58">
        <f t="shared" ref="I323:I386" si="41">IF($A323&gt;=51,0,IF($A323&gt;=30,IF(MOD($A323,5)=0,1,0),IF($A323&gt;=11,IF(MOD($A323,5)=0,3,IF(MOD($A323,2)=0,1,0)),IF(MOD($A323,5)=0,5,IF(MOD($A323,2)=0,2,0)))))</f>
        <v>0</v>
      </c>
    </row>
    <row r="324" spans="1:9" x14ac:dyDescent="0.15">
      <c r="A324" s="23">
        <v>323</v>
      </c>
      <c r="B324" s="56">
        <f t="shared" si="38"/>
        <v>200</v>
      </c>
      <c r="C324" s="56">
        <f t="shared" si="39"/>
        <v>213</v>
      </c>
      <c r="D324" s="52">
        <v>249844</v>
      </c>
      <c r="E324" s="56">
        <f t="shared" ref="E324:E387" si="42">E323+I324</f>
        <v>60</v>
      </c>
      <c r="F324" s="65">
        <f t="shared" si="36"/>
        <v>323</v>
      </c>
      <c r="G324" s="61">
        <f t="shared" si="40"/>
        <v>1</v>
      </c>
      <c r="H324" s="58">
        <f t="shared" si="37"/>
        <v>0</v>
      </c>
      <c r="I324" s="58">
        <f t="shared" si="41"/>
        <v>0</v>
      </c>
    </row>
    <row r="325" spans="1:9" x14ac:dyDescent="0.15">
      <c r="A325" s="23">
        <v>324</v>
      </c>
      <c r="B325" s="56">
        <f t="shared" si="38"/>
        <v>200</v>
      </c>
      <c r="C325" s="56">
        <f t="shared" si="39"/>
        <v>214</v>
      </c>
      <c r="D325" s="52">
        <v>251218</v>
      </c>
      <c r="E325" s="56">
        <f t="shared" si="42"/>
        <v>60</v>
      </c>
      <c r="F325" s="65">
        <f t="shared" si="36"/>
        <v>324</v>
      </c>
      <c r="G325" s="61">
        <f t="shared" si="40"/>
        <v>0</v>
      </c>
      <c r="H325" s="58">
        <f t="shared" si="37"/>
        <v>1</v>
      </c>
      <c r="I325" s="58">
        <f t="shared" si="41"/>
        <v>0</v>
      </c>
    </row>
    <row r="326" spans="1:9" x14ac:dyDescent="0.15">
      <c r="A326" s="23">
        <v>325</v>
      </c>
      <c r="B326" s="56">
        <f t="shared" si="38"/>
        <v>201</v>
      </c>
      <c r="C326" s="56">
        <f t="shared" si="39"/>
        <v>214</v>
      </c>
      <c r="D326" s="52">
        <v>252600</v>
      </c>
      <c r="E326" s="56">
        <f t="shared" si="42"/>
        <v>60</v>
      </c>
      <c r="F326" s="65">
        <f t="shared" si="36"/>
        <v>325</v>
      </c>
      <c r="G326" s="61">
        <f t="shared" si="40"/>
        <v>1</v>
      </c>
      <c r="H326" s="58">
        <f t="shared" si="37"/>
        <v>0</v>
      </c>
      <c r="I326" s="58">
        <f t="shared" si="41"/>
        <v>0</v>
      </c>
    </row>
    <row r="327" spans="1:9" x14ac:dyDescent="0.15">
      <c r="A327" s="23">
        <v>326</v>
      </c>
      <c r="B327" s="56">
        <f t="shared" si="38"/>
        <v>201</v>
      </c>
      <c r="C327" s="56">
        <f t="shared" si="39"/>
        <v>214</v>
      </c>
      <c r="D327" s="52">
        <v>253989</v>
      </c>
      <c r="E327" s="56">
        <f t="shared" si="42"/>
        <v>60</v>
      </c>
      <c r="F327" s="65">
        <f t="shared" si="36"/>
        <v>326</v>
      </c>
      <c r="G327" s="61">
        <f t="shared" si="40"/>
        <v>0</v>
      </c>
      <c r="H327" s="58">
        <f t="shared" si="37"/>
        <v>0</v>
      </c>
      <c r="I327" s="58">
        <f t="shared" si="41"/>
        <v>0</v>
      </c>
    </row>
    <row r="328" spans="1:9" x14ac:dyDescent="0.15">
      <c r="A328" s="23">
        <v>327</v>
      </c>
      <c r="B328" s="56">
        <f t="shared" si="38"/>
        <v>202</v>
      </c>
      <c r="C328" s="56">
        <f t="shared" si="39"/>
        <v>214</v>
      </c>
      <c r="D328" s="52">
        <v>255386</v>
      </c>
      <c r="E328" s="56">
        <f t="shared" si="42"/>
        <v>60</v>
      </c>
      <c r="F328" s="65">
        <f t="shared" si="36"/>
        <v>327</v>
      </c>
      <c r="G328" s="61">
        <f t="shared" si="40"/>
        <v>1</v>
      </c>
      <c r="H328" s="58">
        <f t="shared" si="37"/>
        <v>0</v>
      </c>
      <c r="I328" s="58">
        <f t="shared" si="41"/>
        <v>0</v>
      </c>
    </row>
    <row r="329" spans="1:9" x14ac:dyDescent="0.15">
      <c r="A329" s="23">
        <v>328</v>
      </c>
      <c r="B329" s="56">
        <f t="shared" si="38"/>
        <v>202</v>
      </c>
      <c r="C329" s="56">
        <f t="shared" si="39"/>
        <v>215</v>
      </c>
      <c r="D329" s="52">
        <v>256791</v>
      </c>
      <c r="E329" s="56">
        <f t="shared" si="42"/>
        <v>60</v>
      </c>
      <c r="F329" s="65">
        <f t="shared" si="36"/>
        <v>328</v>
      </c>
      <c r="G329" s="61">
        <f t="shared" si="40"/>
        <v>0</v>
      </c>
      <c r="H329" s="58">
        <f t="shared" si="37"/>
        <v>1</v>
      </c>
      <c r="I329" s="58">
        <f t="shared" si="41"/>
        <v>0</v>
      </c>
    </row>
    <row r="330" spans="1:9" x14ac:dyDescent="0.15">
      <c r="A330" s="23">
        <v>329</v>
      </c>
      <c r="B330" s="56">
        <f t="shared" si="38"/>
        <v>203</v>
      </c>
      <c r="C330" s="56">
        <f t="shared" si="39"/>
        <v>215</v>
      </c>
      <c r="D330" s="52">
        <v>258203</v>
      </c>
      <c r="E330" s="56">
        <f t="shared" si="42"/>
        <v>60</v>
      </c>
      <c r="F330" s="65">
        <f t="shared" si="36"/>
        <v>329</v>
      </c>
      <c r="G330" s="61">
        <f t="shared" si="40"/>
        <v>1</v>
      </c>
      <c r="H330" s="58">
        <f t="shared" si="37"/>
        <v>0</v>
      </c>
      <c r="I330" s="58">
        <f t="shared" si="41"/>
        <v>0</v>
      </c>
    </row>
    <row r="331" spans="1:9" x14ac:dyDescent="0.15">
      <c r="A331" s="23">
        <v>330</v>
      </c>
      <c r="B331" s="56">
        <f t="shared" si="38"/>
        <v>203</v>
      </c>
      <c r="C331" s="56">
        <f t="shared" si="39"/>
        <v>215</v>
      </c>
      <c r="D331" s="52">
        <v>259623</v>
      </c>
      <c r="E331" s="56">
        <f t="shared" si="42"/>
        <v>60</v>
      </c>
      <c r="F331" s="65">
        <f t="shared" si="36"/>
        <v>330</v>
      </c>
      <c r="G331" s="61">
        <f t="shared" si="40"/>
        <v>0</v>
      </c>
      <c r="H331" s="58">
        <f t="shared" si="37"/>
        <v>0</v>
      </c>
      <c r="I331" s="58">
        <f t="shared" si="41"/>
        <v>0</v>
      </c>
    </row>
    <row r="332" spans="1:9" x14ac:dyDescent="0.15">
      <c r="A332" s="23">
        <v>331</v>
      </c>
      <c r="B332" s="56">
        <f t="shared" si="38"/>
        <v>204</v>
      </c>
      <c r="C332" s="56">
        <f t="shared" si="39"/>
        <v>215</v>
      </c>
      <c r="D332" s="52">
        <v>261051</v>
      </c>
      <c r="E332" s="56">
        <f t="shared" si="42"/>
        <v>60</v>
      </c>
      <c r="F332" s="65">
        <f t="shared" si="36"/>
        <v>331</v>
      </c>
      <c r="G332" s="61">
        <f t="shared" si="40"/>
        <v>1</v>
      </c>
      <c r="H332" s="58">
        <f t="shared" si="37"/>
        <v>0</v>
      </c>
      <c r="I332" s="58">
        <f t="shared" si="41"/>
        <v>0</v>
      </c>
    </row>
    <row r="333" spans="1:9" x14ac:dyDescent="0.15">
      <c r="A333" s="23">
        <v>332</v>
      </c>
      <c r="B333" s="56">
        <f t="shared" si="38"/>
        <v>204</v>
      </c>
      <c r="C333" s="56">
        <f t="shared" si="39"/>
        <v>216</v>
      </c>
      <c r="D333" s="52">
        <v>262487</v>
      </c>
      <c r="E333" s="56">
        <f t="shared" si="42"/>
        <v>60</v>
      </c>
      <c r="F333" s="65">
        <f t="shared" si="36"/>
        <v>332</v>
      </c>
      <c r="G333" s="61">
        <f t="shared" si="40"/>
        <v>0</v>
      </c>
      <c r="H333" s="58">
        <f t="shared" si="37"/>
        <v>1</v>
      </c>
      <c r="I333" s="58">
        <f t="shared" si="41"/>
        <v>0</v>
      </c>
    </row>
    <row r="334" spans="1:9" x14ac:dyDescent="0.15">
      <c r="A334" s="23">
        <v>333</v>
      </c>
      <c r="B334" s="56">
        <f t="shared" si="38"/>
        <v>205</v>
      </c>
      <c r="C334" s="56">
        <f t="shared" si="39"/>
        <v>216</v>
      </c>
      <c r="D334" s="52">
        <v>263931</v>
      </c>
      <c r="E334" s="56">
        <f t="shared" si="42"/>
        <v>60</v>
      </c>
      <c r="F334" s="65">
        <f t="shared" si="36"/>
        <v>333</v>
      </c>
      <c r="G334" s="61">
        <f t="shared" si="40"/>
        <v>1</v>
      </c>
      <c r="H334" s="58">
        <f t="shared" si="37"/>
        <v>0</v>
      </c>
      <c r="I334" s="58">
        <f t="shared" si="41"/>
        <v>0</v>
      </c>
    </row>
    <row r="335" spans="1:9" x14ac:dyDescent="0.15">
      <c r="A335" s="23">
        <v>334</v>
      </c>
      <c r="B335" s="56">
        <f t="shared" si="38"/>
        <v>205</v>
      </c>
      <c r="C335" s="56">
        <f t="shared" si="39"/>
        <v>216</v>
      </c>
      <c r="D335" s="52">
        <v>265383</v>
      </c>
      <c r="E335" s="56">
        <f t="shared" si="42"/>
        <v>60</v>
      </c>
      <c r="F335" s="65">
        <f t="shared" si="36"/>
        <v>334</v>
      </c>
      <c r="G335" s="61">
        <f t="shared" si="40"/>
        <v>0</v>
      </c>
      <c r="H335" s="58">
        <f t="shared" si="37"/>
        <v>0</v>
      </c>
      <c r="I335" s="58">
        <f t="shared" si="41"/>
        <v>0</v>
      </c>
    </row>
    <row r="336" spans="1:9" x14ac:dyDescent="0.15">
      <c r="A336" s="23">
        <v>335</v>
      </c>
      <c r="B336" s="56">
        <f t="shared" si="38"/>
        <v>206</v>
      </c>
      <c r="C336" s="56">
        <f t="shared" si="39"/>
        <v>216</v>
      </c>
      <c r="D336" s="52">
        <v>266843</v>
      </c>
      <c r="E336" s="56">
        <f t="shared" si="42"/>
        <v>60</v>
      </c>
      <c r="F336" s="65">
        <f t="shared" si="36"/>
        <v>335</v>
      </c>
      <c r="G336" s="61">
        <f t="shared" si="40"/>
        <v>1</v>
      </c>
      <c r="H336" s="58">
        <f t="shared" si="37"/>
        <v>0</v>
      </c>
      <c r="I336" s="58">
        <f t="shared" si="41"/>
        <v>0</v>
      </c>
    </row>
    <row r="337" spans="1:9" x14ac:dyDescent="0.15">
      <c r="A337" s="23">
        <v>336</v>
      </c>
      <c r="B337" s="56">
        <f t="shared" si="38"/>
        <v>206</v>
      </c>
      <c r="C337" s="56">
        <f t="shared" si="39"/>
        <v>217</v>
      </c>
      <c r="D337" s="52">
        <v>268311</v>
      </c>
      <c r="E337" s="56">
        <f t="shared" si="42"/>
        <v>60</v>
      </c>
      <c r="F337" s="65">
        <f t="shared" si="36"/>
        <v>336</v>
      </c>
      <c r="G337" s="61">
        <f t="shared" si="40"/>
        <v>0</v>
      </c>
      <c r="H337" s="58">
        <f t="shared" si="37"/>
        <v>1</v>
      </c>
      <c r="I337" s="58">
        <f t="shared" si="41"/>
        <v>0</v>
      </c>
    </row>
    <row r="338" spans="1:9" x14ac:dyDescent="0.15">
      <c r="A338" s="23">
        <v>337</v>
      </c>
      <c r="B338" s="56">
        <f t="shared" si="38"/>
        <v>207</v>
      </c>
      <c r="C338" s="56">
        <f t="shared" si="39"/>
        <v>217</v>
      </c>
      <c r="D338" s="52">
        <v>269787</v>
      </c>
      <c r="E338" s="56">
        <f t="shared" si="42"/>
        <v>60</v>
      </c>
      <c r="F338" s="65">
        <f t="shared" si="36"/>
        <v>337</v>
      </c>
      <c r="G338" s="61">
        <f t="shared" si="40"/>
        <v>1</v>
      </c>
      <c r="H338" s="58">
        <f t="shared" si="37"/>
        <v>0</v>
      </c>
      <c r="I338" s="58">
        <f t="shared" si="41"/>
        <v>0</v>
      </c>
    </row>
    <row r="339" spans="1:9" x14ac:dyDescent="0.15">
      <c r="A339" s="23">
        <v>338</v>
      </c>
      <c r="B339" s="56">
        <f t="shared" si="38"/>
        <v>207</v>
      </c>
      <c r="C339" s="56">
        <f t="shared" si="39"/>
        <v>217</v>
      </c>
      <c r="D339" s="52">
        <v>271271</v>
      </c>
      <c r="E339" s="56">
        <f t="shared" si="42"/>
        <v>60</v>
      </c>
      <c r="F339" s="65">
        <f t="shared" si="36"/>
        <v>338</v>
      </c>
      <c r="G339" s="61">
        <f t="shared" si="40"/>
        <v>0</v>
      </c>
      <c r="H339" s="58">
        <f t="shared" si="37"/>
        <v>0</v>
      </c>
      <c r="I339" s="58">
        <f t="shared" si="41"/>
        <v>0</v>
      </c>
    </row>
    <row r="340" spans="1:9" x14ac:dyDescent="0.15">
      <c r="A340" s="23">
        <v>339</v>
      </c>
      <c r="B340" s="56">
        <f t="shared" si="38"/>
        <v>208</v>
      </c>
      <c r="C340" s="56">
        <f t="shared" si="39"/>
        <v>217</v>
      </c>
      <c r="D340" s="52">
        <v>272763</v>
      </c>
      <c r="E340" s="56">
        <f t="shared" si="42"/>
        <v>60</v>
      </c>
      <c r="F340" s="65">
        <f t="shared" si="36"/>
        <v>339</v>
      </c>
      <c r="G340" s="61">
        <f t="shared" si="40"/>
        <v>1</v>
      </c>
      <c r="H340" s="58">
        <f t="shared" si="37"/>
        <v>0</v>
      </c>
      <c r="I340" s="58">
        <f t="shared" si="41"/>
        <v>0</v>
      </c>
    </row>
    <row r="341" spans="1:9" x14ac:dyDescent="0.15">
      <c r="A341" s="23">
        <v>340</v>
      </c>
      <c r="B341" s="56">
        <f t="shared" si="38"/>
        <v>208</v>
      </c>
      <c r="C341" s="56">
        <f t="shared" si="39"/>
        <v>218</v>
      </c>
      <c r="D341" s="52">
        <v>274127</v>
      </c>
      <c r="E341" s="56">
        <f t="shared" si="42"/>
        <v>60</v>
      </c>
      <c r="F341" s="65">
        <f t="shared" si="36"/>
        <v>340</v>
      </c>
      <c r="G341" s="61">
        <f t="shared" si="40"/>
        <v>0</v>
      </c>
      <c r="H341" s="58">
        <f t="shared" si="37"/>
        <v>1</v>
      </c>
      <c r="I341" s="58">
        <f t="shared" si="41"/>
        <v>0</v>
      </c>
    </row>
    <row r="342" spans="1:9" x14ac:dyDescent="0.15">
      <c r="A342" s="23">
        <v>341</v>
      </c>
      <c r="B342" s="56">
        <f t="shared" si="38"/>
        <v>209</v>
      </c>
      <c r="C342" s="56">
        <f t="shared" si="39"/>
        <v>218</v>
      </c>
      <c r="D342" s="52">
        <v>275498</v>
      </c>
      <c r="E342" s="56">
        <f t="shared" si="42"/>
        <v>60</v>
      </c>
      <c r="F342" s="65">
        <f t="shared" si="36"/>
        <v>341</v>
      </c>
      <c r="G342" s="61">
        <f t="shared" si="40"/>
        <v>1</v>
      </c>
      <c r="H342" s="58">
        <f t="shared" si="37"/>
        <v>0</v>
      </c>
      <c r="I342" s="58">
        <f t="shared" si="41"/>
        <v>0</v>
      </c>
    </row>
    <row r="343" spans="1:9" x14ac:dyDescent="0.15">
      <c r="A343" s="23">
        <v>342</v>
      </c>
      <c r="B343" s="56">
        <f t="shared" si="38"/>
        <v>209</v>
      </c>
      <c r="C343" s="56">
        <f t="shared" si="39"/>
        <v>218</v>
      </c>
      <c r="D343" s="52">
        <v>276875</v>
      </c>
      <c r="E343" s="56">
        <f t="shared" si="42"/>
        <v>60</v>
      </c>
      <c r="F343" s="65">
        <f t="shared" si="36"/>
        <v>342</v>
      </c>
      <c r="G343" s="61">
        <f t="shared" si="40"/>
        <v>0</v>
      </c>
      <c r="H343" s="58">
        <f t="shared" si="37"/>
        <v>0</v>
      </c>
      <c r="I343" s="58">
        <f t="shared" si="41"/>
        <v>0</v>
      </c>
    </row>
    <row r="344" spans="1:9" x14ac:dyDescent="0.15">
      <c r="A344" s="23">
        <v>343</v>
      </c>
      <c r="B344" s="56">
        <f t="shared" si="38"/>
        <v>210</v>
      </c>
      <c r="C344" s="56">
        <f t="shared" si="39"/>
        <v>218</v>
      </c>
      <c r="D344" s="52">
        <v>278259</v>
      </c>
      <c r="E344" s="56">
        <f t="shared" si="42"/>
        <v>60</v>
      </c>
      <c r="F344" s="65">
        <f t="shared" si="36"/>
        <v>343</v>
      </c>
      <c r="G344" s="61">
        <f t="shared" si="40"/>
        <v>1</v>
      </c>
      <c r="H344" s="58">
        <f t="shared" si="37"/>
        <v>0</v>
      </c>
      <c r="I344" s="58">
        <f t="shared" si="41"/>
        <v>0</v>
      </c>
    </row>
    <row r="345" spans="1:9" x14ac:dyDescent="0.15">
      <c r="A345" s="23">
        <v>344</v>
      </c>
      <c r="B345" s="56">
        <f t="shared" si="38"/>
        <v>210</v>
      </c>
      <c r="C345" s="56">
        <f t="shared" si="39"/>
        <v>219</v>
      </c>
      <c r="D345" s="52">
        <v>279650</v>
      </c>
      <c r="E345" s="56">
        <f t="shared" si="42"/>
        <v>60</v>
      </c>
      <c r="F345" s="65">
        <f t="shared" si="36"/>
        <v>344</v>
      </c>
      <c r="G345" s="61">
        <f t="shared" si="40"/>
        <v>0</v>
      </c>
      <c r="H345" s="58">
        <f t="shared" si="37"/>
        <v>1</v>
      </c>
      <c r="I345" s="58">
        <f t="shared" si="41"/>
        <v>0</v>
      </c>
    </row>
    <row r="346" spans="1:9" x14ac:dyDescent="0.15">
      <c r="A346" s="23">
        <v>345</v>
      </c>
      <c r="B346" s="56">
        <f t="shared" si="38"/>
        <v>211</v>
      </c>
      <c r="C346" s="56">
        <f t="shared" si="39"/>
        <v>219</v>
      </c>
      <c r="D346" s="52">
        <v>281048</v>
      </c>
      <c r="E346" s="56">
        <f t="shared" si="42"/>
        <v>60</v>
      </c>
      <c r="F346" s="65">
        <f t="shared" si="36"/>
        <v>345</v>
      </c>
      <c r="G346" s="61">
        <f t="shared" si="40"/>
        <v>1</v>
      </c>
      <c r="H346" s="58">
        <f t="shared" si="37"/>
        <v>0</v>
      </c>
      <c r="I346" s="58">
        <f t="shared" si="41"/>
        <v>0</v>
      </c>
    </row>
    <row r="347" spans="1:9" x14ac:dyDescent="0.15">
      <c r="A347" s="23">
        <v>346</v>
      </c>
      <c r="B347" s="56">
        <f t="shared" si="38"/>
        <v>211</v>
      </c>
      <c r="C347" s="56">
        <f t="shared" si="39"/>
        <v>219</v>
      </c>
      <c r="D347" s="52">
        <v>282453</v>
      </c>
      <c r="E347" s="56">
        <f t="shared" si="42"/>
        <v>60</v>
      </c>
      <c r="F347" s="65">
        <f t="shared" si="36"/>
        <v>346</v>
      </c>
      <c r="G347" s="61">
        <f t="shared" si="40"/>
        <v>0</v>
      </c>
      <c r="H347" s="58">
        <f t="shared" si="37"/>
        <v>0</v>
      </c>
      <c r="I347" s="58">
        <f t="shared" si="41"/>
        <v>0</v>
      </c>
    </row>
    <row r="348" spans="1:9" x14ac:dyDescent="0.15">
      <c r="A348" s="23">
        <v>347</v>
      </c>
      <c r="B348" s="56">
        <f t="shared" si="38"/>
        <v>212</v>
      </c>
      <c r="C348" s="56">
        <f t="shared" si="39"/>
        <v>219</v>
      </c>
      <c r="D348" s="52">
        <v>283865</v>
      </c>
      <c r="E348" s="56">
        <f t="shared" si="42"/>
        <v>60</v>
      </c>
      <c r="F348" s="65">
        <f t="shared" si="36"/>
        <v>347</v>
      </c>
      <c r="G348" s="61">
        <f t="shared" si="40"/>
        <v>1</v>
      </c>
      <c r="H348" s="58">
        <f t="shared" si="37"/>
        <v>0</v>
      </c>
      <c r="I348" s="58">
        <f t="shared" si="41"/>
        <v>0</v>
      </c>
    </row>
    <row r="349" spans="1:9" x14ac:dyDescent="0.15">
      <c r="A349" s="23">
        <v>348</v>
      </c>
      <c r="B349" s="56">
        <f t="shared" si="38"/>
        <v>212</v>
      </c>
      <c r="C349" s="56">
        <f t="shared" si="39"/>
        <v>220</v>
      </c>
      <c r="D349" s="52">
        <v>285284</v>
      </c>
      <c r="E349" s="56">
        <f t="shared" si="42"/>
        <v>60</v>
      </c>
      <c r="F349" s="65">
        <f t="shared" si="36"/>
        <v>348</v>
      </c>
      <c r="G349" s="61">
        <f t="shared" si="40"/>
        <v>0</v>
      </c>
      <c r="H349" s="58">
        <f t="shared" si="37"/>
        <v>1</v>
      </c>
      <c r="I349" s="58">
        <f t="shared" si="41"/>
        <v>0</v>
      </c>
    </row>
    <row r="350" spans="1:9" x14ac:dyDescent="0.15">
      <c r="A350" s="23">
        <v>349</v>
      </c>
      <c r="B350" s="56">
        <f t="shared" si="38"/>
        <v>213</v>
      </c>
      <c r="C350" s="56">
        <f t="shared" si="39"/>
        <v>220</v>
      </c>
      <c r="D350" s="52">
        <v>286710</v>
      </c>
      <c r="E350" s="56">
        <f t="shared" si="42"/>
        <v>60</v>
      </c>
      <c r="F350" s="65">
        <f t="shared" si="36"/>
        <v>349</v>
      </c>
      <c r="G350" s="61">
        <f t="shared" si="40"/>
        <v>1</v>
      </c>
      <c r="H350" s="58">
        <f t="shared" si="37"/>
        <v>0</v>
      </c>
      <c r="I350" s="58">
        <f t="shared" si="41"/>
        <v>0</v>
      </c>
    </row>
    <row r="351" spans="1:9" x14ac:dyDescent="0.15">
      <c r="A351" s="23">
        <v>350</v>
      </c>
      <c r="B351" s="56">
        <f t="shared" si="38"/>
        <v>213</v>
      </c>
      <c r="C351" s="56">
        <f t="shared" si="39"/>
        <v>220</v>
      </c>
      <c r="D351" s="52">
        <v>288144</v>
      </c>
      <c r="E351" s="56">
        <f t="shared" si="42"/>
        <v>60</v>
      </c>
      <c r="F351" s="65">
        <f t="shared" si="36"/>
        <v>350</v>
      </c>
      <c r="G351" s="61">
        <f t="shared" si="40"/>
        <v>0</v>
      </c>
      <c r="H351" s="58">
        <f t="shared" si="37"/>
        <v>0</v>
      </c>
      <c r="I351" s="58">
        <f t="shared" si="41"/>
        <v>0</v>
      </c>
    </row>
    <row r="352" spans="1:9" x14ac:dyDescent="0.15">
      <c r="A352" s="23">
        <v>351</v>
      </c>
      <c r="B352" s="56">
        <f t="shared" si="38"/>
        <v>214</v>
      </c>
      <c r="C352" s="56">
        <f t="shared" si="39"/>
        <v>220</v>
      </c>
      <c r="D352" s="52">
        <v>289585</v>
      </c>
      <c r="E352" s="56">
        <f t="shared" si="42"/>
        <v>60</v>
      </c>
      <c r="F352" s="65">
        <f t="shared" si="36"/>
        <v>351</v>
      </c>
      <c r="G352" s="61">
        <f t="shared" si="40"/>
        <v>1</v>
      </c>
      <c r="H352" s="58">
        <f t="shared" si="37"/>
        <v>0</v>
      </c>
      <c r="I352" s="58">
        <f t="shared" si="41"/>
        <v>0</v>
      </c>
    </row>
    <row r="353" spans="1:9" x14ac:dyDescent="0.15">
      <c r="A353" s="23">
        <v>352</v>
      </c>
      <c r="B353" s="56">
        <f t="shared" si="38"/>
        <v>214</v>
      </c>
      <c r="C353" s="56">
        <f t="shared" si="39"/>
        <v>221</v>
      </c>
      <c r="D353" s="52">
        <v>291033</v>
      </c>
      <c r="E353" s="56">
        <f t="shared" si="42"/>
        <v>60</v>
      </c>
      <c r="F353" s="65">
        <f t="shared" si="36"/>
        <v>352</v>
      </c>
      <c r="G353" s="61">
        <f t="shared" si="40"/>
        <v>0</v>
      </c>
      <c r="H353" s="58">
        <f t="shared" si="37"/>
        <v>1</v>
      </c>
      <c r="I353" s="58">
        <f t="shared" si="41"/>
        <v>0</v>
      </c>
    </row>
    <row r="354" spans="1:9" x14ac:dyDescent="0.15">
      <c r="A354" s="23">
        <v>353</v>
      </c>
      <c r="B354" s="56">
        <f t="shared" si="38"/>
        <v>215</v>
      </c>
      <c r="C354" s="56">
        <f t="shared" si="39"/>
        <v>221</v>
      </c>
      <c r="D354" s="52">
        <v>292488</v>
      </c>
      <c r="E354" s="56">
        <f t="shared" si="42"/>
        <v>60</v>
      </c>
      <c r="F354" s="65">
        <f t="shared" si="36"/>
        <v>353</v>
      </c>
      <c r="G354" s="61">
        <f t="shared" si="40"/>
        <v>1</v>
      </c>
      <c r="H354" s="58">
        <f t="shared" si="37"/>
        <v>0</v>
      </c>
      <c r="I354" s="58">
        <f t="shared" si="41"/>
        <v>0</v>
      </c>
    </row>
    <row r="355" spans="1:9" x14ac:dyDescent="0.15">
      <c r="A355" s="23">
        <v>354</v>
      </c>
      <c r="B355" s="56">
        <f t="shared" si="38"/>
        <v>215</v>
      </c>
      <c r="C355" s="56">
        <f t="shared" si="39"/>
        <v>221</v>
      </c>
      <c r="D355" s="52">
        <v>293950</v>
      </c>
      <c r="E355" s="56">
        <f t="shared" si="42"/>
        <v>60</v>
      </c>
      <c r="F355" s="65">
        <f t="shared" si="36"/>
        <v>354</v>
      </c>
      <c r="G355" s="61">
        <f t="shared" si="40"/>
        <v>0</v>
      </c>
      <c r="H355" s="58">
        <f t="shared" si="37"/>
        <v>0</v>
      </c>
      <c r="I355" s="58">
        <f t="shared" si="41"/>
        <v>0</v>
      </c>
    </row>
    <row r="356" spans="1:9" x14ac:dyDescent="0.15">
      <c r="A356" s="23">
        <v>355</v>
      </c>
      <c r="B356" s="56">
        <f t="shared" si="38"/>
        <v>216</v>
      </c>
      <c r="C356" s="56">
        <f t="shared" si="39"/>
        <v>221</v>
      </c>
      <c r="D356" s="52">
        <v>295420</v>
      </c>
      <c r="E356" s="56">
        <f t="shared" si="42"/>
        <v>60</v>
      </c>
      <c r="F356" s="65">
        <f t="shared" si="36"/>
        <v>355</v>
      </c>
      <c r="G356" s="61">
        <f t="shared" si="40"/>
        <v>1</v>
      </c>
      <c r="H356" s="58">
        <f t="shared" si="37"/>
        <v>0</v>
      </c>
      <c r="I356" s="58">
        <f t="shared" si="41"/>
        <v>0</v>
      </c>
    </row>
    <row r="357" spans="1:9" x14ac:dyDescent="0.15">
      <c r="A357" s="23">
        <v>356</v>
      </c>
      <c r="B357" s="56">
        <f t="shared" si="38"/>
        <v>216</v>
      </c>
      <c r="C357" s="56">
        <f t="shared" si="39"/>
        <v>222</v>
      </c>
      <c r="D357" s="52">
        <v>296897</v>
      </c>
      <c r="E357" s="56">
        <f t="shared" si="42"/>
        <v>60</v>
      </c>
      <c r="F357" s="65">
        <f t="shared" si="36"/>
        <v>356</v>
      </c>
      <c r="G357" s="61">
        <f t="shared" si="40"/>
        <v>0</v>
      </c>
      <c r="H357" s="58">
        <f t="shared" si="37"/>
        <v>1</v>
      </c>
      <c r="I357" s="58">
        <f t="shared" si="41"/>
        <v>0</v>
      </c>
    </row>
    <row r="358" spans="1:9" x14ac:dyDescent="0.15">
      <c r="A358" s="23">
        <v>357</v>
      </c>
      <c r="B358" s="56">
        <f t="shared" si="38"/>
        <v>217</v>
      </c>
      <c r="C358" s="56">
        <f t="shared" si="39"/>
        <v>222</v>
      </c>
      <c r="D358" s="52">
        <v>298381</v>
      </c>
      <c r="E358" s="56">
        <f t="shared" si="42"/>
        <v>60</v>
      </c>
      <c r="F358" s="65">
        <f t="shared" si="36"/>
        <v>357</v>
      </c>
      <c r="G358" s="61">
        <f t="shared" si="40"/>
        <v>1</v>
      </c>
      <c r="H358" s="58">
        <f t="shared" si="37"/>
        <v>0</v>
      </c>
      <c r="I358" s="58">
        <f t="shared" si="41"/>
        <v>0</v>
      </c>
    </row>
    <row r="359" spans="1:9" x14ac:dyDescent="0.15">
      <c r="A359" s="23">
        <v>358</v>
      </c>
      <c r="B359" s="56">
        <f t="shared" si="38"/>
        <v>217</v>
      </c>
      <c r="C359" s="56">
        <f t="shared" si="39"/>
        <v>222</v>
      </c>
      <c r="D359" s="52">
        <v>299873</v>
      </c>
      <c r="E359" s="56">
        <f t="shared" si="42"/>
        <v>60</v>
      </c>
      <c r="F359" s="65">
        <f t="shared" si="36"/>
        <v>358</v>
      </c>
      <c r="G359" s="61">
        <f t="shared" si="40"/>
        <v>0</v>
      </c>
      <c r="H359" s="58">
        <f t="shared" si="37"/>
        <v>0</v>
      </c>
      <c r="I359" s="58">
        <f t="shared" si="41"/>
        <v>0</v>
      </c>
    </row>
    <row r="360" spans="1:9" x14ac:dyDescent="0.15">
      <c r="A360" s="23">
        <v>359</v>
      </c>
      <c r="B360" s="56">
        <f t="shared" si="38"/>
        <v>218</v>
      </c>
      <c r="C360" s="56">
        <f t="shared" si="39"/>
        <v>222</v>
      </c>
      <c r="D360" s="52">
        <v>301372</v>
      </c>
      <c r="E360" s="56">
        <f t="shared" si="42"/>
        <v>60</v>
      </c>
      <c r="F360" s="65">
        <f t="shared" si="36"/>
        <v>359</v>
      </c>
      <c r="G360" s="61">
        <f t="shared" si="40"/>
        <v>1</v>
      </c>
      <c r="H360" s="58">
        <f t="shared" si="37"/>
        <v>0</v>
      </c>
      <c r="I360" s="58">
        <f t="shared" si="41"/>
        <v>0</v>
      </c>
    </row>
    <row r="361" spans="1:9" x14ac:dyDescent="0.15">
      <c r="A361" s="23">
        <v>360</v>
      </c>
      <c r="B361" s="56">
        <f t="shared" si="38"/>
        <v>218</v>
      </c>
      <c r="C361" s="56">
        <f t="shared" si="39"/>
        <v>223</v>
      </c>
      <c r="D361" s="52">
        <v>302879</v>
      </c>
      <c r="E361" s="56">
        <f t="shared" si="42"/>
        <v>60</v>
      </c>
      <c r="F361" s="65">
        <f t="shared" si="36"/>
        <v>360</v>
      </c>
      <c r="G361" s="61">
        <f t="shared" si="40"/>
        <v>0</v>
      </c>
      <c r="H361" s="58">
        <f t="shared" si="37"/>
        <v>1</v>
      </c>
      <c r="I361" s="58">
        <f t="shared" si="41"/>
        <v>0</v>
      </c>
    </row>
    <row r="362" spans="1:9" x14ac:dyDescent="0.15">
      <c r="A362" s="23">
        <v>361</v>
      </c>
      <c r="B362" s="56">
        <f t="shared" si="38"/>
        <v>219</v>
      </c>
      <c r="C362" s="56">
        <f t="shared" si="39"/>
        <v>223</v>
      </c>
      <c r="D362" s="52">
        <v>304393</v>
      </c>
      <c r="E362" s="56">
        <f t="shared" si="42"/>
        <v>60</v>
      </c>
      <c r="F362" s="65">
        <f t="shared" si="36"/>
        <v>361</v>
      </c>
      <c r="G362" s="61">
        <f t="shared" si="40"/>
        <v>1</v>
      </c>
      <c r="H362" s="58">
        <f t="shared" si="37"/>
        <v>0</v>
      </c>
      <c r="I362" s="58">
        <f t="shared" si="41"/>
        <v>0</v>
      </c>
    </row>
    <row r="363" spans="1:9" x14ac:dyDescent="0.15">
      <c r="A363" s="23">
        <v>362</v>
      </c>
      <c r="B363" s="56">
        <f t="shared" si="38"/>
        <v>219</v>
      </c>
      <c r="C363" s="56">
        <f t="shared" si="39"/>
        <v>223</v>
      </c>
      <c r="D363" s="52">
        <v>305915</v>
      </c>
      <c r="E363" s="56">
        <f t="shared" si="42"/>
        <v>60</v>
      </c>
      <c r="F363" s="65">
        <f t="shared" si="36"/>
        <v>362</v>
      </c>
      <c r="G363" s="61">
        <f t="shared" si="40"/>
        <v>0</v>
      </c>
      <c r="H363" s="58">
        <f t="shared" si="37"/>
        <v>0</v>
      </c>
      <c r="I363" s="58">
        <f t="shared" si="41"/>
        <v>0</v>
      </c>
    </row>
    <row r="364" spans="1:9" x14ac:dyDescent="0.15">
      <c r="A364" s="23">
        <v>363</v>
      </c>
      <c r="B364" s="56">
        <f t="shared" si="38"/>
        <v>220</v>
      </c>
      <c r="C364" s="56">
        <f t="shared" si="39"/>
        <v>223</v>
      </c>
      <c r="D364" s="52">
        <v>307445</v>
      </c>
      <c r="E364" s="56">
        <f t="shared" si="42"/>
        <v>60</v>
      </c>
      <c r="F364" s="65">
        <f t="shared" si="36"/>
        <v>363</v>
      </c>
      <c r="G364" s="61">
        <f t="shared" si="40"/>
        <v>1</v>
      </c>
      <c r="H364" s="58">
        <f t="shared" si="37"/>
        <v>0</v>
      </c>
      <c r="I364" s="58">
        <f t="shared" si="41"/>
        <v>0</v>
      </c>
    </row>
    <row r="365" spans="1:9" x14ac:dyDescent="0.15">
      <c r="A365" s="23">
        <v>364</v>
      </c>
      <c r="B365" s="56">
        <f t="shared" si="38"/>
        <v>220</v>
      </c>
      <c r="C365" s="56">
        <f t="shared" si="39"/>
        <v>224</v>
      </c>
      <c r="D365" s="52">
        <v>308982</v>
      </c>
      <c r="E365" s="56">
        <f t="shared" si="42"/>
        <v>60</v>
      </c>
      <c r="F365" s="65">
        <f t="shared" si="36"/>
        <v>364</v>
      </c>
      <c r="G365" s="61">
        <f t="shared" si="40"/>
        <v>0</v>
      </c>
      <c r="H365" s="58">
        <f t="shared" si="37"/>
        <v>1</v>
      </c>
      <c r="I365" s="58">
        <f t="shared" si="41"/>
        <v>0</v>
      </c>
    </row>
    <row r="366" spans="1:9" x14ac:dyDescent="0.15">
      <c r="A366" s="23">
        <v>365</v>
      </c>
      <c r="B366" s="56">
        <f t="shared" si="38"/>
        <v>221</v>
      </c>
      <c r="C366" s="56">
        <f t="shared" si="39"/>
        <v>224</v>
      </c>
      <c r="D366" s="52">
        <v>310527</v>
      </c>
      <c r="E366" s="56">
        <f t="shared" si="42"/>
        <v>60</v>
      </c>
      <c r="F366" s="65">
        <f t="shared" si="36"/>
        <v>365</v>
      </c>
      <c r="G366" s="61">
        <f t="shared" si="40"/>
        <v>1</v>
      </c>
      <c r="H366" s="58">
        <f t="shared" si="37"/>
        <v>0</v>
      </c>
      <c r="I366" s="58">
        <f t="shared" si="41"/>
        <v>0</v>
      </c>
    </row>
    <row r="367" spans="1:9" x14ac:dyDescent="0.15">
      <c r="A367" s="23">
        <v>366</v>
      </c>
      <c r="B367" s="56">
        <f t="shared" si="38"/>
        <v>221</v>
      </c>
      <c r="C367" s="56">
        <f t="shared" si="39"/>
        <v>224</v>
      </c>
      <c r="D367" s="52">
        <v>312080</v>
      </c>
      <c r="E367" s="56">
        <f t="shared" si="42"/>
        <v>60</v>
      </c>
      <c r="F367" s="65">
        <f t="shared" si="36"/>
        <v>366</v>
      </c>
      <c r="G367" s="61">
        <f t="shared" si="40"/>
        <v>0</v>
      </c>
      <c r="H367" s="58">
        <f t="shared" si="37"/>
        <v>0</v>
      </c>
      <c r="I367" s="58">
        <f t="shared" si="41"/>
        <v>0</v>
      </c>
    </row>
    <row r="368" spans="1:9" x14ac:dyDescent="0.15">
      <c r="A368" s="23">
        <v>367</v>
      </c>
      <c r="B368" s="56">
        <f t="shared" si="38"/>
        <v>222</v>
      </c>
      <c r="C368" s="56">
        <f t="shared" si="39"/>
        <v>224</v>
      </c>
      <c r="D368" s="52">
        <v>313640</v>
      </c>
      <c r="E368" s="56">
        <f t="shared" si="42"/>
        <v>60</v>
      </c>
      <c r="F368" s="65">
        <f t="shared" si="36"/>
        <v>367</v>
      </c>
      <c r="G368" s="61">
        <f t="shared" si="40"/>
        <v>1</v>
      </c>
      <c r="H368" s="58">
        <f t="shared" si="37"/>
        <v>0</v>
      </c>
      <c r="I368" s="58">
        <f t="shared" si="41"/>
        <v>0</v>
      </c>
    </row>
    <row r="369" spans="1:9" x14ac:dyDescent="0.15">
      <c r="A369" s="23">
        <v>368</v>
      </c>
      <c r="B369" s="56">
        <f t="shared" si="38"/>
        <v>222</v>
      </c>
      <c r="C369" s="56">
        <f t="shared" si="39"/>
        <v>225</v>
      </c>
      <c r="D369" s="52">
        <v>315208</v>
      </c>
      <c r="E369" s="56">
        <f t="shared" si="42"/>
        <v>60</v>
      </c>
      <c r="F369" s="65">
        <f t="shared" si="36"/>
        <v>368</v>
      </c>
      <c r="G369" s="61">
        <f t="shared" si="40"/>
        <v>0</v>
      </c>
      <c r="H369" s="58">
        <f t="shared" si="37"/>
        <v>1</v>
      </c>
      <c r="I369" s="58">
        <f t="shared" si="41"/>
        <v>0</v>
      </c>
    </row>
    <row r="370" spans="1:9" x14ac:dyDescent="0.15">
      <c r="A370" s="23">
        <v>369</v>
      </c>
      <c r="B370" s="56">
        <f t="shared" si="38"/>
        <v>223</v>
      </c>
      <c r="C370" s="56">
        <f t="shared" si="39"/>
        <v>225</v>
      </c>
      <c r="D370" s="52">
        <v>316784</v>
      </c>
      <c r="E370" s="56">
        <f t="shared" si="42"/>
        <v>60</v>
      </c>
      <c r="F370" s="65">
        <f t="shared" si="36"/>
        <v>369</v>
      </c>
      <c r="G370" s="61">
        <f t="shared" si="40"/>
        <v>1</v>
      </c>
      <c r="H370" s="58">
        <f t="shared" si="37"/>
        <v>0</v>
      </c>
      <c r="I370" s="58">
        <f t="shared" si="41"/>
        <v>0</v>
      </c>
    </row>
    <row r="371" spans="1:9" x14ac:dyDescent="0.15">
      <c r="A371" s="23">
        <v>370</v>
      </c>
      <c r="B371" s="56">
        <f t="shared" si="38"/>
        <v>223</v>
      </c>
      <c r="C371" s="56">
        <f t="shared" si="39"/>
        <v>225</v>
      </c>
      <c r="D371" s="52">
        <v>318368</v>
      </c>
      <c r="E371" s="56">
        <f t="shared" si="42"/>
        <v>60</v>
      </c>
      <c r="F371" s="65">
        <f t="shared" si="36"/>
        <v>370</v>
      </c>
      <c r="G371" s="61">
        <f t="shared" si="40"/>
        <v>0</v>
      </c>
      <c r="H371" s="58">
        <f t="shared" si="37"/>
        <v>0</v>
      </c>
      <c r="I371" s="58">
        <f t="shared" si="41"/>
        <v>0</v>
      </c>
    </row>
    <row r="372" spans="1:9" x14ac:dyDescent="0.15">
      <c r="A372" s="23">
        <v>371</v>
      </c>
      <c r="B372" s="56">
        <f t="shared" si="38"/>
        <v>224</v>
      </c>
      <c r="C372" s="56">
        <f t="shared" si="39"/>
        <v>225</v>
      </c>
      <c r="D372" s="52">
        <v>319960</v>
      </c>
      <c r="E372" s="56">
        <f t="shared" si="42"/>
        <v>60</v>
      </c>
      <c r="F372" s="65">
        <f t="shared" si="36"/>
        <v>371</v>
      </c>
      <c r="G372" s="61">
        <f t="shared" si="40"/>
        <v>1</v>
      </c>
      <c r="H372" s="58">
        <f t="shared" si="37"/>
        <v>0</v>
      </c>
      <c r="I372" s="58">
        <f t="shared" si="41"/>
        <v>0</v>
      </c>
    </row>
    <row r="373" spans="1:9" x14ac:dyDescent="0.15">
      <c r="A373" s="23">
        <v>372</v>
      </c>
      <c r="B373" s="56">
        <f t="shared" si="38"/>
        <v>224</v>
      </c>
      <c r="C373" s="56">
        <f t="shared" si="39"/>
        <v>226</v>
      </c>
      <c r="D373" s="52">
        <v>321560</v>
      </c>
      <c r="E373" s="56">
        <f t="shared" si="42"/>
        <v>60</v>
      </c>
      <c r="F373" s="65">
        <f t="shared" si="36"/>
        <v>372</v>
      </c>
      <c r="G373" s="61">
        <f t="shared" si="40"/>
        <v>0</v>
      </c>
      <c r="H373" s="58">
        <f t="shared" si="37"/>
        <v>1</v>
      </c>
      <c r="I373" s="58">
        <f t="shared" si="41"/>
        <v>0</v>
      </c>
    </row>
    <row r="374" spans="1:9" x14ac:dyDescent="0.15">
      <c r="A374" s="23">
        <v>373</v>
      </c>
      <c r="B374" s="56">
        <f t="shared" si="38"/>
        <v>225</v>
      </c>
      <c r="C374" s="56">
        <f t="shared" si="39"/>
        <v>226</v>
      </c>
      <c r="D374" s="52">
        <v>323168</v>
      </c>
      <c r="E374" s="56">
        <f t="shared" si="42"/>
        <v>60</v>
      </c>
      <c r="F374" s="65">
        <f t="shared" si="36"/>
        <v>373</v>
      </c>
      <c r="G374" s="61">
        <f t="shared" si="40"/>
        <v>1</v>
      </c>
      <c r="H374" s="58">
        <f t="shared" si="37"/>
        <v>0</v>
      </c>
      <c r="I374" s="58">
        <f t="shared" si="41"/>
        <v>0</v>
      </c>
    </row>
    <row r="375" spans="1:9" x14ac:dyDescent="0.15">
      <c r="A375" s="23">
        <v>374</v>
      </c>
      <c r="B375" s="56">
        <f t="shared" si="38"/>
        <v>225</v>
      </c>
      <c r="C375" s="56">
        <f t="shared" si="39"/>
        <v>226</v>
      </c>
      <c r="D375" s="52">
        <v>324784</v>
      </c>
      <c r="E375" s="56">
        <f t="shared" si="42"/>
        <v>60</v>
      </c>
      <c r="F375" s="65">
        <f t="shared" si="36"/>
        <v>374</v>
      </c>
      <c r="G375" s="61">
        <f t="shared" si="40"/>
        <v>0</v>
      </c>
      <c r="H375" s="58">
        <f t="shared" si="37"/>
        <v>0</v>
      </c>
      <c r="I375" s="58">
        <f t="shared" si="41"/>
        <v>0</v>
      </c>
    </row>
    <row r="376" spans="1:9" x14ac:dyDescent="0.15">
      <c r="A376" s="23">
        <v>375</v>
      </c>
      <c r="B376" s="56">
        <f t="shared" si="38"/>
        <v>226</v>
      </c>
      <c r="C376" s="56">
        <f t="shared" si="39"/>
        <v>226</v>
      </c>
      <c r="D376" s="52">
        <v>326408</v>
      </c>
      <c r="E376" s="56">
        <f t="shared" si="42"/>
        <v>60</v>
      </c>
      <c r="F376" s="65">
        <f t="shared" si="36"/>
        <v>375</v>
      </c>
      <c r="G376" s="61">
        <f t="shared" si="40"/>
        <v>1</v>
      </c>
      <c r="H376" s="58">
        <f t="shared" si="37"/>
        <v>0</v>
      </c>
      <c r="I376" s="58">
        <f t="shared" si="41"/>
        <v>0</v>
      </c>
    </row>
    <row r="377" spans="1:9" x14ac:dyDescent="0.15">
      <c r="A377" s="23">
        <v>376</v>
      </c>
      <c r="B377" s="56">
        <f t="shared" si="38"/>
        <v>226</v>
      </c>
      <c r="C377" s="56">
        <f t="shared" si="39"/>
        <v>227</v>
      </c>
      <c r="D377" s="52">
        <v>328040</v>
      </c>
      <c r="E377" s="56">
        <f t="shared" si="42"/>
        <v>60</v>
      </c>
      <c r="F377" s="65">
        <f t="shared" si="36"/>
        <v>376</v>
      </c>
      <c r="G377" s="61">
        <f t="shared" si="40"/>
        <v>0</v>
      </c>
      <c r="H377" s="58">
        <f t="shared" si="37"/>
        <v>1</v>
      </c>
      <c r="I377" s="58">
        <f t="shared" si="41"/>
        <v>0</v>
      </c>
    </row>
    <row r="378" spans="1:9" x14ac:dyDescent="0.15">
      <c r="A378" s="23">
        <v>377</v>
      </c>
      <c r="B378" s="56">
        <f t="shared" si="38"/>
        <v>227</v>
      </c>
      <c r="C378" s="56">
        <f t="shared" si="39"/>
        <v>227</v>
      </c>
      <c r="D378" s="52">
        <v>329680</v>
      </c>
      <c r="E378" s="56">
        <f t="shared" si="42"/>
        <v>60</v>
      </c>
      <c r="F378" s="65">
        <f t="shared" si="36"/>
        <v>377</v>
      </c>
      <c r="G378" s="61">
        <f t="shared" si="40"/>
        <v>1</v>
      </c>
      <c r="H378" s="58">
        <f t="shared" si="37"/>
        <v>0</v>
      </c>
      <c r="I378" s="58">
        <f t="shared" si="41"/>
        <v>0</v>
      </c>
    </row>
    <row r="379" spans="1:9" x14ac:dyDescent="0.15">
      <c r="A379" s="23">
        <v>378</v>
      </c>
      <c r="B379" s="56">
        <f t="shared" si="38"/>
        <v>227</v>
      </c>
      <c r="C379" s="56">
        <f t="shared" si="39"/>
        <v>227</v>
      </c>
      <c r="D379" s="52">
        <v>331328</v>
      </c>
      <c r="E379" s="56">
        <f t="shared" si="42"/>
        <v>60</v>
      </c>
      <c r="F379" s="65">
        <f t="shared" si="36"/>
        <v>378</v>
      </c>
      <c r="G379" s="61">
        <f t="shared" si="40"/>
        <v>0</v>
      </c>
      <c r="H379" s="58">
        <f t="shared" si="37"/>
        <v>0</v>
      </c>
      <c r="I379" s="58">
        <f t="shared" si="41"/>
        <v>0</v>
      </c>
    </row>
    <row r="380" spans="1:9" x14ac:dyDescent="0.15">
      <c r="A380" s="23">
        <v>379</v>
      </c>
      <c r="B380" s="56">
        <f t="shared" si="38"/>
        <v>228</v>
      </c>
      <c r="C380" s="56">
        <f t="shared" si="39"/>
        <v>227</v>
      </c>
      <c r="D380" s="52">
        <v>332985</v>
      </c>
      <c r="E380" s="56">
        <f t="shared" si="42"/>
        <v>60</v>
      </c>
      <c r="F380" s="65">
        <f t="shared" si="36"/>
        <v>379</v>
      </c>
      <c r="G380" s="61">
        <f t="shared" si="40"/>
        <v>1</v>
      </c>
      <c r="H380" s="58">
        <f t="shared" si="37"/>
        <v>0</v>
      </c>
      <c r="I380" s="58">
        <f t="shared" si="41"/>
        <v>0</v>
      </c>
    </row>
    <row r="381" spans="1:9" x14ac:dyDescent="0.15">
      <c r="A381" s="23">
        <v>380</v>
      </c>
      <c r="B381" s="56">
        <f t="shared" si="38"/>
        <v>228</v>
      </c>
      <c r="C381" s="56">
        <f t="shared" si="39"/>
        <v>228</v>
      </c>
      <c r="D381" s="52">
        <v>334650</v>
      </c>
      <c r="E381" s="56">
        <f t="shared" si="42"/>
        <v>60</v>
      </c>
      <c r="F381" s="65">
        <f t="shared" si="36"/>
        <v>380</v>
      </c>
      <c r="G381" s="61">
        <f t="shared" si="40"/>
        <v>0</v>
      </c>
      <c r="H381" s="58">
        <f t="shared" si="37"/>
        <v>1</v>
      </c>
      <c r="I381" s="58">
        <f t="shared" si="41"/>
        <v>0</v>
      </c>
    </row>
    <row r="382" spans="1:9" x14ac:dyDescent="0.15">
      <c r="A382" s="23">
        <v>381</v>
      </c>
      <c r="B382" s="56">
        <f t="shared" si="38"/>
        <v>229</v>
      </c>
      <c r="C382" s="56">
        <f t="shared" si="39"/>
        <v>228</v>
      </c>
      <c r="D382" s="52">
        <v>336323</v>
      </c>
      <c r="E382" s="56">
        <f t="shared" si="42"/>
        <v>60</v>
      </c>
      <c r="F382" s="65">
        <f t="shared" si="36"/>
        <v>381</v>
      </c>
      <c r="G382" s="61">
        <f t="shared" si="40"/>
        <v>1</v>
      </c>
      <c r="H382" s="58">
        <f t="shared" si="37"/>
        <v>0</v>
      </c>
      <c r="I382" s="58">
        <f t="shared" si="41"/>
        <v>0</v>
      </c>
    </row>
    <row r="383" spans="1:9" x14ac:dyDescent="0.15">
      <c r="A383" s="23">
        <v>382</v>
      </c>
      <c r="B383" s="56">
        <f t="shared" si="38"/>
        <v>229</v>
      </c>
      <c r="C383" s="56">
        <f t="shared" si="39"/>
        <v>228</v>
      </c>
      <c r="D383" s="52">
        <v>338005</v>
      </c>
      <c r="E383" s="56">
        <f t="shared" si="42"/>
        <v>60</v>
      </c>
      <c r="F383" s="65">
        <f t="shared" si="36"/>
        <v>382</v>
      </c>
      <c r="G383" s="61">
        <f t="shared" si="40"/>
        <v>0</v>
      </c>
      <c r="H383" s="58">
        <f t="shared" si="37"/>
        <v>0</v>
      </c>
      <c r="I383" s="58">
        <f t="shared" si="41"/>
        <v>0</v>
      </c>
    </row>
    <row r="384" spans="1:9" x14ac:dyDescent="0.15">
      <c r="A384" s="23">
        <v>383</v>
      </c>
      <c r="B384" s="56">
        <f t="shared" si="38"/>
        <v>230</v>
      </c>
      <c r="C384" s="56">
        <f t="shared" si="39"/>
        <v>228</v>
      </c>
      <c r="D384" s="52">
        <v>339695</v>
      </c>
      <c r="E384" s="56">
        <f t="shared" si="42"/>
        <v>60</v>
      </c>
      <c r="F384" s="65">
        <f t="shared" si="36"/>
        <v>383</v>
      </c>
      <c r="G384" s="61">
        <f t="shared" si="40"/>
        <v>1</v>
      </c>
      <c r="H384" s="58">
        <f t="shared" si="37"/>
        <v>0</v>
      </c>
      <c r="I384" s="58">
        <f t="shared" si="41"/>
        <v>0</v>
      </c>
    </row>
    <row r="385" spans="1:9" x14ac:dyDescent="0.15">
      <c r="A385" s="23">
        <v>384</v>
      </c>
      <c r="B385" s="56">
        <f t="shared" si="38"/>
        <v>230</v>
      </c>
      <c r="C385" s="56">
        <f t="shared" si="39"/>
        <v>229</v>
      </c>
      <c r="D385" s="52">
        <v>341393</v>
      </c>
      <c r="E385" s="56">
        <f t="shared" si="42"/>
        <v>60</v>
      </c>
      <c r="F385" s="65">
        <f t="shared" si="36"/>
        <v>384</v>
      </c>
      <c r="G385" s="61">
        <f t="shared" si="40"/>
        <v>0</v>
      </c>
      <c r="H385" s="58">
        <f t="shared" si="37"/>
        <v>1</v>
      </c>
      <c r="I385" s="58">
        <f t="shared" si="41"/>
        <v>0</v>
      </c>
    </row>
    <row r="386" spans="1:9" x14ac:dyDescent="0.15">
      <c r="A386" s="23">
        <v>385</v>
      </c>
      <c r="B386" s="56">
        <f t="shared" si="38"/>
        <v>231</v>
      </c>
      <c r="C386" s="56">
        <f t="shared" si="39"/>
        <v>229</v>
      </c>
      <c r="D386" s="52">
        <v>343100</v>
      </c>
      <c r="E386" s="56">
        <f t="shared" si="42"/>
        <v>60</v>
      </c>
      <c r="F386" s="65">
        <f t="shared" ref="F386:F401" si="43">A386</f>
        <v>385</v>
      </c>
      <c r="G386" s="61">
        <f t="shared" si="40"/>
        <v>1</v>
      </c>
      <c r="H386" s="58">
        <f t="shared" ref="H386:H401" si="44">IF($A386&gt;=slow,IF(MOD($A386,upper)=0,slow_upper,0),IF($A386&gt;medium,IF(MOD($A386,bonus)=0,medium_bonus,IF(MOD($A386,upper)=0,medium_upper,IF(MOD($A386,up)=0,medium_up,0))),IF(MOD($A386,bonus)=0,fast_bonus,IF(MOD($A386,upper)=0,fast_upper,IF(MOD($A386,up)=0,fast_up,0)))))</f>
        <v>0</v>
      </c>
      <c r="I386" s="58">
        <f t="shared" si="41"/>
        <v>0</v>
      </c>
    </row>
    <row r="387" spans="1:9" x14ac:dyDescent="0.15">
      <c r="A387" s="23">
        <v>386</v>
      </c>
      <c r="B387" s="56">
        <f t="shared" ref="B387:B401" si="45">B386+G387</f>
        <v>231</v>
      </c>
      <c r="C387" s="56">
        <f t="shared" ref="C387:C401" si="46">C386+H387</f>
        <v>229</v>
      </c>
      <c r="D387" s="52">
        <v>344816</v>
      </c>
      <c r="E387" s="56">
        <f t="shared" si="42"/>
        <v>60</v>
      </c>
      <c r="F387" s="65">
        <f t="shared" si="43"/>
        <v>386</v>
      </c>
      <c r="G387" s="61">
        <f t="shared" ref="G387:G401" si="47">IF(A387&gt;=106, IF(MOD(A387,2)=0,0,1), IF(A387 &gt;= 65, IF(MOD(A387, 2) =0,0, IF(MOD(A387,5)= 0, 2, 1)), IF(MOD(A387, 2) =0,0, IF(MOD(A387,5)= 0, 5, 1))))</f>
        <v>0</v>
      </c>
      <c r="H387" s="58">
        <f t="shared" si="44"/>
        <v>0</v>
      </c>
      <c r="I387" s="58">
        <f t="shared" ref="I387:I401" si="48">IF($A387&gt;=51,0,IF($A387&gt;=30,IF(MOD($A387,5)=0,1,0),IF($A387&gt;=11,IF(MOD($A387,5)=0,3,IF(MOD($A387,2)=0,1,0)),IF(MOD($A387,5)=0,5,IF(MOD($A387,2)=0,2,0)))))</f>
        <v>0</v>
      </c>
    </row>
    <row r="388" spans="1:9" x14ac:dyDescent="0.15">
      <c r="A388" s="23">
        <v>387</v>
      </c>
      <c r="B388" s="56">
        <f t="shared" si="45"/>
        <v>232</v>
      </c>
      <c r="C388" s="56">
        <f t="shared" si="46"/>
        <v>229</v>
      </c>
      <c r="D388" s="52">
        <v>346540</v>
      </c>
      <c r="E388" s="56">
        <f t="shared" ref="E388:E401" si="49">E387+I388</f>
        <v>60</v>
      </c>
      <c r="F388" s="65">
        <f t="shared" si="43"/>
        <v>387</v>
      </c>
      <c r="G388" s="61">
        <f t="shared" si="47"/>
        <v>1</v>
      </c>
      <c r="H388" s="58">
        <f t="shared" si="44"/>
        <v>0</v>
      </c>
      <c r="I388" s="58">
        <f t="shared" si="48"/>
        <v>0</v>
      </c>
    </row>
    <row r="389" spans="1:9" x14ac:dyDescent="0.15">
      <c r="A389" s="23">
        <v>388</v>
      </c>
      <c r="B389" s="56">
        <f t="shared" si="45"/>
        <v>232</v>
      </c>
      <c r="C389" s="56">
        <f t="shared" si="46"/>
        <v>230</v>
      </c>
      <c r="D389" s="52">
        <v>348273</v>
      </c>
      <c r="E389" s="56">
        <f t="shared" si="49"/>
        <v>60</v>
      </c>
      <c r="F389" s="65">
        <f t="shared" si="43"/>
        <v>388</v>
      </c>
      <c r="G389" s="61">
        <f t="shared" si="47"/>
        <v>0</v>
      </c>
      <c r="H389" s="58">
        <f t="shared" si="44"/>
        <v>1</v>
      </c>
      <c r="I389" s="58">
        <f t="shared" si="48"/>
        <v>0</v>
      </c>
    </row>
    <row r="390" spans="1:9" x14ac:dyDescent="0.15">
      <c r="A390" s="23">
        <v>389</v>
      </c>
      <c r="B390" s="56">
        <f t="shared" si="45"/>
        <v>233</v>
      </c>
      <c r="C390" s="56">
        <f t="shared" si="46"/>
        <v>230</v>
      </c>
      <c r="D390" s="52">
        <v>350014</v>
      </c>
      <c r="E390" s="56">
        <f t="shared" si="49"/>
        <v>60</v>
      </c>
      <c r="F390" s="65">
        <f t="shared" si="43"/>
        <v>389</v>
      </c>
      <c r="G390" s="61">
        <f t="shared" si="47"/>
        <v>1</v>
      </c>
      <c r="H390" s="58">
        <f t="shared" si="44"/>
        <v>0</v>
      </c>
      <c r="I390" s="58">
        <f t="shared" si="48"/>
        <v>0</v>
      </c>
    </row>
    <row r="391" spans="1:9" x14ac:dyDescent="0.15">
      <c r="A391" s="23">
        <v>390</v>
      </c>
      <c r="B391" s="56">
        <f t="shared" si="45"/>
        <v>233</v>
      </c>
      <c r="C391" s="56">
        <f t="shared" si="46"/>
        <v>230</v>
      </c>
      <c r="D391" s="52">
        <v>351764</v>
      </c>
      <c r="E391" s="56">
        <f t="shared" si="49"/>
        <v>60</v>
      </c>
      <c r="F391" s="65">
        <f t="shared" si="43"/>
        <v>390</v>
      </c>
      <c r="G391" s="61">
        <f t="shared" si="47"/>
        <v>0</v>
      </c>
      <c r="H391" s="58">
        <f t="shared" si="44"/>
        <v>0</v>
      </c>
      <c r="I391" s="58">
        <f t="shared" si="48"/>
        <v>0</v>
      </c>
    </row>
    <row r="392" spans="1:9" x14ac:dyDescent="0.15">
      <c r="A392" s="23">
        <v>391</v>
      </c>
      <c r="B392" s="56">
        <f t="shared" si="45"/>
        <v>234</v>
      </c>
      <c r="C392" s="56">
        <f t="shared" si="46"/>
        <v>230</v>
      </c>
      <c r="D392" s="52">
        <v>353523</v>
      </c>
      <c r="E392" s="56">
        <f t="shared" si="49"/>
        <v>60</v>
      </c>
      <c r="F392" s="65">
        <f t="shared" si="43"/>
        <v>391</v>
      </c>
      <c r="G392" s="61">
        <f t="shared" si="47"/>
        <v>1</v>
      </c>
      <c r="H392" s="58">
        <f t="shared" si="44"/>
        <v>0</v>
      </c>
      <c r="I392" s="58">
        <f t="shared" si="48"/>
        <v>0</v>
      </c>
    </row>
    <row r="393" spans="1:9" x14ac:dyDescent="0.15">
      <c r="A393" s="23">
        <v>392</v>
      </c>
      <c r="B393" s="56">
        <f t="shared" si="45"/>
        <v>234</v>
      </c>
      <c r="C393" s="56">
        <f t="shared" si="46"/>
        <v>231</v>
      </c>
      <c r="D393" s="52">
        <v>355291</v>
      </c>
      <c r="E393" s="56">
        <f t="shared" si="49"/>
        <v>60</v>
      </c>
      <c r="F393" s="65">
        <f t="shared" si="43"/>
        <v>392</v>
      </c>
      <c r="G393" s="61">
        <f t="shared" si="47"/>
        <v>0</v>
      </c>
      <c r="H393" s="58">
        <f t="shared" si="44"/>
        <v>1</v>
      </c>
      <c r="I393" s="58">
        <f t="shared" si="48"/>
        <v>0</v>
      </c>
    </row>
    <row r="394" spans="1:9" x14ac:dyDescent="0.15">
      <c r="A394" s="23">
        <v>393</v>
      </c>
      <c r="B394" s="56">
        <f t="shared" si="45"/>
        <v>235</v>
      </c>
      <c r="C394" s="56">
        <f t="shared" si="46"/>
        <v>231</v>
      </c>
      <c r="D394" s="52">
        <v>357067</v>
      </c>
      <c r="E394" s="56">
        <f t="shared" si="49"/>
        <v>60</v>
      </c>
      <c r="F394" s="65">
        <f t="shared" si="43"/>
        <v>393</v>
      </c>
      <c r="G394" s="61">
        <f t="shared" si="47"/>
        <v>1</v>
      </c>
      <c r="H394" s="58">
        <f t="shared" si="44"/>
        <v>0</v>
      </c>
      <c r="I394" s="58">
        <f t="shared" si="48"/>
        <v>0</v>
      </c>
    </row>
    <row r="395" spans="1:9" x14ac:dyDescent="0.15">
      <c r="A395" s="23">
        <v>394</v>
      </c>
      <c r="B395" s="56">
        <f t="shared" si="45"/>
        <v>235</v>
      </c>
      <c r="C395" s="56">
        <f t="shared" si="46"/>
        <v>231</v>
      </c>
      <c r="D395" s="52">
        <v>358852</v>
      </c>
      <c r="E395" s="56">
        <f t="shared" si="49"/>
        <v>60</v>
      </c>
      <c r="F395" s="65">
        <f t="shared" si="43"/>
        <v>394</v>
      </c>
      <c r="G395" s="61">
        <f t="shared" si="47"/>
        <v>0</v>
      </c>
      <c r="H395" s="58">
        <f t="shared" si="44"/>
        <v>0</v>
      </c>
      <c r="I395" s="58">
        <f t="shared" si="48"/>
        <v>0</v>
      </c>
    </row>
    <row r="396" spans="1:9" x14ac:dyDescent="0.15">
      <c r="A396" s="23">
        <v>395</v>
      </c>
      <c r="B396" s="56">
        <f t="shared" si="45"/>
        <v>236</v>
      </c>
      <c r="C396" s="56">
        <f t="shared" si="46"/>
        <v>231</v>
      </c>
      <c r="D396" s="52">
        <v>360646</v>
      </c>
      <c r="E396" s="56">
        <f t="shared" si="49"/>
        <v>60</v>
      </c>
      <c r="F396" s="65">
        <f t="shared" si="43"/>
        <v>395</v>
      </c>
      <c r="G396" s="61">
        <f t="shared" si="47"/>
        <v>1</v>
      </c>
      <c r="H396" s="58">
        <f t="shared" si="44"/>
        <v>0</v>
      </c>
      <c r="I396" s="58">
        <f t="shared" si="48"/>
        <v>0</v>
      </c>
    </row>
    <row r="397" spans="1:9" x14ac:dyDescent="0.15">
      <c r="A397" s="23">
        <v>396</v>
      </c>
      <c r="B397" s="56">
        <f t="shared" si="45"/>
        <v>236</v>
      </c>
      <c r="C397" s="56">
        <f t="shared" si="46"/>
        <v>232</v>
      </c>
      <c r="D397" s="52">
        <v>362449</v>
      </c>
      <c r="E397" s="56">
        <f t="shared" si="49"/>
        <v>60</v>
      </c>
      <c r="F397" s="65">
        <f t="shared" si="43"/>
        <v>396</v>
      </c>
      <c r="G397" s="61">
        <f t="shared" si="47"/>
        <v>0</v>
      </c>
      <c r="H397" s="58">
        <f t="shared" si="44"/>
        <v>1</v>
      </c>
      <c r="I397" s="58">
        <f t="shared" si="48"/>
        <v>0</v>
      </c>
    </row>
    <row r="398" spans="1:9" x14ac:dyDescent="0.15">
      <c r="A398" s="23">
        <v>397</v>
      </c>
      <c r="B398" s="56">
        <f t="shared" si="45"/>
        <v>237</v>
      </c>
      <c r="C398" s="56">
        <f t="shared" si="46"/>
        <v>232</v>
      </c>
      <c r="D398" s="52">
        <v>364261</v>
      </c>
      <c r="E398" s="56">
        <f t="shared" si="49"/>
        <v>60</v>
      </c>
      <c r="F398" s="65">
        <f t="shared" si="43"/>
        <v>397</v>
      </c>
      <c r="G398" s="61">
        <f t="shared" si="47"/>
        <v>1</v>
      </c>
      <c r="H398" s="58">
        <f t="shared" si="44"/>
        <v>0</v>
      </c>
      <c r="I398" s="58">
        <f t="shared" si="48"/>
        <v>0</v>
      </c>
    </row>
    <row r="399" spans="1:9" x14ac:dyDescent="0.15">
      <c r="A399" s="23">
        <v>398</v>
      </c>
      <c r="B399" s="56">
        <f t="shared" si="45"/>
        <v>237</v>
      </c>
      <c r="C399" s="56">
        <f t="shared" si="46"/>
        <v>232</v>
      </c>
      <c r="D399" s="52">
        <v>366082</v>
      </c>
      <c r="E399" s="56">
        <f t="shared" si="49"/>
        <v>60</v>
      </c>
      <c r="F399" s="65">
        <f t="shared" si="43"/>
        <v>398</v>
      </c>
      <c r="G399" s="61">
        <f t="shared" si="47"/>
        <v>0</v>
      </c>
      <c r="H399" s="58">
        <f t="shared" si="44"/>
        <v>0</v>
      </c>
      <c r="I399" s="58">
        <f t="shared" si="48"/>
        <v>0</v>
      </c>
    </row>
    <row r="400" spans="1:9" x14ac:dyDescent="0.15">
      <c r="A400" s="23">
        <v>399</v>
      </c>
      <c r="B400" s="56">
        <f t="shared" si="45"/>
        <v>238</v>
      </c>
      <c r="C400" s="56">
        <f t="shared" si="46"/>
        <v>232</v>
      </c>
      <c r="D400" s="52">
        <v>367912</v>
      </c>
      <c r="E400" s="56">
        <f t="shared" si="49"/>
        <v>60</v>
      </c>
      <c r="F400" s="65">
        <f t="shared" si="43"/>
        <v>399</v>
      </c>
      <c r="G400" s="61">
        <f t="shared" si="47"/>
        <v>1</v>
      </c>
      <c r="H400" s="58">
        <f t="shared" si="44"/>
        <v>0</v>
      </c>
      <c r="I400" s="58">
        <f t="shared" si="48"/>
        <v>0</v>
      </c>
    </row>
    <row r="401" spans="1:9" x14ac:dyDescent="0.15">
      <c r="A401" s="23">
        <v>400</v>
      </c>
      <c r="B401" s="56">
        <f t="shared" si="45"/>
        <v>238</v>
      </c>
      <c r="C401" s="56">
        <f t="shared" si="46"/>
        <v>233</v>
      </c>
      <c r="D401" s="52">
        <v>369752</v>
      </c>
      <c r="E401" s="56">
        <f t="shared" si="49"/>
        <v>60</v>
      </c>
      <c r="F401" s="65">
        <f t="shared" si="43"/>
        <v>400</v>
      </c>
      <c r="G401" s="61">
        <f t="shared" si="47"/>
        <v>0</v>
      </c>
      <c r="H401" s="58">
        <f t="shared" si="44"/>
        <v>1</v>
      </c>
      <c r="I401" s="58">
        <f t="shared" si="48"/>
        <v>0</v>
      </c>
    </row>
  </sheetData>
  <autoFilter ref="A1:I201"/>
  <phoneticPr fontId="3"/>
  <pageMargins left="0.7" right="0.7" top="0.75" bottom="0.75" header="0.3" footer="0.3"/>
  <pageSetup paperSize="9" orientation="portrait" horizontalDpi="4294967292" verticalDpi="429496729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3" tint="0.79998168889431442"/>
  </sheetPr>
  <dimension ref="A1:I401"/>
  <sheetViews>
    <sheetView showGridLines="0" workbookViewId="0">
      <pane ySplit="1" topLeftCell="A195" activePane="bottomLeft" state="frozen"/>
      <selection pane="bottomLeft" activeCell="A201" sqref="A201:XFD201"/>
    </sheetView>
  </sheetViews>
  <sheetFormatPr baseColWidth="12" defaultColWidth="13" defaultRowHeight="15" x14ac:dyDescent="0.15"/>
  <cols>
    <col min="7" max="8" width="12.83203125" customWidth="1"/>
    <col min="9" max="9" width="87.83203125" bestFit="1" customWidth="1"/>
  </cols>
  <sheetData>
    <row r="1" spans="1:9" x14ac:dyDescent="0.15">
      <c r="A1" s="21" t="s">
        <v>0</v>
      </c>
      <c r="B1" s="21" t="s">
        <v>60</v>
      </c>
      <c r="C1" s="21" t="s">
        <v>61</v>
      </c>
      <c r="D1" s="22" t="s">
        <v>215</v>
      </c>
      <c r="E1" s="21" t="s">
        <v>62</v>
      </c>
      <c r="F1" s="17" t="s">
        <v>20</v>
      </c>
      <c r="G1" s="17" t="s">
        <v>21</v>
      </c>
      <c r="H1" s="28" t="s">
        <v>63</v>
      </c>
      <c r="I1" s="17" t="s">
        <v>22</v>
      </c>
    </row>
    <row r="2" spans="1:9" x14ac:dyDescent="0.15">
      <c r="A2" s="23">
        <v>1</v>
      </c>
      <c r="B2" s="20">
        <v>10</v>
      </c>
      <c r="C2" s="20">
        <v>40</v>
      </c>
      <c r="D2" s="24">
        <v>0</v>
      </c>
      <c r="E2" s="20">
        <v>20</v>
      </c>
      <c r="F2" s="6"/>
      <c r="G2" s="29">
        <f>IF($A2&gt;=100,IF(MOD($A2,4)=0,1,0),IF(MOD($A2,5)=0,3,IF(MOD($A2,2)=0,1,0)))</f>
        <v>0</v>
      </c>
      <c r="H2" s="29">
        <f>IF($A2&gt;=51,0,IF($A2&gt;=30,IF(MOD($A2,5)=0,1,0),IF($A2&gt;=11,IF(MOD($A2,5)=0,3,IF(MOD($A2,2)=0,1,0)),IF(MOD($A2,5)=0,5,IF(MOD($A2,2)=0,2,0)))))</f>
        <v>0</v>
      </c>
      <c r="I2" s="12"/>
    </row>
    <row r="3" spans="1:9" x14ac:dyDescent="0.15">
      <c r="A3" s="23">
        <v>2</v>
      </c>
      <c r="B3" s="20">
        <f t="shared" ref="B3:B66" si="0">B2+F3</f>
        <v>10</v>
      </c>
      <c r="C3" s="25">
        <f t="shared" ref="C3:C66" si="1">C2+G3</f>
        <v>41</v>
      </c>
      <c r="D3" s="26">
        <v>35</v>
      </c>
      <c r="E3" s="20">
        <f>E2+H3</f>
        <v>22</v>
      </c>
      <c r="F3" s="10">
        <f t="shared" ref="F3:F66" si="2">IF(A3&gt;=106, IF(MOD(A3,2)=0,0,1), IF(A3 &gt;= 65, IF(MOD(A3, 2) =0,0, IF(MOD(A3,5)= 0, 2, 1)), IF(MOD(A3, 2) =0,0, IF(MOD(A3,5)= 0, 5, 1))))</f>
        <v>0</v>
      </c>
      <c r="G3" s="29">
        <f t="shared" ref="G3:G66" si="3">IF($A3&gt;=100,IF(MOD($A3,4)=0,1,0),IF(MOD($A3,5)=0,3,IF(MOD($A3,2)=0,1,0)))</f>
        <v>1</v>
      </c>
      <c r="H3" s="29">
        <f t="shared" ref="H3:H66" si="4">IF($A3&gt;=51,0,IF($A3&gt;=30,IF(MOD($A3,5)=0,1,0),IF($A3&gt;=11,IF(MOD($A3,5)=0,3,IF(MOD($A3,2)=0,1,0)),IF(MOD($A3,5)=0,5,IF(MOD($A3,2)=0,2,0)))))</f>
        <v>2</v>
      </c>
      <c r="I3" s="12"/>
    </row>
    <row r="4" spans="1:9" x14ac:dyDescent="0.15">
      <c r="A4" s="23">
        <v>3</v>
      </c>
      <c r="B4" s="20">
        <f t="shared" si="0"/>
        <v>11</v>
      </c>
      <c r="C4" s="20">
        <f t="shared" si="1"/>
        <v>41</v>
      </c>
      <c r="D4" s="26">
        <v>81</v>
      </c>
      <c r="E4" s="20">
        <f t="shared" ref="E4:E67" si="5">E3+H4</f>
        <v>22</v>
      </c>
      <c r="F4" s="10">
        <f t="shared" si="2"/>
        <v>1</v>
      </c>
      <c r="G4" s="29">
        <f t="shared" si="3"/>
        <v>0</v>
      </c>
      <c r="H4" s="29">
        <f t="shared" si="4"/>
        <v>0</v>
      </c>
      <c r="I4" s="12"/>
    </row>
    <row r="5" spans="1:9" x14ac:dyDescent="0.15">
      <c r="A5" s="23">
        <v>4</v>
      </c>
      <c r="B5" s="20">
        <f t="shared" si="0"/>
        <v>11</v>
      </c>
      <c r="C5" s="20">
        <f t="shared" si="1"/>
        <v>42</v>
      </c>
      <c r="D5" s="26">
        <v>138</v>
      </c>
      <c r="E5" s="20">
        <f t="shared" si="5"/>
        <v>24</v>
      </c>
      <c r="F5" s="10">
        <f t="shared" si="2"/>
        <v>0</v>
      </c>
      <c r="G5" s="29">
        <f t="shared" si="3"/>
        <v>1</v>
      </c>
      <c r="H5" s="29">
        <f t="shared" si="4"/>
        <v>2</v>
      </c>
      <c r="I5" s="12"/>
    </row>
    <row r="6" spans="1:9" x14ac:dyDescent="0.15">
      <c r="A6" s="23">
        <v>5</v>
      </c>
      <c r="B6" s="20">
        <f t="shared" si="0"/>
        <v>16</v>
      </c>
      <c r="C6" s="20">
        <f t="shared" si="1"/>
        <v>47</v>
      </c>
      <c r="D6" s="26">
        <v>205</v>
      </c>
      <c r="E6" s="20">
        <f t="shared" si="5"/>
        <v>29</v>
      </c>
      <c r="F6" s="11">
        <f t="shared" si="2"/>
        <v>5</v>
      </c>
      <c r="G6" s="51">
        <v>5</v>
      </c>
      <c r="H6" s="29">
        <f t="shared" si="4"/>
        <v>5</v>
      </c>
      <c r="I6" s="12"/>
    </row>
    <row r="7" spans="1:9" x14ac:dyDescent="0.15">
      <c r="A7" s="23">
        <v>6</v>
      </c>
      <c r="B7" s="20">
        <f t="shared" si="0"/>
        <v>16</v>
      </c>
      <c r="C7" s="20">
        <f t="shared" si="1"/>
        <v>48</v>
      </c>
      <c r="D7" s="26">
        <v>282</v>
      </c>
      <c r="E7" s="20">
        <f t="shared" si="5"/>
        <v>31</v>
      </c>
      <c r="F7" s="10">
        <f t="shared" si="2"/>
        <v>0</v>
      </c>
      <c r="G7" s="29">
        <f t="shared" si="3"/>
        <v>1</v>
      </c>
      <c r="H7" s="29">
        <f t="shared" si="4"/>
        <v>2</v>
      </c>
      <c r="I7" s="12"/>
    </row>
    <row r="8" spans="1:9" x14ac:dyDescent="0.15">
      <c r="A8" s="23">
        <v>7</v>
      </c>
      <c r="B8" s="20">
        <f t="shared" si="0"/>
        <v>17</v>
      </c>
      <c r="C8" s="20">
        <f t="shared" si="1"/>
        <v>48</v>
      </c>
      <c r="D8" s="26">
        <v>368</v>
      </c>
      <c r="E8" s="20">
        <f t="shared" si="5"/>
        <v>31</v>
      </c>
      <c r="F8" s="10">
        <f t="shared" si="2"/>
        <v>1</v>
      </c>
      <c r="G8" s="29">
        <f t="shared" si="3"/>
        <v>0</v>
      </c>
      <c r="H8" s="29">
        <f t="shared" si="4"/>
        <v>0</v>
      </c>
      <c r="I8" s="12"/>
    </row>
    <row r="9" spans="1:9" x14ac:dyDescent="0.15">
      <c r="A9" s="23">
        <v>8</v>
      </c>
      <c r="B9" s="20">
        <f t="shared" si="0"/>
        <v>17</v>
      </c>
      <c r="C9" s="20">
        <f t="shared" si="1"/>
        <v>49</v>
      </c>
      <c r="D9" s="26">
        <v>465</v>
      </c>
      <c r="E9" s="20">
        <f t="shared" si="5"/>
        <v>33</v>
      </c>
      <c r="F9" s="10">
        <f t="shared" si="2"/>
        <v>0</v>
      </c>
      <c r="G9" s="29">
        <f t="shared" si="3"/>
        <v>1</v>
      </c>
      <c r="H9" s="29">
        <f t="shared" si="4"/>
        <v>2</v>
      </c>
      <c r="I9" s="12"/>
    </row>
    <row r="10" spans="1:9" x14ac:dyDescent="0.15">
      <c r="A10" s="23">
        <v>9</v>
      </c>
      <c r="B10" s="20">
        <f t="shared" si="0"/>
        <v>18</v>
      </c>
      <c r="C10" s="20">
        <f t="shared" si="1"/>
        <v>49</v>
      </c>
      <c r="D10" s="26">
        <v>572</v>
      </c>
      <c r="E10" s="20">
        <f t="shared" si="5"/>
        <v>33</v>
      </c>
      <c r="F10" s="10">
        <f t="shared" si="2"/>
        <v>1</v>
      </c>
      <c r="G10" s="29">
        <f t="shared" si="3"/>
        <v>0</v>
      </c>
      <c r="H10" s="29">
        <f t="shared" si="4"/>
        <v>0</v>
      </c>
      <c r="I10" s="12"/>
    </row>
    <row r="11" spans="1:9" x14ac:dyDescent="0.15">
      <c r="A11" s="23">
        <v>10</v>
      </c>
      <c r="B11" s="20">
        <f t="shared" si="0"/>
        <v>18</v>
      </c>
      <c r="C11" s="20">
        <f t="shared" si="1"/>
        <v>54</v>
      </c>
      <c r="D11" s="26">
        <v>688</v>
      </c>
      <c r="E11" s="20">
        <f t="shared" si="5"/>
        <v>38</v>
      </c>
      <c r="F11" s="10">
        <f t="shared" si="2"/>
        <v>0</v>
      </c>
      <c r="G11" s="51">
        <v>5</v>
      </c>
      <c r="H11" s="29">
        <f t="shared" si="4"/>
        <v>5</v>
      </c>
      <c r="I11" s="12"/>
    </row>
    <row r="12" spans="1:9" x14ac:dyDescent="0.15">
      <c r="A12" s="23">
        <v>11</v>
      </c>
      <c r="B12" s="20">
        <f t="shared" si="0"/>
        <v>19</v>
      </c>
      <c r="C12" s="20">
        <f t="shared" si="1"/>
        <v>54</v>
      </c>
      <c r="D12" s="26">
        <v>813</v>
      </c>
      <c r="E12" s="20">
        <f t="shared" si="5"/>
        <v>38</v>
      </c>
      <c r="F12" s="10">
        <f t="shared" si="2"/>
        <v>1</v>
      </c>
      <c r="G12" s="29">
        <f t="shared" si="3"/>
        <v>0</v>
      </c>
      <c r="H12" s="29">
        <f t="shared" si="4"/>
        <v>0</v>
      </c>
      <c r="I12" s="12"/>
    </row>
    <row r="13" spans="1:9" x14ac:dyDescent="0.15">
      <c r="A13" s="23">
        <v>12</v>
      </c>
      <c r="B13" s="20">
        <f t="shared" si="0"/>
        <v>19</v>
      </c>
      <c r="C13" s="20">
        <f t="shared" si="1"/>
        <v>55</v>
      </c>
      <c r="D13" s="26">
        <v>948</v>
      </c>
      <c r="E13" s="20">
        <f t="shared" si="5"/>
        <v>39</v>
      </c>
      <c r="F13" s="10">
        <f t="shared" si="2"/>
        <v>0</v>
      </c>
      <c r="G13" s="29">
        <f t="shared" si="3"/>
        <v>1</v>
      </c>
      <c r="H13" s="29">
        <f t="shared" si="4"/>
        <v>1</v>
      </c>
      <c r="I13" s="12"/>
    </row>
    <row r="14" spans="1:9" x14ac:dyDescent="0.15">
      <c r="A14" s="23">
        <v>13</v>
      </c>
      <c r="B14" s="20">
        <f t="shared" si="0"/>
        <v>20</v>
      </c>
      <c r="C14" s="20">
        <f t="shared" si="1"/>
        <v>55</v>
      </c>
      <c r="D14" s="26">
        <v>1091</v>
      </c>
      <c r="E14" s="20">
        <f t="shared" si="5"/>
        <v>39</v>
      </c>
      <c r="F14" s="10">
        <f t="shared" si="2"/>
        <v>1</v>
      </c>
      <c r="G14" s="29">
        <f t="shared" si="3"/>
        <v>0</v>
      </c>
      <c r="H14" s="29">
        <f t="shared" si="4"/>
        <v>0</v>
      </c>
      <c r="I14" s="12"/>
    </row>
    <row r="15" spans="1:9" x14ac:dyDescent="0.15">
      <c r="A15" s="23">
        <v>14</v>
      </c>
      <c r="B15" s="20">
        <f t="shared" si="0"/>
        <v>20</v>
      </c>
      <c r="C15" s="20">
        <f t="shared" si="1"/>
        <v>56</v>
      </c>
      <c r="D15" s="26">
        <v>1244</v>
      </c>
      <c r="E15" s="20">
        <f t="shared" si="5"/>
        <v>40</v>
      </c>
      <c r="F15" s="10">
        <f t="shared" si="2"/>
        <v>0</v>
      </c>
      <c r="G15" s="29">
        <f t="shared" si="3"/>
        <v>1</v>
      </c>
      <c r="H15" s="29">
        <f t="shared" si="4"/>
        <v>1</v>
      </c>
      <c r="I15" s="12"/>
    </row>
    <row r="16" spans="1:9" x14ac:dyDescent="0.15">
      <c r="A16" s="23">
        <v>15</v>
      </c>
      <c r="B16" s="20">
        <f t="shared" si="0"/>
        <v>25</v>
      </c>
      <c r="C16" s="20">
        <f t="shared" si="1"/>
        <v>61</v>
      </c>
      <c r="D16" s="26">
        <v>1405</v>
      </c>
      <c r="E16" s="20">
        <f t="shared" si="5"/>
        <v>43</v>
      </c>
      <c r="F16" s="11">
        <f t="shared" si="2"/>
        <v>5</v>
      </c>
      <c r="G16" s="51">
        <v>5</v>
      </c>
      <c r="H16" s="29">
        <f t="shared" si="4"/>
        <v>3</v>
      </c>
      <c r="I16" s="12"/>
    </row>
    <row r="17" spans="1:9" x14ac:dyDescent="0.15">
      <c r="A17" s="23">
        <v>16</v>
      </c>
      <c r="B17" s="20">
        <f t="shared" si="0"/>
        <v>25</v>
      </c>
      <c r="C17" s="20">
        <f t="shared" si="1"/>
        <v>62</v>
      </c>
      <c r="D17" s="26">
        <v>1575</v>
      </c>
      <c r="E17" s="20">
        <f t="shared" si="5"/>
        <v>44</v>
      </c>
      <c r="F17" s="10">
        <f t="shared" si="2"/>
        <v>0</v>
      </c>
      <c r="G17" s="29">
        <f t="shared" si="3"/>
        <v>1</v>
      </c>
      <c r="H17" s="29">
        <f t="shared" si="4"/>
        <v>1</v>
      </c>
      <c r="I17" s="12"/>
    </row>
    <row r="18" spans="1:9" x14ac:dyDescent="0.15">
      <c r="A18" s="23">
        <v>17</v>
      </c>
      <c r="B18" s="20">
        <f t="shared" si="0"/>
        <v>26</v>
      </c>
      <c r="C18" s="20">
        <f t="shared" si="1"/>
        <v>62</v>
      </c>
      <c r="D18" s="26">
        <v>1754</v>
      </c>
      <c r="E18" s="20">
        <f t="shared" si="5"/>
        <v>44</v>
      </c>
      <c r="F18" s="10">
        <f t="shared" si="2"/>
        <v>1</v>
      </c>
      <c r="G18" s="29">
        <f t="shared" si="3"/>
        <v>0</v>
      </c>
      <c r="H18" s="29">
        <f t="shared" si="4"/>
        <v>0</v>
      </c>
      <c r="I18" s="12"/>
    </row>
    <row r="19" spans="1:9" x14ac:dyDescent="0.15">
      <c r="A19" s="23">
        <v>18</v>
      </c>
      <c r="B19" s="20">
        <f t="shared" si="0"/>
        <v>26</v>
      </c>
      <c r="C19" s="20">
        <f t="shared" si="1"/>
        <v>63</v>
      </c>
      <c r="D19" s="26">
        <v>1941</v>
      </c>
      <c r="E19" s="20">
        <f t="shared" si="5"/>
        <v>45</v>
      </c>
      <c r="F19" s="10">
        <f t="shared" si="2"/>
        <v>0</v>
      </c>
      <c r="G19" s="29">
        <f t="shared" si="3"/>
        <v>1</v>
      </c>
      <c r="H19" s="29">
        <f t="shared" si="4"/>
        <v>1</v>
      </c>
      <c r="I19" s="12"/>
    </row>
    <row r="20" spans="1:9" x14ac:dyDescent="0.15">
      <c r="A20" s="23">
        <v>19</v>
      </c>
      <c r="B20" s="20">
        <f t="shared" si="0"/>
        <v>27</v>
      </c>
      <c r="C20" s="20">
        <f t="shared" si="1"/>
        <v>63</v>
      </c>
      <c r="D20" s="26">
        <v>2136</v>
      </c>
      <c r="E20" s="20">
        <f t="shared" si="5"/>
        <v>45</v>
      </c>
      <c r="F20" s="10">
        <f t="shared" si="2"/>
        <v>1</v>
      </c>
      <c r="G20" s="29">
        <f t="shared" si="3"/>
        <v>0</v>
      </c>
      <c r="H20" s="29">
        <f t="shared" si="4"/>
        <v>0</v>
      </c>
      <c r="I20" s="12"/>
    </row>
    <row r="21" spans="1:9" x14ac:dyDescent="0.15">
      <c r="A21" s="23">
        <v>20</v>
      </c>
      <c r="B21" s="20">
        <f t="shared" si="0"/>
        <v>27</v>
      </c>
      <c r="C21" s="20">
        <f t="shared" si="1"/>
        <v>68</v>
      </c>
      <c r="D21" s="26">
        <v>2340</v>
      </c>
      <c r="E21" s="20">
        <f t="shared" si="5"/>
        <v>48</v>
      </c>
      <c r="F21" s="10">
        <f t="shared" si="2"/>
        <v>0</v>
      </c>
      <c r="G21" s="51">
        <v>5</v>
      </c>
      <c r="H21" s="29">
        <f t="shared" si="4"/>
        <v>3</v>
      </c>
      <c r="I21" s="12"/>
    </row>
    <row r="22" spans="1:9" x14ac:dyDescent="0.15">
      <c r="A22" s="23">
        <v>21</v>
      </c>
      <c r="B22" s="20">
        <f t="shared" si="0"/>
        <v>28</v>
      </c>
      <c r="C22" s="20">
        <f t="shared" si="1"/>
        <v>68</v>
      </c>
      <c r="D22" s="27">
        <v>2551</v>
      </c>
      <c r="E22" s="20">
        <f t="shared" si="5"/>
        <v>48</v>
      </c>
      <c r="F22" s="10">
        <f t="shared" si="2"/>
        <v>1</v>
      </c>
      <c r="G22" s="29">
        <f t="shared" si="3"/>
        <v>0</v>
      </c>
      <c r="H22" s="29">
        <f t="shared" si="4"/>
        <v>0</v>
      </c>
      <c r="I22" s="12"/>
    </row>
    <row r="23" spans="1:9" x14ac:dyDescent="0.15">
      <c r="A23" s="23">
        <v>22</v>
      </c>
      <c r="B23" s="20">
        <f t="shared" si="0"/>
        <v>28</v>
      </c>
      <c r="C23" s="20">
        <f t="shared" si="1"/>
        <v>69</v>
      </c>
      <c r="D23" s="27">
        <v>2771</v>
      </c>
      <c r="E23" s="20">
        <f t="shared" si="5"/>
        <v>49</v>
      </c>
      <c r="F23" s="10">
        <f t="shared" si="2"/>
        <v>0</v>
      </c>
      <c r="G23" s="29">
        <f t="shared" si="3"/>
        <v>1</v>
      </c>
      <c r="H23" s="29">
        <f t="shared" si="4"/>
        <v>1</v>
      </c>
      <c r="I23" s="12"/>
    </row>
    <row r="24" spans="1:9" x14ac:dyDescent="0.15">
      <c r="A24" s="23">
        <v>23</v>
      </c>
      <c r="B24" s="20">
        <f t="shared" si="0"/>
        <v>29</v>
      </c>
      <c r="C24" s="20">
        <f t="shared" si="1"/>
        <v>69</v>
      </c>
      <c r="D24" s="27">
        <v>2998</v>
      </c>
      <c r="E24" s="20">
        <f t="shared" si="5"/>
        <v>49</v>
      </c>
      <c r="F24" s="10">
        <f t="shared" si="2"/>
        <v>1</v>
      </c>
      <c r="G24" s="29">
        <f t="shared" si="3"/>
        <v>0</v>
      </c>
      <c r="H24" s="29">
        <f t="shared" si="4"/>
        <v>0</v>
      </c>
      <c r="I24" s="12"/>
    </row>
    <row r="25" spans="1:9" x14ac:dyDescent="0.15">
      <c r="A25" s="23">
        <v>24</v>
      </c>
      <c r="B25" s="20">
        <f t="shared" si="0"/>
        <v>29</v>
      </c>
      <c r="C25" s="20">
        <f t="shared" si="1"/>
        <v>70</v>
      </c>
      <c r="D25" s="27">
        <v>3233</v>
      </c>
      <c r="E25" s="20">
        <f t="shared" si="5"/>
        <v>50</v>
      </c>
      <c r="F25" s="10">
        <f t="shared" si="2"/>
        <v>0</v>
      </c>
      <c r="G25" s="29">
        <f t="shared" si="3"/>
        <v>1</v>
      </c>
      <c r="H25" s="29">
        <f t="shared" si="4"/>
        <v>1</v>
      </c>
      <c r="I25" s="12"/>
    </row>
    <row r="26" spans="1:9" x14ac:dyDescent="0.15">
      <c r="A26" s="23">
        <v>25</v>
      </c>
      <c r="B26" s="20">
        <f t="shared" si="0"/>
        <v>34</v>
      </c>
      <c r="C26" s="20">
        <f t="shared" si="1"/>
        <v>75</v>
      </c>
      <c r="D26" s="27">
        <v>3475</v>
      </c>
      <c r="E26" s="20">
        <f t="shared" si="5"/>
        <v>53</v>
      </c>
      <c r="F26" s="11">
        <f t="shared" si="2"/>
        <v>5</v>
      </c>
      <c r="G26" s="51">
        <v>5</v>
      </c>
      <c r="H26" s="29">
        <f t="shared" si="4"/>
        <v>3</v>
      </c>
      <c r="I26" s="12"/>
    </row>
    <row r="27" spans="1:9" x14ac:dyDescent="0.15">
      <c r="A27" s="23">
        <v>26</v>
      </c>
      <c r="B27" s="20">
        <f t="shared" si="0"/>
        <v>34</v>
      </c>
      <c r="C27" s="20">
        <f t="shared" si="1"/>
        <v>76</v>
      </c>
      <c r="D27" s="27">
        <v>3725</v>
      </c>
      <c r="E27" s="20">
        <f t="shared" si="5"/>
        <v>54</v>
      </c>
      <c r="F27" s="10">
        <f t="shared" si="2"/>
        <v>0</v>
      </c>
      <c r="G27" s="29">
        <f t="shared" si="3"/>
        <v>1</v>
      </c>
      <c r="H27" s="29">
        <f t="shared" si="4"/>
        <v>1</v>
      </c>
      <c r="I27" s="12"/>
    </row>
    <row r="28" spans="1:9" x14ac:dyDescent="0.15">
      <c r="A28" s="23">
        <v>27</v>
      </c>
      <c r="B28" s="20">
        <f t="shared" si="0"/>
        <v>35</v>
      </c>
      <c r="C28" s="20">
        <f t="shared" si="1"/>
        <v>76</v>
      </c>
      <c r="D28" s="27">
        <v>3982</v>
      </c>
      <c r="E28" s="20">
        <f t="shared" si="5"/>
        <v>54</v>
      </c>
      <c r="F28" s="10">
        <f t="shared" si="2"/>
        <v>1</v>
      </c>
      <c r="G28" s="29">
        <f t="shared" si="3"/>
        <v>0</v>
      </c>
      <c r="H28" s="29">
        <f t="shared" si="4"/>
        <v>0</v>
      </c>
      <c r="I28" s="12"/>
    </row>
    <row r="29" spans="1:9" x14ac:dyDescent="0.15">
      <c r="A29" s="23">
        <v>28</v>
      </c>
      <c r="B29" s="20">
        <f t="shared" si="0"/>
        <v>35</v>
      </c>
      <c r="C29" s="20">
        <f t="shared" si="1"/>
        <v>77</v>
      </c>
      <c r="D29" s="27">
        <v>4246</v>
      </c>
      <c r="E29" s="20">
        <f t="shared" si="5"/>
        <v>55</v>
      </c>
      <c r="F29" s="10">
        <f t="shared" si="2"/>
        <v>0</v>
      </c>
      <c r="G29" s="29">
        <f t="shared" si="3"/>
        <v>1</v>
      </c>
      <c r="H29" s="29">
        <f t="shared" si="4"/>
        <v>1</v>
      </c>
      <c r="I29" s="12"/>
    </row>
    <row r="30" spans="1:9" x14ac:dyDescent="0.15">
      <c r="A30" s="23">
        <v>29</v>
      </c>
      <c r="B30" s="20">
        <f t="shared" si="0"/>
        <v>36</v>
      </c>
      <c r="C30" s="20">
        <f t="shared" si="1"/>
        <v>77</v>
      </c>
      <c r="D30" s="27">
        <v>4517</v>
      </c>
      <c r="E30" s="20">
        <f t="shared" si="5"/>
        <v>55</v>
      </c>
      <c r="F30" s="10">
        <f t="shared" si="2"/>
        <v>1</v>
      </c>
      <c r="G30" s="29">
        <f t="shared" si="3"/>
        <v>0</v>
      </c>
      <c r="H30" s="29">
        <f t="shared" si="4"/>
        <v>0</v>
      </c>
      <c r="I30" s="12"/>
    </row>
    <row r="31" spans="1:9" x14ac:dyDescent="0.15">
      <c r="A31" s="23">
        <v>30</v>
      </c>
      <c r="B31" s="20">
        <f t="shared" si="0"/>
        <v>36</v>
      </c>
      <c r="C31" s="20">
        <f t="shared" si="1"/>
        <v>80</v>
      </c>
      <c r="D31" s="27">
        <v>4796</v>
      </c>
      <c r="E31" s="20">
        <f t="shared" si="5"/>
        <v>56</v>
      </c>
      <c r="F31" s="10">
        <f t="shared" si="2"/>
        <v>0</v>
      </c>
      <c r="G31" s="29">
        <f t="shared" si="3"/>
        <v>3</v>
      </c>
      <c r="H31" s="29">
        <f t="shared" si="4"/>
        <v>1</v>
      </c>
      <c r="I31" s="12"/>
    </row>
    <row r="32" spans="1:9" x14ac:dyDescent="0.15">
      <c r="A32" s="23">
        <v>31</v>
      </c>
      <c r="B32" s="20">
        <f t="shared" si="0"/>
        <v>37</v>
      </c>
      <c r="C32" s="20">
        <f t="shared" si="1"/>
        <v>80</v>
      </c>
      <c r="D32" s="27">
        <v>5081</v>
      </c>
      <c r="E32" s="20">
        <f t="shared" si="5"/>
        <v>56</v>
      </c>
      <c r="F32" s="10">
        <f t="shared" si="2"/>
        <v>1</v>
      </c>
      <c r="G32" s="29">
        <f t="shared" si="3"/>
        <v>0</v>
      </c>
      <c r="H32" s="29">
        <f t="shared" si="4"/>
        <v>0</v>
      </c>
      <c r="I32" s="12"/>
    </row>
    <row r="33" spans="1:9" x14ac:dyDescent="0.15">
      <c r="A33" s="23">
        <v>32</v>
      </c>
      <c r="B33" s="20">
        <f t="shared" si="0"/>
        <v>37</v>
      </c>
      <c r="C33" s="20">
        <f t="shared" si="1"/>
        <v>81</v>
      </c>
      <c r="D33" s="27">
        <v>5373</v>
      </c>
      <c r="E33" s="20">
        <f t="shared" si="5"/>
        <v>56</v>
      </c>
      <c r="F33" s="10">
        <f t="shared" si="2"/>
        <v>0</v>
      </c>
      <c r="G33" s="29">
        <f t="shared" si="3"/>
        <v>1</v>
      </c>
      <c r="H33" s="29">
        <f t="shared" si="4"/>
        <v>0</v>
      </c>
      <c r="I33" s="12"/>
    </row>
    <row r="34" spans="1:9" x14ac:dyDescent="0.15">
      <c r="A34" s="23">
        <v>33</v>
      </c>
      <c r="B34" s="20">
        <f t="shared" si="0"/>
        <v>38</v>
      </c>
      <c r="C34" s="20">
        <f t="shared" si="1"/>
        <v>81</v>
      </c>
      <c r="D34" s="27">
        <v>5671</v>
      </c>
      <c r="E34" s="20">
        <f t="shared" si="5"/>
        <v>56</v>
      </c>
      <c r="F34" s="10">
        <f t="shared" si="2"/>
        <v>1</v>
      </c>
      <c r="G34" s="29">
        <f t="shared" si="3"/>
        <v>0</v>
      </c>
      <c r="H34" s="29">
        <f t="shared" si="4"/>
        <v>0</v>
      </c>
      <c r="I34" s="12"/>
    </row>
    <row r="35" spans="1:9" x14ac:dyDescent="0.15">
      <c r="A35" s="23">
        <v>34</v>
      </c>
      <c r="B35" s="20">
        <f t="shared" si="0"/>
        <v>38</v>
      </c>
      <c r="C35" s="20">
        <f t="shared" si="1"/>
        <v>82</v>
      </c>
      <c r="D35" s="27">
        <v>5976</v>
      </c>
      <c r="E35" s="20">
        <f t="shared" si="5"/>
        <v>56</v>
      </c>
      <c r="F35" s="10">
        <f t="shared" si="2"/>
        <v>0</v>
      </c>
      <c r="G35" s="29">
        <f t="shared" si="3"/>
        <v>1</v>
      </c>
      <c r="H35" s="29">
        <f t="shared" si="4"/>
        <v>0</v>
      </c>
      <c r="I35" s="12"/>
    </row>
    <row r="36" spans="1:9" x14ac:dyDescent="0.15">
      <c r="A36" s="23">
        <v>35</v>
      </c>
      <c r="B36" s="20">
        <f t="shared" si="0"/>
        <v>43</v>
      </c>
      <c r="C36" s="20">
        <f t="shared" si="1"/>
        <v>85</v>
      </c>
      <c r="D36" s="27">
        <v>6288</v>
      </c>
      <c r="E36" s="20">
        <f t="shared" si="5"/>
        <v>57</v>
      </c>
      <c r="F36" s="11">
        <f t="shared" si="2"/>
        <v>5</v>
      </c>
      <c r="G36" s="29">
        <f t="shared" si="3"/>
        <v>3</v>
      </c>
      <c r="H36" s="29">
        <f t="shared" si="4"/>
        <v>1</v>
      </c>
      <c r="I36" s="12"/>
    </row>
    <row r="37" spans="1:9" x14ac:dyDescent="0.15">
      <c r="A37" s="23">
        <v>36</v>
      </c>
      <c r="B37" s="20">
        <f t="shared" si="0"/>
        <v>43</v>
      </c>
      <c r="C37" s="20">
        <f t="shared" si="1"/>
        <v>86</v>
      </c>
      <c r="D37" s="27">
        <v>6606</v>
      </c>
      <c r="E37" s="20">
        <f t="shared" si="5"/>
        <v>57</v>
      </c>
      <c r="F37" s="10">
        <f t="shared" si="2"/>
        <v>0</v>
      </c>
      <c r="G37" s="29">
        <f t="shared" si="3"/>
        <v>1</v>
      </c>
      <c r="H37" s="29">
        <f t="shared" si="4"/>
        <v>0</v>
      </c>
      <c r="I37" s="12"/>
    </row>
    <row r="38" spans="1:9" x14ac:dyDescent="0.15">
      <c r="A38" s="23">
        <v>37</v>
      </c>
      <c r="B38" s="20">
        <f t="shared" si="0"/>
        <v>44</v>
      </c>
      <c r="C38" s="20">
        <f t="shared" si="1"/>
        <v>86</v>
      </c>
      <c r="D38" s="27">
        <v>6930</v>
      </c>
      <c r="E38" s="20">
        <f t="shared" si="5"/>
        <v>57</v>
      </c>
      <c r="F38" s="10">
        <f t="shared" si="2"/>
        <v>1</v>
      </c>
      <c r="G38" s="29">
        <f t="shared" si="3"/>
        <v>0</v>
      </c>
      <c r="H38" s="29">
        <f t="shared" si="4"/>
        <v>0</v>
      </c>
      <c r="I38" s="12"/>
    </row>
    <row r="39" spans="1:9" x14ac:dyDescent="0.15">
      <c r="A39" s="23">
        <v>38</v>
      </c>
      <c r="B39" s="20">
        <f t="shared" si="0"/>
        <v>44</v>
      </c>
      <c r="C39" s="20">
        <f t="shared" si="1"/>
        <v>87</v>
      </c>
      <c r="D39" s="27">
        <v>7260</v>
      </c>
      <c r="E39" s="20">
        <f t="shared" si="5"/>
        <v>57</v>
      </c>
      <c r="F39" s="10">
        <f t="shared" si="2"/>
        <v>0</v>
      </c>
      <c r="G39" s="29">
        <f t="shared" si="3"/>
        <v>1</v>
      </c>
      <c r="H39" s="29">
        <f t="shared" si="4"/>
        <v>0</v>
      </c>
      <c r="I39" s="12"/>
    </row>
    <row r="40" spans="1:9" x14ac:dyDescent="0.15">
      <c r="A40" s="23">
        <v>39</v>
      </c>
      <c r="B40" s="20">
        <f t="shared" si="0"/>
        <v>45</v>
      </c>
      <c r="C40" s="20">
        <f t="shared" si="1"/>
        <v>87</v>
      </c>
      <c r="D40" s="27">
        <v>7596</v>
      </c>
      <c r="E40" s="20">
        <f t="shared" si="5"/>
        <v>57</v>
      </c>
      <c r="F40" s="10">
        <f t="shared" si="2"/>
        <v>1</v>
      </c>
      <c r="G40" s="29">
        <f t="shared" si="3"/>
        <v>0</v>
      </c>
      <c r="H40" s="29">
        <f t="shared" si="4"/>
        <v>0</v>
      </c>
      <c r="I40" s="12"/>
    </row>
    <row r="41" spans="1:9" x14ac:dyDescent="0.15">
      <c r="A41" s="23">
        <v>40</v>
      </c>
      <c r="B41" s="20">
        <f t="shared" si="0"/>
        <v>45</v>
      </c>
      <c r="C41" s="20">
        <f t="shared" si="1"/>
        <v>90</v>
      </c>
      <c r="D41" s="27">
        <v>7938</v>
      </c>
      <c r="E41" s="20">
        <f t="shared" si="5"/>
        <v>58</v>
      </c>
      <c r="F41" s="10">
        <f t="shared" si="2"/>
        <v>0</v>
      </c>
      <c r="G41" s="29">
        <f t="shared" si="3"/>
        <v>3</v>
      </c>
      <c r="H41" s="29">
        <f t="shared" si="4"/>
        <v>1</v>
      </c>
      <c r="I41" s="12"/>
    </row>
    <row r="42" spans="1:9" x14ac:dyDescent="0.15">
      <c r="A42" s="23">
        <v>41</v>
      </c>
      <c r="B42" s="20">
        <f t="shared" si="0"/>
        <v>46</v>
      </c>
      <c r="C42" s="20">
        <f t="shared" si="1"/>
        <v>90</v>
      </c>
      <c r="D42" s="27">
        <v>8287</v>
      </c>
      <c r="E42" s="20">
        <f t="shared" si="5"/>
        <v>58</v>
      </c>
      <c r="F42" s="10">
        <f t="shared" si="2"/>
        <v>1</v>
      </c>
      <c r="G42" s="29">
        <f t="shared" si="3"/>
        <v>0</v>
      </c>
      <c r="H42" s="29">
        <f t="shared" si="4"/>
        <v>0</v>
      </c>
      <c r="I42" s="12"/>
    </row>
    <row r="43" spans="1:9" x14ac:dyDescent="0.15">
      <c r="A43" s="23">
        <v>42</v>
      </c>
      <c r="B43" s="20">
        <f t="shared" si="0"/>
        <v>46</v>
      </c>
      <c r="C43" s="20">
        <f t="shared" si="1"/>
        <v>91</v>
      </c>
      <c r="D43" s="27">
        <v>8640</v>
      </c>
      <c r="E43" s="20">
        <f t="shared" si="5"/>
        <v>58</v>
      </c>
      <c r="F43" s="10">
        <f t="shared" si="2"/>
        <v>0</v>
      </c>
      <c r="G43" s="29">
        <f t="shared" si="3"/>
        <v>1</v>
      </c>
      <c r="H43" s="29">
        <f t="shared" si="4"/>
        <v>0</v>
      </c>
      <c r="I43" s="12"/>
    </row>
    <row r="44" spans="1:9" x14ac:dyDescent="0.15">
      <c r="A44" s="23">
        <v>43</v>
      </c>
      <c r="B44" s="20">
        <f t="shared" si="0"/>
        <v>47</v>
      </c>
      <c r="C44" s="20">
        <f t="shared" si="1"/>
        <v>91</v>
      </c>
      <c r="D44" s="27">
        <v>9000</v>
      </c>
      <c r="E44" s="20">
        <f t="shared" si="5"/>
        <v>58</v>
      </c>
      <c r="F44" s="10">
        <f t="shared" si="2"/>
        <v>1</v>
      </c>
      <c r="G44" s="29">
        <f t="shared" si="3"/>
        <v>0</v>
      </c>
      <c r="H44" s="29">
        <f t="shared" si="4"/>
        <v>0</v>
      </c>
      <c r="I44" s="12"/>
    </row>
    <row r="45" spans="1:9" x14ac:dyDescent="0.15">
      <c r="A45" s="23">
        <v>44</v>
      </c>
      <c r="B45" s="20">
        <f t="shared" si="0"/>
        <v>47</v>
      </c>
      <c r="C45" s="20">
        <f t="shared" si="1"/>
        <v>92</v>
      </c>
      <c r="D45" s="27">
        <v>9365</v>
      </c>
      <c r="E45" s="20">
        <f t="shared" si="5"/>
        <v>58</v>
      </c>
      <c r="F45" s="10">
        <f t="shared" si="2"/>
        <v>0</v>
      </c>
      <c r="G45" s="29">
        <f t="shared" si="3"/>
        <v>1</v>
      </c>
      <c r="H45" s="29">
        <f t="shared" si="4"/>
        <v>0</v>
      </c>
      <c r="I45" s="12"/>
    </row>
    <row r="46" spans="1:9" x14ac:dyDescent="0.15">
      <c r="A46" s="23">
        <v>45</v>
      </c>
      <c r="B46" s="20">
        <f t="shared" si="0"/>
        <v>52</v>
      </c>
      <c r="C46" s="20">
        <f t="shared" si="1"/>
        <v>95</v>
      </c>
      <c r="D46" s="27">
        <v>9736</v>
      </c>
      <c r="E46" s="20">
        <f t="shared" si="5"/>
        <v>59</v>
      </c>
      <c r="F46" s="11">
        <f t="shared" si="2"/>
        <v>5</v>
      </c>
      <c r="G46" s="29">
        <f t="shared" si="3"/>
        <v>3</v>
      </c>
      <c r="H46" s="29">
        <f t="shared" si="4"/>
        <v>1</v>
      </c>
      <c r="I46" s="12"/>
    </row>
    <row r="47" spans="1:9" x14ac:dyDescent="0.15">
      <c r="A47" s="23">
        <v>46</v>
      </c>
      <c r="B47" s="20">
        <f t="shared" si="0"/>
        <v>52</v>
      </c>
      <c r="C47" s="20">
        <f t="shared" si="1"/>
        <v>96</v>
      </c>
      <c r="D47" s="27">
        <v>10112</v>
      </c>
      <c r="E47" s="20">
        <f t="shared" si="5"/>
        <v>59</v>
      </c>
      <c r="F47" s="10">
        <f t="shared" si="2"/>
        <v>0</v>
      </c>
      <c r="G47" s="29">
        <f t="shared" si="3"/>
        <v>1</v>
      </c>
      <c r="H47" s="29">
        <f t="shared" si="4"/>
        <v>0</v>
      </c>
      <c r="I47" s="12"/>
    </row>
    <row r="48" spans="1:9" x14ac:dyDescent="0.15">
      <c r="A48" s="23">
        <v>47</v>
      </c>
      <c r="B48" s="20">
        <f t="shared" si="0"/>
        <v>53</v>
      </c>
      <c r="C48" s="20">
        <f t="shared" si="1"/>
        <v>96</v>
      </c>
      <c r="D48" s="27">
        <v>10494</v>
      </c>
      <c r="E48" s="20">
        <f t="shared" si="5"/>
        <v>59</v>
      </c>
      <c r="F48" s="10">
        <f t="shared" si="2"/>
        <v>1</v>
      </c>
      <c r="G48" s="29">
        <f t="shared" si="3"/>
        <v>0</v>
      </c>
      <c r="H48" s="29">
        <f t="shared" si="4"/>
        <v>0</v>
      </c>
      <c r="I48" s="12"/>
    </row>
    <row r="49" spans="1:9" x14ac:dyDescent="0.15">
      <c r="A49" s="23">
        <v>48</v>
      </c>
      <c r="B49" s="20">
        <f t="shared" si="0"/>
        <v>53</v>
      </c>
      <c r="C49" s="20">
        <f t="shared" si="1"/>
        <v>97</v>
      </c>
      <c r="D49" s="27">
        <v>10881</v>
      </c>
      <c r="E49" s="20">
        <f t="shared" si="5"/>
        <v>59</v>
      </c>
      <c r="F49" s="10">
        <f t="shared" si="2"/>
        <v>0</v>
      </c>
      <c r="G49" s="29">
        <f t="shared" si="3"/>
        <v>1</v>
      </c>
      <c r="H49" s="29">
        <f t="shared" si="4"/>
        <v>0</v>
      </c>
      <c r="I49" s="12"/>
    </row>
    <row r="50" spans="1:9" x14ac:dyDescent="0.15">
      <c r="A50" s="23">
        <v>49</v>
      </c>
      <c r="B50" s="20">
        <f t="shared" si="0"/>
        <v>54</v>
      </c>
      <c r="C50" s="20">
        <f t="shared" si="1"/>
        <v>97</v>
      </c>
      <c r="D50" s="27">
        <v>11273</v>
      </c>
      <c r="E50" s="20">
        <f t="shared" si="5"/>
        <v>59</v>
      </c>
      <c r="F50" s="10">
        <f t="shared" si="2"/>
        <v>1</v>
      </c>
      <c r="G50" s="29">
        <f t="shared" si="3"/>
        <v>0</v>
      </c>
      <c r="H50" s="29">
        <f t="shared" si="4"/>
        <v>0</v>
      </c>
      <c r="I50" s="12"/>
    </row>
    <row r="51" spans="1:9" x14ac:dyDescent="0.15">
      <c r="A51" s="23">
        <v>50</v>
      </c>
      <c r="B51" s="20">
        <f t="shared" si="0"/>
        <v>54</v>
      </c>
      <c r="C51" s="20">
        <f t="shared" si="1"/>
        <v>100</v>
      </c>
      <c r="D51" s="27">
        <v>11670</v>
      </c>
      <c r="E51" s="20">
        <f t="shared" si="5"/>
        <v>60</v>
      </c>
      <c r="F51" s="10">
        <f t="shared" si="2"/>
        <v>0</v>
      </c>
      <c r="G51" s="29">
        <f t="shared" si="3"/>
        <v>3</v>
      </c>
      <c r="H51" s="29">
        <f t="shared" si="4"/>
        <v>1</v>
      </c>
      <c r="I51" s="12"/>
    </row>
    <row r="52" spans="1:9" x14ac:dyDescent="0.15">
      <c r="A52" s="23">
        <v>51</v>
      </c>
      <c r="B52" s="20">
        <f t="shared" si="0"/>
        <v>55</v>
      </c>
      <c r="C52" s="20">
        <f t="shared" si="1"/>
        <v>100</v>
      </c>
      <c r="D52" s="27">
        <v>12072</v>
      </c>
      <c r="E52" s="20">
        <f t="shared" si="5"/>
        <v>60</v>
      </c>
      <c r="F52" s="10">
        <f t="shared" si="2"/>
        <v>1</v>
      </c>
      <c r="G52" s="29">
        <f t="shared" si="3"/>
        <v>0</v>
      </c>
      <c r="H52" s="29">
        <f t="shared" si="4"/>
        <v>0</v>
      </c>
      <c r="I52" s="12"/>
    </row>
    <row r="53" spans="1:9" x14ac:dyDescent="0.15">
      <c r="A53" s="23">
        <v>52</v>
      </c>
      <c r="B53" s="20">
        <f t="shared" si="0"/>
        <v>55</v>
      </c>
      <c r="C53" s="20">
        <f t="shared" si="1"/>
        <v>101</v>
      </c>
      <c r="D53" s="27">
        <v>12479</v>
      </c>
      <c r="E53" s="20">
        <f t="shared" si="5"/>
        <v>60</v>
      </c>
      <c r="F53" s="10">
        <f t="shared" si="2"/>
        <v>0</v>
      </c>
      <c r="G53" s="29">
        <f t="shared" si="3"/>
        <v>1</v>
      </c>
      <c r="H53" s="29">
        <f t="shared" si="4"/>
        <v>0</v>
      </c>
      <c r="I53" s="12"/>
    </row>
    <row r="54" spans="1:9" x14ac:dyDescent="0.15">
      <c r="A54" s="23">
        <v>53</v>
      </c>
      <c r="B54" s="20">
        <f t="shared" si="0"/>
        <v>56</v>
      </c>
      <c r="C54" s="20">
        <f t="shared" si="1"/>
        <v>101</v>
      </c>
      <c r="D54" s="27">
        <v>12891</v>
      </c>
      <c r="E54" s="20">
        <f t="shared" si="5"/>
        <v>60</v>
      </c>
      <c r="F54" s="10">
        <f t="shared" si="2"/>
        <v>1</v>
      </c>
      <c r="G54" s="29">
        <f t="shared" si="3"/>
        <v>0</v>
      </c>
      <c r="H54" s="29">
        <f t="shared" si="4"/>
        <v>0</v>
      </c>
      <c r="I54" s="12"/>
    </row>
    <row r="55" spans="1:9" x14ac:dyDescent="0.15">
      <c r="A55" s="23">
        <v>54</v>
      </c>
      <c r="B55" s="20">
        <f t="shared" si="0"/>
        <v>56</v>
      </c>
      <c r="C55" s="20">
        <f t="shared" si="1"/>
        <v>102</v>
      </c>
      <c r="D55" s="27">
        <v>13308</v>
      </c>
      <c r="E55" s="20">
        <f t="shared" si="5"/>
        <v>60</v>
      </c>
      <c r="F55" s="10">
        <f t="shared" si="2"/>
        <v>0</v>
      </c>
      <c r="G55" s="29">
        <f t="shared" si="3"/>
        <v>1</v>
      </c>
      <c r="H55" s="29">
        <f t="shared" si="4"/>
        <v>0</v>
      </c>
      <c r="I55" s="12"/>
    </row>
    <row r="56" spans="1:9" x14ac:dyDescent="0.15">
      <c r="A56" s="23">
        <v>55</v>
      </c>
      <c r="B56" s="20">
        <f t="shared" si="0"/>
        <v>61</v>
      </c>
      <c r="C56" s="20">
        <f t="shared" si="1"/>
        <v>105</v>
      </c>
      <c r="D56" s="27">
        <v>13730</v>
      </c>
      <c r="E56" s="20">
        <f t="shared" si="5"/>
        <v>60</v>
      </c>
      <c r="F56" s="11">
        <f t="shared" si="2"/>
        <v>5</v>
      </c>
      <c r="G56" s="29">
        <f t="shared" si="3"/>
        <v>3</v>
      </c>
      <c r="H56" s="29">
        <f t="shared" si="4"/>
        <v>0</v>
      </c>
      <c r="I56" s="12"/>
    </row>
    <row r="57" spans="1:9" x14ac:dyDescent="0.15">
      <c r="A57" s="23">
        <v>56</v>
      </c>
      <c r="B57" s="20">
        <f t="shared" si="0"/>
        <v>61</v>
      </c>
      <c r="C57" s="20">
        <f t="shared" si="1"/>
        <v>106</v>
      </c>
      <c r="D57" s="27">
        <v>14156</v>
      </c>
      <c r="E57" s="20">
        <f t="shared" si="5"/>
        <v>60</v>
      </c>
      <c r="F57" s="10">
        <f t="shared" si="2"/>
        <v>0</v>
      </c>
      <c r="G57" s="29">
        <f t="shared" si="3"/>
        <v>1</v>
      </c>
      <c r="H57" s="29">
        <f t="shared" si="4"/>
        <v>0</v>
      </c>
      <c r="I57" s="12"/>
    </row>
    <row r="58" spans="1:9" x14ac:dyDescent="0.15">
      <c r="A58" s="23">
        <v>57</v>
      </c>
      <c r="B58" s="20">
        <f t="shared" si="0"/>
        <v>62</v>
      </c>
      <c r="C58" s="20">
        <f t="shared" si="1"/>
        <v>106</v>
      </c>
      <c r="D58" s="27">
        <v>14587</v>
      </c>
      <c r="E58" s="20">
        <f t="shared" si="5"/>
        <v>60</v>
      </c>
      <c r="F58" s="10">
        <f t="shared" si="2"/>
        <v>1</v>
      </c>
      <c r="G58" s="29">
        <f t="shared" si="3"/>
        <v>0</v>
      </c>
      <c r="H58" s="29">
        <f t="shared" si="4"/>
        <v>0</v>
      </c>
      <c r="I58" s="12"/>
    </row>
    <row r="59" spans="1:9" x14ac:dyDescent="0.15">
      <c r="A59" s="23">
        <v>58</v>
      </c>
      <c r="B59" s="20">
        <f t="shared" si="0"/>
        <v>62</v>
      </c>
      <c r="C59" s="20">
        <f t="shared" si="1"/>
        <v>107</v>
      </c>
      <c r="D59" s="27">
        <v>15023</v>
      </c>
      <c r="E59" s="20">
        <f t="shared" si="5"/>
        <v>60</v>
      </c>
      <c r="F59" s="10">
        <f t="shared" si="2"/>
        <v>0</v>
      </c>
      <c r="G59" s="29">
        <f t="shared" si="3"/>
        <v>1</v>
      </c>
      <c r="H59" s="29">
        <f t="shared" si="4"/>
        <v>0</v>
      </c>
      <c r="I59" s="12"/>
    </row>
    <row r="60" spans="1:9" x14ac:dyDescent="0.15">
      <c r="A60" s="23">
        <v>59</v>
      </c>
      <c r="B60" s="20">
        <f t="shared" si="0"/>
        <v>63</v>
      </c>
      <c r="C60" s="20">
        <f t="shared" si="1"/>
        <v>107</v>
      </c>
      <c r="D60" s="27">
        <v>15463</v>
      </c>
      <c r="E60" s="20">
        <f t="shared" si="5"/>
        <v>60</v>
      </c>
      <c r="F60" s="10">
        <f t="shared" si="2"/>
        <v>1</v>
      </c>
      <c r="G60" s="29">
        <f t="shared" si="3"/>
        <v>0</v>
      </c>
      <c r="H60" s="29">
        <f t="shared" si="4"/>
        <v>0</v>
      </c>
      <c r="I60" s="12"/>
    </row>
    <row r="61" spans="1:9" x14ac:dyDescent="0.15">
      <c r="A61" s="23">
        <v>60</v>
      </c>
      <c r="B61" s="20">
        <f t="shared" si="0"/>
        <v>63</v>
      </c>
      <c r="C61" s="20">
        <f t="shared" si="1"/>
        <v>110</v>
      </c>
      <c r="D61" s="27">
        <v>15907</v>
      </c>
      <c r="E61" s="20">
        <f t="shared" si="5"/>
        <v>60</v>
      </c>
      <c r="F61" s="10">
        <f t="shared" si="2"/>
        <v>0</v>
      </c>
      <c r="G61" s="29">
        <f t="shared" si="3"/>
        <v>3</v>
      </c>
      <c r="H61" s="29">
        <f t="shared" si="4"/>
        <v>0</v>
      </c>
      <c r="I61" s="12"/>
    </row>
    <row r="62" spans="1:9" x14ac:dyDescent="0.15">
      <c r="A62" s="23">
        <v>61</v>
      </c>
      <c r="B62" s="20">
        <f t="shared" si="0"/>
        <v>64</v>
      </c>
      <c r="C62" s="20">
        <f t="shared" si="1"/>
        <v>110</v>
      </c>
      <c r="D62" s="27">
        <v>16356</v>
      </c>
      <c r="E62" s="20">
        <f t="shared" si="5"/>
        <v>60</v>
      </c>
      <c r="F62" s="10">
        <f t="shared" si="2"/>
        <v>1</v>
      </c>
      <c r="G62" s="29">
        <f t="shared" si="3"/>
        <v>0</v>
      </c>
      <c r="H62" s="29">
        <f t="shared" si="4"/>
        <v>0</v>
      </c>
      <c r="I62" s="12"/>
    </row>
    <row r="63" spans="1:9" x14ac:dyDescent="0.15">
      <c r="A63" s="23">
        <v>62</v>
      </c>
      <c r="B63" s="20">
        <f t="shared" si="0"/>
        <v>64</v>
      </c>
      <c r="C63" s="20">
        <f t="shared" si="1"/>
        <v>111</v>
      </c>
      <c r="D63" s="27">
        <v>16809</v>
      </c>
      <c r="E63" s="20">
        <f t="shared" si="5"/>
        <v>60</v>
      </c>
      <c r="F63" s="10">
        <f t="shared" si="2"/>
        <v>0</v>
      </c>
      <c r="G63" s="29">
        <f t="shared" si="3"/>
        <v>1</v>
      </c>
      <c r="H63" s="29">
        <f t="shared" si="4"/>
        <v>0</v>
      </c>
      <c r="I63" s="12"/>
    </row>
    <row r="64" spans="1:9" x14ac:dyDescent="0.15">
      <c r="A64" s="23">
        <v>63</v>
      </c>
      <c r="B64" s="20">
        <f t="shared" si="0"/>
        <v>65</v>
      </c>
      <c r="C64" s="20">
        <f t="shared" si="1"/>
        <v>111</v>
      </c>
      <c r="D64" s="27">
        <v>17266</v>
      </c>
      <c r="E64" s="20">
        <f t="shared" si="5"/>
        <v>60</v>
      </c>
      <c r="F64" s="10">
        <f t="shared" si="2"/>
        <v>1</v>
      </c>
      <c r="G64" s="29">
        <f t="shared" si="3"/>
        <v>0</v>
      </c>
      <c r="H64" s="29">
        <f t="shared" si="4"/>
        <v>0</v>
      </c>
      <c r="I64" s="12"/>
    </row>
    <row r="65" spans="1:9" x14ac:dyDescent="0.15">
      <c r="A65" s="23">
        <v>64</v>
      </c>
      <c r="B65" s="20">
        <f t="shared" si="0"/>
        <v>65</v>
      </c>
      <c r="C65" s="20">
        <f t="shared" si="1"/>
        <v>112</v>
      </c>
      <c r="D65" s="27">
        <v>17728</v>
      </c>
      <c r="E65" s="20">
        <f t="shared" si="5"/>
        <v>60</v>
      </c>
      <c r="F65" s="10">
        <f t="shared" si="2"/>
        <v>0</v>
      </c>
      <c r="G65" s="29">
        <f t="shared" si="3"/>
        <v>1</v>
      </c>
      <c r="H65" s="29">
        <f t="shared" si="4"/>
        <v>0</v>
      </c>
      <c r="I65" s="12"/>
    </row>
    <row r="66" spans="1:9" x14ac:dyDescent="0.15">
      <c r="A66" s="23">
        <v>65</v>
      </c>
      <c r="B66" s="20">
        <f t="shared" si="0"/>
        <v>67</v>
      </c>
      <c r="C66" s="20">
        <f t="shared" si="1"/>
        <v>115</v>
      </c>
      <c r="D66" s="27">
        <v>18194</v>
      </c>
      <c r="E66" s="20">
        <f t="shared" si="5"/>
        <v>60</v>
      </c>
      <c r="F66" s="10">
        <f t="shared" si="2"/>
        <v>2</v>
      </c>
      <c r="G66" s="29">
        <f t="shared" si="3"/>
        <v>3</v>
      </c>
      <c r="H66" s="29">
        <f t="shared" si="4"/>
        <v>0</v>
      </c>
      <c r="I66" s="12"/>
    </row>
    <row r="67" spans="1:9" x14ac:dyDescent="0.15">
      <c r="A67" s="23">
        <v>66</v>
      </c>
      <c r="B67" s="20">
        <f t="shared" ref="B67:B130" si="6">B66+F67</f>
        <v>67</v>
      </c>
      <c r="C67" s="20">
        <f t="shared" ref="C67:C130" si="7">C66+G67</f>
        <v>116</v>
      </c>
      <c r="D67" s="27">
        <v>18663</v>
      </c>
      <c r="E67" s="20">
        <f t="shared" si="5"/>
        <v>60</v>
      </c>
      <c r="F67" s="10">
        <f t="shared" ref="F67:F130" si="8">IF(A67&gt;=106, IF(MOD(A67,2)=0,0,1), IF(A67 &gt;= 65, IF(MOD(A67, 2) =0,0, IF(MOD(A67,5)= 0, 2, 1)), IF(MOD(A67, 2) =0,0, IF(MOD(A67,5)= 0, 5, 1))))</f>
        <v>0</v>
      </c>
      <c r="G67" s="29">
        <f t="shared" ref="G67:G130" si="9">IF($A67&gt;=100,IF(MOD($A67,4)=0,1,0),IF(MOD($A67,5)=0,3,IF(MOD($A67,2)=0,1,0)))</f>
        <v>1</v>
      </c>
      <c r="H67" s="29">
        <f t="shared" ref="H67:H130" si="10">IF($A67&gt;=51,0,IF($A67&gt;=30,IF(MOD($A67,5)=0,1,0),IF($A67&gt;=11,IF(MOD($A67,5)=0,3,IF(MOD($A67,2)=0,1,0)),IF(MOD($A67,5)=0,5,IF(MOD($A67,2)=0,2,0)))))</f>
        <v>0</v>
      </c>
      <c r="I67" s="12"/>
    </row>
    <row r="68" spans="1:9" x14ac:dyDescent="0.15">
      <c r="A68" s="23">
        <v>67</v>
      </c>
      <c r="B68" s="20">
        <f t="shared" si="6"/>
        <v>68</v>
      </c>
      <c r="C68" s="20">
        <f t="shared" si="7"/>
        <v>116</v>
      </c>
      <c r="D68" s="27">
        <v>19137</v>
      </c>
      <c r="E68" s="20">
        <f t="shared" ref="E68:E131" si="11">E67+H68</f>
        <v>60</v>
      </c>
      <c r="F68" s="10">
        <f t="shared" si="8"/>
        <v>1</v>
      </c>
      <c r="G68" s="29">
        <f t="shared" si="9"/>
        <v>0</v>
      </c>
      <c r="H68" s="29">
        <f t="shared" si="10"/>
        <v>0</v>
      </c>
      <c r="I68" s="12"/>
    </row>
    <row r="69" spans="1:9" x14ac:dyDescent="0.15">
      <c r="A69" s="23">
        <v>68</v>
      </c>
      <c r="B69" s="20">
        <f t="shared" si="6"/>
        <v>68</v>
      </c>
      <c r="C69" s="20">
        <f t="shared" si="7"/>
        <v>117</v>
      </c>
      <c r="D69" s="27">
        <v>19615</v>
      </c>
      <c r="E69" s="20">
        <f t="shared" si="11"/>
        <v>60</v>
      </c>
      <c r="F69" s="10">
        <f t="shared" si="8"/>
        <v>0</v>
      </c>
      <c r="G69" s="29">
        <f t="shared" si="9"/>
        <v>1</v>
      </c>
      <c r="H69" s="29">
        <f t="shared" si="10"/>
        <v>0</v>
      </c>
      <c r="I69" s="12"/>
    </row>
    <row r="70" spans="1:9" x14ac:dyDescent="0.15">
      <c r="A70" s="23">
        <v>69</v>
      </c>
      <c r="B70" s="20">
        <f t="shared" si="6"/>
        <v>69</v>
      </c>
      <c r="C70" s="20">
        <f t="shared" si="7"/>
        <v>117</v>
      </c>
      <c r="D70" s="27">
        <v>20096</v>
      </c>
      <c r="E70" s="20">
        <f t="shared" si="11"/>
        <v>60</v>
      </c>
      <c r="F70" s="10">
        <f t="shared" si="8"/>
        <v>1</v>
      </c>
      <c r="G70" s="29">
        <f t="shared" si="9"/>
        <v>0</v>
      </c>
      <c r="H70" s="29">
        <f t="shared" si="10"/>
        <v>0</v>
      </c>
      <c r="I70" s="12"/>
    </row>
    <row r="71" spans="1:9" x14ac:dyDescent="0.15">
      <c r="A71" s="23">
        <v>70</v>
      </c>
      <c r="B71" s="20">
        <f t="shared" si="6"/>
        <v>69</v>
      </c>
      <c r="C71" s="20">
        <f t="shared" si="7"/>
        <v>120</v>
      </c>
      <c r="D71" s="27">
        <v>20582</v>
      </c>
      <c r="E71" s="20">
        <f t="shared" si="11"/>
        <v>60</v>
      </c>
      <c r="F71" s="10">
        <f t="shared" si="8"/>
        <v>0</v>
      </c>
      <c r="G71" s="29">
        <f t="shared" si="9"/>
        <v>3</v>
      </c>
      <c r="H71" s="29">
        <f t="shared" si="10"/>
        <v>0</v>
      </c>
      <c r="I71" s="12"/>
    </row>
    <row r="72" spans="1:9" x14ac:dyDescent="0.15">
      <c r="A72" s="23">
        <v>71</v>
      </c>
      <c r="B72" s="20">
        <f t="shared" si="6"/>
        <v>70</v>
      </c>
      <c r="C72" s="20">
        <f t="shared" si="7"/>
        <v>120</v>
      </c>
      <c r="D72" s="27">
        <v>21071</v>
      </c>
      <c r="E72" s="20">
        <f t="shared" si="11"/>
        <v>60</v>
      </c>
      <c r="F72" s="10">
        <f t="shared" si="8"/>
        <v>1</v>
      </c>
      <c r="G72" s="29">
        <f t="shared" si="9"/>
        <v>0</v>
      </c>
      <c r="H72" s="29">
        <f t="shared" si="10"/>
        <v>0</v>
      </c>
      <c r="I72" s="12"/>
    </row>
    <row r="73" spans="1:9" x14ac:dyDescent="0.15">
      <c r="A73" s="23">
        <v>72</v>
      </c>
      <c r="B73" s="20">
        <f t="shared" si="6"/>
        <v>70</v>
      </c>
      <c r="C73" s="20">
        <f t="shared" si="7"/>
        <v>121</v>
      </c>
      <c r="D73" s="27">
        <v>21564</v>
      </c>
      <c r="E73" s="20">
        <f t="shared" si="11"/>
        <v>60</v>
      </c>
      <c r="F73" s="10">
        <f t="shared" si="8"/>
        <v>0</v>
      </c>
      <c r="G73" s="29">
        <f t="shared" si="9"/>
        <v>1</v>
      </c>
      <c r="H73" s="29">
        <f t="shared" si="10"/>
        <v>0</v>
      </c>
      <c r="I73" s="12"/>
    </row>
    <row r="74" spans="1:9" x14ac:dyDescent="0.15">
      <c r="A74" s="23">
        <v>73</v>
      </c>
      <c r="B74" s="20">
        <f t="shared" si="6"/>
        <v>71</v>
      </c>
      <c r="C74" s="20">
        <f t="shared" si="7"/>
        <v>121</v>
      </c>
      <c r="D74" s="27">
        <v>22061</v>
      </c>
      <c r="E74" s="20">
        <f t="shared" si="11"/>
        <v>60</v>
      </c>
      <c r="F74" s="10">
        <f t="shared" si="8"/>
        <v>1</v>
      </c>
      <c r="G74" s="29">
        <f t="shared" si="9"/>
        <v>0</v>
      </c>
      <c r="H74" s="29">
        <f t="shared" si="10"/>
        <v>0</v>
      </c>
      <c r="I74" s="12"/>
    </row>
    <row r="75" spans="1:9" x14ac:dyDescent="0.15">
      <c r="A75" s="23">
        <v>74</v>
      </c>
      <c r="B75" s="20">
        <f t="shared" si="6"/>
        <v>71</v>
      </c>
      <c r="C75" s="20">
        <f t="shared" si="7"/>
        <v>122</v>
      </c>
      <c r="D75" s="27">
        <v>22562</v>
      </c>
      <c r="E75" s="20">
        <f t="shared" si="11"/>
        <v>60</v>
      </c>
      <c r="F75" s="10">
        <f t="shared" si="8"/>
        <v>0</v>
      </c>
      <c r="G75" s="29">
        <f t="shared" si="9"/>
        <v>1</v>
      </c>
      <c r="H75" s="29">
        <f t="shared" si="10"/>
        <v>0</v>
      </c>
      <c r="I75" s="12"/>
    </row>
    <row r="76" spans="1:9" x14ac:dyDescent="0.15">
      <c r="A76" s="23">
        <v>75</v>
      </c>
      <c r="B76" s="20">
        <f t="shared" si="6"/>
        <v>73</v>
      </c>
      <c r="C76" s="20">
        <f t="shared" si="7"/>
        <v>125</v>
      </c>
      <c r="D76" s="27">
        <v>23066</v>
      </c>
      <c r="E76" s="20">
        <f t="shared" si="11"/>
        <v>60</v>
      </c>
      <c r="F76" s="10">
        <f t="shared" si="8"/>
        <v>2</v>
      </c>
      <c r="G76" s="29">
        <f t="shared" si="9"/>
        <v>3</v>
      </c>
      <c r="H76" s="29">
        <f t="shared" si="10"/>
        <v>0</v>
      </c>
      <c r="I76" s="12"/>
    </row>
    <row r="77" spans="1:9" x14ac:dyDescent="0.15">
      <c r="A77" s="23">
        <v>76</v>
      </c>
      <c r="B77" s="20">
        <f t="shared" si="6"/>
        <v>73</v>
      </c>
      <c r="C77" s="20">
        <f t="shared" si="7"/>
        <v>126</v>
      </c>
      <c r="D77" s="27">
        <v>23573</v>
      </c>
      <c r="E77" s="20">
        <f t="shared" si="11"/>
        <v>60</v>
      </c>
      <c r="F77" s="10">
        <f t="shared" si="8"/>
        <v>0</v>
      </c>
      <c r="G77" s="29">
        <f t="shared" si="9"/>
        <v>1</v>
      </c>
      <c r="H77" s="29">
        <f t="shared" si="10"/>
        <v>0</v>
      </c>
      <c r="I77" s="12"/>
    </row>
    <row r="78" spans="1:9" x14ac:dyDescent="0.15">
      <c r="A78" s="23">
        <v>77</v>
      </c>
      <c r="B78" s="20">
        <f t="shared" si="6"/>
        <v>74</v>
      </c>
      <c r="C78" s="20">
        <f t="shared" si="7"/>
        <v>126</v>
      </c>
      <c r="D78" s="27">
        <v>24084</v>
      </c>
      <c r="E78" s="20">
        <f t="shared" si="11"/>
        <v>60</v>
      </c>
      <c r="F78" s="10">
        <f t="shared" si="8"/>
        <v>1</v>
      </c>
      <c r="G78" s="29">
        <f t="shared" si="9"/>
        <v>0</v>
      </c>
      <c r="H78" s="29">
        <f t="shared" si="10"/>
        <v>0</v>
      </c>
      <c r="I78" s="12"/>
    </row>
    <row r="79" spans="1:9" x14ac:dyDescent="0.15">
      <c r="A79" s="23">
        <v>78</v>
      </c>
      <c r="B79" s="20">
        <f t="shared" si="6"/>
        <v>74</v>
      </c>
      <c r="C79" s="20">
        <f t="shared" si="7"/>
        <v>127</v>
      </c>
      <c r="D79" s="27">
        <v>24599</v>
      </c>
      <c r="E79" s="20">
        <f t="shared" si="11"/>
        <v>60</v>
      </c>
      <c r="F79" s="10">
        <f t="shared" si="8"/>
        <v>0</v>
      </c>
      <c r="G79" s="29">
        <f t="shared" si="9"/>
        <v>1</v>
      </c>
      <c r="H79" s="29">
        <f t="shared" si="10"/>
        <v>0</v>
      </c>
      <c r="I79" s="12"/>
    </row>
    <row r="80" spans="1:9" x14ac:dyDescent="0.15">
      <c r="A80" s="23">
        <v>79</v>
      </c>
      <c r="B80" s="20">
        <f t="shared" si="6"/>
        <v>75</v>
      </c>
      <c r="C80" s="20">
        <f t="shared" si="7"/>
        <v>127</v>
      </c>
      <c r="D80" s="27">
        <v>25117</v>
      </c>
      <c r="E80" s="20">
        <f t="shared" si="11"/>
        <v>60</v>
      </c>
      <c r="F80" s="10">
        <f t="shared" si="8"/>
        <v>1</v>
      </c>
      <c r="G80" s="29">
        <f t="shared" si="9"/>
        <v>0</v>
      </c>
      <c r="H80" s="29">
        <f t="shared" si="10"/>
        <v>0</v>
      </c>
      <c r="I80" s="12"/>
    </row>
    <row r="81" spans="1:9" x14ac:dyDescent="0.15">
      <c r="A81" s="23">
        <v>80</v>
      </c>
      <c r="B81" s="20">
        <f t="shared" si="6"/>
        <v>75</v>
      </c>
      <c r="C81" s="20">
        <f t="shared" si="7"/>
        <v>130</v>
      </c>
      <c r="D81" s="27">
        <v>25638</v>
      </c>
      <c r="E81" s="20">
        <f t="shared" si="11"/>
        <v>60</v>
      </c>
      <c r="F81" s="10">
        <f t="shared" si="8"/>
        <v>0</v>
      </c>
      <c r="G81" s="29">
        <f t="shared" si="9"/>
        <v>3</v>
      </c>
      <c r="H81" s="29">
        <f t="shared" si="10"/>
        <v>0</v>
      </c>
      <c r="I81" s="12"/>
    </row>
    <row r="82" spans="1:9" x14ac:dyDescent="0.15">
      <c r="A82" s="23">
        <v>81</v>
      </c>
      <c r="B82" s="20">
        <f t="shared" si="6"/>
        <v>76</v>
      </c>
      <c r="C82" s="20">
        <f t="shared" si="7"/>
        <v>130</v>
      </c>
      <c r="D82" s="27">
        <v>26163</v>
      </c>
      <c r="E82" s="20">
        <f t="shared" si="11"/>
        <v>60</v>
      </c>
      <c r="F82" s="10">
        <f t="shared" si="8"/>
        <v>1</v>
      </c>
      <c r="G82" s="29">
        <f t="shared" si="9"/>
        <v>0</v>
      </c>
      <c r="H82" s="29">
        <f t="shared" si="10"/>
        <v>0</v>
      </c>
      <c r="I82" s="12"/>
    </row>
    <row r="83" spans="1:9" x14ac:dyDescent="0.15">
      <c r="A83" s="23">
        <v>82</v>
      </c>
      <c r="B83" s="20">
        <f t="shared" si="6"/>
        <v>76</v>
      </c>
      <c r="C83" s="20">
        <f t="shared" si="7"/>
        <v>131</v>
      </c>
      <c r="D83" s="27">
        <v>26691</v>
      </c>
      <c r="E83" s="20">
        <f t="shared" si="11"/>
        <v>60</v>
      </c>
      <c r="F83" s="10">
        <f t="shared" si="8"/>
        <v>0</v>
      </c>
      <c r="G83" s="29">
        <f t="shared" si="9"/>
        <v>1</v>
      </c>
      <c r="H83" s="29">
        <f t="shared" si="10"/>
        <v>0</v>
      </c>
      <c r="I83" s="12"/>
    </row>
    <row r="84" spans="1:9" x14ac:dyDescent="0.15">
      <c r="A84" s="23">
        <v>83</v>
      </c>
      <c r="B84" s="20">
        <f t="shared" si="6"/>
        <v>77</v>
      </c>
      <c r="C84" s="20">
        <f t="shared" si="7"/>
        <v>131</v>
      </c>
      <c r="D84" s="27">
        <v>27222</v>
      </c>
      <c r="E84" s="20">
        <f t="shared" si="11"/>
        <v>60</v>
      </c>
      <c r="F84" s="10">
        <f t="shared" si="8"/>
        <v>1</v>
      </c>
      <c r="G84" s="29">
        <f t="shared" si="9"/>
        <v>0</v>
      </c>
      <c r="H84" s="29">
        <f t="shared" si="10"/>
        <v>0</v>
      </c>
      <c r="I84" s="12"/>
    </row>
    <row r="85" spans="1:9" x14ac:dyDescent="0.15">
      <c r="A85" s="23">
        <v>84</v>
      </c>
      <c r="B85" s="20">
        <f t="shared" si="6"/>
        <v>77</v>
      </c>
      <c r="C85" s="20">
        <f t="shared" si="7"/>
        <v>132</v>
      </c>
      <c r="D85" s="27">
        <v>27757</v>
      </c>
      <c r="E85" s="20">
        <f t="shared" si="11"/>
        <v>60</v>
      </c>
      <c r="F85" s="10">
        <f t="shared" si="8"/>
        <v>0</v>
      </c>
      <c r="G85" s="29">
        <f t="shared" si="9"/>
        <v>1</v>
      </c>
      <c r="H85" s="29">
        <f t="shared" si="10"/>
        <v>0</v>
      </c>
      <c r="I85" s="12"/>
    </row>
    <row r="86" spans="1:9" x14ac:dyDescent="0.15">
      <c r="A86" s="23">
        <v>85</v>
      </c>
      <c r="B86" s="20">
        <f t="shared" si="6"/>
        <v>79</v>
      </c>
      <c r="C86" s="20">
        <f t="shared" si="7"/>
        <v>135</v>
      </c>
      <c r="D86" s="27">
        <v>28294</v>
      </c>
      <c r="E86" s="20">
        <f t="shared" si="11"/>
        <v>60</v>
      </c>
      <c r="F86" s="10">
        <f t="shared" si="8"/>
        <v>2</v>
      </c>
      <c r="G86" s="29">
        <f t="shared" si="9"/>
        <v>3</v>
      </c>
      <c r="H86" s="29">
        <f t="shared" si="10"/>
        <v>0</v>
      </c>
      <c r="I86" s="12"/>
    </row>
    <row r="87" spans="1:9" x14ac:dyDescent="0.15">
      <c r="A87" s="23">
        <v>86</v>
      </c>
      <c r="B87" s="20">
        <f t="shared" si="6"/>
        <v>79</v>
      </c>
      <c r="C87" s="20">
        <f t="shared" si="7"/>
        <v>136</v>
      </c>
      <c r="D87" s="27">
        <v>28835</v>
      </c>
      <c r="E87" s="20">
        <f t="shared" si="11"/>
        <v>60</v>
      </c>
      <c r="F87" s="10">
        <f t="shared" si="8"/>
        <v>0</v>
      </c>
      <c r="G87" s="29">
        <f t="shared" si="9"/>
        <v>1</v>
      </c>
      <c r="H87" s="29">
        <f t="shared" si="10"/>
        <v>0</v>
      </c>
      <c r="I87" s="12"/>
    </row>
    <row r="88" spans="1:9" x14ac:dyDescent="0.15">
      <c r="A88" s="23">
        <v>87</v>
      </c>
      <c r="B88" s="20">
        <f t="shared" si="6"/>
        <v>80</v>
      </c>
      <c r="C88" s="20">
        <f t="shared" si="7"/>
        <v>136</v>
      </c>
      <c r="D88" s="27">
        <v>29379</v>
      </c>
      <c r="E88" s="20">
        <f t="shared" si="11"/>
        <v>60</v>
      </c>
      <c r="F88" s="10">
        <f t="shared" si="8"/>
        <v>1</v>
      </c>
      <c r="G88" s="29">
        <f t="shared" si="9"/>
        <v>0</v>
      </c>
      <c r="H88" s="29">
        <f t="shared" si="10"/>
        <v>0</v>
      </c>
      <c r="I88" s="12"/>
    </row>
    <row r="89" spans="1:9" x14ac:dyDescent="0.15">
      <c r="A89" s="23">
        <v>88</v>
      </c>
      <c r="B89" s="20">
        <f t="shared" si="6"/>
        <v>80</v>
      </c>
      <c r="C89" s="20">
        <f t="shared" si="7"/>
        <v>137</v>
      </c>
      <c r="D89" s="27">
        <v>29926</v>
      </c>
      <c r="E89" s="20">
        <f t="shared" si="11"/>
        <v>60</v>
      </c>
      <c r="F89" s="10">
        <f t="shared" si="8"/>
        <v>0</v>
      </c>
      <c r="G89" s="29">
        <f t="shared" si="9"/>
        <v>1</v>
      </c>
      <c r="H89" s="29">
        <f t="shared" si="10"/>
        <v>0</v>
      </c>
      <c r="I89" s="12"/>
    </row>
    <row r="90" spans="1:9" x14ac:dyDescent="0.15">
      <c r="A90" s="23">
        <v>89</v>
      </c>
      <c r="B90" s="20">
        <f t="shared" si="6"/>
        <v>81</v>
      </c>
      <c r="C90" s="20">
        <f t="shared" si="7"/>
        <v>137</v>
      </c>
      <c r="D90" s="27">
        <v>30476</v>
      </c>
      <c r="E90" s="20">
        <f t="shared" si="11"/>
        <v>60</v>
      </c>
      <c r="F90" s="10">
        <f t="shared" si="8"/>
        <v>1</v>
      </c>
      <c r="G90" s="29">
        <f t="shared" si="9"/>
        <v>0</v>
      </c>
      <c r="H90" s="29">
        <f t="shared" si="10"/>
        <v>0</v>
      </c>
      <c r="I90" s="12"/>
    </row>
    <row r="91" spans="1:9" x14ac:dyDescent="0.15">
      <c r="A91" s="23">
        <v>90</v>
      </c>
      <c r="B91" s="20">
        <f t="shared" si="6"/>
        <v>81</v>
      </c>
      <c r="C91" s="20">
        <f t="shared" si="7"/>
        <v>140</v>
      </c>
      <c r="D91" s="27">
        <v>31029</v>
      </c>
      <c r="E91" s="20">
        <f t="shared" si="11"/>
        <v>60</v>
      </c>
      <c r="F91" s="10">
        <f t="shared" si="8"/>
        <v>0</v>
      </c>
      <c r="G91" s="29">
        <f t="shared" si="9"/>
        <v>3</v>
      </c>
      <c r="H91" s="29">
        <f t="shared" si="10"/>
        <v>0</v>
      </c>
      <c r="I91" s="12"/>
    </row>
    <row r="92" spans="1:9" x14ac:dyDescent="0.15">
      <c r="A92" s="23">
        <v>91</v>
      </c>
      <c r="B92" s="20">
        <f t="shared" si="6"/>
        <v>82</v>
      </c>
      <c r="C92" s="20">
        <f t="shared" si="7"/>
        <v>140</v>
      </c>
      <c r="D92" s="27">
        <v>31585</v>
      </c>
      <c r="E92" s="20">
        <f t="shared" si="11"/>
        <v>60</v>
      </c>
      <c r="F92" s="10">
        <f t="shared" si="8"/>
        <v>1</v>
      </c>
      <c r="G92" s="29">
        <f t="shared" si="9"/>
        <v>0</v>
      </c>
      <c r="H92" s="29">
        <f t="shared" si="10"/>
        <v>0</v>
      </c>
      <c r="I92" s="12"/>
    </row>
    <row r="93" spans="1:9" x14ac:dyDescent="0.15">
      <c r="A93" s="23">
        <v>92</v>
      </c>
      <c r="B93" s="20">
        <f t="shared" si="6"/>
        <v>82</v>
      </c>
      <c r="C93" s="20">
        <f t="shared" si="7"/>
        <v>141</v>
      </c>
      <c r="D93" s="27">
        <v>32144</v>
      </c>
      <c r="E93" s="20">
        <f t="shared" si="11"/>
        <v>60</v>
      </c>
      <c r="F93" s="10">
        <f t="shared" si="8"/>
        <v>0</v>
      </c>
      <c r="G93" s="29">
        <f t="shared" si="9"/>
        <v>1</v>
      </c>
      <c r="H93" s="29">
        <f t="shared" si="10"/>
        <v>0</v>
      </c>
      <c r="I93" s="12"/>
    </row>
    <row r="94" spans="1:9" x14ac:dyDescent="0.15">
      <c r="A94" s="23">
        <v>93</v>
      </c>
      <c r="B94" s="20">
        <f t="shared" si="6"/>
        <v>83</v>
      </c>
      <c r="C94" s="20">
        <f t="shared" si="7"/>
        <v>141</v>
      </c>
      <c r="D94" s="27">
        <v>32706</v>
      </c>
      <c r="E94" s="20">
        <f t="shared" si="11"/>
        <v>60</v>
      </c>
      <c r="F94" s="10">
        <f t="shared" si="8"/>
        <v>1</v>
      </c>
      <c r="G94" s="29">
        <f t="shared" si="9"/>
        <v>0</v>
      </c>
      <c r="H94" s="29">
        <f t="shared" si="10"/>
        <v>0</v>
      </c>
      <c r="I94" s="12"/>
    </row>
    <row r="95" spans="1:9" x14ac:dyDescent="0.15">
      <c r="A95" s="23">
        <v>94</v>
      </c>
      <c r="B95" s="20">
        <f t="shared" si="6"/>
        <v>83</v>
      </c>
      <c r="C95" s="20">
        <f t="shared" si="7"/>
        <v>142</v>
      </c>
      <c r="D95" s="27">
        <v>33270</v>
      </c>
      <c r="E95" s="20">
        <f t="shared" si="11"/>
        <v>60</v>
      </c>
      <c r="F95" s="10">
        <f t="shared" si="8"/>
        <v>0</v>
      </c>
      <c r="G95" s="29">
        <f t="shared" si="9"/>
        <v>1</v>
      </c>
      <c r="H95" s="29">
        <f t="shared" si="10"/>
        <v>0</v>
      </c>
      <c r="I95" s="12"/>
    </row>
    <row r="96" spans="1:9" x14ac:dyDescent="0.15">
      <c r="A96" s="23">
        <v>95</v>
      </c>
      <c r="B96" s="20">
        <f t="shared" si="6"/>
        <v>85</v>
      </c>
      <c r="C96" s="20">
        <f t="shared" si="7"/>
        <v>145</v>
      </c>
      <c r="D96" s="27">
        <v>33838</v>
      </c>
      <c r="E96" s="20">
        <f t="shared" si="11"/>
        <v>60</v>
      </c>
      <c r="F96" s="10">
        <f t="shared" si="8"/>
        <v>2</v>
      </c>
      <c r="G96" s="29">
        <f t="shared" si="9"/>
        <v>3</v>
      </c>
      <c r="H96" s="29">
        <f t="shared" si="10"/>
        <v>0</v>
      </c>
      <c r="I96" s="12"/>
    </row>
    <row r="97" spans="1:9" x14ac:dyDescent="0.15">
      <c r="A97" s="23">
        <v>96</v>
      </c>
      <c r="B97" s="20">
        <f t="shared" si="6"/>
        <v>85</v>
      </c>
      <c r="C97" s="20">
        <f t="shared" si="7"/>
        <v>146</v>
      </c>
      <c r="D97" s="27">
        <v>34408</v>
      </c>
      <c r="E97" s="20">
        <f t="shared" si="11"/>
        <v>60</v>
      </c>
      <c r="F97" s="10">
        <f t="shared" si="8"/>
        <v>0</v>
      </c>
      <c r="G97" s="29">
        <f t="shared" si="9"/>
        <v>1</v>
      </c>
      <c r="H97" s="29">
        <f t="shared" si="10"/>
        <v>0</v>
      </c>
      <c r="I97" s="12"/>
    </row>
    <row r="98" spans="1:9" x14ac:dyDescent="0.15">
      <c r="A98" s="23">
        <v>97</v>
      </c>
      <c r="B98" s="20">
        <f t="shared" si="6"/>
        <v>86</v>
      </c>
      <c r="C98" s="20">
        <f t="shared" si="7"/>
        <v>146</v>
      </c>
      <c r="D98" s="27">
        <v>34981</v>
      </c>
      <c r="E98" s="20">
        <f t="shared" si="11"/>
        <v>60</v>
      </c>
      <c r="F98" s="10">
        <f t="shared" si="8"/>
        <v>1</v>
      </c>
      <c r="G98" s="29">
        <f t="shared" si="9"/>
        <v>0</v>
      </c>
      <c r="H98" s="29">
        <f t="shared" si="10"/>
        <v>0</v>
      </c>
      <c r="I98" s="12"/>
    </row>
    <row r="99" spans="1:9" x14ac:dyDescent="0.15">
      <c r="A99" s="23">
        <v>98</v>
      </c>
      <c r="B99" s="20">
        <f t="shared" si="6"/>
        <v>86</v>
      </c>
      <c r="C99" s="20">
        <f t="shared" si="7"/>
        <v>147</v>
      </c>
      <c r="D99" s="27">
        <v>35557</v>
      </c>
      <c r="E99" s="20">
        <f t="shared" si="11"/>
        <v>60</v>
      </c>
      <c r="F99" s="10">
        <f t="shared" si="8"/>
        <v>0</v>
      </c>
      <c r="G99" s="29">
        <f t="shared" si="9"/>
        <v>1</v>
      </c>
      <c r="H99" s="29">
        <f t="shared" si="10"/>
        <v>0</v>
      </c>
      <c r="I99" s="12"/>
    </row>
    <row r="100" spans="1:9" x14ac:dyDescent="0.15">
      <c r="A100" s="23">
        <v>99</v>
      </c>
      <c r="B100" s="20">
        <f t="shared" si="6"/>
        <v>87</v>
      </c>
      <c r="C100" s="20">
        <f t="shared" si="7"/>
        <v>147</v>
      </c>
      <c r="D100" s="27">
        <v>36135</v>
      </c>
      <c r="E100" s="20">
        <f t="shared" si="11"/>
        <v>60</v>
      </c>
      <c r="F100" s="10">
        <f t="shared" si="8"/>
        <v>1</v>
      </c>
      <c r="G100" s="29">
        <f t="shared" si="9"/>
        <v>0</v>
      </c>
      <c r="H100" s="29">
        <f t="shared" si="10"/>
        <v>0</v>
      </c>
      <c r="I100" s="12"/>
    </row>
    <row r="101" spans="1:9" x14ac:dyDescent="0.15">
      <c r="A101" s="23">
        <v>100</v>
      </c>
      <c r="B101" s="20">
        <f t="shared" si="6"/>
        <v>87</v>
      </c>
      <c r="C101" s="20">
        <f t="shared" si="7"/>
        <v>148</v>
      </c>
      <c r="D101" s="27">
        <v>36716</v>
      </c>
      <c r="E101" s="20">
        <f t="shared" si="11"/>
        <v>60</v>
      </c>
      <c r="F101" s="10">
        <f t="shared" si="8"/>
        <v>0</v>
      </c>
      <c r="G101" s="29">
        <f t="shared" si="9"/>
        <v>1</v>
      </c>
      <c r="H101" s="29">
        <f t="shared" si="10"/>
        <v>0</v>
      </c>
      <c r="I101" s="12"/>
    </row>
    <row r="102" spans="1:9" x14ac:dyDescent="0.15">
      <c r="A102" s="23">
        <v>101</v>
      </c>
      <c r="B102" s="20">
        <f t="shared" si="6"/>
        <v>88</v>
      </c>
      <c r="C102" s="20">
        <f t="shared" si="7"/>
        <v>148</v>
      </c>
      <c r="D102" s="27">
        <v>37300</v>
      </c>
      <c r="E102" s="20">
        <f t="shared" si="11"/>
        <v>60</v>
      </c>
      <c r="F102" s="10">
        <f t="shared" si="8"/>
        <v>1</v>
      </c>
      <c r="G102" s="29">
        <f t="shared" si="9"/>
        <v>0</v>
      </c>
      <c r="H102" s="29">
        <f t="shared" si="10"/>
        <v>0</v>
      </c>
      <c r="I102" s="12"/>
    </row>
    <row r="103" spans="1:9" x14ac:dyDescent="0.15">
      <c r="A103" s="23">
        <v>102</v>
      </c>
      <c r="B103" s="20">
        <f t="shared" si="6"/>
        <v>88</v>
      </c>
      <c r="C103" s="20">
        <f t="shared" si="7"/>
        <v>148</v>
      </c>
      <c r="D103" s="27">
        <v>37886</v>
      </c>
      <c r="E103" s="20">
        <f t="shared" si="11"/>
        <v>60</v>
      </c>
      <c r="F103" s="10">
        <f t="shared" si="8"/>
        <v>0</v>
      </c>
      <c r="G103" s="29">
        <f t="shared" si="9"/>
        <v>0</v>
      </c>
      <c r="H103" s="29">
        <f t="shared" si="10"/>
        <v>0</v>
      </c>
      <c r="I103" s="12"/>
    </row>
    <row r="104" spans="1:9" x14ac:dyDescent="0.15">
      <c r="A104" s="23">
        <v>103</v>
      </c>
      <c r="B104" s="20">
        <f t="shared" si="6"/>
        <v>89</v>
      </c>
      <c r="C104" s="20">
        <f t="shared" si="7"/>
        <v>148</v>
      </c>
      <c r="D104" s="27">
        <v>38475</v>
      </c>
      <c r="E104" s="20">
        <f t="shared" si="11"/>
        <v>60</v>
      </c>
      <c r="F104" s="10">
        <f t="shared" si="8"/>
        <v>1</v>
      </c>
      <c r="G104" s="29">
        <f t="shared" si="9"/>
        <v>0</v>
      </c>
      <c r="H104" s="29">
        <f t="shared" si="10"/>
        <v>0</v>
      </c>
      <c r="I104" s="12"/>
    </row>
    <row r="105" spans="1:9" x14ac:dyDescent="0.15">
      <c r="A105" s="23">
        <v>104</v>
      </c>
      <c r="B105" s="20">
        <f t="shared" si="6"/>
        <v>89</v>
      </c>
      <c r="C105" s="20">
        <f t="shared" si="7"/>
        <v>149</v>
      </c>
      <c r="D105" s="27">
        <v>39067</v>
      </c>
      <c r="E105" s="20">
        <f t="shared" si="11"/>
        <v>60</v>
      </c>
      <c r="F105" s="10">
        <f t="shared" si="8"/>
        <v>0</v>
      </c>
      <c r="G105" s="29">
        <f t="shared" si="9"/>
        <v>1</v>
      </c>
      <c r="H105" s="29">
        <f t="shared" si="10"/>
        <v>0</v>
      </c>
      <c r="I105" s="12"/>
    </row>
    <row r="106" spans="1:9" x14ac:dyDescent="0.15">
      <c r="A106" s="23">
        <v>105</v>
      </c>
      <c r="B106" s="20">
        <f t="shared" si="6"/>
        <v>91</v>
      </c>
      <c r="C106" s="20">
        <f t="shared" si="7"/>
        <v>149</v>
      </c>
      <c r="D106" s="27">
        <v>39660</v>
      </c>
      <c r="E106" s="20">
        <f t="shared" si="11"/>
        <v>60</v>
      </c>
      <c r="F106" s="10">
        <f t="shared" si="8"/>
        <v>2</v>
      </c>
      <c r="G106" s="29">
        <f t="shared" si="9"/>
        <v>0</v>
      </c>
      <c r="H106" s="29">
        <f t="shared" si="10"/>
        <v>0</v>
      </c>
      <c r="I106" s="12"/>
    </row>
    <row r="107" spans="1:9" x14ac:dyDescent="0.15">
      <c r="A107" s="23">
        <v>106</v>
      </c>
      <c r="B107" s="20">
        <f t="shared" si="6"/>
        <v>91</v>
      </c>
      <c r="C107" s="20">
        <f t="shared" si="7"/>
        <v>149</v>
      </c>
      <c r="D107" s="27">
        <v>40257</v>
      </c>
      <c r="E107" s="20">
        <f t="shared" si="11"/>
        <v>60</v>
      </c>
      <c r="F107" s="10">
        <f t="shared" si="8"/>
        <v>0</v>
      </c>
      <c r="G107" s="29">
        <f t="shared" si="9"/>
        <v>0</v>
      </c>
      <c r="H107" s="29">
        <f t="shared" si="10"/>
        <v>0</v>
      </c>
      <c r="I107" s="12"/>
    </row>
    <row r="108" spans="1:9" x14ac:dyDescent="0.15">
      <c r="A108" s="23">
        <v>107</v>
      </c>
      <c r="B108" s="20">
        <f t="shared" si="6"/>
        <v>92</v>
      </c>
      <c r="C108" s="20">
        <f t="shared" si="7"/>
        <v>149</v>
      </c>
      <c r="D108" s="27">
        <v>40856</v>
      </c>
      <c r="E108" s="20">
        <f t="shared" si="11"/>
        <v>60</v>
      </c>
      <c r="F108" s="10">
        <f t="shared" si="8"/>
        <v>1</v>
      </c>
      <c r="G108" s="29">
        <f t="shared" si="9"/>
        <v>0</v>
      </c>
      <c r="H108" s="29">
        <f t="shared" si="10"/>
        <v>0</v>
      </c>
      <c r="I108" s="12"/>
    </row>
    <row r="109" spans="1:9" x14ac:dyDescent="0.15">
      <c r="A109" s="23">
        <v>108</v>
      </c>
      <c r="B109" s="20">
        <f t="shared" si="6"/>
        <v>92</v>
      </c>
      <c r="C109" s="20">
        <f t="shared" si="7"/>
        <v>150</v>
      </c>
      <c r="D109" s="27">
        <v>41457</v>
      </c>
      <c r="E109" s="20">
        <f t="shared" si="11"/>
        <v>60</v>
      </c>
      <c r="F109" s="10">
        <f t="shared" si="8"/>
        <v>0</v>
      </c>
      <c r="G109" s="29">
        <f t="shared" si="9"/>
        <v>1</v>
      </c>
      <c r="H109" s="29">
        <f t="shared" si="10"/>
        <v>0</v>
      </c>
      <c r="I109" s="12"/>
    </row>
    <row r="110" spans="1:9" x14ac:dyDescent="0.15">
      <c r="A110" s="23">
        <v>109</v>
      </c>
      <c r="B110" s="20">
        <f t="shared" si="6"/>
        <v>93</v>
      </c>
      <c r="C110" s="20">
        <f t="shared" si="7"/>
        <v>150</v>
      </c>
      <c r="D110" s="27">
        <v>42061</v>
      </c>
      <c r="E110" s="20">
        <f t="shared" si="11"/>
        <v>60</v>
      </c>
      <c r="F110" s="10">
        <f t="shared" si="8"/>
        <v>1</v>
      </c>
      <c r="G110" s="29">
        <f t="shared" si="9"/>
        <v>0</v>
      </c>
      <c r="H110" s="29">
        <f t="shared" si="10"/>
        <v>0</v>
      </c>
      <c r="I110" s="12"/>
    </row>
    <row r="111" spans="1:9" x14ac:dyDescent="0.15">
      <c r="A111" s="23">
        <v>110</v>
      </c>
      <c r="B111" s="20">
        <f t="shared" si="6"/>
        <v>93</v>
      </c>
      <c r="C111" s="20">
        <f t="shared" si="7"/>
        <v>150</v>
      </c>
      <c r="D111" s="27">
        <v>42667</v>
      </c>
      <c r="E111" s="20">
        <f t="shared" si="11"/>
        <v>60</v>
      </c>
      <c r="F111" s="10">
        <f t="shared" si="8"/>
        <v>0</v>
      </c>
      <c r="G111" s="29">
        <f t="shared" si="9"/>
        <v>0</v>
      </c>
      <c r="H111" s="29">
        <f t="shared" si="10"/>
        <v>0</v>
      </c>
      <c r="I111" s="12"/>
    </row>
    <row r="112" spans="1:9" x14ac:dyDescent="0.15">
      <c r="A112" s="23">
        <v>111</v>
      </c>
      <c r="B112" s="20">
        <f t="shared" si="6"/>
        <v>94</v>
      </c>
      <c r="C112" s="20">
        <f t="shared" si="7"/>
        <v>150</v>
      </c>
      <c r="D112" s="27">
        <v>43275</v>
      </c>
      <c r="E112" s="20">
        <f t="shared" si="11"/>
        <v>60</v>
      </c>
      <c r="F112" s="10">
        <f t="shared" si="8"/>
        <v>1</v>
      </c>
      <c r="G112" s="29">
        <f t="shared" si="9"/>
        <v>0</v>
      </c>
      <c r="H112" s="29">
        <f t="shared" si="10"/>
        <v>0</v>
      </c>
      <c r="I112" s="12"/>
    </row>
    <row r="113" spans="1:9" x14ac:dyDescent="0.15">
      <c r="A113" s="23">
        <v>112</v>
      </c>
      <c r="B113" s="20">
        <f t="shared" si="6"/>
        <v>94</v>
      </c>
      <c r="C113" s="20">
        <f t="shared" si="7"/>
        <v>151</v>
      </c>
      <c r="D113" s="27">
        <v>43886</v>
      </c>
      <c r="E113" s="20">
        <f t="shared" si="11"/>
        <v>60</v>
      </c>
      <c r="F113" s="10">
        <f t="shared" si="8"/>
        <v>0</v>
      </c>
      <c r="G113" s="29">
        <f t="shared" si="9"/>
        <v>1</v>
      </c>
      <c r="H113" s="29">
        <f t="shared" si="10"/>
        <v>0</v>
      </c>
      <c r="I113" s="12"/>
    </row>
    <row r="114" spans="1:9" x14ac:dyDescent="0.15">
      <c r="A114" s="23">
        <v>113</v>
      </c>
      <c r="B114" s="20">
        <f t="shared" si="6"/>
        <v>95</v>
      </c>
      <c r="C114" s="20">
        <f t="shared" si="7"/>
        <v>151</v>
      </c>
      <c r="D114" s="27">
        <v>44499</v>
      </c>
      <c r="E114" s="20">
        <f t="shared" si="11"/>
        <v>60</v>
      </c>
      <c r="F114" s="10">
        <f t="shared" si="8"/>
        <v>1</v>
      </c>
      <c r="G114" s="29">
        <f t="shared" si="9"/>
        <v>0</v>
      </c>
      <c r="H114" s="29">
        <f t="shared" si="10"/>
        <v>0</v>
      </c>
      <c r="I114" s="12"/>
    </row>
    <row r="115" spans="1:9" x14ac:dyDescent="0.15">
      <c r="A115" s="23">
        <v>114</v>
      </c>
      <c r="B115" s="20">
        <f t="shared" si="6"/>
        <v>95</v>
      </c>
      <c r="C115" s="20">
        <f t="shared" si="7"/>
        <v>151</v>
      </c>
      <c r="D115" s="27">
        <v>45114</v>
      </c>
      <c r="E115" s="20">
        <f t="shared" si="11"/>
        <v>60</v>
      </c>
      <c r="F115" s="10">
        <f t="shared" si="8"/>
        <v>0</v>
      </c>
      <c r="G115" s="29">
        <f t="shared" si="9"/>
        <v>0</v>
      </c>
      <c r="H115" s="29">
        <f t="shared" si="10"/>
        <v>0</v>
      </c>
      <c r="I115" s="12"/>
    </row>
    <row r="116" spans="1:9" x14ac:dyDescent="0.15">
      <c r="A116" s="23">
        <v>115</v>
      </c>
      <c r="B116" s="20">
        <f t="shared" si="6"/>
        <v>96</v>
      </c>
      <c r="C116" s="20">
        <f t="shared" si="7"/>
        <v>151</v>
      </c>
      <c r="D116" s="27">
        <v>45732</v>
      </c>
      <c r="E116" s="20">
        <f t="shared" si="11"/>
        <v>60</v>
      </c>
      <c r="F116" s="10">
        <f t="shared" si="8"/>
        <v>1</v>
      </c>
      <c r="G116" s="29">
        <f t="shared" si="9"/>
        <v>0</v>
      </c>
      <c r="H116" s="29">
        <f t="shared" si="10"/>
        <v>0</v>
      </c>
      <c r="I116" s="12"/>
    </row>
    <row r="117" spans="1:9" x14ac:dyDescent="0.15">
      <c r="A117" s="23">
        <v>116</v>
      </c>
      <c r="B117" s="20">
        <f t="shared" si="6"/>
        <v>96</v>
      </c>
      <c r="C117" s="20">
        <f t="shared" si="7"/>
        <v>152</v>
      </c>
      <c r="D117" s="27">
        <v>46351</v>
      </c>
      <c r="E117" s="20">
        <f t="shared" si="11"/>
        <v>60</v>
      </c>
      <c r="F117" s="10">
        <f t="shared" si="8"/>
        <v>0</v>
      </c>
      <c r="G117" s="29">
        <f t="shared" si="9"/>
        <v>1</v>
      </c>
      <c r="H117" s="29">
        <f t="shared" si="10"/>
        <v>0</v>
      </c>
      <c r="I117" s="12"/>
    </row>
    <row r="118" spans="1:9" x14ac:dyDescent="0.15">
      <c r="A118" s="23">
        <v>117</v>
      </c>
      <c r="B118" s="20">
        <f t="shared" si="6"/>
        <v>97</v>
      </c>
      <c r="C118" s="20">
        <f t="shared" si="7"/>
        <v>152</v>
      </c>
      <c r="D118" s="27">
        <v>46973</v>
      </c>
      <c r="E118" s="20">
        <f t="shared" si="11"/>
        <v>60</v>
      </c>
      <c r="F118" s="10">
        <f t="shared" si="8"/>
        <v>1</v>
      </c>
      <c r="G118" s="29">
        <f t="shared" si="9"/>
        <v>0</v>
      </c>
      <c r="H118" s="29">
        <f t="shared" si="10"/>
        <v>0</v>
      </c>
      <c r="I118" s="12"/>
    </row>
    <row r="119" spans="1:9" x14ac:dyDescent="0.15">
      <c r="A119" s="23">
        <v>118</v>
      </c>
      <c r="B119" s="20">
        <f t="shared" si="6"/>
        <v>97</v>
      </c>
      <c r="C119" s="20">
        <f t="shared" si="7"/>
        <v>152</v>
      </c>
      <c r="D119" s="27">
        <v>47597</v>
      </c>
      <c r="E119" s="20">
        <f t="shared" si="11"/>
        <v>60</v>
      </c>
      <c r="F119" s="10">
        <f t="shared" si="8"/>
        <v>0</v>
      </c>
      <c r="G119" s="29">
        <f t="shared" si="9"/>
        <v>0</v>
      </c>
      <c r="H119" s="29">
        <f t="shared" si="10"/>
        <v>0</v>
      </c>
      <c r="I119" s="12"/>
    </row>
    <row r="120" spans="1:9" x14ac:dyDescent="0.15">
      <c r="A120" s="23">
        <v>119</v>
      </c>
      <c r="B120" s="20">
        <f t="shared" si="6"/>
        <v>98</v>
      </c>
      <c r="C120" s="20">
        <f t="shared" si="7"/>
        <v>152</v>
      </c>
      <c r="D120" s="27">
        <v>48223</v>
      </c>
      <c r="E120" s="20">
        <f t="shared" si="11"/>
        <v>60</v>
      </c>
      <c r="F120" s="10">
        <f t="shared" si="8"/>
        <v>1</v>
      </c>
      <c r="G120" s="29">
        <f t="shared" si="9"/>
        <v>0</v>
      </c>
      <c r="H120" s="29">
        <f t="shared" si="10"/>
        <v>0</v>
      </c>
      <c r="I120" s="12"/>
    </row>
    <row r="121" spans="1:9" x14ac:dyDescent="0.15">
      <c r="A121" s="23">
        <v>120</v>
      </c>
      <c r="B121" s="20">
        <f t="shared" si="6"/>
        <v>98</v>
      </c>
      <c r="C121" s="20">
        <f t="shared" si="7"/>
        <v>153</v>
      </c>
      <c r="D121" s="27">
        <v>48852</v>
      </c>
      <c r="E121" s="20">
        <f t="shared" si="11"/>
        <v>60</v>
      </c>
      <c r="F121" s="10">
        <f t="shared" si="8"/>
        <v>0</v>
      </c>
      <c r="G121" s="29">
        <f t="shared" si="9"/>
        <v>1</v>
      </c>
      <c r="H121" s="29">
        <f t="shared" si="10"/>
        <v>0</v>
      </c>
      <c r="I121" s="12"/>
    </row>
    <row r="122" spans="1:9" x14ac:dyDescent="0.15">
      <c r="A122" s="23">
        <v>121</v>
      </c>
      <c r="B122" s="20">
        <f t="shared" si="6"/>
        <v>99</v>
      </c>
      <c r="C122" s="20">
        <f t="shared" si="7"/>
        <v>153</v>
      </c>
      <c r="D122" s="27">
        <v>49482</v>
      </c>
      <c r="E122" s="20">
        <f t="shared" si="11"/>
        <v>60</v>
      </c>
      <c r="F122" s="10">
        <f t="shared" si="8"/>
        <v>1</v>
      </c>
      <c r="G122" s="29">
        <f t="shared" si="9"/>
        <v>0</v>
      </c>
      <c r="H122" s="29">
        <f t="shared" si="10"/>
        <v>0</v>
      </c>
      <c r="I122" s="12"/>
    </row>
    <row r="123" spans="1:9" x14ac:dyDescent="0.15">
      <c r="A123" s="23">
        <v>122</v>
      </c>
      <c r="B123" s="20">
        <f t="shared" si="6"/>
        <v>99</v>
      </c>
      <c r="C123" s="20">
        <f t="shared" si="7"/>
        <v>153</v>
      </c>
      <c r="D123" s="27">
        <v>50114</v>
      </c>
      <c r="E123" s="20">
        <f t="shared" si="11"/>
        <v>60</v>
      </c>
      <c r="F123" s="10">
        <f t="shared" si="8"/>
        <v>0</v>
      </c>
      <c r="G123" s="29">
        <f t="shared" si="9"/>
        <v>0</v>
      </c>
      <c r="H123" s="29">
        <f t="shared" si="10"/>
        <v>0</v>
      </c>
      <c r="I123" s="12"/>
    </row>
    <row r="124" spans="1:9" x14ac:dyDescent="0.15">
      <c r="A124" s="23">
        <v>123</v>
      </c>
      <c r="B124" s="20">
        <f t="shared" si="6"/>
        <v>100</v>
      </c>
      <c r="C124" s="20">
        <f t="shared" si="7"/>
        <v>153</v>
      </c>
      <c r="D124" s="27">
        <v>50749</v>
      </c>
      <c r="E124" s="20">
        <f t="shared" si="11"/>
        <v>60</v>
      </c>
      <c r="F124" s="10">
        <f t="shared" si="8"/>
        <v>1</v>
      </c>
      <c r="G124" s="29">
        <f t="shared" si="9"/>
        <v>0</v>
      </c>
      <c r="H124" s="29">
        <f t="shared" si="10"/>
        <v>0</v>
      </c>
      <c r="I124" s="12"/>
    </row>
    <row r="125" spans="1:9" x14ac:dyDescent="0.15">
      <c r="A125" s="23">
        <v>124</v>
      </c>
      <c r="B125" s="20">
        <f t="shared" si="6"/>
        <v>100</v>
      </c>
      <c r="C125" s="20">
        <f t="shared" si="7"/>
        <v>154</v>
      </c>
      <c r="D125" s="27">
        <v>51385</v>
      </c>
      <c r="E125" s="20">
        <f t="shared" si="11"/>
        <v>60</v>
      </c>
      <c r="F125" s="10">
        <f t="shared" si="8"/>
        <v>0</v>
      </c>
      <c r="G125" s="29">
        <f t="shared" si="9"/>
        <v>1</v>
      </c>
      <c r="H125" s="29">
        <f t="shared" si="10"/>
        <v>0</v>
      </c>
      <c r="I125" s="12"/>
    </row>
    <row r="126" spans="1:9" x14ac:dyDescent="0.15">
      <c r="A126" s="23">
        <v>125</v>
      </c>
      <c r="B126" s="20">
        <f t="shared" si="6"/>
        <v>101</v>
      </c>
      <c r="C126" s="20">
        <f t="shared" si="7"/>
        <v>154</v>
      </c>
      <c r="D126" s="27">
        <v>52023</v>
      </c>
      <c r="E126" s="20">
        <f t="shared" si="11"/>
        <v>60</v>
      </c>
      <c r="F126" s="10">
        <f t="shared" si="8"/>
        <v>1</v>
      </c>
      <c r="G126" s="29">
        <f t="shared" si="9"/>
        <v>0</v>
      </c>
      <c r="H126" s="29">
        <f t="shared" si="10"/>
        <v>0</v>
      </c>
      <c r="I126" s="12"/>
    </row>
    <row r="127" spans="1:9" x14ac:dyDescent="0.15">
      <c r="A127" s="23">
        <v>126</v>
      </c>
      <c r="B127" s="20">
        <f t="shared" si="6"/>
        <v>101</v>
      </c>
      <c r="C127" s="20">
        <f t="shared" si="7"/>
        <v>154</v>
      </c>
      <c r="D127" s="27">
        <v>52664</v>
      </c>
      <c r="E127" s="20">
        <f t="shared" si="11"/>
        <v>60</v>
      </c>
      <c r="F127" s="10">
        <f t="shared" si="8"/>
        <v>0</v>
      </c>
      <c r="G127" s="29">
        <f t="shared" si="9"/>
        <v>0</v>
      </c>
      <c r="H127" s="29">
        <f t="shared" si="10"/>
        <v>0</v>
      </c>
      <c r="I127" s="12"/>
    </row>
    <row r="128" spans="1:9" x14ac:dyDescent="0.15">
      <c r="A128" s="23">
        <v>127</v>
      </c>
      <c r="B128" s="20">
        <f t="shared" si="6"/>
        <v>102</v>
      </c>
      <c r="C128" s="20">
        <f t="shared" si="7"/>
        <v>154</v>
      </c>
      <c r="D128" s="27">
        <v>53306</v>
      </c>
      <c r="E128" s="20">
        <f t="shared" si="11"/>
        <v>60</v>
      </c>
      <c r="F128" s="10">
        <f t="shared" si="8"/>
        <v>1</v>
      </c>
      <c r="G128" s="29">
        <f t="shared" si="9"/>
        <v>0</v>
      </c>
      <c r="H128" s="29">
        <f t="shared" si="10"/>
        <v>0</v>
      </c>
      <c r="I128" s="12"/>
    </row>
    <row r="129" spans="1:9" x14ac:dyDescent="0.15">
      <c r="A129" s="23">
        <v>128</v>
      </c>
      <c r="B129" s="20">
        <f t="shared" si="6"/>
        <v>102</v>
      </c>
      <c r="C129" s="20">
        <f t="shared" si="7"/>
        <v>155</v>
      </c>
      <c r="D129" s="27">
        <v>53950</v>
      </c>
      <c r="E129" s="20">
        <f t="shared" si="11"/>
        <v>60</v>
      </c>
      <c r="F129" s="10">
        <f t="shared" si="8"/>
        <v>0</v>
      </c>
      <c r="G129" s="29">
        <f t="shared" si="9"/>
        <v>1</v>
      </c>
      <c r="H129" s="29">
        <f t="shared" si="10"/>
        <v>0</v>
      </c>
      <c r="I129" s="12"/>
    </row>
    <row r="130" spans="1:9" x14ac:dyDescent="0.15">
      <c r="A130" s="23">
        <v>129</v>
      </c>
      <c r="B130" s="20">
        <f t="shared" si="6"/>
        <v>103</v>
      </c>
      <c r="C130" s="20">
        <f t="shared" si="7"/>
        <v>155</v>
      </c>
      <c r="D130" s="27">
        <v>54596</v>
      </c>
      <c r="E130" s="20">
        <f t="shared" si="11"/>
        <v>60</v>
      </c>
      <c r="F130" s="10">
        <f t="shared" si="8"/>
        <v>1</v>
      </c>
      <c r="G130" s="29">
        <f t="shared" si="9"/>
        <v>0</v>
      </c>
      <c r="H130" s="29">
        <f t="shared" si="10"/>
        <v>0</v>
      </c>
      <c r="I130" s="12"/>
    </row>
    <row r="131" spans="1:9" x14ac:dyDescent="0.15">
      <c r="A131" s="23">
        <v>130</v>
      </c>
      <c r="B131" s="20">
        <f t="shared" ref="B131:B194" si="12">B130+F131</f>
        <v>103</v>
      </c>
      <c r="C131" s="20">
        <f t="shared" ref="C131:C194" si="13">C130+G131</f>
        <v>155</v>
      </c>
      <c r="D131" s="27">
        <v>55243</v>
      </c>
      <c r="E131" s="20">
        <f t="shared" si="11"/>
        <v>60</v>
      </c>
      <c r="F131" s="10">
        <f t="shared" ref="F131:F194" si="14">IF(A131&gt;=106, IF(MOD(A131,2)=0,0,1), IF(A131 &gt;= 65, IF(MOD(A131, 2) =0,0, IF(MOD(A131,5)= 0, 2, 1)), IF(MOD(A131, 2) =0,0, IF(MOD(A131,5)= 0, 5, 1))))</f>
        <v>0</v>
      </c>
      <c r="G131" s="29">
        <f t="shared" ref="G131:G194" si="15">IF($A131&gt;=100,IF(MOD($A131,4)=0,1,0),IF(MOD($A131,5)=0,3,IF(MOD($A131,2)=0,1,0)))</f>
        <v>0</v>
      </c>
      <c r="H131" s="29">
        <f t="shared" ref="H131:H194" si="16">IF($A131&gt;=51,0,IF($A131&gt;=30,IF(MOD($A131,5)=0,1,0),IF($A131&gt;=11,IF(MOD($A131,5)=0,3,IF(MOD($A131,2)=0,1,0)),IF(MOD($A131,5)=0,5,IF(MOD($A131,2)=0,2,0)))))</f>
        <v>0</v>
      </c>
      <c r="I131" s="12"/>
    </row>
    <row r="132" spans="1:9" x14ac:dyDescent="0.15">
      <c r="A132" s="23">
        <v>131</v>
      </c>
      <c r="B132" s="20">
        <f t="shared" si="12"/>
        <v>104</v>
      </c>
      <c r="C132" s="20">
        <f t="shared" si="13"/>
        <v>155</v>
      </c>
      <c r="D132" s="27">
        <v>55893</v>
      </c>
      <c r="E132" s="20">
        <f t="shared" ref="E132:E195" si="17">E131+H132</f>
        <v>60</v>
      </c>
      <c r="F132" s="10">
        <f t="shared" si="14"/>
        <v>1</v>
      </c>
      <c r="G132" s="29">
        <f t="shared" si="15"/>
        <v>0</v>
      </c>
      <c r="H132" s="29">
        <f t="shared" si="16"/>
        <v>0</v>
      </c>
      <c r="I132" s="12"/>
    </row>
    <row r="133" spans="1:9" x14ac:dyDescent="0.15">
      <c r="A133" s="23">
        <v>132</v>
      </c>
      <c r="B133" s="20">
        <f t="shared" si="12"/>
        <v>104</v>
      </c>
      <c r="C133" s="20">
        <f t="shared" si="13"/>
        <v>156</v>
      </c>
      <c r="D133" s="27">
        <v>56544</v>
      </c>
      <c r="E133" s="20">
        <f t="shared" si="17"/>
        <v>60</v>
      </c>
      <c r="F133" s="10">
        <f t="shared" si="14"/>
        <v>0</v>
      </c>
      <c r="G133" s="29">
        <f t="shared" si="15"/>
        <v>1</v>
      </c>
      <c r="H133" s="29">
        <f t="shared" si="16"/>
        <v>0</v>
      </c>
      <c r="I133" s="12"/>
    </row>
    <row r="134" spans="1:9" x14ac:dyDescent="0.15">
      <c r="A134" s="23">
        <v>133</v>
      </c>
      <c r="B134" s="20">
        <f t="shared" si="12"/>
        <v>105</v>
      </c>
      <c r="C134" s="20">
        <f t="shared" si="13"/>
        <v>156</v>
      </c>
      <c r="D134" s="27">
        <v>57197</v>
      </c>
      <c r="E134" s="20">
        <f t="shared" si="17"/>
        <v>60</v>
      </c>
      <c r="F134" s="10">
        <f t="shared" si="14"/>
        <v>1</v>
      </c>
      <c r="G134" s="29">
        <f t="shared" si="15"/>
        <v>0</v>
      </c>
      <c r="H134" s="29">
        <f t="shared" si="16"/>
        <v>0</v>
      </c>
      <c r="I134" s="12"/>
    </row>
    <row r="135" spans="1:9" x14ac:dyDescent="0.15">
      <c r="A135" s="23">
        <v>134</v>
      </c>
      <c r="B135" s="20">
        <f t="shared" si="12"/>
        <v>105</v>
      </c>
      <c r="C135" s="20">
        <f t="shared" si="13"/>
        <v>156</v>
      </c>
      <c r="D135" s="27">
        <v>57852</v>
      </c>
      <c r="E135" s="20">
        <f t="shared" si="17"/>
        <v>60</v>
      </c>
      <c r="F135" s="10">
        <f t="shared" si="14"/>
        <v>0</v>
      </c>
      <c r="G135" s="29">
        <f t="shared" si="15"/>
        <v>0</v>
      </c>
      <c r="H135" s="29">
        <f t="shared" si="16"/>
        <v>0</v>
      </c>
      <c r="I135" s="12"/>
    </row>
    <row r="136" spans="1:9" x14ac:dyDescent="0.15">
      <c r="A136" s="23">
        <v>135</v>
      </c>
      <c r="B136" s="20">
        <f t="shared" si="12"/>
        <v>106</v>
      </c>
      <c r="C136" s="20">
        <f t="shared" si="13"/>
        <v>156</v>
      </c>
      <c r="D136" s="27">
        <v>58509</v>
      </c>
      <c r="E136" s="20">
        <f t="shared" si="17"/>
        <v>60</v>
      </c>
      <c r="F136" s="10">
        <f t="shared" si="14"/>
        <v>1</v>
      </c>
      <c r="G136" s="29">
        <f t="shared" si="15"/>
        <v>0</v>
      </c>
      <c r="H136" s="29">
        <f t="shared" si="16"/>
        <v>0</v>
      </c>
      <c r="I136" s="12"/>
    </row>
    <row r="137" spans="1:9" x14ac:dyDescent="0.15">
      <c r="A137" s="23">
        <v>136</v>
      </c>
      <c r="B137" s="20">
        <f t="shared" si="12"/>
        <v>106</v>
      </c>
      <c r="C137" s="20">
        <f t="shared" si="13"/>
        <v>157</v>
      </c>
      <c r="D137" s="27">
        <v>59167</v>
      </c>
      <c r="E137" s="20">
        <f t="shared" si="17"/>
        <v>60</v>
      </c>
      <c r="F137" s="10">
        <f t="shared" si="14"/>
        <v>0</v>
      </c>
      <c r="G137" s="29">
        <f t="shared" si="15"/>
        <v>1</v>
      </c>
      <c r="H137" s="29">
        <f t="shared" si="16"/>
        <v>0</v>
      </c>
      <c r="I137" s="12"/>
    </row>
    <row r="138" spans="1:9" x14ac:dyDescent="0.15">
      <c r="A138" s="23">
        <v>137</v>
      </c>
      <c r="B138" s="20">
        <f t="shared" si="12"/>
        <v>107</v>
      </c>
      <c r="C138" s="20">
        <f t="shared" si="13"/>
        <v>157</v>
      </c>
      <c r="D138" s="27">
        <v>59826</v>
      </c>
      <c r="E138" s="20">
        <f t="shared" si="17"/>
        <v>60</v>
      </c>
      <c r="F138" s="10">
        <f t="shared" si="14"/>
        <v>1</v>
      </c>
      <c r="G138" s="29">
        <f t="shared" si="15"/>
        <v>0</v>
      </c>
      <c r="H138" s="29">
        <f t="shared" si="16"/>
        <v>0</v>
      </c>
      <c r="I138" s="12"/>
    </row>
    <row r="139" spans="1:9" x14ac:dyDescent="0.15">
      <c r="A139" s="23">
        <v>138</v>
      </c>
      <c r="B139" s="20">
        <f t="shared" si="12"/>
        <v>107</v>
      </c>
      <c r="C139" s="20">
        <f t="shared" si="13"/>
        <v>157</v>
      </c>
      <c r="D139" s="27">
        <v>60488</v>
      </c>
      <c r="E139" s="20">
        <f t="shared" si="17"/>
        <v>60</v>
      </c>
      <c r="F139" s="10">
        <f t="shared" si="14"/>
        <v>0</v>
      </c>
      <c r="G139" s="29">
        <f t="shared" si="15"/>
        <v>0</v>
      </c>
      <c r="H139" s="29">
        <f t="shared" si="16"/>
        <v>0</v>
      </c>
      <c r="I139" s="12"/>
    </row>
    <row r="140" spans="1:9" x14ac:dyDescent="0.15">
      <c r="A140" s="23">
        <v>139</v>
      </c>
      <c r="B140" s="20">
        <f t="shared" si="12"/>
        <v>108</v>
      </c>
      <c r="C140" s="20">
        <f t="shared" si="13"/>
        <v>157</v>
      </c>
      <c r="D140" s="27">
        <v>61151</v>
      </c>
      <c r="E140" s="20">
        <f t="shared" si="17"/>
        <v>60</v>
      </c>
      <c r="F140" s="10">
        <f t="shared" si="14"/>
        <v>1</v>
      </c>
      <c r="G140" s="29">
        <f t="shared" si="15"/>
        <v>0</v>
      </c>
      <c r="H140" s="29">
        <f t="shared" si="16"/>
        <v>0</v>
      </c>
      <c r="I140" s="12"/>
    </row>
    <row r="141" spans="1:9" x14ac:dyDescent="0.15">
      <c r="A141" s="23">
        <v>140</v>
      </c>
      <c r="B141" s="20">
        <f t="shared" si="12"/>
        <v>108</v>
      </c>
      <c r="C141" s="20">
        <f t="shared" si="13"/>
        <v>158</v>
      </c>
      <c r="D141" s="27">
        <v>61815</v>
      </c>
      <c r="E141" s="20">
        <f t="shared" si="17"/>
        <v>60</v>
      </c>
      <c r="F141" s="10">
        <f t="shared" si="14"/>
        <v>0</v>
      </c>
      <c r="G141" s="29">
        <f t="shared" si="15"/>
        <v>1</v>
      </c>
      <c r="H141" s="29">
        <f t="shared" si="16"/>
        <v>0</v>
      </c>
      <c r="I141" s="12"/>
    </row>
    <row r="142" spans="1:9" x14ac:dyDescent="0.15">
      <c r="A142" s="23">
        <v>141</v>
      </c>
      <c r="B142" s="20">
        <f t="shared" si="12"/>
        <v>109</v>
      </c>
      <c r="C142" s="20">
        <f t="shared" si="13"/>
        <v>158</v>
      </c>
      <c r="D142" s="27">
        <v>62481</v>
      </c>
      <c r="E142" s="20">
        <f t="shared" si="17"/>
        <v>60</v>
      </c>
      <c r="F142" s="10">
        <f t="shared" si="14"/>
        <v>1</v>
      </c>
      <c r="G142" s="29">
        <f t="shared" si="15"/>
        <v>0</v>
      </c>
      <c r="H142" s="29">
        <f t="shared" si="16"/>
        <v>0</v>
      </c>
      <c r="I142" s="12"/>
    </row>
    <row r="143" spans="1:9" x14ac:dyDescent="0.15">
      <c r="A143" s="23">
        <v>142</v>
      </c>
      <c r="B143" s="20">
        <f t="shared" si="12"/>
        <v>109</v>
      </c>
      <c r="C143" s="20">
        <f t="shared" si="13"/>
        <v>158</v>
      </c>
      <c r="D143" s="27">
        <v>63148</v>
      </c>
      <c r="E143" s="20">
        <f t="shared" si="17"/>
        <v>60</v>
      </c>
      <c r="F143" s="10">
        <f t="shared" si="14"/>
        <v>0</v>
      </c>
      <c r="G143" s="29">
        <f t="shared" si="15"/>
        <v>0</v>
      </c>
      <c r="H143" s="29">
        <f t="shared" si="16"/>
        <v>0</v>
      </c>
      <c r="I143" s="12"/>
    </row>
    <row r="144" spans="1:9" x14ac:dyDescent="0.15">
      <c r="A144" s="23">
        <v>143</v>
      </c>
      <c r="B144" s="20">
        <f t="shared" si="12"/>
        <v>110</v>
      </c>
      <c r="C144" s="20">
        <f t="shared" si="13"/>
        <v>158</v>
      </c>
      <c r="D144" s="27">
        <v>63817</v>
      </c>
      <c r="E144" s="20">
        <f t="shared" si="17"/>
        <v>60</v>
      </c>
      <c r="F144" s="10">
        <f t="shared" si="14"/>
        <v>1</v>
      </c>
      <c r="G144" s="29">
        <f t="shared" si="15"/>
        <v>0</v>
      </c>
      <c r="H144" s="29">
        <f t="shared" si="16"/>
        <v>0</v>
      </c>
      <c r="I144" s="12"/>
    </row>
    <row r="145" spans="1:9" x14ac:dyDescent="0.15">
      <c r="A145" s="23">
        <v>144</v>
      </c>
      <c r="B145" s="20">
        <f t="shared" si="12"/>
        <v>110</v>
      </c>
      <c r="C145" s="20">
        <f t="shared" si="13"/>
        <v>159</v>
      </c>
      <c r="D145" s="27">
        <v>64487</v>
      </c>
      <c r="E145" s="20">
        <f t="shared" si="17"/>
        <v>60</v>
      </c>
      <c r="F145" s="10">
        <f t="shared" si="14"/>
        <v>0</v>
      </c>
      <c r="G145" s="29">
        <f t="shared" si="15"/>
        <v>1</v>
      </c>
      <c r="H145" s="29">
        <f t="shared" si="16"/>
        <v>0</v>
      </c>
      <c r="I145" s="12"/>
    </row>
    <row r="146" spans="1:9" x14ac:dyDescent="0.15">
      <c r="A146" s="23">
        <v>145</v>
      </c>
      <c r="B146" s="20">
        <f t="shared" si="12"/>
        <v>111</v>
      </c>
      <c r="C146" s="20">
        <f t="shared" si="13"/>
        <v>159</v>
      </c>
      <c r="D146" s="27">
        <v>65159</v>
      </c>
      <c r="E146" s="20">
        <f t="shared" si="17"/>
        <v>60</v>
      </c>
      <c r="F146" s="10">
        <f t="shared" si="14"/>
        <v>1</v>
      </c>
      <c r="G146" s="29">
        <f t="shared" si="15"/>
        <v>0</v>
      </c>
      <c r="H146" s="29">
        <f t="shared" si="16"/>
        <v>0</v>
      </c>
      <c r="I146" s="12"/>
    </row>
    <row r="147" spans="1:9" x14ac:dyDescent="0.15">
      <c r="A147" s="23">
        <v>146</v>
      </c>
      <c r="B147" s="20">
        <f t="shared" si="12"/>
        <v>111</v>
      </c>
      <c r="C147" s="20">
        <f t="shared" si="13"/>
        <v>159</v>
      </c>
      <c r="D147" s="27">
        <v>65832</v>
      </c>
      <c r="E147" s="20">
        <f t="shared" si="17"/>
        <v>60</v>
      </c>
      <c r="F147" s="10">
        <f t="shared" si="14"/>
        <v>0</v>
      </c>
      <c r="G147" s="29">
        <f t="shared" si="15"/>
        <v>0</v>
      </c>
      <c r="H147" s="29">
        <f t="shared" si="16"/>
        <v>0</v>
      </c>
      <c r="I147" s="12"/>
    </row>
    <row r="148" spans="1:9" x14ac:dyDescent="0.15">
      <c r="A148" s="23">
        <v>147</v>
      </c>
      <c r="B148" s="20">
        <f t="shared" si="12"/>
        <v>112</v>
      </c>
      <c r="C148" s="20">
        <f t="shared" si="13"/>
        <v>159</v>
      </c>
      <c r="D148" s="27">
        <v>66506</v>
      </c>
      <c r="E148" s="20">
        <f t="shared" si="17"/>
        <v>60</v>
      </c>
      <c r="F148" s="10">
        <f t="shared" si="14"/>
        <v>1</v>
      </c>
      <c r="G148" s="29">
        <f t="shared" si="15"/>
        <v>0</v>
      </c>
      <c r="H148" s="29">
        <f t="shared" si="16"/>
        <v>0</v>
      </c>
      <c r="I148" s="12"/>
    </row>
    <row r="149" spans="1:9" x14ac:dyDescent="0.15">
      <c r="A149" s="23">
        <v>148</v>
      </c>
      <c r="B149" s="20">
        <f t="shared" si="12"/>
        <v>112</v>
      </c>
      <c r="C149" s="20">
        <f t="shared" si="13"/>
        <v>160</v>
      </c>
      <c r="D149" s="27">
        <v>67182</v>
      </c>
      <c r="E149" s="20">
        <f t="shared" si="17"/>
        <v>60</v>
      </c>
      <c r="F149" s="10">
        <f t="shared" si="14"/>
        <v>0</v>
      </c>
      <c r="G149" s="29">
        <f t="shared" si="15"/>
        <v>1</v>
      </c>
      <c r="H149" s="29">
        <f t="shared" si="16"/>
        <v>0</v>
      </c>
      <c r="I149" s="12"/>
    </row>
    <row r="150" spans="1:9" x14ac:dyDescent="0.15">
      <c r="A150" s="23">
        <v>149</v>
      </c>
      <c r="B150" s="20">
        <f t="shared" si="12"/>
        <v>113</v>
      </c>
      <c r="C150" s="20">
        <f t="shared" si="13"/>
        <v>160</v>
      </c>
      <c r="D150" s="27">
        <v>67859</v>
      </c>
      <c r="E150" s="20">
        <f t="shared" si="17"/>
        <v>60</v>
      </c>
      <c r="F150" s="10">
        <f t="shared" si="14"/>
        <v>1</v>
      </c>
      <c r="G150" s="29">
        <f t="shared" si="15"/>
        <v>0</v>
      </c>
      <c r="H150" s="29">
        <f t="shared" si="16"/>
        <v>0</v>
      </c>
      <c r="I150" s="12"/>
    </row>
    <row r="151" spans="1:9" x14ac:dyDescent="0.15">
      <c r="A151" s="23">
        <v>150</v>
      </c>
      <c r="B151" s="20">
        <f t="shared" si="12"/>
        <v>113</v>
      </c>
      <c r="C151" s="20">
        <f t="shared" si="13"/>
        <v>160</v>
      </c>
      <c r="D151" s="27">
        <v>68537</v>
      </c>
      <c r="E151" s="20">
        <f t="shared" si="17"/>
        <v>60</v>
      </c>
      <c r="F151" s="10">
        <f t="shared" si="14"/>
        <v>0</v>
      </c>
      <c r="G151" s="29">
        <f t="shared" si="15"/>
        <v>0</v>
      </c>
      <c r="H151" s="29">
        <f t="shared" si="16"/>
        <v>0</v>
      </c>
      <c r="I151" s="12"/>
    </row>
    <row r="152" spans="1:9" x14ac:dyDescent="0.15">
      <c r="A152" s="23">
        <v>151</v>
      </c>
      <c r="B152" s="20">
        <f t="shared" si="12"/>
        <v>114</v>
      </c>
      <c r="C152" s="20">
        <f t="shared" si="13"/>
        <v>160</v>
      </c>
      <c r="D152" s="27">
        <v>69216</v>
      </c>
      <c r="E152" s="20">
        <f t="shared" si="17"/>
        <v>60</v>
      </c>
      <c r="F152" s="10">
        <f t="shared" si="14"/>
        <v>1</v>
      </c>
      <c r="G152" s="29">
        <f t="shared" si="15"/>
        <v>0</v>
      </c>
      <c r="H152" s="29">
        <f t="shared" si="16"/>
        <v>0</v>
      </c>
      <c r="I152" s="12"/>
    </row>
    <row r="153" spans="1:9" x14ac:dyDescent="0.15">
      <c r="A153" s="23">
        <v>152</v>
      </c>
      <c r="B153" s="20">
        <f t="shared" si="12"/>
        <v>114</v>
      </c>
      <c r="C153" s="20">
        <f t="shared" si="13"/>
        <v>161</v>
      </c>
      <c r="D153" s="27">
        <v>69896</v>
      </c>
      <c r="E153" s="20">
        <f t="shared" si="17"/>
        <v>60</v>
      </c>
      <c r="F153" s="10">
        <f t="shared" si="14"/>
        <v>0</v>
      </c>
      <c r="G153" s="29">
        <f t="shared" si="15"/>
        <v>1</v>
      </c>
      <c r="H153" s="29">
        <f t="shared" si="16"/>
        <v>0</v>
      </c>
      <c r="I153" s="12"/>
    </row>
    <row r="154" spans="1:9" x14ac:dyDescent="0.15">
      <c r="A154" s="23">
        <v>153</v>
      </c>
      <c r="B154" s="20">
        <f t="shared" si="12"/>
        <v>115</v>
      </c>
      <c r="C154" s="20">
        <f t="shared" si="13"/>
        <v>161</v>
      </c>
      <c r="D154" s="27">
        <v>70577</v>
      </c>
      <c r="E154" s="20">
        <f t="shared" si="17"/>
        <v>60</v>
      </c>
      <c r="F154" s="10">
        <f t="shared" si="14"/>
        <v>1</v>
      </c>
      <c r="G154" s="29">
        <f t="shared" si="15"/>
        <v>0</v>
      </c>
      <c r="H154" s="29">
        <f t="shared" si="16"/>
        <v>0</v>
      </c>
      <c r="I154" s="12"/>
    </row>
    <row r="155" spans="1:9" x14ac:dyDescent="0.15">
      <c r="A155" s="23">
        <v>154</v>
      </c>
      <c r="B155" s="20">
        <f t="shared" si="12"/>
        <v>115</v>
      </c>
      <c r="C155" s="20">
        <f t="shared" si="13"/>
        <v>161</v>
      </c>
      <c r="D155" s="27">
        <v>71260</v>
      </c>
      <c r="E155" s="20">
        <f t="shared" si="17"/>
        <v>60</v>
      </c>
      <c r="F155" s="10">
        <f t="shared" si="14"/>
        <v>0</v>
      </c>
      <c r="G155" s="29">
        <f t="shared" si="15"/>
        <v>0</v>
      </c>
      <c r="H155" s="29">
        <f t="shared" si="16"/>
        <v>0</v>
      </c>
      <c r="I155" s="12"/>
    </row>
    <row r="156" spans="1:9" x14ac:dyDescent="0.15">
      <c r="A156" s="23">
        <v>155</v>
      </c>
      <c r="B156" s="20">
        <f t="shared" si="12"/>
        <v>116</v>
      </c>
      <c r="C156" s="20">
        <f t="shared" si="13"/>
        <v>161</v>
      </c>
      <c r="D156" s="27">
        <v>71943</v>
      </c>
      <c r="E156" s="20">
        <f t="shared" si="17"/>
        <v>60</v>
      </c>
      <c r="F156" s="10">
        <f t="shared" si="14"/>
        <v>1</v>
      </c>
      <c r="G156" s="29">
        <f t="shared" si="15"/>
        <v>0</v>
      </c>
      <c r="H156" s="29">
        <f t="shared" si="16"/>
        <v>0</v>
      </c>
      <c r="I156" s="12"/>
    </row>
    <row r="157" spans="1:9" x14ac:dyDescent="0.15">
      <c r="A157" s="23">
        <v>156</v>
      </c>
      <c r="B157" s="20">
        <f t="shared" si="12"/>
        <v>116</v>
      </c>
      <c r="C157" s="20">
        <f t="shared" si="13"/>
        <v>162</v>
      </c>
      <c r="D157" s="27">
        <v>72627</v>
      </c>
      <c r="E157" s="20">
        <f t="shared" si="17"/>
        <v>60</v>
      </c>
      <c r="F157" s="10">
        <f t="shared" si="14"/>
        <v>0</v>
      </c>
      <c r="G157" s="29">
        <f t="shared" si="15"/>
        <v>1</v>
      </c>
      <c r="H157" s="29">
        <f t="shared" si="16"/>
        <v>0</v>
      </c>
      <c r="I157" s="12"/>
    </row>
    <row r="158" spans="1:9" x14ac:dyDescent="0.15">
      <c r="A158" s="23">
        <v>157</v>
      </c>
      <c r="B158" s="20">
        <f t="shared" si="12"/>
        <v>117</v>
      </c>
      <c r="C158" s="20">
        <f t="shared" si="13"/>
        <v>162</v>
      </c>
      <c r="D158" s="27">
        <v>73313</v>
      </c>
      <c r="E158" s="20">
        <f t="shared" si="17"/>
        <v>60</v>
      </c>
      <c r="F158" s="10">
        <f t="shared" si="14"/>
        <v>1</v>
      </c>
      <c r="G158" s="29">
        <f t="shared" si="15"/>
        <v>0</v>
      </c>
      <c r="H158" s="29">
        <f t="shared" si="16"/>
        <v>0</v>
      </c>
      <c r="I158" s="12"/>
    </row>
    <row r="159" spans="1:9" x14ac:dyDescent="0.15">
      <c r="A159" s="23">
        <v>158</v>
      </c>
      <c r="B159" s="20">
        <f t="shared" si="12"/>
        <v>117</v>
      </c>
      <c r="C159" s="20">
        <f t="shared" si="13"/>
        <v>162</v>
      </c>
      <c r="D159" s="27">
        <v>73999</v>
      </c>
      <c r="E159" s="20">
        <f t="shared" si="17"/>
        <v>60</v>
      </c>
      <c r="F159" s="10">
        <f t="shared" si="14"/>
        <v>0</v>
      </c>
      <c r="G159" s="29">
        <f t="shared" si="15"/>
        <v>0</v>
      </c>
      <c r="H159" s="29">
        <f t="shared" si="16"/>
        <v>0</v>
      </c>
      <c r="I159" s="12"/>
    </row>
    <row r="160" spans="1:9" x14ac:dyDescent="0.15">
      <c r="A160" s="23">
        <v>159</v>
      </c>
      <c r="B160" s="20">
        <f t="shared" si="12"/>
        <v>118</v>
      </c>
      <c r="C160" s="20">
        <f t="shared" si="13"/>
        <v>162</v>
      </c>
      <c r="D160" s="27">
        <v>74686</v>
      </c>
      <c r="E160" s="20">
        <f t="shared" si="17"/>
        <v>60</v>
      </c>
      <c r="F160" s="10">
        <f t="shared" si="14"/>
        <v>1</v>
      </c>
      <c r="G160" s="29">
        <f t="shared" si="15"/>
        <v>0</v>
      </c>
      <c r="H160" s="29">
        <f t="shared" si="16"/>
        <v>0</v>
      </c>
      <c r="I160" s="12"/>
    </row>
    <row r="161" spans="1:9" x14ac:dyDescent="0.15">
      <c r="A161" s="23">
        <v>160</v>
      </c>
      <c r="B161" s="20">
        <f t="shared" si="12"/>
        <v>118</v>
      </c>
      <c r="C161" s="20">
        <f t="shared" si="13"/>
        <v>163</v>
      </c>
      <c r="D161" s="27">
        <v>75374</v>
      </c>
      <c r="E161" s="20">
        <f t="shared" si="17"/>
        <v>60</v>
      </c>
      <c r="F161" s="10">
        <f t="shared" si="14"/>
        <v>0</v>
      </c>
      <c r="G161" s="29">
        <f t="shared" si="15"/>
        <v>1</v>
      </c>
      <c r="H161" s="29">
        <f t="shared" si="16"/>
        <v>0</v>
      </c>
      <c r="I161" s="12"/>
    </row>
    <row r="162" spans="1:9" x14ac:dyDescent="0.15">
      <c r="A162" s="23">
        <v>161</v>
      </c>
      <c r="B162" s="20">
        <f t="shared" si="12"/>
        <v>119</v>
      </c>
      <c r="C162" s="20">
        <f t="shared" si="13"/>
        <v>163</v>
      </c>
      <c r="D162" s="27">
        <v>76062</v>
      </c>
      <c r="E162" s="20">
        <f t="shared" si="17"/>
        <v>60</v>
      </c>
      <c r="F162" s="10">
        <f t="shared" si="14"/>
        <v>1</v>
      </c>
      <c r="G162" s="29">
        <f t="shared" si="15"/>
        <v>0</v>
      </c>
      <c r="H162" s="29">
        <f t="shared" si="16"/>
        <v>0</v>
      </c>
      <c r="I162" s="12"/>
    </row>
    <row r="163" spans="1:9" x14ac:dyDescent="0.15">
      <c r="A163" s="23">
        <v>162</v>
      </c>
      <c r="B163" s="20">
        <f t="shared" si="12"/>
        <v>119</v>
      </c>
      <c r="C163" s="20">
        <f t="shared" si="13"/>
        <v>163</v>
      </c>
      <c r="D163" s="27">
        <v>76752</v>
      </c>
      <c r="E163" s="20">
        <f t="shared" si="17"/>
        <v>60</v>
      </c>
      <c r="F163" s="10">
        <f t="shared" si="14"/>
        <v>0</v>
      </c>
      <c r="G163" s="29">
        <f t="shared" si="15"/>
        <v>0</v>
      </c>
      <c r="H163" s="29">
        <f t="shared" si="16"/>
        <v>0</v>
      </c>
      <c r="I163" s="12"/>
    </row>
    <row r="164" spans="1:9" x14ac:dyDescent="0.15">
      <c r="A164" s="23">
        <v>163</v>
      </c>
      <c r="B164" s="20">
        <f t="shared" si="12"/>
        <v>120</v>
      </c>
      <c r="C164" s="20">
        <f t="shared" si="13"/>
        <v>163</v>
      </c>
      <c r="D164" s="27">
        <v>77441</v>
      </c>
      <c r="E164" s="20">
        <f t="shared" si="17"/>
        <v>60</v>
      </c>
      <c r="F164" s="10">
        <f t="shared" si="14"/>
        <v>1</v>
      </c>
      <c r="G164" s="29">
        <f t="shared" si="15"/>
        <v>0</v>
      </c>
      <c r="H164" s="29">
        <f t="shared" si="16"/>
        <v>0</v>
      </c>
      <c r="I164" s="12"/>
    </row>
    <row r="165" spans="1:9" x14ac:dyDescent="0.15">
      <c r="A165" s="23">
        <v>164</v>
      </c>
      <c r="B165" s="20">
        <f t="shared" si="12"/>
        <v>120</v>
      </c>
      <c r="C165" s="20">
        <f t="shared" si="13"/>
        <v>164</v>
      </c>
      <c r="D165" s="27">
        <v>78132</v>
      </c>
      <c r="E165" s="20">
        <f t="shared" si="17"/>
        <v>60</v>
      </c>
      <c r="F165" s="10">
        <f t="shared" si="14"/>
        <v>0</v>
      </c>
      <c r="G165" s="29">
        <f t="shared" si="15"/>
        <v>1</v>
      </c>
      <c r="H165" s="29">
        <f t="shared" si="16"/>
        <v>0</v>
      </c>
      <c r="I165" s="12"/>
    </row>
    <row r="166" spans="1:9" x14ac:dyDescent="0.15">
      <c r="A166" s="23">
        <v>165</v>
      </c>
      <c r="B166" s="20">
        <f t="shared" si="12"/>
        <v>121</v>
      </c>
      <c r="C166" s="20">
        <f t="shared" si="13"/>
        <v>164</v>
      </c>
      <c r="D166" s="27">
        <v>78823</v>
      </c>
      <c r="E166" s="20">
        <f t="shared" si="17"/>
        <v>60</v>
      </c>
      <c r="F166" s="10">
        <f t="shared" si="14"/>
        <v>1</v>
      </c>
      <c r="G166" s="29">
        <f t="shared" si="15"/>
        <v>0</v>
      </c>
      <c r="H166" s="29">
        <f t="shared" si="16"/>
        <v>0</v>
      </c>
      <c r="I166" s="12"/>
    </row>
    <row r="167" spans="1:9" x14ac:dyDescent="0.15">
      <c r="A167" s="23">
        <v>166</v>
      </c>
      <c r="B167" s="20">
        <f t="shared" si="12"/>
        <v>121</v>
      </c>
      <c r="C167" s="20">
        <f t="shared" si="13"/>
        <v>164</v>
      </c>
      <c r="D167" s="27">
        <v>79515</v>
      </c>
      <c r="E167" s="20">
        <f t="shared" si="17"/>
        <v>60</v>
      </c>
      <c r="F167" s="10">
        <f t="shared" si="14"/>
        <v>0</v>
      </c>
      <c r="G167" s="29">
        <f t="shared" si="15"/>
        <v>0</v>
      </c>
      <c r="H167" s="29">
        <f t="shared" si="16"/>
        <v>0</v>
      </c>
      <c r="I167" s="12"/>
    </row>
    <row r="168" spans="1:9" x14ac:dyDescent="0.15">
      <c r="A168" s="23">
        <v>167</v>
      </c>
      <c r="B168" s="20">
        <f t="shared" si="12"/>
        <v>122</v>
      </c>
      <c r="C168" s="20">
        <f t="shared" si="13"/>
        <v>164</v>
      </c>
      <c r="D168" s="27">
        <v>80207</v>
      </c>
      <c r="E168" s="20">
        <f t="shared" si="17"/>
        <v>60</v>
      </c>
      <c r="F168" s="10">
        <f t="shared" si="14"/>
        <v>1</v>
      </c>
      <c r="G168" s="29">
        <f t="shared" si="15"/>
        <v>0</v>
      </c>
      <c r="H168" s="29">
        <f t="shared" si="16"/>
        <v>0</v>
      </c>
      <c r="I168" s="12"/>
    </row>
    <row r="169" spans="1:9" x14ac:dyDescent="0.15">
      <c r="A169" s="23">
        <v>168</v>
      </c>
      <c r="B169" s="20">
        <f t="shared" si="12"/>
        <v>122</v>
      </c>
      <c r="C169" s="20">
        <f t="shared" si="13"/>
        <v>165</v>
      </c>
      <c r="D169" s="27">
        <v>80900</v>
      </c>
      <c r="E169" s="20">
        <f t="shared" si="17"/>
        <v>60</v>
      </c>
      <c r="F169" s="10">
        <f t="shared" si="14"/>
        <v>0</v>
      </c>
      <c r="G169" s="29">
        <f t="shared" si="15"/>
        <v>1</v>
      </c>
      <c r="H169" s="29">
        <f t="shared" si="16"/>
        <v>0</v>
      </c>
      <c r="I169" s="12"/>
    </row>
    <row r="170" spans="1:9" x14ac:dyDescent="0.15">
      <c r="A170" s="23">
        <v>169</v>
      </c>
      <c r="B170" s="20">
        <f t="shared" si="12"/>
        <v>123</v>
      </c>
      <c r="C170" s="20">
        <f t="shared" si="13"/>
        <v>165</v>
      </c>
      <c r="D170" s="27">
        <v>81593</v>
      </c>
      <c r="E170" s="20">
        <f t="shared" si="17"/>
        <v>60</v>
      </c>
      <c r="F170" s="10">
        <f t="shared" si="14"/>
        <v>1</v>
      </c>
      <c r="G170" s="29">
        <f t="shared" si="15"/>
        <v>0</v>
      </c>
      <c r="H170" s="29">
        <f t="shared" si="16"/>
        <v>0</v>
      </c>
      <c r="I170" s="12"/>
    </row>
    <row r="171" spans="1:9" x14ac:dyDescent="0.15">
      <c r="A171" s="23">
        <v>170</v>
      </c>
      <c r="B171" s="20">
        <f t="shared" si="12"/>
        <v>123</v>
      </c>
      <c r="C171" s="20">
        <f t="shared" si="13"/>
        <v>165</v>
      </c>
      <c r="D171" s="27">
        <v>82286</v>
      </c>
      <c r="E171" s="20">
        <f t="shared" si="17"/>
        <v>60</v>
      </c>
      <c r="F171" s="10">
        <f t="shared" si="14"/>
        <v>0</v>
      </c>
      <c r="G171" s="29">
        <f t="shared" si="15"/>
        <v>0</v>
      </c>
      <c r="H171" s="29">
        <f t="shared" si="16"/>
        <v>0</v>
      </c>
      <c r="I171" s="12"/>
    </row>
    <row r="172" spans="1:9" x14ac:dyDescent="0.15">
      <c r="A172" s="23">
        <v>171</v>
      </c>
      <c r="B172" s="20">
        <f t="shared" si="12"/>
        <v>124</v>
      </c>
      <c r="C172" s="20">
        <f t="shared" si="13"/>
        <v>165</v>
      </c>
      <c r="D172" s="27">
        <v>82979</v>
      </c>
      <c r="E172" s="20">
        <f t="shared" si="17"/>
        <v>60</v>
      </c>
      <c r="F172" s="10">
        <f t="shared" si="14"/>
        <v>1</v>
      </c>
      <c r="G172" s="29">
        <f t="shared" si="15"/>
        <v>0</v>
      </c>
      <c r="H172" s="29">
        <f t="shared" si="16"/>
        <v>0</v>
      </c>
      <c r="I172" s="12"/>
    </row>
    <row r="173" spans="1:9" x14ac:dyDescent="0.15">
      <c r="A173" s="23">
        <v>172</v>
      </c>
      <c r="B173" s="20">
        <f t="shared" si="12"/>
        <v>124</v>
      </c>
      <c r="C173" s="20">
        <f t="shared" si="13"/>
        <v>166</v>
      </c>
      <c r="D173" s="27">
        <v>83673</v>
      </c>
      <c r="E173" s="20">
        <f t="shared" si="17"/>
        <v>60</v>
      </c>
      <c r="F173" s="10">
        <f t="shared" si="14"/>
        <v>0</v>
      </c>
      <c r="G173" s="29">
        <f t="shared" si="15"/>
        <v>1</v>
      </c>
      <c r="H173" s="29">
        <f t="shared" si="16"/>
        <v>0</v>
      </c>
      <c r="I173" s="12"/>
    </row>
    <row r="174" spans="1:9" x14ac:dyDescent="0.15">
      <c r="A174" s="23">
        <v>173</v>
      </c>
      <c r="B174" s="20">
        <f t="shared" si="12"/>
        <v>125</v>
      </c>
      <c r="C174" s="20">
        <f t="shared" si="13"/>
        <v>166</v>
      </c>
      <c r="D174" s="27">
        <v>84367</v>
      </c>
      <c r="E174" s="20">
        <f t="shared" si="17"/>
        <v>60</v>
      </c>
      <c r="F174" s="10">
        <f t="shared" si="14"/>
        <v>1</v>
      </c>
      <c r="G174" s="29">
        <f t="shared" si="15"/>
        <v>0</v>
      </c>
      <c r="H174" s="29">
        <f t="shared" si="16"/>
        <v>0</v>
      </c>
      <c r="I174" s="12"/>
    </row>
    <row r="175" spans="1:9" x14ac:dyDescent="0.15">
      <c r="A175" s="23">
        <v>174</v>
      </c>
      <c r="B175" s="20">
        <f t="shared" si="12"/>
        <v>125</v>
      </c>
      <c r="C175" s="20">
        <f t="shared" si="13"/>
        <v>166</v>
      </c>
      <c r="D175" s="27">
        <v>85061</v>
      </c>
      <c r="E175" s="20">
        <f t="shared" si="17"/>
        <v>60</v>
      </c>
      <c r="F175" s="10">
        <f t="shared" si="14"/>
        <v>0</v>
      </c>
      <c r="G175" s="29">
        <f t="shared" si="15"/>
        <v>0</v>
      </c>
      <c r="H175" s="29">
        <f t="shared" si="16"/>
        <v>0</v>
      </c>
      <c r="I175" s="12"/>
    </row>
    <row r="176" spans="1:9" x14ac:dyDescent="0.15">
      <c r="A176" s="23">
        <v>175</v>
      </c>
      <c r="B176" s="20">
        <f t="shared" si="12"/>
        <v>126</v>
      </c>
      <c r="C176" s="20">
        <f t="shared" si="13"/>
        <v>166</v>
      </c>
      <c r="D176" s="27">
        <v>85755</v>
      </c>
      <c r="E176" s="20">
        <f t="shared" si="17"/>
        <v>60</v>
      </c>
      <c r="F176" s="10">
        <f t="shared" si="14"/>
        <v>1</v>
      </c>
      <c r="G176" s="29">
        <f t="shared" si="15"/>
        <v>0</v>
      </c>
      <c r="H176" s="29">
        <f t="shared" si="16"/>
        <v>0</v>
      </c>
      <c r="I176" s="12"/>
    </row>
    <row r="177" spans="1:9" x14ac:dyDescent="0.15">
      <c r="A177" s="23">
        <v>176</v>
      </c>
      <c r="B177" s="20">
        <f t="shared" si="12"/>
        <v>126</v>
      </c>
      <c r="C177" s="20">
        <f t="shared" si="13"/>
        <v>167</v>
      </c>
      <c r="D177" s="27">
        <v>86449</v>
      </c>
      <c r="E177" s="20">
        <f t="shared" si="17"/>
        <v>60</v>
      </c>
      <c r="F177" s="10">
        <f t="shared" si="14"/>
        <v>0</v>
      </c>
      <c r="G177" s="29">
        <f t="shared" si="15"/>
        <v>1</v>
      </c>
      <c r="H177" s="29">
        <f t="shared" si="16"/>
        <v>0</v>
      </c>
      <c r="I177" s="12"/>
    </row>
    <row r="178" spans="1:9" x14ac:dyDescent="0.15">
      <c r="A178" s="23">
        <v>177</v>
      </c>
      <c r="B178" s="20">
        <f t="shared" si="12"/>
        <v>127</v>
      </c>
      <c r="C178" s="20">
        <f t="shared" si="13"/>
        <v>167</v>
      </c>
      <c r="D178" s="27">
        <v>87143</v>
      </c>
      <c r="E178" s="20">
        <f t="shared" si="17"/>
        <v>60</v>
      </c>
      <c r="F178" s="10">
        <f t="shared" si="14"/>
        <v>1</v>
      </c>
      <c r="G178" s="29">
        <f t="shared" si="15"/>
        <v>0</v>
      </c>
      <c r="H178" s="29">
        <f t="shared" si="16"/>
        <v>0</v>
      </c>
      <c r="I178" s="12"/>
    </row>
    <row r="179" spans="1:9" x14ac:dyDescent="0.15">
      <c r="A179" s="23">
        <v>178</v>
      </c>
      <c r="B179" s="20">
        <f t="shared" si="12"/>
        <v>127</v>
      </c>
      <c r="C179" s="20">
        <f t="shared" si="13"/>
        <v>167</v>
      </c>
      <c r="D179" s="27">
        <v>87837</v>
      </c>
      <c r="E179" s="20">
        <f t="shared" si="17"/>
        <v>60</v>
      </c>
      <c r="F179" s="10">
        <f t="shared" si="14"/>
        <v>0</v>
      </c>
      <c r="G179" s="29">
        <f t="shared" si="15"/>
        <v>0</v>
      </c>
      <c r="H179" s="29">
        <f t="shared" si="16"/>
        <v>0</v>
      </c>
      <c r="I179" s="12"/>
    </row>
    <row r="180" spans="1:9" x14ac:dyDescent="0.15">
      <c r="A180" s="23">
        <v>179</v>
      </c>
      <c r="B180" s="20">
        <f t="shared" si="12"/>
        <v>128</v>
      </c>
      <c r="C180" s="20">
        <f t="shared" si="13"/>
        <v>167</v>
      </c>
      <c r="D180" s="27">
        <v>88531</v>
      </c>
      <c r="E180" s="20">
        <f t="shared" si="17"/>
        <v>60</v>
      </c>
      <c r="F180" s="10">
        <f t="shared" si="14"/>
        <v>1</v>
      </c>
      <c r="G180" s="29">
        <f t="shared" si="15"/>
        <v>0</v>
      </c>
      <c r="H180" s="29">
        <f t="shared" si="16"/>
        <v>0</v>
      </c>
      <c r="I180" s="12"/>
    </row>
    <row r="181" spans="1:9" x14ac:dyDescent="0.15">
      <c r="A181" s="23">
        <v>180</v>
      </c>
      <c r="B181" s="20">
        <f t="shared" si="12"/>
        <v>128</v>
      </c>
      <c r="C181" s="20">
        <f t="shared" si="13"/>
        <v>168</v>
      </c>
      <c r="D181" s="27">
        <v>89224</v>
      </c>
      <c r="E181" s="20">
        <f t="shared" si="17"/>
        <v>60</v>
      </c>
      <c r="F181" s="10">
        <f t="shared" si="14"/>
        <v>0</v>
      </c>
      <c r="G181" s="29">
        <f t="shared" si="15"/>
        <v>1</v>
      </c>
      <c r="H181" s="29">
        <f t="shared" si="16"/>
        <v>0</v>
      </c>
      <c r="I181" s="12"/>
    </row>
    <row r="182" spans="1:9" x14ac:dyDescent="0.15">
      <c r="A182" s="23">
        <v>181</v>
      </c>
      <c r="B182" s="20">
        <f t="shared" si="12"/>
        <v>129</v>
      </c>
      <c r="C182" s="20">
        <f t="shared" si="13"/>
        <v>168</v>
      </c>
      <c r="D182" s="27">
        <v>89917</v>
      </c>
      <c r="E182" s="20">
        <f t="shared" si="17"/>
        <v>60</v>
      </c>
      <c r="F182" s="10">
        <f t="shared" si="14"/>
        <v>1</v>
      </c>
      <c r="G182" s="29">
        <f t="shared" si="15"/>
        <v>0</v>
      </c>
      <c r="H182" s="29">
        <f t="shared" si="16"/>
        <v>0</v>
      </c>
      <c r="I182" s="12"/>
    </row>
    <row r="183" spans="1:9" x14ac:dyDescent="0.15">
      <c r="A183" s="23">
        <v>182</v>
      </c>
      <c r="B183" s="20">
        <f t="shared" si="12"/>
        <v>129</v>
      </c>
      <c r="C183" s="20">
        <f t="shared" si="13"/>
        <v>168</v>
      </c>
      <c r="D183" s="27">
        <v>90610</v>
      </c>
      <c r="E183" s="20">
        <f t="shared" si="17"/>
        <v>60</v>
      </c>
      <c r="F183" s="10">
        <f t="shared" si="14"/>
        <v>0</v>
      </c>
      <c r="G183" s="29">
        <f t="shared" si="15"/>
        <v>0</v>
      </c>
      <c r="H183" s="29">
        <f t="shared" si="16"/>
        <v>0</v>
      </c>
      <c r="I183" s="12"/>
    </row>
    <row r="184" spans="1:9" x14ac:dyDescent="0.15">
      <c r="A184" s="23">
        <v>183</v>
      </c>
      <c r="B184" s="20">
        <f t="shared" si="12"/>
        <v>130</v>
      </c>
      <c r="C184" s="20">
        <f t="shared" si="13"/>
        <v>168</v>
      </c>
      <c r="D184" s="27">
        <v>91302</v>
      </c>
      <c r="E184" s="20">
        <f t="shared" si="17"/>
        <v>60</v>
      </c>
      <c r="F184" s="10">
        <f t="shared" si="14"/>
        <v>1</v>
      </c>
      <c r="G184" s="29">
        <f t="shared" si="15"/>
        <v>0</v>
      </c>
      <c r="H184" s="29">
        <f t="shared" si="16"/>
        <v>0</v>
      </c>
      <c r="I184" s="12"/>
    </row>
    <row r="185" spans="1:9" x14ac:dyDescent="0.15">
      <c r="A185" s="23">
        <v>184</v>
      </c>
      <c r="B185" s="20">
        <f t="shared" si="12"/>
        <v>130</v>
      </c>
      <c r="C185" s="20">
        <f t="shared" si="13"/>
        <v>169</v>
      </c>
      <c r="D185" s="27">
        <v>91994</v>
      </c>
      <c r="E185" s="20">
        <f t="shared" si="17"/>
        <v>60</v>
      </c>
      <c r="F185" s="10">
        <f t="shared" si="14"/>
        <v>0</v>
      </c>
      <c r="G185" s="29">
        <f t="shared" si="15"/>
        <v>1</v>
      </c>
      <c r="H185" s="29">
        <f t="shared" si="16"/>
        <v>0</v>
      </c>
      <c r="I185" s="12"/>
    </row>
    <row r="186" spans="1:9" x14ac:dyDescent="0.15">
      <c r="A186" s="23">
        <v>185</v>
      </c>
      <c r="B186" s="20">
        <f t="shared" si="12"/>
        <v>131</v>
      </c>
      <c r="C186" s="20">
        <f t="shared" si="13"/>
        <v>169</v>
      </c>
      <c r="D186" s="27">
        <v>92685</v>
      </c>
      <c r="E186" s="20">
        <f t="shared" si="17"/>
        <v>60</v>
      </c>
      <c r="F186" s="10">
        <f t="shared" si="14"/>
        <v>1</v>
      </c>
      <c r="G186" s="29">
        <f t="shared" si="15"/>
        <v>0</v>
      </c>
      <c r="H186" s="29">
        <f t="shared" si="16"/>
        <v>0</v>
      </c>
      <c r="I186" s="12"/>
    </row>
    <row r="187" spans="1:9" x14ac:dyDescent="0.15">
      <c r="A187" s="23">
        <v>186</v>
      </c>
      <c r="B187" s="20">
        <f t="shared" si="12"/>
        <v>131</v>
      </c>
      <c r="C187" s="20">
        <f t="shared" si="13"/>
        <v>169</v>
      </c>
      <c r="D187" s="27">
        <v>93376</v>
      </c>
      <c r="E187" s="20">
        <f t="shared" si="17"/>
        <v>60</v>
      </c>
      <c r="F187" s="10">
        <f t="shared" si="14"/>
        <v>0</v>
      </c>
      <c r="G187" s="29">
        <f t="shared" si="15"/>
        <v>0</v>
      </c>
      <c r="H187" s="29">
        <f t="shared" si="16"/>
        <v>0</v>
      </c>
      <c r="I187" s="12"/>
    </row>
    <row r="188" spans="1:9" x14ac:dyDescent="0.15">
      <c r="A188" s="23">
        <v>187</v>
      </c>
      <c r="B188" s="20">
        <f t="shared" si="12"/>
        <v>132</v>
      </c>
      <c r="C188" s="20">
        <f t="shared" si="13"/>
        <v>169</v>
      </c>
      <c r="D188" s="27">
        <v>94065</v>
      </c>
      <c r="E188" s="20">
        <f t="shared" si="17"/>
        <v>60</v>
      </c>
      <c r="F188" s="10">
        <f t="shared" si="14"/>
        <v>1</v>
      </c>
      <c r="G188" s="29">
        <f t="shared" si="15"/>
        <v>0</v>
      </c>
      <c r="H188" s="29">
        <f t="shared" si="16"/>
        <v>0</v>
      </c>
      <c r="I188" s="12"/>
    </row>
    <row r="189" spans="1:9" x14ac:dyDescent="0.15">
      <c r="A189" s="23">
        <v>188</v>
      </c>
      <c r="B189" s="20">
        <f t="shared" si="12"/>
        <v>132</v>
      </c>
      <c r="C189" s="20">
        <f t="shared" si="13"/>
        <v>170</v>
      </c>
      <c r="D189" s="27">
        <v>94754</v>
      </c>
      <c r="E189" s="20">
        <f t="shared" si="17"/>
        <v>60</v>
      </c>
      <c r="F189" s="10">
        <f t="shared" si="14"/>
        <v>0</v>
      </c>
      <c r="G189" s="29">
        <f t="shared" si="15"/>
        <v>1</v>
      </c>
      <c r="H189" s="29">
        <f t="shared" si="16"/>
        <v>0</v>
      </c>
      <c r="I189" s="12"/>
    </row>
    <row r="190" spans="1:9" x14ac:dyDescent="0.15">
      <c r="A190" s="23">
        <v>189</v>
      </c>
      <c r="B190" s="20">
        <f t="shared" si="12"/>
        <v>133</v>
      </c>
      <c r="C190" s="20">
        <f t="shared" si="13"/>
        <v>170</v>
      </c>
      <c r="D190" s="27">
        <v>95442</v>
      </c>
      <c r="E190" s="20">
        <f t="shared" si="17"/>
        <v>60</v>
      </c>
      <c r="F190" s="10">
        <f t="shared" si="14"/>
        <v>1</v>
      </c>
      <c r="G190" s="29">
        <f t="shared" si="15"/>
        <v>0</v>
      </c>
      <c r="H190" s="29">
        <f t="shared" si="16"/>
        <v>0</v>
      </c>
      <c r="I190" s="12"/>
    </row>
    <row r="191" spans="1:9" x14ac:dyDescent="0.15">
      <c r="A191" s="23">
        <v>190</v>
      </c>
      <c r="B191" s="20">
        <f t="shared" si="12"/>
        <v>133</v>
      </c>
      <c r="C191" s="20">
        <f t="shared" si="13"/>
        <v>170</v>
      </c>
      <c r="D191" s="27">
        <v>96129</v>
      </c>
      <c r="E191" s="20">
        <f t="shared" si="17"/>
        <v>60</v>
      </c>
      <c r="F191" s="10">
        <f t="shared" si="14"/>
        <v>0</v>
      </c>
      <c r="G191" s="29">
        <f t="shared" si="15"/>
        <v>0</v>
      </c>
      <c r="H191" s="29">
        <f t="shared" si="16"/>
        <v>0</v>
      </c>
      <c r="I191" s="12"/>
    </row>
    <row r="192" spans="1:9" x14ac:dyDescent="0.15">
      <c r="A192" s="23">
        <v>191</v>
      </c>
      <c r="B192" s="20">
        <f t="shared" si="12"/>
        <v>134</v>
      </c>
      <c r="C192" s="20">
        <f t="shared" si="13"/>
        <v>170</v>
      </c>
      <c r="D192" s="27">
        <v>96815</v>
      </c>
      <c r="E192" s="20">
        <f t="shared" si="17"/>
        <v>60</v>
      </c>
      <c r="F192" s="10">
        <f t="shared" si="14"/>
        <v>1</v>
      </c>
      <c r="G192" s="29">
        <f t="shared" si="15"/>
        <v>0</v>
      </c>
      <c r="H192" s="29">
        <f t="shared" si="16"/>
        <v>0</v>
      </c>
      <c r="I192" s="12"/>
    </row>
    <row r="193" spans="1:9" x14ac:dyDescent="0.15">
      <c r="A193" s="23">
        <v>192</v>
      </c>
      <c r="B193" s="20">
        <f t="shared" si="12"/>
        <v>134</v>
      </c>
      <c r="C193" s="20">
        <f t="shared" si="13"/>
        <v>171</v>
      </c>
      <c r="D193" s="27">
        <v>97500</v>
      </c>
      <c r="E193" s="20">
        <f t="shared" si="17"/>
        <v>60</v>
      </c>
      <c r="F193" s="10">
        <f t="shared" si="14"/>
        <v>0</v>
      </c>
      <c r="G193" s="29">
        <f t="shared" si="15"/>
        <v>1</v>
      </c>
      <c r="H193" s="29">
        <f t="shared" si="16"/>
        <v>0</v>
      </c>
      <c r="I193" s="12"/>
    </row>
    <row r="194" spans="1:9" x14ac:dyDescent="0.15">
      <c r="A194" s="23">
        <v>193</v>
      </c>
      <c r="B194" s="20">
        <f t="shared" si="12"/>
        <v>135</v>
      </c>
      <c r="C194" s="20">
        <f t="shared" si="13"/>
        <v>171</v>
      </c>
      <c r="D194" s="27">
        <v>98184</v>
      </c>
      <c r="E194" s="20">
        <f t="shared" si="17"/>
        <v>60</v>
      </c>
      <c r="F194" s="10">
        <f t="shared" si="14"/>
        <v>1</v>
      </c>
      <c r="G194" s="29">
        <f t="shared" si="15"/>
        <v>0</v>
      </c>
      <c r="H194" s="29">
        <f t="shared" si="16"/>
        <v>0</v>
      </c>
      <c r="I194" s="12"/>
    </row>
    <row r="195" spans="1:9" x14ac:dyDescent="0.15">
      <c r="A195" s="23">
        <v>194</v>
      </c>
      <c r="B195" s="20">
        <f t="shared" ref="B195:B258" si="18">B194+F195</f>
        <v>135</v>
      </c>
      <c r="C195" s="20">
        <f t="shared" ref="C195:C258" si="19">C194+G195</f>
        <v>171</v>
      </c>
      <c r="D195" s="27">
        <v>98866</v>
      </c>
      <c r="E195" s="20">
        <f t="shared" si="17"/>
        <v>60</v>
      </c>
      <c r="F195" s="10">
        <f t="shared" ref="F195:F258" si="20">IF(A195&gt;=106, IF(MOD(A195,2)=0,0,1), IF(A195 &gt;= 65, IF(MOD(A195, 2) =0,0, IF(MOD(A195,5)= 0, 2, 1)), IF(MOD(A195, 2) =0,0, IF(MOD(A195,5)= 0, 5, 1))))</f>
        <v>0</v>
      </c>
      <c r="G195" s="29">
        <f t="shared" ref="G195:G258" si="21">IF($A195&gt;=100,IF(MOD($A195,4)=0,1,0),IF(MOD($A195,5)=0,3,IF(MOD($A195,2)=0,1,0)))</f>
        <v>0</v>
      </c>
      <c r="H195" s="29">
        <f t="shared" ref="H195:H258" si="22">IF($A195&gt;=51,0,IF($A195&gt;=30,IF(MOD($A195,5)=0,1,0),IF($A195&gt;=11,IF(MOD($A195,5)=0,3,IF(MOD($A195,2)=0,1,0)),IF(MOD($A195,5)=0,5,IF(MOD($A195,2)=0,2,0)))))</f>
        <v>0</v>
      </c>
      <c r="I195" s="12"/>
    </row>
    <row r="196" spans="1:9" x14ac:dyDescent="0.15">
      <c r="A196" s="23">
        <v>195</v>
      </c>
      <c r="B196" s="20">
        <f t="shared" si="18"/>
        <v>136</v>
      </c>
      <c r="C196" s="20">
        <f t="shared" si="19"/>
        <v>171</v>
      </c>
      <c r="D196" s="27">
        <v>99547</v>
      </c>
      <c r="E196" s="20">
        <f t="shared" ref="E196:E259" si="23">E195+H196</f>
        <v>60</v>
      </c>
      <c r="F196" s="10">
        <f t="shared" si="20"/>
        <v>1</v>
      </c>
      <c r="G196" s="29">
        <f t="shared" si="21"/>
        <v>0</v>
      </c>
      <c r="H196" s="29">
        <f t="shared" si="22"/>
        <v>0</v>
      </c>
      <c r="I196" s="12"/>
    </row>
    <row r="197" spans="1:9" x14ac:dyDescent="0.15">
      <c r="A197" s="23">
        <v>196</v>
      </c>
      <c r="B197" s="20">
        <f t="shared" si="18"/>
        <v>136</v>
      </c>
      <c r="C197" s="20">
        <f t="shared" si="19"/>
        <v>172</v>
      </c>
      <c r="D197" s="27">
        <v>100227</v>
      </c>
      <c r="E197" s="20">
        <f t="shared" si="23"/>
        <v>60</v>
      </c>
      <c r="F197" s="10">
        <f t="shared" si="20"/>
        <v>0</v>
      </c>
      <c r="G197" s="29">
        <f t="shared" si="21"/>
        <v>1</v>
      </c>
      <c r="H197" s="29">
        <f t="shared" si="22"/>
        <v>0</v>
      </c>
      <c r="I197" s="12"/>
    </row>
    <row r="198" spans="1:9" x14ac:dyDescent="0.15">
      <c r="A198" s="23">
        <v>197</v>
      </c>
      <c r="B198" s="20">
        <f t="shared" si="18"/>
        <v>137</v>
      </c>
      <c r="C198" s="20">
        <f t="shared" si="19"/>
        <v>172</v>
      </c>
      <c r="D198" s="27">
        <v>100905</v>
      </c>
      <c r="E198" s="20">
        <f t="shared" si="23"/>
        <v>60</v>
      </c>
      <c r="F198" s="10">
        <f t="shared" si="20"/>
        <v>1</v>
      </c>
      <c r="G198" s="29">
        <f t="shared" si="21"/>
        <v>0</v>
      </c>
      <c r="H198" s="29">
        <f t="shared" si="22"/>
        <v>0</v>
      </c>
      <c r="I198" s="12"/>
    </row>
    <row r="199" spans="1:9" x14ac:dyDescent="0.15">
      <c r="A199" s="23">
        <v>198</v>
      </c>
      <c r="B199" s="20">
        <f t="shared" si="18"/>
        <v>137</v>
      </c>
      <c r="C199" s="20">
        <f t="shared" si="19"/>
        <v>172</v>
      </c>
      <c r="D199" s="27">
        <v>101581</v>
      </c>
      <c r="E199" s="20">
        <f t="shared" si="23"/>
        <v>60</v>
      </c>
      <c r="F199" s="10">
        <f t="shared" si="20"/>
        <v>0</v>
      </c>
      <c r="G199" s="29">
        <f t="shared" si="21"/>
        <v>0</v>
      </c>
      <c r="H199" s="29">
        <f t="shared" si="22"/>
        <v>0</v>
      </c>
      <c r="I199" s="12"/>
    </row>
    <row r="200" spans="1:9" x14ac:dyDescent="0.15">
      <c r="A200" s="23">
        <v>199</v>
      </c>
      <c r="B200" s="20">
        <f t="shared" si="18"/>
        <v>138</v>
      </c>
      <c r="C200" s="20">
        <f t="shared" si="19"/>
        <v>172</v>
      </c>
      <c r="D200" s="27">
        <v>102256</v>
      </c>
      <c r="E200" s="20">
        <f t="shared" si="23"/>
        <v>60</v>
      </c>
      <c r="F200" s="10">
        <f t="shared" si="20"/>
        <v>1</v>
      </c>
      <c r="G200" s="29">
        <f t="shared" si="21"/>
        <v>0</v>
      </c>
      <c r="H200" s="29">
        <f t="shared" si="22"/>
        <v>0</v>
      </c>
      <c r="I200" s="12"/>
    </row>
    <row r="201" spans="1:9" x14ac:dyDescent="0.15">
      <c r="A201" s="23">
        <v>200</v>
      </c>
      <c r="B201" s="20">
        <f t="shared" si="18"/>
        <v>138</v>
      </c>
      <c r="C201" s="20">
        <f t="shared" si="19"/>
        <v>173</v>
      </c>
      <c r="D201" s="27">
        <v>102929</v>
      </c>
      <c r="E201" s="20">
        <f t="shared" si="23"/>
        <v>60</v>
      </c>
      <c r="F201" s="10">
        <f t="shared" si="20"/>
        <v>0</v>
      </c>
      <c r="G201" s="29">
        <f t="shared" si="21"/>
        <v>1</v>
      </c>
      <c r="H201" s="29">
        <f t="shared" si="22"/>
        <v>0</v>
      </c>
      <c r="I201" s="12"/>
    </row>
    <row r="202" spans="1:9" x14ac:dyDescent="0.15">
      <c r="A202" s="23">
        <v>201</v>
      </c>
      <c r="B202" s="20">
        <f t="shared" si="18"/>
        <v>139</v>
      </c>
      <c r="C202" s="20">
        <f t="shared" si="19"/>
        <v>173</v>
      </c>
      <c r="D202" s="52">
        <v>103600</v>
      </c>
      <c r="E202" s="20">
        <f t="shared" si="23"/>
        <v>60</v>
      </c>
      <c r="F202" s="10">
        <f t="shared" si="20"/>
        <v>1</v>
      </c>
      <c r="G202" s="29">
        <f t="shared" si="21"/>
        <v>0</v>
      </c>
      <c r="H202" s="29">
        <f t="shared" si="22"/>
        <v>0</v>
      </c>
    </row>
    <row r="203" spans="1:9" x14ac:dyDescent="0.15">
      <c r="A203" s="23">
        <v>202</v>
      </c>
      <c r="B203" s="20">
        <f t="shared" si="18"/>
        <v>139</v>
      </c>
      <c r="C203" s="20">
        <f t="shared" si="19"/>
        <v>173</v>
      </c>
      <c r="D203" s="52">
        <v>104480</v>
      </c>
      <c r="E203" s="20">
        <f t="shared" si="23"/>
        <v>60</v>
      </c>
      <c r="F203" s="10">
        <f t="shared" si="20"/>
        <v>0</v>
      </c>
      <c r="G203" s="29">
        <f t="shared" si="21"/>
        <v>0</v>
      </c>
      <c r="H203" s="29">
        <f t="shared" si="22"/>
        <v>0</v>
      </c>
    </row>
    <row r="204" spans="1:9" x14ac:dyDescent="0.15">
      <c r="A204" s="23">
        <v>203</v>
      </c>
      <c r="B204" s="20">
        <f t="shared" si="18"/>
        <v>140</v>
      </c>
      <c r="C204" s="20">
        <f t="shared" si="19"/>
        <v>173</v>
      </c>
      <c r="D204" s="52">
        <v>105368</v>
      </c>
      <c r="E204" s="20">
        <f t="shared" si="23"/>
        <v>60</v>
      </c>
      <c r="F204" s="10">
        <f t="shared" si="20"/>
        <v>1</v>
      </c>
      <c r="G204" s="29">
        <f t="shared" si="21"/>
        <v>0</v>
      </c>
      <c r="H204" s="29">
        <f t="shared" si="22"/>
        <v>0</v>
      </c>
    </row>
    <row r="205" spans="1:9" x14ac:dyDescent="0.15">
      <c r="A205" s="23">
        <v>204</v>
      </c>
      <c r="B205" s="20">
        <f t="shared" si="18"/>
        <v>140</v>
      </c>
      <c r="C205" s="20">
        <f t="shared" si="19"/>
        <v>174</v>
      </c>
      <c r="D205" s="52">
        <v>106264</v>
      </c>
      <c r="E205" s="20">
        <f t="shared" si="23"/>
        <v>60</v>
      </c>
      <c r="F205" s="10">
        <f t="shared" si="20"/>
        <v>0</v>
      </c>
      <c r="G205" s="29">
        <f t="shared" si="21"/>
        <v>1</v>
      </c>
      <c r="H205" s="29">
        <f t="shared" si="22"/>
        <v>0</v>
      </c>
    </row>
    <row r="206" spans="1:9" x14ac:dyDescent="0.15">
      <c r="A206" s="23">
        <v>205</v>
      </c>
      <c r="B206" s="20">
        <f t="shared" si="18"/>
        <v>141</v>
      </c>
      <c r="C206" s="20">
        <f t="shared" si="19"/>
        <v>174</v>
      </c>
      <c r="D206" s="52">
        <v>107167</v>
      </c>
      <c r="E206" s="20">
        <f t="shared" si="23"/>
        <v>60</v>
      </c>
      <c r="F206" s="10">
        <f t="shared" si="20"/>
        <v>1</v>
      </c>
      <c r="G206" s="29">
        <f t="shared" si="21"/>
        <v>0</v>
      </c>
      <c r="H206" s="29">
        <f t="shared" si="22"/>
        <v>0</v>
      </c>
    </row>
    <row r="207" spans="1:9" x14ac:dyDescent="0.15">
      <c r="A207" s="23">
        <v>206</v>
      </c>
      <c r="B207" s="20">
        <f t="shared" si="18"/>
        <v>141</v>
      </c>
      <c r="C207" s="20">
        <f t="shared" si="19"/>
        <v>174</v>
      </c>
      <c r="D207" s="52">
        <v>108078</v>
      </c>
      <c r="E207" s="20">
        <f t="shared" si="23"/>
        <v>60</v>
      </c>
      <c r="F207" s="10">
        <f t="shared" si="20"/>
        <v>0</v>
      </c>
      <c r="G207" s="29">
        <f t="shared" si="21"/>
        <v>0</v>
      </c>
      <c r="H207" s="29">
        <f t="shared" si="22"/>
        <v>0</v>
      </c>
    </row>
    <row r="208" spans="1:9" x14ac:dyDescent="0.15">
      <c r="A208" s="23">
        <v>207</v>
      </c>
      <c r="B208" s="20">
        <f t="shared" si="18"/>
        <v>142</v>
      </c>
      <c r="C208" s="20">
        <f t="shared" si="19"/>
        <v>174</v>
      </c>
      <c r="D208" s="52">
        <v>108997</v>
      </c>
      <c r="E208" s="20">
        <f t="shared" si="23"/>
        <v>60</v>
      </c>
      <c r="F208" s="10">
        <f t="shared" si="20"/>
        <v>1</v>
      </c>
      <c r="G208" s="29">
        <f t="shared" si="21"/>
        <v>0</v>
      </c>
      <c r="H208" s="29">
        <f t="shared" si="22"/>
        <v>0</v>
      </c>
    </row>
    <row r="209" spans="1:8" x14ac:dyDescent="0.15">
      <c r="A209" s="23">
        <v>208</v>
      </c>
      <c r="B209" s="20">
        <f t="shared" si="18"/>
        <v>142</v>
      </c>
      <c r="C209" s="20">
        <f t="shared" si="19"/>
        <v>175</v>
      </c>
      <c r="D209" s="52">
        <v>109923</v>
      </c>
      <c r="E209" s="20">
        <f t="shared" si="23"/>
        <v>60</v>
      </c>
      <c r="F209" s="10">
        <f t="shared" si="20"/>
        <v>0</v>
      </c>
      <c r="G209" s="29">
        <f t="shared" si="21"/>
        <v>1</v>
      </c>
      <c r="H209" s="29">
        <f t="shared" si="22"/>
        <v>0</v>
      </c>
    </row>
    <row r="210" spans="1:8" x14ac:dyDescent="0.15">
      <c r="A210" s="23">
        <v>209</v>
      </c>
      <c r="B210" s="20">
        <f t="shared" si="18"/>
        <v>143</v>
      </c>
      <c r="C210" s="20">
        <f t="shared" si="19"/>
        <v>175</v>
      </c>
      <c r="D210" s="52">
        <v>110857</v>
      </c>
      <c r="E210" s="20">
        <f t="shared" si="23"/>
        <v>60</v>
      </c>
      <c r="F210" s="10">
        <f t="shared" si="20"/>
        <v>1</v>
      </c>
      <c r="G210" s="29">
        <f t="shared" si="21"/>
        <v>0</v>
      </c>
      <c r="H210" s="29">
        <f t="shared" si="22"/>
        <v>0</v>
      </c>
    </row>
    <row r="211" spans="1:8" x14ac:dyDescent="0.15">
      <c r="A211" s="23">
        <v>210</v>
      </c>
      <c r="B211" s="20">
        <f t="shared" si="18"/>
        <v>143</v>
      </c>
      <c r="C211" s="20">
        <f t="shared" si="19"/>
        <v>175</v>
      </c>
      <c r="D211" s="52">
        <v>111800</v>
      </c>
      <c r="E211" s="20">
        <f t="shared" si="23"/>
        <v>60</v>
      </c>
      <c r="F211" s="10">
        <f t="shared" si="20"/>
        <v>0</v>
      </c>
      <c r="G211" s="29">
        <f t="shared" si="21"/>
        <v>0</v>
      </c>
      <c r="H211" s="29">
        <f t="shared" si="22"/>
        <v>0</v>
      </c>
    </row>
    <row r="212" spans="1:8" x14ac:dyDescent="0.15">
      <c r="A212" s="23">
        <v>211</v>
      </c>
      <c r="B212" s="20">
        <f t="shared" si="18"/>
        <v>144</v>
      </c>
      <c r="C212" s="20">
        <f t="shared" si="19"/>
        <v>175</v>
      </c>
      <c r="D212" s="52">
        <v>112750</v>
      </c>
      <c r="E212" s="20">
        <f t="shared" si="23"/>
        <v>60</v>
      </c>
      <c r="F212" s="10">
        <f t="shared" si="20"/>
        <v>1</v>
      </c>
      <c r="G212" s="29">
        <f t="shared" si="21"/>
        <v>0</v>
      </c>
      <c r="H212" s="29">
        <f t="shared" si="22"/>
        <v>0</v>
      </c>
    </row>
    <row r="213" spans="1:8" x14ac:dyDescent="0.15">
      <c r="A213" s="23">
        <v>212</v>
      </c>
      <c r="B213" s="20">
        <f t="shared" si="18"/>
        <v>144</v>
      </c>
      <c r="C213" s="20">
        <f t="shared" si="19"/>
        <v>176</v>
      </c>
      <c r="D213" s="52">
        <v>113708</v>
      </c>
      <c r="E213" s="20">
        <f t="shared" si="23"/>
        <v>60</v>
      </c>
      <c r="F213" s="10">
        <f t="shared" si="20"/>
        <v>0</v>
      </c>
      <c r="G213" s="29">
        <f t="shared" si="21"/>
        <v>1</v>
      </c>
      <c r="H213" s="29">
        <f t="shared" si="22"/>
        <v>0</v>
      </c>
    </row>
    <row r="214" spans="1:8" x14ac:dyDescent="0.15">
      <c r="A214" s="23">
        <v>213</v>
      </c>
      <c r="B214" s="20">
        <f t="shared" si="18"/>
        <v>145</v>
      </c>
      <c r="C214" s="20">
        <f t="shared" si="19"/>
        <v>176</v>
      </c>
      <c r="D214" s="52">
        <v>114675</v>
      </c>
      <c r="E214" s="20">
        <f t="shared" si="23"/>
        <v>60</v>
      </c>
      <c r="F214" s="10">
        <f t="shared" si="20"/>
        <v>1</v>
      </c>
      <c r="G214" s="29">
        <f t="shared" si="21"/>
        <v>0</v>
      </c>
      <c r="H214" s="29">
        <f t="shared" si="22"/>
        <v>0</v>
      </c>
    </row>
    <row r="215" spans="1:8" x14ac:dyDescent="0.15">
      <c r="A215" s="23">
        <v>214</v>
      </c>
      <c r="B215" s="20">
        <f t="shared" si="18"/>
        <v>145</v>
      </c>
      <c r="C215" s="20">
        <f t="shared" si="19"/>
        <v>176</v>
      </c>
      <c r="D215" s="52">
        <v>115650</v>
      </c>
      <c r="E215" s="20">
        <f t="shared" si="23"/>
        <v>60</v>
      </c>
      <c r="F215" s="10">
        <f t="shared" si="20"/>
        <v>0</v>
      </c>
      <c r="G215" s="29">
        <f t="shared" si="21"/>
        <v>0</v>
      </c>
      <c r="H215" s="29">
        <f t="shared" si="22"/>
        <v>0</v>
      </c>
    </row>
    <row r="216" spans="1:8" x14ac:dyDescent="0.15">
      <c r="A216" s="23">
        <v>215</v>
      </c>
      <c r="B216" s="20">
        <f t="shared" si="18"/>
        <v>146</v>
      </c>
      <c r="C216" s="20">
        <f t="shared" si="19"/>
        <v>176</v>
      </c>
      <c r="D216" s="52">
        <v>116633</v>
      </c>
      <c r="E216" s="20">
        <f t="shared" si="23"/>
        <v>60</v>
      </c>
      <c r="F216" s="10">
        <f t="shared" si="20"/>
        <v>1</v>
      </c>
      <c r="G216" s="29">
        <f t="shared" si="21"/>
        <v>0</v>
      </c>
      <c r="H216" s="29">
        <f t="shared" si="22"/>
        <v>0</v>
      </c>
    </row>
    <row r="217" spans="1:8" x14ac:dyDescent="0.15">
      <c r="A217" s="23">
        <v>216</v>
      </c>
      <c r="B217" s="20">
        <f t="shared" si="18"/>
        <v>146</v>
      </c>
      <c r="C217" s="20">
        <f t="shared" si="19"/>
        <v>177</v>
      </c>
      <c r="D217" s="52">
        <v>117624</v>
      </c>
      <c r="E217" s="20">
        <f t="shared" si="23"/>
        <v>60</v>
      </c>
      <c r="F217" s="10">
        <f t="shared" si="20"/>
        <v>0</v>
      </c>
      <c r="G217" s="29">
        <f t="shared" si="21"/>
        <v>1</v>
      </c>
      <c r="H217" s="29">
        <f t="shared" si="22"/>
        <v>0</v>
      </c>
    </row>
    <row r="218" spans="1:8" x14ac:dyDescent="0.15">
      <c r="A218" s="23">
        <v>217</v>
      </c>
      <c r="B218" s="20">
        <f t="shared" si="18"/>
        <v>147</v>
      </c>
      <c r="C218" s="20">
        <f t="shared" si="19"/>
        <v>177</v>
      </c>
      <c r="D218" s="52">
        <v>118624</v>
      </c>
      <c r="E218" s="20">
        <f t="shared" si="23"/>
        <v>60</v>
      </c>
      <c r="F218" s="10">
        <f t="shared" si="20"/>
        <v>1</v>
      </c>
      <c r="G218" s="29">
        <f t="shared" si="21"/>
        <v>0</v>
      </c>
      <c r="H218" s="29">
        <f t="shared" si="22"/>
        <v>0</v>
      </c>
    </row>
    <row r="219" spans="1:8" x14ac:dyDescent="0.15">
      <c r="A219" s="23">
        <v>218</v>
      </c>
      <c r="B219" s="20">
        <f t="shared" si="18"/>
        <v>147</v>
      </c>
      <c r="C219" s="20">
        <f t="shared" si="19"/>
        <v>177</v>
      </c>
      <c r="D219" s="52">
        <v>119632</v>
      </c>
      <c r="E219" s="20">
        <f t="shared" si="23"/>
        <v>60</v>
      </c>
      <c r="F219" s="10">
        <f t="shared" si="20"/>
        <v>0</v>
      </c>
      <c r="G219" s="29">
        <f t="shared" si="21"/>
        <v>0</v>
      </c>
      <c r="H219" s="29">
        <f t="shared" si="22"/>
        <v>0</v>
      </c>
    </row>
    <row r="220" spans="1:8" x14ac:dyDescent="0.15">
      <c r="A220" s="23">
        <v>219</v>
      </c>
      <c r="B220" s="20">
        <f t="shared" si="18"/>
        <v>148</v>
      </c>
      <c r="C220" s="20">
        <f t="shared" si="19"/>
        <v>177</v>
      </c>
      <c r="D220" s="52">
        <v>120649</v>
      </c>
      <c r="E220" s="20">
        <f t="shared" si="23"/>
        <v>60</v>
      </c>
      <c r="F220" s="10">
        <f t="shared" si="20"/>
        <v>1</v>
      </c>
      <c r="G220" s="29">
        <f t="shared" si="21"/>
        <v>0</v>
      </c>
      <c r="H220" s="29">
        <f t="shared" si="22"/>
        <v>0</v>
      </c>
    </row>
    <row r="221" spans="1:8" x14ac:dyDescent="0.15">
      <c r="A221" s="23">
        <v>220</v>
      </c>
      <c r="B221" s="20">
        <f t="shared" si="18"/>
        <v>148</v>
      </c>
      <c r="C221" s="20">
        <f t="shared" si="19"/>
        <v>178</v>
      </c>
      <c r="D221" s="52">
        <v>121675</v>
      </c>
      <c r="E221" s="20">
        <f t="shared" si="23"/>
        <v>60</v>
      </c>
      <c r="F221" s="10">
        <f t="shared" si="20"/>
        <v>0</v>
      </c>
      <c r="G221" s="29">
        <f t="shared" si="21"/>
        <v>1</v>
      </c>
      <c r="H221" s="29">
        <f t="shared" si="22"/>
        <v>0</v>
      </c>
    </row>
    <row r="222" spans="1:8" x14ac:dyDescent="0.15">
      <c r="A222" s="23">
        <v>221</v>
      </c>
      <c r="B222" s="20">
        <f t="shared" si="18"/>
        <v>149</v>
      </c>
      <c r="C222" s="20">
        <f t="shared" si="19"/>
        <v>178</v>
      </c>
      <c r="D222" s="52">
        <v>122648</v>
      </c>
      <c r="E222" s="20">
        <f t="shared" si="23"/>
        <v>60</v>
      </c>
      <c r="F222" s="10">
        <f t="shared" si="20"/>
        <v>1</v>
      </c>
      <c r="G222" s="29">
        <f t="shared" si="21"/>
        <v>0</v>
      </c>
      <c r="H222" s="29">
        <f t="shared" si="22"/>
        <v>0</v>
      </c>
    </row>
    <row r="223" spans="1:8" x14ac:dyDescent="0.15">
      <c r="A223" s="23">
        <v>222</v>
      </c>
      <c r="B223" s="20">
        <f t="shared" si="18"/>
        <v>149</v>
      </c>
      <c r="C223" s="20">
        <f t="shared" si="19"/>
        <v>178</v>
      </c>
      <c r="D223" s="52">
        <v>123629</v>
      </c>
      <c r="E223" s="20">
        <f t="shared" si="23"/>
        <v>60</v>
      </c>
      <c r="F223" s="10">
        <f t="shared" si="20"/>
        <v>0</v>
      </c>
      <c r="G223" s="29">
        <f t="shared" si="21"/>
        <v>0</v>
      </c>
      <c r="H223" s="29">
        <f t="shared" si="22"/>
        <v>0</v>
      </c>
    </row>
    <row r="224" spans="1:8" x14ac:dyDescent="0.15">
      <c r="A224" s="23">
        <v>223</v>
      </c>
      <c r="B224" s="20">
        <f t="shared" si="18"/>
        <v>150</v>
      </c>
      <c r="C224" s="20">
        <f t="shared" si="19"/>
        <v>178</v>
      </c>
      <c r="D224" s="52">
        <v>124618</v>
      </c>
      <c r="E224" s="20">
        <f t="shared" si="23"/>
        <v>60</v>
      </c>
      <c r="F224" s="10">
        <f t="shared" si="20"/>
        <v>1</v>
      </c>
      <c r="G224" s="29">
        <f t="shared" si="21"/>
        <v>0</v>
      </c>
      <c r="H224" s="29">
        <f t="shared" si="22"/>
        <v>0</v>
      </c>
    </row>
    <row r="225" spans="1:8" x14ac:dyDescent="0.15">
      <c r="A225" s="23">
        <v>224</v>
      </c>
      <c r="B225" s="20">
        <f t="shared" si="18"/>
        <v>150</v>
      </c>
      <c r="C225" s="20">
        <f t="shared" si="19"/>
        <v>179</v>
      </c>
      <c r="D225" s="52">
        <v>125615</v>
      </c>
      <c r="E225" s="20">
        <f t="shared" si="23"/>
        <v>60</v>
      </c>
      <c r="F225" s="10">
        <f t="shared" si="20"/>
        <v>0</v>
      </c>
      <c r="G225" s="29">
        <f t="shared" si="21"/>
        <v>1</v>
      </c>
      <c r="H225" s="29">
        <f t="shared" si="22"/>
        <v>0</v>
      </c>
    </row>
    <row r="226" spans="1:8" x14ac:dyDescent="0.15">
      <c r="A226" s="23">
        <v>225</v>
      </c>
      <c r="B226" s="20">
        <f t="shared" si="18"/>
        <v>151</v>
      </c>
      <c r="C226" s="20">
        <f t="shared" si="19"/>
        <v>179</v>
      </c>
      <c r="D226" s="52">
        <v>126620</v>
      </c>
      <c r="E226" s="20">
        <f t="shared" si="23"/>
        <v>60</v>
      </c>
      <c r="F226" s="10">
        <f t="shared" si="20"/>
        <v>1</v>
      </c>
      <c r="G226" s="29">
        <f t="shared" si="21"/>
        <v>0</v>
      </c>
      <c r="H226" s="29">
        <f t="shared" si="22"/>
        <v>0</v>
      </c>
    </row>
    <row r="227" spans="1:8" x14ac:dyDescent="0.15">
      <c r="A227" s="23">
        <v>226</v>
      </c>
      <c r="B227" s="20">
        <f t="shared" si="18"/>
        <v>151</v>
      </c>
      <c r="C227" s="20">
        <f t="shared" si="19"/>
        <v>179</v>
      </c>
      <c r="D227" s="52">
        <v>127633</v>
      </c>
      <c r="E227" s="20">
        <f t="shared" si="23"/>
        <v>60</v>
      </c>
      <c r="F227" s="10">
        <f t="shared" si="20"/>
        <v>0</v>
      </c>
      <c r="G227" s="29">
        <f t="shared" si="21"/>
        <v>0</v>
      </c>
      <c r="H227" s="29">
        <f t="shared" si="22"/>
        <v>0</v>
      </c>
    </row>
    <row r="228" spans="1:8" x14ac:dyDescent="0.15">
      <c r="A228" s="23">
        <v>227</v>
      </c>
      <c r="B228" s="20">
        <f t="shared" si="18"/>
        <v>152</v>
      </c>
      <c r="C228" s="20">
        <f t="shared" si="19"/>
        <v>179</v>
      </c>
      <c r="D228" s="52">
        <v>128654</v>
      </c>
      <c r="E228" s="20">
        <f t="shared" si="23"/>
        <v>60</v>
      </c>
      <c r="F228" s="10">
        <f t="shared" si="20"/>
        <v>1</v>
      </c>
      <c r="G228" s="29">
        <f t="shared" si="21"/>
        <v>0</v>
      </c>
      <c r="H228" s="29">
        <f t="shared" si="22"/>
        <v>0</v>
      </c>
    </row>
    <row r="229" spans="1:8" x14ac:dyDescent="0.15">
      <c r="A229" s="23">
        <v>228</v>
      </c>
      <c r="B229" s="20">
        <f t="shared" si="18"/>
        <v>152</v>
      </c>
      <c r="C229" s="20">
        <f t="shared" si="19"/>
        <v>180</v>
      </c>
      <c r="D229" s="52">
        <v>129683</v>
      </c>
      <c r="E229" s="20">
        <f t="shared" si="23"/>
        <v>60</v>
      </c>
      <c r="F229" s="10">
        <f t="shared" si="20"/>
        <v>0</v>
      </c>
      <c r="G229" s="29">
        <f t="shared" si="21"/>
        <v>1</v>
      </c>
      <c r="H229" s="29">
        <f t="shared" si="22"/>
        <v>0</v>
      </c>
    </row>
    <row r="230" spans="1:8" x14ac:dyDescent="0.15">
      <c r="A230" s="23">
        <v>229</v>
      </c>
      <c r="B230" s="20">
        <f t="shared" si="18"/>
        <v>153</v>
      </c>
      <c r="C230" s="20">
        <f t="shared" si="19"/>
        <v>180</v>
      </c>
      <c r="D230" s="52">
        <v>130721</v>
      </c>
      <c r="E230" s="20">
        <f t="shared" si="23"/>
        <v>60</v>
      </c>
      <c r="F230" s="10">
        <f t="shared" si="20"/>
        <v>1</v>
      </c>
      <c r="G230" s="29">
        <f t="shared" si="21"/>
        <v>0</v>
      </c>
      <c r="H230" s="29">
        <f t="shared" si="22"/>
        <v>0</v>
      </c>
    </row>
    <row r="231" spans="1:8" x14ac:dyDescent="0.15">
      <c r="A231" s="23">
        <v>230</v>
      </c>
      <c r="B231" s="20">
        <f t="shared" si="18"/>
        <v>153</v>
      </c>
      <c r="C231" s="20">
        <f t="shared" si="19"/>
        <v>180</v>
      </c>
      <c r="D231" s="52">
        <v>131767</v>
      </c>
      <c r="E231" s="20">
        <f t="shared" si="23"/>
        <v>60</v>
      </c>
      <c r="F231" s="10">
        <f t="shared" si="20"/>
        <v>0</v>
      </c>
      <c r="G231" s="29">
        <f t="shared" si="21"/>
        <v>0</v>
      </c>
      <c r="H231" s="29">
        <f t="shared" si="22"/>
        <v>0</v>
      </c>
    </row>
    <row r="232" spans="1:8" x14ac:dyDescent="0.15">
      <c r="A232" s="23">
        <v>231</v>
      </c>
      <c r="B232" s="20">
        <f t="shared" si="18"/>
        <v>154</v>
      </c>
      <c r="C232" s="20">
        <f t="shared" si="19"/>
        <v>180</v>
      </c>
      <c r="D232" s="52">
        <v>132821</v>
      </c>
      <c r="E232" s="20">
        <f t="shared" si="23"/>
        <v>60</v>
      </c>
      <c r="F232" s="10">
        <f t="shared" si="20"/>
        <v>1</v>
      </c>
      <c r="G232" s="29">
        <f t="shared" si="21"/>
        <v>0</v>
      </c>
      <c r="H232" s="29">
        <f t="shared" si="22"/>
        <v>0</v>
      </c>
    </row>
    <row r="233" spans="1:8" x14ac:dyDescent="0.15">
      <c r="A233" s="23">
        <v>232</v>
      </c>
      <c r="B233" s="20">
        <f t="shared" si="18"/>
        <v>154</v>
      </c>
      <c r="C233" s="20">
        <f t="shared" si="19"/>
        <v>181</v>
      </c>
      <c r="D233" s="52">
        <v>133883</v>
      </c>
      <c r="E233" s="20">
        <f t="shared" si="23"/>
        <v>60</v>
      </c>
      <c r="F233" s="10">
        <f t="shared" si="20"/>
        <v>0</v>
      </c>
      <c r="G233" s="29">
        <f t="shared" si="21"/>
        <v>1</v>
      </c>
      <c r="H233" s="29">
        <f t="shared" si="22"/>
        <v>0</v>
      </c>
    </row>
    <row r="234" spans="1:8" x14ac:dyDescent="0.15">
      <c r="A234" s="23">
        <v>233</v>
      </c>
      <c r="B234" s="20">
        <f t="shared" si="18"/>
        <v>155</v>
      </c>
      <c r="C234" s="20">
        <f t="shared" si="19"/>
        <v>181</v>
      </c>
      <c r="D234" s="52">
        <v>134954</v>
      </c>
      <c r="E234" s="20">
        <f t="shared" si="23"/>
        <v>60</v>
      </c>
      <c r="F234" s="10">
        <f t="shared" si="20"/>
        <v>1</v>
      </c>
      <c r="G234" s="29">
        <f t="shared" si="21"/>
        <v>0</v>
      </c>
      <c r="H234" s="29">
        <f t="shared" si="22"/>
        <v>0</v>
      </c>
    </row>
    <row r="235" spans="1:8" x14ac:dyDescent="0.15">
      <c r="A235" s="23">
        <v>234</v>
      </c>
      <c r="B235" s="20">
        <f t="shared" si="18"/>
        <v>155</v>
      </c>
      <c r="C235" s="20">
        <f t="shared" si="19"/>
        <v>181</v>
      </c>
      <c r="D235" s="52">
        <v>136034</v>
      </c>
      <c r="E235" s="20">
        <f t="shared" si="23"/>
        <v>60</v>
      </c>
      <c r="F235" s="10">
        <f t="shared" si="20"/>
        <v>0</v>
      </c>
      <c r="G235" s="29">
        <f t="shared" si="21"/>
        <v>0</v>
      </c>
      <c r="H235" s="29">
        <f t="shared" si="22"/>
        <v>0</v>
      </c>
    </row>
    <row r="236" spans="1:8" x14ac:dyDescent="0.15">
      <c r="A236" s="23">
        <v>235</v>
      </c>
      <c r="B236" s="20">
        <f t="shared" si="18"/>
        <v>156</v>
      </c>
      <c r="C236" s="20">
        <f t="shared" si="19"/>
        <v>181</v>
      </c>
      <c r="D236" s="52">
        <v>137122</v>
      </c>
      <c r="E236" s="20">
        <f t="shared" si="23"/>
        <v>60</v>
      </c>
      <c r="F236" s="10">
        <f t="shared" si="20"/>
        <v>1</v>
      </c>
      <c r="G236" s="29">
        <f t="shared" si="21"/>
        <v>0</v>
      </c>
      <c r="H236" s="29">
        <f t="shared" si="22"/>
        <v>0</v>
      </c>
    </row>
    <row r="237" spans="1:8" x14ac:dyDescent="0.15">
      <c r="A237" s="23">
        <v>236</v>
      </c>
      <c r="B237" s="20">
        <f t="shared" si="18"/>
        <v>156</v>
      </c>
      <c r="C237" s="20">
        <f t="shared" si="19"/>
        <v>182</v>
      </c>
      <c r="D237" s="52">
        <v>138219</v>
      </c>
      <c r="E237" s="20">
        <f t="shared" si="23"/>
        <v>60</v>
      </c>
      <c r="F237" s="10">
        <f t="shared" si="20"/>
        <v>0</v>
      </c>
      <c r="G237" s="29">
        <f t="shared" si="21"/>
        <v>1</v>
      </c>
      <c r="H237" s="29">
        <f t="shared" si="22"/>
        <v>0</v>
      </c>
    </row>
    <row r="238" spans="1:8" x14ac:dyDescent="0.15">
      <c r="A238" s="23">
        <v>237</v>
      </c>
      <c r="B238" s="20">
        <f t="shared" si="18"/>
        <v>157</v>
      </c>
      <c r="C238" s="20">
        <f t="shared" si="19"/>
        <v>182</v>
      </c>
      <c r="D238" s="52">
        <v>139325</v>
      </c>
      <c r="E238" s="20">
        <f t="shared" si="23"/>
        <v>60</v>
      </c>
      <c r="F238" s="10">
        <f t="shared" si="20"/>
        <v>1</v>
      </c>
      <c r="G238" s="29">
        <f t="shared" si="21"/>
        <v>0</v>
      </c>
      <c r="H238" s="29">
        <f t="shared" si="22"/>
        <v>0</v>
      </c>
    </row>
    <row r="239" spans="1:8" x14ac:dyDescent="0.15">
      <c r="A239" s="23">
        <v>238</v>
      </c>
      <c r="B239" s="20">
        <f t="shared" si="18"/>
        <v>157</v>
      </c>
      <c r="C239" s="20">
        <f t="shared" si="19"/>
        <v>182</v>
      </c>
      <c r="D239" s="52">
        <v>140440</v>
      </c>
      <c r="E239" s="20">
        <f t="shared" si="23"/>
        <v>60</v>
      </c>
      <c r="F239" s="10">
        <f t="shared" si="20"/>
        <v>0</v>
      </c>
      <c r="G239" s="29">
        <f t="shared" si="21"/>
        <v>0</v>
      </c>
      <c r="H239" s="29">
        <f t="shared" si="22"/>
        <v>0</v>
      </c>
    </row>
    <row r="240" spans="1:8" x14ac:dyDescent="0.15">
      <c r="A240" s="23">
        <v>239</v>
      </c>
      <c r="B240" s="20">
        <f t="shared" si="18"/>
        <v>158</v>
      </c>
      <c r="C240" s="20">
        <f t="shared" si="19"/>
        <v>182</v>
      </c>
      <c r="D240" s="52">
        <v>141563</v>
      </c>
      <c r="E240" s="20">
        <f t="shared" si="23"/>
        <v>60</v>
      </c>
      <c r="F240" s="10">
        <f t="shared" si="20"/>
        <v>1</v>
      </c>
      <c r="G240" s="29">
        <f t="shared" si="21"/>
        <v>0</v>
      </c>
      <c r="H240" s="29">
        <f t="shared" si="22"/>
        <v>0</v>
      </c>
    </row>
    <row r="241" spans="1:8" x14ac:dyDescent="0.15">
      <c r="A241" s="23">
        <v>240</v>
      </c>
      <c r="B241" s="20">
        <f t="shared" si="18"/>
        <v>158</v>
      </c>
      <c r="C241" s="20">
        <f t="shared" si="19"/>
        <v>183</v>
      </c>
      <c r="D241" s="52">
        <v>142696</v>
      </c>
      <c r="E241" s="20">
        <f t="shared" si="23"/>
        <v>60</v>
      </c>
      <c r="F241" s="10">
        <f t="shared" si="20"/>
        <v>0</v>
      </c>
      <c r="G241" s="29">
        <f t="shared" si="21"/>
        <v>1</v>
      </c>
      <c r="H241" s="29">
        <f t="shared" si="22"/>
        <v>0</v>
      </c>
    </row>
    <row r="242" spans="1:8" x14ac:dyDescent="0.15">
      <c r="A242" s="23">
        <v>241</v>
      </c>
      <c r="B242" s="20">
        <f t="shared" si="18"/>
        <v>159</v>
      </c>
      <c r="C242" s="20">
        <f t="shared" si="19"/>
        <v>183</v>
      </c>
      <c r="D242" s="52">
        <v>143766</v>
      </c>
      <c r="E242" s="20">
        <f t="shared" si="23"/>
        <v>60</v>
      </c>
      <c r="F242" s="10">
        <f t="shared" si="20"/>
        <v>1</v>
      </c>
      <c r="G242" s="29">
        <f t="shared" si="21"/>
        <v>0</v>
      </c>
      <c r="H242" s="29">
        <f t="shared" si="22"/>
        <v>0</v>
      </c>
    </row>
    <row r="243" spans="1:8" x14ac:dyDescent="0.15">
      <c r="A243" s="23">
        <v>242</v>
      </c>
      <c r="B243" s="20">
        <f t="shared" si="18"/>
        <v>159</v>
      </c>
      <c r="C243" s="20">
        <f t="shared" si="19"/>
        <v>183</v>
      </c>
      <c r="D243" s="52">
        <v>144844</v>
      </c>
      <c r="E243" s="20">
        <f t="shared" si="23"/>
        <v>60</v>
      </c>
      <c r="F243" s="10">
        <f t="shared" si="20"/>
        <v>0</v>
      </c>
      <c r="G243" s="29">
        <f t="shared" si="21"/>
        <v>0</v>
      </c>
      <c r="H243" s="29">
        <f t="shared" si="22"/>
        <v>0</v>
      </c>
    </row>
    <row r="244" spans="1:8" x14ac:dyDescent="0.15">
      <c r="A244" s="23">
        <v>243</v>
      </c>
      <c r="B244" s="20">
        <f t="shared" si="18"/>
        <v>160</v>
      </c>
      <c r="C244" s="20">
        <f t="shared" si="19"/>
        <v>183</v>
      </c>
      <c r="D244" s="52">
        <v>145931</v>
      </c>
      <c r="E244" s="20">
        <f t="shared" si="23"/>
        <v>60</v>
      </c>
      <c r="F244" s="10">
        <f t="shared" si="20"/>
        <v>1</v>
      </c>
      <c r="G244" s="29">
        <f t="shared" si="21"/>
        <v>0</v>
      </c>
      <c r="H244" s="29">
        <f t="shared" si="22"/>
        <v>0</v>
      </c>
    </row>
    <row r="245" spans="1:8" x14ac:dyDescent="0.15">
      <c r="A245" s="23">
        <v>244</v>
      </c>
      <c r="B245" s="20">
        <f t="shared" si="18"/>
        <v>160</v>
      </c>
      <c r="C245" s="20">
        <f t="shared" si="19"/>
        <v>184</v>
      </c>
      <c r="D245" s="52">
        <v>147025</v>
      </c>
      <c r="E245" s="20">
        <f t="shared" si="23"/>
        <v>60</v>
      </c>
      <c r="F245" s="10">
        <f t="shared" si="20"/>
        <v>0</v>
      </c>
      <c r="G245" s="29">
        <f t="shared" si="21"/>
        <v>1</v>
      </c>
      <c r="H245" s="29">
        <f t="shared" si="22"/>
        <v>0</v>
      </c>
    </row>
    <row r="246" spans="1:8" x14ac:dyDescent="0.15">
      <c r="A246" s="23">
        <v>245</v>
      </c>
      <c r="B246" s="20">
        <f t="shared" si="18"/>
        <v>161</v>
      </c>
      <c r="C246" s="20">
        <f t="shared" si="19"/>
        <v>184</v>
      </c>
      <c r="D246" s="52">
        <v>148128</v>
      </c>
      <c r="E246" s="20">
        <f t="shared" si="23"/>
        <v>60</v>
      </c>
      <c r="F246" s="10">
        <f t="shared" si="20"/>
        <v>1</v>
      </c>
      <c r="G246" s="29">
        <f t="shared" si="21"/>
        <v>0</v>
      </c>
      <c r="H246" s="29">
        <f t="shared" si="22"/>
        <v>0</v>
      </c>
    </row>
    <row r="247" spans="1:8" x14ac:dyDescent="0.15">
      <c r="A247" s="23">
        <v>246</v>
      </c>
      <c r="B247" s="20">
        <f t="shared" si="18"/>
        <v>161</v>
      </c>
      <c r="C247" s="20">
        <f t="shared" si="19"/>
        <v>184</v>
      </c>
      <c r="D247" s="52">
        <v>149239</v>
      </c>
      <c r="E247" s="20">
        <f t="shared" si="23"/>
        <v>60</v>
      </c>
      <c r="F247" s="10">
        <f t="shared" si="20"/>
        <v>0</v>
      </c>
      <c r="G247" s="29">
        <f t="shared" si="21"/>
        <v>0</v>
      </c>
      <c r="H247" s="29">
        <f t="shared" si="22"/>
        <v>0</v>
      </c>
    </row>
    <row r="248" spans="1:8" x14ac:dyDescent="0.15">
      <c r="A248" s="23">
        <v>247</v>
      </c>
      <c r="B248" s="20">
        <f t="shared" si="18"/>
        <v>162</v>
      </c>
      <c r="C248" s="20">
        <f t="shared" si="19"/>
        <v>184</v>
      </c>
      <c r="D248" s="52">
        <v>150358</v>
      </c>
      <c r="E248" s="20">
        <f t="shared" si="23"/>
        <v>60</v>
      </c>
      <c r="F248" s="10">
        <f t="shared" si="20"/>
        <v>1</v>
      </c>
      <c r="G248" s="29">
        <f t="shared" si="21"/>
        <v>0</v>
      </c>
      <c r="H248" s="29">
        <f t="shared" si="22"/>
        <v>0</v>
      </c>
    </row>
    <row r="249" spans="1:8" x14ac:dyDescent="0.15">
      <c r="A249" s="23">
        <v>248</v>
      </c>
      <c r="B249" s="20">
        <f t="shared" si="18"/>
        <v>162</v>
      </c>
      <c r="C249" s="20">
        <f t="shared" si="19"/>
        <v>185</v>
      </c>
      <c r="D249" s="52">
        <v>151486</v>
      </c>
      <c r="E249" s="20">
        <f t="shared" si="23"/>
        <v>60</v>
      </c>
      <c r="F249" s="10">
        <f t="shared" si="20"/>
        <v>0</v>
      </c>
      <c r="G249" s="29">
        <f t="shared" si="21"/>
        <v>1</v>
      </c>
      <c r="H249" s="29">
        <f t="shared" si="22"/>
        <v>0</v>
      </c>
    </row>
    <row r="250" spans="1:8" x14ac:dyDescent="0.15">
      <c r="A250" s="23">
        <v>249</v>
      </c>
      <c r="B250" s="20">
        <f t="shared" si="18"/>
        <v>163</v>
      </c>
      <c r="C250" s="20">
        <f t="shared" si="19"/>
        <v>185</v>
      </c>
      <c r="D250" s="52">
        <v>152622</v>
      </c>
      <c r="E250" s="20">
        <f t="shared" si="23"/>
        <v>60</v>
      </c>
      <c r="F250" s="10">
        <f t="shared" si="20"/>
        <v>1</v>
      </c>
      <c r="G250" s="29">
        <f t="shared" si="21"/>
        <v>0</v>
      </c>
      <c r="H250" s="29">
        <f t="shared" si="22"/>
        <v>0</v>
      </c>
    </row>
    <row r="251" spans="1:8" x14ac:dyDescent="0.15">
      <c r="A251" s="23">
        <v>250</v>
      </c>
      <c r="B251" s="20">
        <f t="shared" si="18"/>
        <v>163</v>
      </c>
      <c r="C251" s="20">
        <f t="shared" si="19"/>
        <v>185</v>
      </c>
      <c r="D251" s="52">
        <v>153766</v>
      </c>
      <c r="E251" s="20">
        <f t="shared" si="23"/>
        <v>60</v>
      </c>
      <c r="F251" s="10">
        <f t="shared" si="20"/>
        <v>0</v>
      </c>
      <c r="G251" s="29">
        <f t="shared" si="21"/>
        <v>0</v>
      </c>
      <c r="H251" s="29">
        <f t="shared" si="22"/>
        <v>0</v>
      </c>
    </row>
    <row r="252" spans="1:8" x14ac:dyDescent="0.15">
      <c r="A252" s="23">
        <v>251</v>
      </c>
      <c r="B252" s="20">
        <f t="shared" si="18"/>
        <v>164</v>
      </c>
      <c r="C252" s="20">
        <f t="shared" si="19"/>
        <v>185</v>
      </c>
      <c r="D252" s="52">
        <v>154920</v>
      </c>
      <c r="E252" s="20">
        <f t="shared" si="23"/>
        <v>60</v>
      </c>
      <c r="F252" s="10">
        <f t="shared" si="20"/>
        <v>1</v>
      </c>
      <c r="G252" s="29">
        <f t="shared" si="21"/>
        <v>0</v>
      </c>
      <c r="H252" s="29">
        <f t="shared" si="22"/>
        <v>0</v>
      </c>
    </row>
    <row r="253" spans="1:8" x14ac:dyDescent="0.15">
      <c r="A253" s="23">
        <v>252</v>
      </c>
      <c r="B253" s="20">
        <f t="shared" si="18"/>
        <v>164</v>
      </c>
      <c r="C253" s="20">
        <f t="shared" si="19"/>
        <v>186</v>
      </c>
      <c r="D253" s="52">
        <v>156082</v>
      </c>
      <c r="E253" s="20">
        <f t="shared" si="23"/>
        <v>60</v>
      </c>
      <c r="F253" s="10">
        <f t="shared" si="20"/>
        <v>0</v>
      </c>
      <c r="G253" s="29">
        <f t="shared" si="21"/>
        <v>1</v>
      </c>
      <c r="H253" s="29">
        <f t="shared" si="22"/>
        <v>0</v>
      </c>
    </row>
    <row r="254" spans="1:8" x14ac:dyDescent="0.15">
      <c r="A254" s="23">
        <v>253</v>
      </c>
      <c r="B254" s="20">
        <f t="shared" si="18"/>
        <v>165</v>
      </c>
      <c r="C254" s="20">
        <f t="shared" si="19"/>
        <v>186</v>
      </c>
      <c r="D254" s="52">
        <v>157252</v>
      </c>
      <c r="E254" s="20">
        <f t="shared" si="23"/>
        <v>60</v>
      </c>
      <c r="F254" s="10">
        <f t="shared" si="20"/>
        <v>1</v>
      </c>
      <c r="G254" s="29">
        <f t="shared" si="21"/>
        <v>0</v>
      </c>
      <c r="H254" s="29">
        <f t="shared" si="22"/>
        <v>0</v>
      </c>
    </row>
    <row r="255" spans="1:8" x14ac:dyDescent="0.15">
      <c r="A255" s="23">
        <v>254</v>
      </c>
      <c r="B255" s="20">
        <f t="shared" si="18"/>
        <v>165</v>
      </c>
      <c r="C255" s="20">
        <f t="shared" si="19"/>
        <v>186</v>
      </c>
      <c r="D255" s="52">
        <v>158432</v>
      </c>
      <c r="E255" s="20">
        <f t="shared" si="23"/>
        <v>60</v>
      </c>
      <c r="F255" s="10">
        <f t="shared" si="20"/>
        <v>0</v>
      </c>
      <c r="G255" s="29">
        <f t="shared" si="21"/>
        <v>0</v>
      </c>
      <c r="H255" s="29">
        <f t="shared" si="22"/>
        <v>0</v>
      </c>
    </row>
    <row r="256" spans="1:8" x14ac:dyDescent="0.15">
      <c r="A256" s="23">
        <v>255</v>
      </c>
      <c r="B256" s="20">
        <f t="shared" si="18"/>
        <v>166</v>
      </c>
      <c r="C256" s="20">
        <f t="shared" si="19"/>
        <v>186</v>
      </c>
      <c r="D256" s="52">
        <v>159620</v>
      </c>
      <c r="E256" s="20">
        <f t="shared" si="23"/>
        <v>60</v>
      </c>
      <c r="F256" s="10">
        <f t="shared" si="20"/>
        <v>1</v>
      </c>
      <c r="G256" s="29">
        <f t="shared" si="21"/>
        <v>0</v>
      </c>
      <c r="H256" s="29">
        <f t="shared" si="22"/>
        <v>0</v>
      </c>
    </row>
    <row r="257" spans="1:8" x14ac:dyDescent="0.15">
      <c r="A257" s="23">
        <v>256</v>
      </c>
      <c r="B257" s="20">
        <f t="shared" si="18"/>
        <v>166</v>
      </c>
      <c r="C257" s="20">
        <f t="shared" si="19"/>
        <v>187</v>
      </c>
      <c r="D257" s="52">
        <v>160817</v>
      </c>
      <c r="E257" s="20">
        <f t="shared" si="23"/>
        <v>60</v>
      </c>
      <c r="F257" s="10">
        <f t="shared" si="20"/>
        <v>0</v>
      </c>
      <c r="G257" s="29">
        <f t="shared" si="21"/>
        <v>1</v>
      </c>
      <c r="H257" s="29">
        <f t="shared" si="22"/>
        <v>0</v>
      </c>
    </row>
    <row r="258" spans="1:8" x14ac:dyDescent="0.15">
      <c r="A258" s="23">
        <v>257</v>
      </c>
      <c r="B258" s="20">
        <f t="shared" si="18"/>
        <v>167</v>
      </c>
      <c r="C258" s="20">
        <f t="shared" si="19"/>
        <v>187</v>
      </c>
      <c r="D258" s="52">
        <v>162023</v>
      </c>
      <c r="E258" s="20">
        <f t="shared" si="23"/>
        <v>60</v>
      </c>
      <c r="F258" s="10">
        <f t="shared" si="20"/>
        <v>1</v>
      </c>
      <c r="G258" s="29">
        <f t="shared" si="21"/>
        <v>0</v>
      </c>
      <c r="H258" s="29">
        <f t="shared" si="22"/>
        <v>0</v>
      </c>
    </row>
    <row r="259" spans="1:8" x14ac:dyDescent="0.15">
      <c r="A259" s="23">
        <v>258</v>
      </c>
      <c r="B259" s="20">
        <f t="shared" ref="B259:B322" si="24">B258+F259</f>
        <v>167</v>
      </c>
      <c r="C259" s="20">
        <f t="shared" ref="C259:C322" si="25">C258+G259</f>
        <v>187</v>
      </c>
      <c r="D259" s="52">
        <v>163238</v>
      </c>
      <c r="E259" s="20">
        <f t="shared" si="23"/>
        <v>60</v>
      </c>
      <c r="F259" s="10">
        <f t="shared" ref="F259:F322" si="26">IF(A259&gt;=106, IF(MOD(A259,2)=0,0,1), IF(A259 &gt;= 65, IF(MOD(A259, 2) =0,0, IF(MOD(A259,5)= 0, 2, 1)), IF(MOD(A259, 2) =0,0, IF(MOD(A259,5)= 0, 5, 1))))</f>
        <v>0</v>
      </c>
      <c r="G259" s="29">
        <f t="shared" ref="G259:G322" si="27">IF($A259&gt;=100,IF(MOD($A259,4)=0,1,0),IF(MOD($A259,5)=0,3,IF(MOD($A259,2)=0,1,0)))</f>
        <v>0</v>
      </c>
      <c r="H259" s="29">
        <f t="shared" ref="H259:H322" si="28">IF($A259&gt;=51,0,IF($A259&gt;=30,IF(MOD($A259,5)=0,1,0),IF($A259&gt;=11,IF(MOD($A259,5)=0,3,IF(MOD($A259,2)=0,1,0)),IF(MOD($A259,5)=0,5,IF(MOD($A259,2)=0,2,0)))))</f>
        <v>0</v>
      </c>
    </row>
    <row r="260" spans="1:8" x14ac:dyDescent="0.15">
      <c r="A260" s="23">
        <v>259</v>
      </c>
      <c r="B260" s="20">
        <f t="shared" si="24"/>
        <v>168</v>
      </c>
      <c r="C260" s="20">
        <f t="shared" si="25"/>
        <v>187</v>
      </c>
      <c r="D260" s="52">
        <v>164463</v>
      </c>
      <c r="E260" s="20">
        <f t="shared" ref="E260:E301" si="29">E259+H260</f>
        <v>60</v>
      </c>
      <c r="F260" s="10">
        <f t="shared" si="26"/>
        <v>1</v>
      </c>
      <c r="G260" s="29">
        <f t="shared" si="27"/>
        <v>0</v>
      </c>
      <c r="H260" s="29">
        <f t="shared" si="28"/>
        <v>0</v>
      </c>
    </row>
    <row r="261" spans="1:8" x14ac:dyDescent="0.15">
      <c r="A261" s="23">
        <v>260</v>
      </c>
      <c r="B261" s="20">
        <f t="shared" si="24"/>
        <v>168</v>
      </c>
      <c r="C261" s="20">
        <f t="shared" si="25"/>
        <v>188</v>
      </c>
      <c r="D261" s="52">
        <v>165696</v>
      </c>
      <c r="E261" s="20">
        <f t="shared" si="29"/>
        <v>60</v>
      </c>
      <c r="F261" s="10">
        <f t="shared" si="26"/>
        <v>0</v>
      </c>
      <c r="G261" s="29">
        <f t="shared" si="27"/>
        <v>1</v>
      </c>
      <c r="H261" s="29">
        <f t="shared" si="28"/>
        <v>0</v>
      </c>
    </row>
    <row r="262" spans="1:8" x14ac:dyDescent="0.15">
      <c r="A262" s="23">
        <v>261</v>
      </c>
      <c r="B262" s="20">
        <f t="shared" si="24"/>
        <v>169</v>
      </c>
      <c r="C262" s="20">
        <f t="shared" si="25"/>
        <v>188</v>
      </c>
      <c r="D262" s="52">
        <v>166856</v>
      </c>
      <c r="E262" s="20">
        <f t="shared" si="29"/>
        <v>60</v>
      </c>
      <c r="F262" s="10">
        <f t="shared" si="26"/>
        <v>1</v>
      </c>
      <c r="G262" s="29">
        <f t="shared" si="27"/>
        <v>0</v>
      </c>
      <c r="H262" s="29">
        <f t="shared" si="28"/>
        <v>0</v>
      </c>
    </row>
    <row r="263" spans="1:8" x14ac:dyDescent="0.15">
      <c r="A263" s="23">
        <v>262</v>
      </c>
      <c r="B263" s="20">
        <f t="shared" si="24"/>
        <v>169</v>
      </c>
      <c r="C263" s="20">
        <f t="shared" si="25"/>
        <v>188</v>
      </c>
      <c r="D263" s="52">
        <v>168024</v>
      </c>
      <c r="E263" s="20">
        <f t="shared" si="29"/>
        <v>60</v>
      </c>
      <c r="F263" s="10">
        <f t="shared" si="26"/>
        <v>0</v>
      </c>
      <c r="G263" s="29">
        <f t="shared" si="27"/>
        <v>0</v>
      </c>
      <c r="H263" s="29">
        <f t="shared" si="28"/>
        <v>0</v>
      </c>
    </row>
    <row r="264" spans="1:8" x14ac:dyDescent="0.15">
      <c r="A264" s="23">
        <v>263</v>
      </c>
      <c r="B264" s="20">
        <f t="shared" si="24"/>
        <v>170</v>
      </c>
      <c r="C264" s="20">
        <f t="shared" si="25"/>
        <v>188</v>
      </c>
      <c r="D264" s="52">
        <v>169200</v>
      </c>
      <c r="E264" s="20">
        <f t="shared" si="29"/>
        <v>60</v>
      </c>
      <c r="F264" s="10">
        <f t="shared" si="26"/>
        <v>1</v>
      </c>
      <c r="G264" s="29">
        <f t="shared" si="27"/>
        <v>0</v>
      </c>
      <c r="H264" s="29">
        <f t="shared" si="28"/>
        <v>0</v>
      </c>
    </row>
    <row r="265" spans="1:8" x14ac:dyDescent="0.15">
      <c r="A265" s="23">
        <v>264</v>
      </c>
      <c r="B265" s="20">
        <f t="shared" si="24"/>
        <v>170</v>
      </c>
      <c r="C265" s="20">
        <f t="shared" si="25"/>
        <v>189</v>
      </c>
      <c r="D265" s="52">
        <v>170385</v>
      </c>
      <c r="E265" s="20">
        <f t="shared" si="29"/>
        <v>60</v>
      </c>
      <c r="F265" s="10">
        <f t="shared" si="26"/>
        <v>0</v>
      </c>
      <c r="G265" s="29">
        <f t="shared" si="27"/>
        <v>1</v>
      </c>
      <c r="H265" s="29">
        <f t="shared" si="28"/>
        <v>0</v>
      </c>
    </row>
    <row r="266" spans="1:8" x14ac:dyDescent="0.15">
      <c r="A266" s="23">
        <v>265</v>
      </c>
      <c r="B266" s="20">
        <f t="shared" si="24"/>
        <v>171</v>
      </c>
      <c r="C266" s="20">
        <f t="shared" si="25"/>
        <v>189</v>
      </c>
      <c r="D266" s="52">
        <v>171577</v>
      </c>
      <c r="E266" s="20">
        <f t="shared" si="29"/>
        <v>60</v>
      </c>
      <c r="F266" s="10">
        <f t="shared" si="26"/>
        <v>1</v>
      </c>
      <c r="G266" s="29">
        <f t="shared" si="27"/>
        <v>0</v>
      </c>
      <c r="H266" s="29">
        <f t="shared" si="28"/>
        <v>0</v>
      </c>
    </row>
    <row r="267" spans="1:8" x14ac:dyDescent="0.15">
      <c r="A267" s="23">
        <v>266</v>
      </c>
      <c r="B267" s="20">
        <f t="shared" si="24"/>
        <v>171</v>
      </c>
      <c r="C267" s="20">
        <f t="shared" si="25"/>
        <v>189</v>
      </c>
      <c r="D267" s="52">
        <v>172778</v>
      </c>
      <c r="E267" s="20">
        <f t="shared" si="29"/>
        <v>60</v>
      </c>
      <c r="F267" s="10">
        <f t="shared" si="26"/>
        <v>0</v>
      </c>
      <c r="G267" s="29">
        <f t="shared" si="27"/>
        <v>0</v>
      </c>
      <c r="H267" s="29">
        <f t="shared" si="28"/>
        <v>0</v>
      </c>
    </row>
    <row r="268" spans="1:8" x14ac:dyDescent="0.15">
      <c r="A268" s="23">
        <v>267</v>
      </c>
      <c r="B268" s="20">
        <f t="shared" si="24"/>
        <v>172</v>
      </c>
      <c r="C268" s="20">
        <f t="shared" si="25"/>
        <v>189</v>
      </c>
      <c r="D268" s="52">
        <v>173988</v>
      </c>
      <c r="E268" s="20">
        <f t="shared" si="29"/>
        <v>60</v>
      </c>
      <c r="F268" s="10">
        <f t="shared" si="26"/>
        <v>1</v>
      </c>
      <c r="G268" s="29">
        <f t="shared" si="27"/>
        <v>0</v>
      </c>
      <c r="H268" s="29">
        <f t="shared" si="28"/>
        <v>0</v>
      </c>
    </row>
    <row r="269" spans="1:8" x14ac:dyDescent="0.15">
      <c r="A269" s="23">
        <v>268</v>
      </c>
      <c r="B269" s="20">
        <f t="shared" si="24"/>
        <v>172</v>
      </c>
      <c r="C269" s="20">
        <f t="shared" si="25"/>
        <v>190</v>
      </c>
      <c r="D269" s="52">
        <v>175206</v>
      </c>
      <c r="E269" s="20">
        <f t="shared" si="29"/>
        <v>60</v>
      </c>
      <c r="F269" s="10">
        <f t="shared" si="26"/>
        <v>0</v>
      </c>
      <c r="G269" s="29">
        <f t="shared" si="27"/>
        <v>1</v>
      </c>
      <c r="H269" s="29">
        <f t="shared" si="28"/>
        <v>0</v>
      </c>
    </row>
    <row r="270" spans="1:8" x14ac:dyDescent="0.15">
      <c r="A270" s="23">
        <v>269</v>
      </c>
      <c r="B270" s="20">
        <f t="shared" si="24"/>
        <v>173</v>
      </c>
      <c r="C270" s="20">
        <f t="shared" si="25"/>
        <v>190</v>
      </c>
      <c r="D270" s="52">
        <v>176432</v>
      </c>
      <c r="E270" s="20">
        <f t="shared" si="29"/>
        <v>60</v>
      </c>
      <c r="F270" s="10">
        <f t="shared" si="26"/>
        <v>1</v>
      </c>
      <c r="G270" s="29">
        <f t="shared" si="27"/>
        <v>0</v>
      </c>
      <c r="H270" s="29">
        <f t="shared" si="28"/>
        <v>0</v>
      </c>
    </row>
    <row r="271" spans="1:8" x14ac:dyDescent="0.15">
      <c r="A271" s="23">
        <v>270</v>
      </c>
      <c r="B271" s="20">
        <f t="shared" si="24"/>
        <v>173</v>
      </c>
      <c r="C271" s="20">
        <f t="shared" si="25"/>
        <v>190</v>
      </c>
      <c r="D271" s="52">
        <v>177667</v>
      </c>
      <c r="E271" s="20">
        <f t="shared" si="29"/>
        <v>60</v>
      </c>
      <c r="F271" s="10">
        <f t="shared" si="26"/>
        <v>0</v>
      </c>
      <c r="G271" s="29">
        <f t="shared" si="27"/>
        <v>0</v>
      </c>
      <c r="H271" s="29">
        <f t="shared" si="28"/>
        <v>0</v>
      </c>
    </row>
    <row r="272" spans="1:8" x14ac:dyDescent="0.15">
      <c r="A272" s="23">
        <v>271</v>
      </c>
      <c r="B272" s="20">
        <f t="shared" si="24"/>
        <v>174</v>
      </c>
      <c r="C272" s="20">
        <f t="shared" si="25"/>
        <v>190</v>
      </c>
      <c r="D272" s="52">
        <v>178911</v>
      </c>
      <c r="E272" s="20">
        <f t="shared" si="29"/>
        <v>60</v>
      </c>
      <c r="F272" s="10">
        <f t="shared" si="26"/>
        <v>1</v>
      </c>
      <c r="G272" s="29">
        <f t="shared" si="27"/>
        <v>0</v>
      </c>
      <c r="H272" s="29">
        <f t="shared" si="28"/>
        <v>0</v>
      </c>
    </row>
    <row r="273" spans="1:8" x14ac:dyDescent="0.15">
      <c r="A273" s="23">
        <v>272</v>
      </c>
      <c r="B273" s="20">
        <f t="shared" si="24"/>
        <v>174</v>
      </c>
      <c r="C273" s="20">
        <f t="shared" si="25"/>
        <v>191</v>
      </c>
      <c r="D273" s="52">
        <v>180163</v>
      </c>
      <c r="E273" s="20">
        <f t="shared" si="29"/>
        <v>60</v>
      </c>
      <c r="F273" s="10">
        <f t="shared" si="26"/>
        <v>0</v>
      </c>
      <c r="G273" s="29">
        <f t="shared" si="27"/>
        <v>1</v>
      </c>
      <c r="H273" s="29">
        <f t="shared" si="28"/>
        <v>0</v>
      </c>
    </row>
    <row r="274" spans="1:8" x14ac:dyDescent="0.15">
      <c r="A274" s="23">
        <v>273</v>
      </c>
      <c r="B274" s="20">
        <f t="shared" si="24"/>
        <v>175</v>
      </c>
      <c r="C274" s="20">
        <f t="shared" si="25"/>
        <v>191</v>
      </c>
      <c r="D274" s="52">
        <v>181424</v>
      </c>
      <c r="E274" s="20">
        <f t="shared" si="29"/>
        <v>60</v>
      </c>
      <c r="F274" s="10">
        <f t="shared" si="26"/>
        <v>1</v>
      </c>
      <c r="G274" s="29">
        <f t="shared" si="27"/>
        <v>0</v>
      </c>
      <c r="H274" s="29">
        <f t="shared" si="28"/>
        <v>0</v>
      </c>
    </row>
    <row r="275" spans="1:8" x14ac:dyDescent="0.15">
      <c r="A275" s="23">
        <v>274</v>
      </c>
      <c r="B275" s="20">
        <f t="shared" si="24"/>
        <v>175</v>
      </c>
      <c r="C275" s="20">
        <f t="shared" si="25"/>
        <v>191</v>
      </c>
      <c r="D275" s="52">
        <v>182694</v>
      </c>
      <c r="E275" s="20">
        <f t="shared" si="29"/>
        <v>60</v>
      </c>
      <c r="F275" s="10">
        <f t="shared" si="26"/>
        <v>0</v>
      </c>
      <c r="G275" s="29">
        <f t="shared" si="27"/>
        <v>0</v>
      </c>
      <c r="H275" s="29">
        <f t="shared" si="28"/>
        <v>0</v>
      </c>
    </row>
    <row r="276" spans="1:8" x14ac:dyDescent="0.15">
      <c r="A276" s="23">
        <v>275</v>
      </c>
      <c r="B276" s="20">
        <f t="shared" si="24"/>
        <v>176</v>
      </c>
      <c r="C276" s="20">
        <f t="shared" si="25"/>
        <v>191</v>
      </c>
      <c r="D276" s="52">
        <v>183973</v>
      </c>
      <c r="E276" s="20">
        <f t="shared" si="29"/>
        <v>60</v>
      </c>
      <c r="F276" s="10">
        <f t="shared" si="26"/>
        <v>1</v>
      </c>
      <c r="G276" s="29">
        <f t="shared" si="27"/>
        <v>0</v>
      </c>
      <c r="H276" s="29">
        <f t="shared" si="28"/>
        <v>0</v>
      </c>
    </row>
    <row r="277" spans="1:8" x14ac:dyDescent="0.15">
      <c r="A277" s="23">
        <v>276</v>
      </c>
      <c r="B277" s="20">
        <f t="shared" si="24"/>
        <v>176</v>
      </c>
      <c r="C277" s="20">
        <f t="shared" si="25"/>
        <v>192</v>
      </c>
      <c r="D277" s="52">
        <v>185261</v>
      </c>
      <c r="E277" s="20">
        <f t="shared" si="29"/>
        <v>60</v>
      </c>
      <c r="F277" s="10">
        <f t="shared" si="26"/>
        <v>0</v>
      </c>
      <c r="G277" s="29">
        <f t="shared" si="27"/>
        <v>1</v>
      </c>
      <c r="H277" s="29">
        <f t="shared" si="28"/>
        <v>0</v>
      </c>
    </row>
    <row r="278" spans="1:8" x14ac:dyDescent="0.15">
      <c r="A278" s="23">
        <v>277</v>
      </c>
      <c r="B278" s="20">
        <f t="shared" si="24"/>
        <v>177</v>
      </c>
      <c r="C278" s="20">
        <f t="shared" si="25"/>
        <v>192</v>
      </c>
      <c r="D278" s="52">
        <v>186558</v>
      </c>
      <c r="E278" s="20">
        <f t="shared" si="29"/>
        <v>60</v>
      </c>
      <c r="F278" s="10">
        <f t="shared" si="26"/>
        <v>1</v>
      </c>
      <c r="G278" s="29">
        <f t="shared" si="27"/>
        <v>0</v>
      </c>
      <c r="H278" s="29">
        <f t="shared" si="28"/>
        <v>0</v>
      </c>
    </row>
    <row r="279" spans="1:8" x14ac:dyDescent="0.15">
      <c r="A279" s="23">
        <v>278</v>
      </c>
      <c r="B279" s="20">
        <f t="shared" si="24"/>
        <v>177</v>
      </c>
      <c r="C279" s="20">
        <f t="shared" si="25"/>
        <v>192</v>
      </c>
      <c r="D279" s="52">
        <v>187864</v>
      </c>
      <c r="E279" s="20">
        <f t="shared" si="29"/>
        <v>60</v>
      </c>
      <c r="F279" s="10">
        <f t="shared" si="26"/>
        <v>0</v>
      </c>
      <c r="G279" s="29">
        <f t="shared" si="27"/>
        <v>0</v>
      </c>
      <c r="H279" s="29">
        <f t="shared" si="28"/>
        <v>0</v>
      </c>
    </row>
    <row r="280" spans="1:8" x14ac:dyDescent="0.15">
      <c r="A280" s="23">
        <v>279</v>
      </c>
      <c r="B280" s="20">
        <f t="shared" si="24"/>
        <v>178</v>
      </c>
      <c r="C280" s="20">
        <f t="shared" si="25"/>
        <v>192</v>
      </c>
      <c r="D280" s="52">
        <v>189179</v>
      </c>
      <c r="E280" s="20">
        <f t="shared" si="29"/>
        <v>60</v>
      </c>
      <c r="F280" s="10">
        <f t="shared" si="26"/>
        <v>1</v>
      </c>
      <c r="G280" s="29">
        <f t="shared" si="27"/>
        <v>0</v>
      </c>
      <c r="H280" s="29">
        <f t="shared" si="28"/>
        <v>0</v>
      </c>
    </row>
    <row r="281" spans="1:8" x14ac:dyDescent="0.15">
      <c r="A281" s="23">
        <v>280</v>
      </c>
      <c r="B281" s="20">
        <f t="shared" si="24"/>
        <v>178</v>
      </c>
      <c r="C281" s="20">
        <f t="shared" si="25"/>
        <v>193</v>
      </c>
      <c r="D281" s="52">
        <v>190503</v>
      </c>
      <c r="E281" s="20">
        <f t="shared" si="29"/>
        <v>60</v>
      </c>
      <c r="F281" s="10">
        <f t="shared" si="26"/>
        <v>0</v>
      </c>
      <c r="G281" s="29">
        <f t="shared" si="27"/>
        <v>1</v>
      </c>
      <c r="H281" s="29">
        <f t="shared" si="28"/>
        <v>0</v>
      </c>
    </row>
    <row r="282" spans="1:8" x14ac:dyDescent="0.15">
      <c r="A282" s="23">
        <v>281</v>
      </c>
      <c r="B282" s="20">
        <f t="shared" si="24"/>
        <v>179</v>
      </c>
      <c r="C282" s="20">
        <f t="shared" si="25"/>
        <v>193</v>
      </c>
      <c r="D282" s="52">
        <v>191741</v>
      </c>
      <c r="E282" s="20">
        <f t="shared" si="29"/>
        <v>60</v>
      </c>
      <c r="F282" s="10">
        <f t="shared" si="26"/>
        <v>1</v>
      </c>
      <c r="G282" s="29">
        <f t="shared" si="27"/>
        <v>0</v>
      </c>
      <c r="H282" s="29">
        <f t="shared" si="28"/>
        <v>0</v>
      </c>
    </row>
    <row r="283" spans="1:8" x14ac:dyDescent="0.15">
      <c r="A283" s="23">
        <v>282</v>
      </c>
      <c r="B283" s="20">
        <f t="shared" si="24"/>
        <v>179</v>
      </c>
      <c r="C283" s="20">
        <f t="shared" si="25"/>
        <v>193</v>
      </c>
      <c r="D283" s="52">
        <v>192988</v>
      </c>
      <c r="E283" s="20">
        <f t="shared" si="29"/>
        <v>60</v>
      </c>
      <c r="F283" s="10">
        <f t="shared" si="26"/>
        <v>0</v>
      </c>
      <c r="G283" s="29">
        <f t="shared" si="27"/>
        <v>0</v>
      </c>
      <c r="H283" s="29">
        <f t="shared" si="28"/>
        <v>0</v>
      </c>
    </row>
    <row r="284" spans="1:8" x14ac:dyDescent="0.15">
      <c r="A284" s="23">
        <v>283</v>
      </c>
      <c r="B284" s="20">
        <f t="shared" si="24"/>
        <v>180</v>
      </c>
      <c r="C284" s="20">
        <f t="shared" si="25"/>
        <v>193</v>
      </c>
      <c r="D284" s="52">
        <v>194242</v>
      </c>
      <c r="E284" s="20">
        <f t="shared" si="29"/>
        <v>60</v>
      </c>
      <c r="F284" s="10">
        <f t="shared" si="26"/>
        <v>1</v>
      </c>
      <c r="G284" s="29">
        <f t="shared" si="27"/>
        <v>0</v>
      </c>
      <c r="H284" s="29">
        <f t="shared" si="28"/>
        <v>0</v>
      </c>
    </row>
    <row r="285" spans="1:8" x14ac:dyDescent="0.15">
      <c r="A285" s="23">
        <v>284</v>
      </c>
      <c r="B285" s="20">
        <f t="shared" si="24"/>
        <v>180</v>
      </c>
      <c r="C285" s="20">
        <f t="shared" si="25"/>
        <v>194</v>
      </c>
      <c r="D285" s="52">
        <v>195505</v>
      </c>
      <c r="E285" s="20">
        <f t="shared" si="29"/>
        <v>60</v>
      </c>
      <c r="F285" s="10">
        <f t="shared" si="26"/>
        <v>0</v>
      </c>
      <c r="G285" s="29">
        <f t="shared" si="27"/>
        <v>1</v>
      </c>
      <c r="H285" s="29">
        <f t="shared" si="28"/>
        <v>0</v>
      </c>
    </row>
    <row r="286" spans="1:8" x14ac:dyDescent="0.15">
      <c r="A286" s="23">
        <v>285</v>
      </c>
      <c r="B286" s="20">
        <f t="shared" si="24"/>
        <v>181</v>
      </c>
      <c r="C286" s="20">
        <f t="shared" si="25"/>
        <v>194</v>
      </c>
      <c r="D286" s="52">
        <v>196775</v>
      </c>
      <c r="E286" s="20">
        <f t="shared" si="29"/>
        <v>60</v>
      </c>
      <c r="F286" s="10">
        <f t="shared" si="26"/>
        <v>1</v>
      </c>
      <c r="G286" s="29">
        <f t="shared" si="27"/>
        <v>0</v>
      </c>
      <c r="H286" s="29">
        <f t="shared" si="28"/>
        <v>0</v>
      </c>
    </row>
    <row r="287" spans="1:8" x14ac:dyDescent="0.15">
      <c r="A287" s="23">
        <v>286</v>
      </c>
      <c r="B287" s="20">
        <f t="shared" si="24"/>
        <v>181</v>
      </c>
      <c r="C287" s="20">
        <f t="shared" si="25"/>
        <v>194</v>
      </c>
      <c r="D287" s="52">
        <v>198054</v>
      </c>
      <c r="E287" s="20">
        <f t="shared" si="29"/>
        <v>60</v>
      </c>
      <c r="F287" s="10">
        <f t="shared" si="26"/>
        <v>0</v>
      </c>
      <c r="G287" s="29">
        <f t="shared" si="27"/>
        <v>0</v>
      </c>
      <c r="H287" s="29">
        <f t="shared" si="28"/>
        <v>0</v>
      </c>
    </row>
    <row r="288" spans="1:8" x14ac:dyDescent="0.15">
      <c r="A288" s="23">
        <v>287</v>
      </c>
      <c r="B288" s="20">
        <f t="shared" si="24"/>
        <v>182</v>
      </c>
      <c r="C288" s="20">
        <f t="shared" si="25"/>
        <v>194</v>
      </c>
      <c r="D288" s="52">
        <v>199342</v>
      </c>
      <c r="E288" s="20">
        <f t="shared" si="29"/>
        <v>60</v>
      </c>
      <c r="F288" s="10">
        <f t="shared" si="26"/>
        <v>1</v>
      </c>
      <c r="G288" s="29">
        <f t="shared" si="27"/>
        <v>0</v>
      </c>
      <c r="H288" s="29">
        <f t="shared" si="28"/>
        <v>0</v>
      </c>
    </row>
    <row r="289" spans="1:8" x14ac:dyDescent="0.15">
      <c r="A289" s="23">
        <v>288</v>
      </c>
      <c r="B289" s="20">
        <f t="shared" si="24"/>
        <v>182</v>
      </c>
      <c r="C289" s="20">
        <f t="shared" si="25"/>
        <v>195</v>
      </c>
      <c r="D289" s="52">
        <v>200638</v>
      </c>
      <c r="E289" s="20">
        <f t="shared" si="29"/>
        <v>60</v>
      </c>
      <c r="F289" s="10">
        <f t="shared" si="26"/>
        <v>0</v>
      </c>
      <c r="G289" s="29">
        <f t="shared" si="27"/>
        <v>1</v>
      </c>
      <c r="H289" s="29">
        <f t="shared" si="28"/>
        <v>0</v>
      </c>
    </row>
    <row r="290" spans="1:8" x14ac:dyDescent="0.15">
      <c r="A290" s="23">
        <v>289</v>
      </c>
      <c r="B290" s="20">
        <f t="shared" si="24"/>
        <v>183</v>
      </c>
      <c r="C290" s="20">
        <f t="shared" si="25"/>
        <v>195</v>
      </c>
      <c r="D290" s="52">
        <v>201942</v>
      </c>
      <c r="E290" s="20">
        <f t="shared" si="29"/>
        <v>60</v>
      </c>
      <c r="F290" s="10">
        <f t="shared" si="26"/>
        <v>1</v>
      </c>
      <c r="G290" s="29">
        <f t="shared" si="27"/>
        <v>0</v>
      </c>
      <c r="H290" s="29">
        <f t="shared" si="28"/>
        <v>0</v>
      </c>
    </row>
    <row r="291" spans="1:8" x14ac:dyDescent="0.15">
      <c r="A291" s="23">
        <v>290</v>
      </c>
      <c r="B291" s="20">
        <f t="shared" si="24"/>
        <v>183</v>
      </c>
      <c r="C291" s="20">
        <f t="shared" si="25"/>
        <v>195</v>
      </c>
      <c r="D291" s="52">
        <v>203254</v>
      </c>
      <c r="E291" s="20">
        <f t="shared" si="29"/>
        <v>60</v>
      </c>
      <c r="F291" s="10">
        <f t="shared" si="26"/>
        <v>0</v>
      </c>
      <c r="G291" s="29">
        <f t="shared" si="27"/>
        <v>0</v>
      </c>
      <c r="H291" s="29">
        <f t="shared" si="28"/>
        <v>0</v>
      </c>
    </row>
    <row r="292" spans="1:8" x14ac:dyDescent="0.15">
      <c r="A292" s="23">
        <v>291</v>
      </c>
      <c r="B292" s="20">
        <f t="shared" si="24"/>
        <v>184</v>
      </c>
      <c r="C292" s="20">
        <f t="shared" si="25"/>
        <v>195</v>
      </c>
      <c r="D292" s="52">
        <v>204575</v>
      </c>
      <c r="E292" s="20">
        <f t="shared" si="29"/>
        <v>60</v>
      </c>
      <c r="F292" s="10">
        <f t="shared" si="26"/>
        <v>1</v>
      </c>
      <c r="G292" s="29">
        <f t="shared" si="27"/>
        <v>0</v>
      </c>
      <c r="H292" s="29">
        <f t="shared" si="28"/>
        <v>0</v>
      </c>
    </row>
    <row r="293" spans="1:8" x14ac:dyDescent="0.15">
      <c r="A293" s="23">
        <v>292</v>
      </c>
      <c r="B293" s="20">
        <f t="shared" si="24"/>
        <v>184</v>
      </c>
      <c r="C293" s="20">
        <f t="shared" si="25"/>
        <v>196</v>
      </c>
      <c r="D293" s="52">
        <v>205905</v>
      </c>
      <c r="E293" s="20">
        <f t="shared" si="29"/>
        <v>60</v>
      </c>
      <c r="F293" s="10">
        <f t="shared" si="26"/>
        <v>0</v>
      </c>
      <c r="G293" s="29">
        <f t="shared" si="27"/>
        <v>1</v>
      </c>
      <c r="H293" s="29">
        <f t="shared" si="28"/>
        <v>0</v>
      </c>
    </row>
    <row r="294" spans="1:8" x14ac:dyDescent="0.15">
      <c r="A294" s="23">
        <v>293</v>
      </c>
      <c r="B294" s="20">
        <f t="shared" si="24"/>
        <v>185</v>
      </c>
      <c r="C294" s="20">
        <f t="shared" si="25"/>
        <v>196</v>
      </c>
      <c r="D294" s="52">
        <v>207244</v>
      </c>
      <c r="E294" s="20">
        <f t="shared" si="29"/>
        <v>60</v>
      </c>
      <c r="F294" s="10">
        <f t="shared" si="26"/>
        <v>1</v>
      </c>
      <c r="G294" s="29">
        <f t="shared" si="27"/>
        <v>0</v>
      </c>
      <c r="H294" s="29">
        <f t="shared" si="28"/>
        <v>0</v>
      </c>
    </row>
    <row r="295" spans="1:8" x14ac:dyDescent="0.15">
      <c r="A295" s="23">
        <v>294</v>
      </c>
      <c r="B295" s="20">
        <f t="shared" si="24"/>
        <v>185</v>
      </c>
      <c r="C295" s="20">
        <f t="shared" si="25"/>
        <v>196</v>
      </c>
      <c r="D295" s="52">
        <v>208591</v>
      </c>
      <c r="E295" s="20">
        <f t="shared" si="29"/>
        <v>60</v>
      </c>
      <c r="F295" s="10">
        <f t="shared" si="26"/>
        <v>0</v>
      </c>
      <c r="G295" s="29">
        <f t="shared" si="27"/>
        <v>0</v>
      </c>
      <c r="H295" s="29">
        <f t="shared" si="28"/>
        <v>0</v>
      </c>
    </row>
    <row r="296" spans="1:8" x14ac:dyDescent="0.15">
      <c r="A296" s="23">
        <v>295</v>
      </c>
      <c r="B296" s="20">
        <f t="shared" si="24"/>
        <v>186</v>
      </c>
      <c r="C296" s="20">
        <f t="shared" si="25"/>
        <v>196</v>
      </c>
      <c r="D296" s="52">
        <v>209947</v>
      </c>
      <c r="E296" s="20">
        <f t="shared" si="29"/>
        <v>60</v>
      </c>
      <c r="F296" s="10">
        <f t="shared" si="26"/>
        <v>1</v>
      </c>
      <c r="G296" s="29">
        <f t="shared" si="27"/>
        <v>0</v>
      </c>
      <c r="H296" s="29">
        <f t="shared" si="28"/>
        <v>0</v>
      </c>
    </row>
    <row r="297" spans="1:8" x14ac:dyDescent="0.15">
      <c r="A297" s="23">
        <v>296</v>
      </c>
      <c r="B297" s="20">
        <f t="shared" si="24"/>
        <v>186</v>
      </c>
      <c r="C297" s="20">
        <f t="shared" si="25"/>
        <v>197</v>
      </c>
      <c r="D297" s="52">
        <v>211311</v>
      </c>
      <c r="E297" s="20">
        <f t="shared" si="29"/>
        <v>60</v>
      </c>
      <c r="F297" s="10">
        <f t="shared" si="26"/>
        <v>0</v>
      </c>
      <c r="G297" s="29">
        <f t="shared" si="27"/>
        <v>1</v>
      </c>
      <c r="H297" s="29">
        <f t="shared" si="28"/>
        <v>0</v>
      </c>
    </row>
    <row r="298" spans="1:8" x14ac:dyDescent="0.15">
      <c r="A298" s="23">
        <v>297</v>
      </c>
      <c r="B298" s="20">
        <f t="shared" si="24"/>
        <v>187</v>
      </c>
      <c r="C298" s="20">
        <f t="shared" si="25"/>
        <v>197</v>
      </c>
      <c r="D298" s="52">
        <v>212685</v>
      </c>
      <c r="E298" s="20">
        <f t="shared" si="29"/>
        <v>60</v>
      </c>
      <c r="F298" s="10">
        <f t="shared" si="26"/>
        <v>1</v>
      </c>
      <c r="G298" s="29">
        <f t="shared" si="27"/>
        <v>0</v>
      </c>
      <c r="H298" s="29">
        <f t="shared" si="28"/>
        <v>0</v>
      </c>
    </row>
    <row r="299" spans="1:8" x14ac:dyDescent="0.15">
      <c r="A299" s="23">
        <v>298</v>
      </c>
      <c r="B299" s="20">
        <f t="shared" si="24"/>
        <v>187</v>
      </c>
      <c r="C299" s="20">
        <f t="shared" si="25"/>
        <v>197</v>
      </c>
      <c r="D299" s="52">
        <v>214067</v>
      </c>
      <c r="E299" s="20">
        <f t="shared" si="29"/>
        <v>60</v>
      </c>
      <c r="F299" s="10">
        <f t="shared" si="26"/>
        <v>0</v>
      </c>
      <c r="G299" s="29">
        <f t="shared" si="27"/>
        <v>0</v>
      </c>
      <c r="H299" s="29">
        <f t="shared" si="28"/>
        <v>0</v>
      </c>
    </row>
    <row r="300" spans="1:8" x14ac:dyDescent="0.15">
      <c r="A300" s="23">
        <v>299</v>
      </c>
      <c r="B300" s="20">
        <f t="shared" si="24"/>
        <v>188</v>
      </c>
      <c r="C300" s="20">
        <f t="shared" si="25"/>
        <v>197</v>
      </c>
      <c r="D300" s="52">
        <v>215459</v>
      </c>
      <c r="E300" s="20">
        <f t="shared" si="29"/>
        <v>60</v>
      </c>
      <c r="F300" s="10">
        <f t="shared" si="26"/>
        <v>1</v>
      </c>
      <c r="G300" s="29">
        <f t="shared" si="27"/>
        <v>0</v>
      </c>
      <c r="H300" s="29">
        <f t="shared" si="28"/>
        <v>0</v>
      </c>
    </row>
    <row r="301" spans="1:8" x14ac:dyDescent="0.15">
      <c r="A301" s="23">
        <v>300</v>
      </c>
      <c r="B301" s="20">
        <f t="shared" si="24"/>
        <v>188</v>
      </c>
      <c r="C301" s="20">
        <f t="shared" si="25"/>
        <v>198</v>
      </c>
      <c r="D301" s="52">
        <v>216859</v>
      </c>
      <c r="E301" s="20">
        <f t="shared" si="29"/>
        <v>60</v>
      </c>
      <c r="F301" s="10">
        <f t="shared" si="26"/>
        <v>0</v>
      </c>
      <c r="G301" s="29">
        <f t="shared" si="27"/>
        <v>1</v>
      </c>
      <c r="H301" s="29">
        <f t="shared" si="28"/>
        <v>0</v>
      </c>
    </row>
    <row r="302" spans="1:8" x14ac:dyDescent="0.15">
      <c r="A302" s="23">
        <v>301</v>
      </c>
      <c r="B302" s="20">
        <f t="shared" si="24"/>
        <v>189</v>
      </c>
      <c r="C302" s="20">
        <f t="shared" si="25"/>
        <v>198</v>
      </c>
      <c r="D302" s="52">
        <v>219470</v>
      </c>
      <c r="E302" s="20">
        <f t="shared" ref="E302:E365" si="30">E301+H302</f>
        <v>60</v>
      </c>
      <c r="F302" s="10">
        <f t="shared" si="26"/>
        <v>1</v>
      </c>
      <c r="G302" s="29">
        <f t="shared" si="27"/>
        <v>0</v>
      </c>
      <c r="H302" s="29">
        <f t="shared" si="28"/>
        <v>0</v>
      </c>
    </row>
    <row r="303" spans="1:8" x14ac:dyDescent="0.15">
      <c r="A303" s="23">
        <v>302</v>
      </c>
      <c r="B303" s="20">
        <f t="shared" si="24"/>
        <v>189</v>
      </c>
      <c r="C303" s="20">
        <f t="shared" si="25"/>
        <v>198</v>
      </c>
      <c r="D303" s="52">
        <v>220787</v>
      </c>
      <c r="E303" s="20">
        <f t="shared" si="30"/>
        <v>60</v>
      </c>
      <c r="F303" s="10">
        <f t="shared" si="26"/>
        <v>0</v>
      </c>
      <c r="G303" s="29">
        <f t="shared" si="27"/>
        <v>0</v>
      </c>
      <c r="H303" s="29">
        <f t="shared" si="28"/>
        <v>0</v>
      </c>
    </row>
    <row r="304" spans="1:8" x14ac:dyDescent="0.15">
      <c r="A304" s="23">
        <v>303</v>
      </c>
      <c r="B304" s="20">
        <f t="shared" si="24"/>
        <v>190</v>
      </c>
      <c r="C304" s="20">
        <f t="shared" si="25"/>
        <v>198</v>
      </c>
      <c r="D304" s="52">
        <v>222112</v>
      </c>
      <c r="E304" s="20">
        <f t="shared" si="30"/>
        <v>60</v>
      </c>
      <c r="F304" s="10">
        <f t="shared" si="26"/>
        <v>1</v>
      </c>
      <c r="G304" s="29">
        <f t="shared" si="27"/>
        <v>0</v>
      </c>
      <c r="H304" s="29">
        <f t="shared" si="28"/>
        <v>0</v>
      </c>
    </row>
    <row r="305" spans="1:8" x14ac:dyDescent="0.15">
      <c r="A305" s="23">
        <v>304</v>
      </c>
      <c r="B305" s="20">
        <f t="shared" si="24"/>
        <v>190</v>
      </c>
      <c r="C305" s="20">
        <f t="shared" si="25"/>
        <v>199</v>
      </c>
      <c r="D305" s="52">
        <v>223445</v>
      </c>
      <c r="E305" s="20">
        <f t="shared" si="30"/>
        <v>60</v>
      </c>
      <c r="F305" s="10">
        <f t="shared" si="26"/>
        <v>0</v>
      </c>
      <c r="G305" s="29">
        <f t="shared" si="27"/>
        <v>1</v>
      </c>
      <c r="H305" s="29">
        <f t="shared" si="28"/>
        <v>0</v>
      </c>
    </row>
    <row r="306" spans="1:8" x14ac:dyDescent="0.15">
      <c r="A306" s="23">
        <v>305</v>
      </c>
      <c r="B306" s="20">
        <f t="shared" si="24"/>
        <v>191</v>
      </c>
      <c r="C306" s="20">
        <f t="shared" si="25"/>
        <v>199</v>
      </c>
      <c r="D306" s="52">
        <v>224786</v>
      </c>
      <c r="E306" s="20">
        <f t="shared" si="30"/>
        <v>60</v>
      </c>
      <c r="F306" s="10">
        <f t="shared" si="26"/>
        <v>1</v>
      </c>
      <c r="G306" s="29">
        <f t="shared" si="27"/>
        <v>0</v>
      </c>
      <c r="H306" s="29">
        <f t="shared" si="28"/>
        <v>0</v>
      </c>
    </row>
    <row r="307" spans="1:8" x14ac:dyDescent="0.15">
      <c r="A307" s="23">
        <v>306</v>
      </c>
      <c r="B307" s="20">
        <f t="shared" si="24"/>
        <v>191</v>
      </c>
      <c r="C307" s="20">
        <f t="shared" si="25"/>
        <v>199</v>
      </c>
      <c r="D307" s="52">
        <v>226135</v>
      </c>
      <c r="E307" s="20">
        <f t="shared" si="30"/>
        <v>60</v>
      </c>
      <c r="F307" s="10">
        <f t="shared" si="26"/>
        <v>0</v>
      </c>
      <c r="G307" s="29">
        <f t="shared" si="27"/>
        <v>0</v>
      </c>
      <c r="H307" s="29">
        <f t="shared" si="28"/>
        <v>0</v>
      </c>
    </row>
    <row r="308" spans="1:8" x14ac:dyDescent="0.15">
      <c r="A308" s="23">
        <v>307</v>
      </c>
      <c r="B308" s="20">
        <f t="shared" si="24"/>
        <v>192</v>
      </c>
      <c r="C308" s="20">
        <f t="shared" si="25"/>
        <v>199</v>
      </c>
      <c r="D308" s="52">
        <v>227492</v>
      </c>
      <c r="E308" s="20">
        <f t="shared" si="30"/>
        <v>60</v>
      </c>
      <c r="F308" s="10">
        <f t="shared" si="26"/>
        <v>1</v>
      </c>
      <c r="G308" s="29">
        <f t="shared" si="27"/>
        <v>0</v>
      </c>
      <c r="H308" s="29">
        <f t="shared" si="28"/>
        <v>0</v>
      </c>
    </row>
    <row r="309" spans="1:8" x14ac:dyDescent="0.15">
      <c r="A309" s="23">
        <v>308</v>
      </c>
      <c r="B309" s="20">
        <f t="shared" si="24"/>
        <v>192</v>
      </c>
      <c r="C309" s="20">
        <f t="shared" si="25"/>
        <v>200</v>
      </c>
      <c r="D309" s="52">
        <v>228857</v>
      </c>
      <c r="E309" s="20">
        <f t="shared" si="30"/>
        <v>60</v>
      </c>
      <c r="F309" s="10">
        <f t="shared" si="26"/>
        <v>0</v>
      </c>
      <c r="G309" s="29">
        <f t="shared" si="27"/>
        <v>1</v>
      </c>
      <c r="H309" s="29">
        <f t="shared" si="28"/>
        <v>0</v>
      </c>
    </row>
    <row r="310" spans="1:8" x14ac:dyDescent="0.15">
      <c r="A310" s="23">
        <v>309</v>
      </c>
      <c r="B310" s="20">
        <f t="shared" si="24"/>
        <v>193</v>
      </c>
      <c r="C310" s="20">
        <f t="shared" si="25"/>
        <v>200</v>
      </c>
      <c r="D310" s="52">
        <v>230230</v>
      </c>
      <c r="E310" s="20">
        <f t="shared" si="30"/>
        <v>60</v>
      </c>
      <c r="F310" s="10">
        <f t="shared" si="26"/>
        <v>1</v>
      </c>
      <c r="G310" s="29">
        <f t="shared" si="27"/>
        <v>0</v>
      </c>
      <c r="H310" s="29">
        <f t="shared" si="28"/>
        <v>0</v>
      </c>
    </row>
    <row r="311" spans="1:8" x14ac:dyDescent="0.15">
      <c r="A311" s="23">
        <v>310</v>
      </c>
      <c r="B311" s="20">
        <f t="shared" si="24"/>
        <v>193</v>
      </c>
      <c r="C311" s="20">
        <f t="shared" si="25"/>
        <v>200</v>
      </c>
      <c r="D311" s="52">
        <v>231611</v>
      </c>
      <c r="E311" s="20">
        <f t="shared" si="30"/>
        <v>60</v>
      </c>
      <c r="F311" s="10">
        <f t="shared" si="26"/>
        <v>0</v>
      </c>
      <c r="G311" s="29">
        <f t="shared" si="27"/>
        <v>0</v>
      </c>
      <c r="H311" s="29">
        <f t="shared" si="28"/>
        <v>0</v>
      </c>
    </row>
    <row r="312" spans="1:8" x14ac:dyDescent="0.15">
      <c r="A312" s="23">
        <v>311</v>
      </c>
      <c r="B312" s="20">
        <f t="shared" si="24"/>
        <v>194</v>
      </c>
      <c r="C312" s="20">
        <f t="shared" si="25"/>
        <v>200</v>
      </c>
      <c r="D312" s="52">
        <v>233001</v>
      </c>
      <c r="E312" s="20">
        <f t="shared" si="30"/>
        <v>60</v>
      </c>
      <c r="F312" s="10">
        <f t="shared" si="26"/>
        <v>1</v>
      </c>
      <c r="G312" s="29">
        <f t="shared" si="27"/>
        <v>0</v>
      </c>
      <c r="H312" s="29">
        <f t="shared" si="28"/>
        <v>0</v>
      </c>
    </row>
    <row r="313" spans="1:8" x14ac:dyDescent="0.15">
      <c r="A313" s="23">
        <v>312</v>
      </c>
      <c r="B313" s="20">
        <f t="shared" si="24"/>
        <v>194</v>
      </c>
      <c r="C313" s="20">
        <f t="shared" si="25"/>
        <v>201</v>
      </c>
      <c r="D313" s="52">
        <v>234399</v>
      </c>
      <c r="E313" s="20">
        <f t="shared" si="30"/>
        <v>60</v>
      </c>
      <c r="F313" s="10">
        <f t="shared" si="26"/>
        <v>0</v>
      </c>
      <c r="G313" s="29">
        <f t="shared" si="27"/>
        <v>1</v>
      </c>
      <c r="H313" s="29">
        <f t="shared" si="28"/>
        <v>0</v>
      </c>
    </row>
    <row r="314" spans="1:8" x14ac:dyDescent="0.15">
      <c r="A314" s="23">
        <v>313</v>
      </c>
      <c r="B314" s="20">
        <f t="shared" si="24"/>
        <v>195</v>
      </c>
      <c r="C314" s="20">
        <f t="shared" si="25"/>
        <v>201</v>
      </c>
      <c r="D314" s="52">
        <v>235805</v>
      </c>
      <c r="E314" s="20">
        <f t="shared" si="30"/>
        <v>60</v>
      </c>
      <c r="F314" s="10">
        <f t="shared" si="26"/>
        <v>1</v>
      </c>
      <c r="G314" s="29">
        <f t="shared" si="27"/>
        <v>0</v>
      </c>
      <c r="H314" s="29">
        <f t="shared" si="28"/>
        <v>0</v>
      </c>
    </row>
    <row r="315" spans="1:8" x14ac:dyDescent="0.15">
      <c r="A315" s="23">
        <v>314</v>
      </c>
      <c r="B315" s="20">
        <f t="shared" si="24"/>
        <v>195</v>
      </c>
      <c r="C315" s="20">
        <f t="shared" si="25"/>
        <v>201</v>
      </c>
      <c r="D315" s="52">
        <v>237220</v>
      </c>
      <c r="E315" s="20">
        <f t="shared" si="30"/>
        <v>60</v>
      </c>
      <c r="F315" s="10">
        <f t="shared" si="26"/>
        <v>0</v>
      </c>
      <c r="G315" s="29">
        <f t="shared" si="27"/>
        <v>0</v>
      </c>
      <c r="H315" s="29">
        <f t="shared" si="28"/>
        <v>0</v>
      </c>
    </row>
    <row r="316" spans="1:8" x14ac:dyDescent="0.15">
      <c r="A316" s="23">
        <v>315</v>
      </c>
      <c r="B316" s="20">
        <f t="shared" si="24"/>
        <v>196</v>
      </c>
      <c r="C316" s="20">
        <f t="shared" si="25"/>
        <v>201</v>
      </c>
      <c r="D316" s="52">
        <v>238643</v>
      </c>
      <c r="E316" s="20">
        <f t="shared" si="30"/>
        <v>60</v>
      </c>
      <c r="F316" s="10">
        <f t="shared" si="26"/>
        <v>1</v>
      </c>
      <c r="G316" s="29">
        <f t="shared" si="27"/>
        <v>0</v>
      </c>
      <c r="H316" s="29">
        <f t="shared" si="28"/>
        <v>0</v>
      </c>
    </row>
    <row r="317" spans="1:8" x14ac:dyDescent="0.15">
      <c r="A317" s="23">
        <v>316</v>
      </c>
      <c r="B317" s="20">
        <f t="shared" si="24"/>
        <v>196</v>
      </c>
      <c r="C317" s="20">
        <f t="shared" si="25"/>
        <v>202</v>
      </c>
      <c r="D317" s="52">
        <v>240075</v>
      </c>
      <c r="E317" s="20">
        <f t="shared" si="30"/>
        <v>60</v>
      </c>
      <c r="F317" s="10">
        <f t="shared" si="26"/>
        <v>0</v>
      </c>
      <c r="G317" s="29">
        <f t="shared" si="27"/>
        <v>1</v>
      </c>
      <c r="H317" s="29">
        <f t="shared" si="28"/>
        <v>0</v>
      </c>
    </row>
    <row r="318" spans="1:8" x14ac:dyDescent="0.15">
      <c r="A318" s="23">
        <v>317</v>
      </c>
      <c r="B318" s="20">
        <f t="shared" si="24"/>
        <v>197</v>
      </c>
      <c r="C318" s="20">
        <f t="shared" si="25"/>
        <v>202</v>
      </c>
      <c r="D318" s="52">
        <v>241515</v>
      </c>
      <c r="E318" s="20">
        <f t="shared" si="30"/>
        <v>60</v>
      </c>
      <c r="F318" s="10">
        <f t="shared" si="26"/>
        <v>1</v>
      </c>
      <c r="G318" s="29">
        <f t="shared" si="27"/>
        <v>0</v>
      </c>
      <c r="H318" s="29">
        <f t="shared" si="28"/>
        <v>0</v>
      </c>
    </row>
    <row r="319" spans="1:8" x14ac:dyDescent="0.15">
      <c r="A319" s="23">
        <v>318</v>
      </c>
      <c r="B319" s="20">
        <f t="shared" si="24"/>
        <v>197</v>
      </c>
      <c r="C319" s="20">
        <f t="shared" si="25"/>
        <v>202</v>
      </c>
      <c r="D319" s="52">
        <v>242964</v>
      </c>
      <c r="E319" s="20">
        <f t="shared" si="30"/>
        <v>60</v>
      </c>
      <c r="F319" s="10">
        <f t="shared" si="26"/>
        <v>0</v>
      </c>
      <c r="G319" s="29">
        <f t="shared" si="27"/>
        <v>0</v>
      </c>
      <c r="H319" s="29">
        <f t="shared" si="28"/>
        <v>0</v>
      </c>
    </row>
    <row r="320" spans="1:8" x14ac:dyDescent="0.15">
      <c r="A320" s="23">
        <v>319</v>
      </c>
      <c r="B320" s="20">
        <f t="shared" si="24"/>
        <v>198</v>
      </c>
      <c r="C320" s="20">
        <f t="shared" si="25"/>
        <v>202</v>
      </c>
      <c r="D320" s="52">
        <v>244422</v>
      </c>
      <c r="E320" s="20">
        <f t="shared" si="30"/>
        <v>60</v>
      </c>
      <c r="F320" s="10">
        <f t="shared" si="26"/>
        <v>1</v>
      </c>
      <c r="G320" s="29">
        <f t="shared" si="27"/>
        <v>0</v>
      </c>
      <c r="H320" s="29">
        <f t="shared" si="28"/>
        <v>0</v>
      </c>
    </row>
    <row r="321" spans="1:8" x14ac:dyDescent="0.15">
      <c r="A321" s="23">
        <v>320</v>
      </c>
      <c r="B321" s="20">
        <f t="shared" si="24"/>
        <v>198</v>
      </c>
      <c r="C321" s="20">
        <f t="shared" si="25"/>
        <v>203</v>
      </c>
      <c r="D321" s="52">
        <v>245766</v>
      </c>
      <c r="E321" s="20">
        <f t="shared" si="30"/>
        <v>60</v>
      </c>
      <c r="F321" s="10">
        <f t="shared" si="26"/>
        <v>0</v>
      </c>
      <c r="G321" s="29">
        <f t="shared" si="27"/>
        <v>1</v>
      </c>
      <c r="H321" s="29">
        <f t="shared" si="28"/>
        <v>0</v>
      </c>
    </row>
    <row r="322" spans="1:8" x14ac:dyDescent="0.15">
      <c r="A322" s="23">
        <v>321</v>
      </c>
      <c r="B322" s="20">
        <f t="shared" si="24"/>
        <v>199</v>
      </c>
      <c r="C322" s="20">
        <f t="shared" si="25"/>
        <v>203</v>
      </c>
      <c r="D322" s="52">
        <v>247118</v>
      </c>
      <c r="E322" s="20">
        <f t="shared" si="30"/>
        <v>60</v>
      </c>
      <c r="F322" s="10">
        <f t="shared" si="26"/>
        <v>1</v>
      </c>
      <c r="G322" s="29">
        <f t="shared" si="27"/>
        <v>0</v>
      </c>
      <c r="H322" s="29">
        <f t="shared" si="28"/>
        <v>0</v>
      </c>
    </row>
    <row r="323" spans="1:8" x14ac:dyDescent="0.15">
      <c r="A323" s="23">
        <v>322</v>
      </c>
      <c r="B323" s="20">
        <f t="shared" ref="B323:B386" si="31">B322+F323</f>
        <v>199</v>
      </c>
      <c r="C323" s="20">
        <f t="shared" ref="C323:C386" si="32">C322+G323</f>
        <v>203</v>
      </c>
      <c r="D323" s="52">
        <v>248477</v>
      </c>
      <c r="E323" s="20">
        <f t="shared" si="30"/>
        <v>60</v>
      </c>
      <c r="F323" s="10">
        <f t="shared" ref="F323:F365" si="33">IF(A323&gt;=106, IF(MOD(A323,2)=0,0,1), IF(A323 &gt;= 65, IF(MOD(A323, 2) =0,0, IF(MOD(A323,5)= 0, 2, 1)), IF(MOD(A323, 2) =0,0, IF(MOD(A323,5)= 0, 5, 1))))</f>
        <v>0</v>
      </c>
      <c r="G323" s="29">
        <f t="shared" ref="G323:G386" si="34">IF($A323&gt;=100,IF(MOD($A323,4)=0,1,0),IF(MOD($A323,5)=0,3,IF(MOD($A323,2)=0,1,0)))</f>
        <v>0</v>
      </c>
      <c r="H323" s="29">
        <f t="shared" ref="H323:H386" si="35">IF($A323&gt;=51,0,IF($A323&gt;=30,IF(MOD($A323,5)=0,1,0),IF($A323&gt;=11,IF(MOD($A323,5)=0,3,IF(MOD($A323,2)=0,1,0)),IF(MOD($A323,5)=0,5,IF(MOD($A323,2)=0,2,0)))))</f>
        <v>0</v>
      </c>
    </row>
    <row r="324" spans="1:8" x14ac:dyDescent="0.15">
      <c r="A324" s="23">
        <v>323</v>
      </c>
      <c r="B324" s="20">
        <f t="shared" si="31"/>
        <v>200</v>
      </c>
      <c r="C324" s="20">
        <f t="shared" si="32"/>
        <v>203</v>
      </c>
      <c r="D324" s="52">
        <v>249844</v>
      </c>
      <c r="E324" s="20">
        <f t="shared" si="30"/>
        <v>60</v>
      </c>
      <c r="F324" s="10">
        <f t="shared" si="33"/>
        <v>1</v>
      </c>
      <c r="G324" s="29">
        <f t="shared" si="34"/>
        <v>0</v>
      </c>
      <c r="H324" s="29">
        <f t="shared" si="35"/>
        <v>0</v>
      </c>
    </row>
    <row r="325" spans="1:8" x14ac:dyDescent="0.15">
      <c r="A325" s="23">
        <v>324</v>
      </c>
      <c r="B325" s="20">
        <f t="shared" si="31"/>
        <v>200</v>
      </c>
      <c r="C325" s="20">
        <f t="shared" si="32"/>
        <v>204</v>
      </c>
      <c r="D325" s="52">
        <v>251218</v>
      </c>
      <c r="E325" s="20">
        <f t="shared" si="30"/>
        <v>60</v>
      </c>
      <c r="F325" s="10">
        <f t="shared" si="33"/>
        <v>0</v>
      </c>
      <c r="G325" s="29">
        <f t="shared" si="34"/>
        <v>1</v>
      </c>
      <c r="H325" s="29">
        <f t="shared" si="35"/>
        <v>0</v>
      </c>
    </row>
    <row r="326" spans="1:8" x14ac:dyDescent="0.15">
      <c r="A326" s="23">
        <v>325</v>
      </c>
      <c r="B326" s="20">
        <f t="shared" si="31"/>
        <v>201</v>
      </c>
      <c r="C326" s="20">
        <f t="shared" si="32"/>
        <v>204</v>
      </c>
      <c r="D326" s="52">
        <v>252600</v>
      </c>
      <c r="E326" s="20">
        <f t="shared" si="30"/>
        <v>60</v>
      </c>
      <c r="F326" s="10">
        <f t="shared" si="33"/>
        <v>1</v>
      </c>
      <c r="G326" s="29">
        <f t="shared" si="34"/>
        <v>0</v>
      </c>
      <c r="H326" s="29">
        <f t="shared" si="35"/>
        <v>0</v>
      </c>
    </row>
    <row r="327" spans="1:8" x14ac:dyDescent="0.15">
      <c r="A327" s="23">
        <v>326</v>
      </c>
      <c r="B327" s="20">
        <f t="shared" si="31"/>
        <v>201</v>
      </c>
      <c r="C327" s="20">
        <f t="shared" si="32"/>
        <v>204</v>
      </c>
      <c r="D327" s="52">
        <v>253989</v>
      </c>
      <c r="E327" s="20">
        <f t="shared" si="30"/>
        <v>60</v>
      </c>
      <c r="F327" s="10">
        <f t="shared" si="33"/>
        <v>0</v>
      </c>
      <c r="G327" s="29">
        <f t="shared" si="34"/>
        <v>0</v>
      </c>
      <c r="H327" s="29">
        <f t="shared" si="35"/>
        <v>0</v>
      </c>
    </row>
    <row r="328" spans="1:8" x14ac:dyDescent="0.15">
      <c r="A328" s="23">
        <v>327</v>
      </c>
      <c r="B328" s="20">
        <f t="shared" si="31"/>
        <v>202</v>
      </c>
      <c r="C328" s="20">
        <f t="shared" si="32"/>
        <v>204</v>
      </c>
      <c r="D328" s="52">
        <v>255386</v>
      </c>
      <c r="E328" s="20">
        <f t="shared" si="30"/>
        <v>60</v>
      </c>
      <c r="F328" s="10">
        <f t="shared" si="33"/>
        <v>1</v>
      </c>
      <c r="G328" s="29">
        <f t="shared" si="34"/>
        <v>0</v>
      </c>
      <c r="H328" s="29">
        <f t="shared" si="35"/>
        <v>0</v>
      </c>
    </row>
    <row r="329" spans="1:8" x14ac:dyDescent="0.15">
      <c r="A329" s="23">
        <v>328</v>
      </c>
      <c r="B329" s="20">
        <f t="shared" si="31"/>
        <v>202</v>
      </c>
      <c r="C329" s="20">
        <f t="shared" si="32"/>
        <v>205</v>
      </c>
      <c r="D329" s="52">
        <v>256791</v>
      </c>
      <c r="E329" s="20">
        <f t="shared" si="30"/>
        <v>60</v>
      </c>
      <c r="F329" s="10">
        <f t="shared" si="33"/>
        <v>0</v>
      </c>
      <c r="G329" s="29">
        <f t="shared" si="34"/>
        <v>1</v>
      </c>
      <c r="H329" s="29">
        <f t="shared" si="35"/>
        <v>0</v>
      </c>
    </row>
    <row r="330" spans="1:8" x14ac:dyDescent="0.15">
      <c r="A330" s="23">
        <v>329</v>
      </c>
      <c r="B330" s="20">
        <f t="shared" si="31"/>
        <v>203</v>
      </c>
      <c r="C330" s="20">
        <f t="shared" si="32"/>
        <v>205</v>
      </c>
      <c r="D330" s="52">
        <v>258203</v>
      </c>
      <c r="E330" s="20">
        <f t="shared" si="30"/>
        <v>60</v>
      </c>
      <c r="F330" s="10">
        <f t="shared" si="33"/>
        <v>1</v>
      </c>
      <c r="G330" s="29">
        <f t="shared" si="34"/>
        <v>0</v>
      </c>
      <c r="H330" s="29">
        <f t="shared" si="35"/>
        <v>0</v>
      </c>
    </row>
    <row r="331" spans="1:8" x14ac:dyDescent="0.15">
      <c r="A331" s="23">
        <v>330</v>
      </c>
      <c r="B331" s="20">
        <f t="shared" si="31"/>
        <v>203</v>
      </c>
      <c r="C331" s="20">
        <f t="shared" si="32"/>
        <v>205</v>
      </c>
      <c r="D331" s="52">
        <v>259623</v>
      </c>
      <c r="E331" s="20">
        <f t="shared" si="30"/>
        <v>60</v>
      </c>
      <c r="F331" s="10">
        <f t="shared" si="33"/>
        <v>0</v>
      </c>
      <c r="G331" s="29">
        <f t="shared" si="34"/>
        <v>0</v>
      </c>
      <c r="H331" s="29">
        <f t="shared" si="35"/>
        <v>0</v>
      </c>
    </row>
    <row r="332" spans="1:8" x14ac:dyDescent="0.15">
      <c r="A332" s="23">
        <v>331</v>
      </c>
      <c r="B332" s="20">
        <f t="shared" si="31"/>
        <v>204</v>
      </c>
      <c r="C332" s="20">
        <f t="shared" si="32"/>
        <v>205</v>
      </c>
      <c r="D332" s="52">
        <v>261051</v>
      </c>
      <c r="E332" s="20">
        <f t="shared" si="30"/>
        <v>60</v>
      </c>
      <c r="F332" s="10">
        <f t="shared" si="33"/>
        <v>1</v>
      </c>
      <c r="G332" s="29">
        <f t="shared" si="34"/>
        <v>0</v>
      </c>
      <c r="H332" s="29">
        <f t="shared" si="35"/>
        <v>0</v>
      </c>
    </row>
    <row r="333" spans="1:8" x14ac:dyDescent="0.15">
      <c r="A333" s="23">
        <v>332</v>
      </c>
      <c r="B333" s="20">
        <f t="shared" si="31"/>
        <v>204</v>
      </c>
      <c r="C333" s="20">
        <f t="shared" si="32"/>
        <v>206</v>
      </c>
      <c r="D333" s="52">
        <v>262487</v>
      </c>
      <c r="E333" s="20">
        <f t="shared" si="30"/>
        <v>60</v>
      </c>
      <c r="F333" s="10">
        <f t="shared" si="33"/>
        <v>0</v>
      </c>
      <c r="G333" s="29">
        <f t="shared" si="34"/>
        <v>1</v>
      </c>
      <c r="H333" s="29">
        <f t="shared" si="35"/>
        <v>0</v>
      </c>
    </row>
    <row r="334" spans="1:8" x14ac:dyDescent="0.15">
      <c r="A334" s="23">
        <v>333</v>
      </c>
      <c r="B334" s="20">
        <f t="shared" si="31"/>
        <v>205</v>
      </c>
      <c r="C334" s="20">
        <f t="shared" si="32"/>
        <v>206</v>
      </c>
      <c r="D334" s="52">
        <v>263931</v>
      </c>
      <c r="E334" s="20">
        <f t="shared" si="30"/>
        <v>60</v>
      </c>
      <c r="F334" s="10">
        <f t="shared" si="33"/>
        <v>1</v>
      </c>
      <c r="G334" s="29">
        <f t="shared" si="34"/>
        <v>0</v>
      </c>
      <c r="H334" s="29">
        <f t="shared" si="35"/>
        <v>0</v>
      </c>
    </row>
    <row r="335" spans="1:8" x14ac:dyDescent="0.15">
      <c r="A335" s="23">
        <v>334</v>
      </c>
      <c r="B335" s="20">
        <f t="shared" si="31"/>
        <v>205</v>
      </c>
      <c r="C335" s="20">
        <f t="shared" si="32"/>
        <v>206</v>
      </c>
      <c r="D335" s="52">
        <v>265383</v>
      </c>
      <c r="E335" s="20">
        <f t="shared" si="30"/>
        <v>60</v>
      </c>
      <c r="F335" s="10">
        <f t="shared" si="33"/>
        <v>0</v>
      </c>
      <c r="G335" s="29">
        <f t="shared" si="34"/>
        <v>0</v>
      </c>
      <c r="H335" s="29">
        <f t="shared" si="35"/>
        <v>0</v>
      </c>
    </row>
    <row r="336" spans="1:8" x14ac:dyDescent="0.15">
      <c r="A336" s="23">
        <v>335</v>
      </c>
      <c r="B336" s="20">
        <f t="shared" si="31"/>
        <v>206</v>
      </c>
      <c r="C336" s="20">
        <f t="shared" si="32"/>
        <v>206</v>
      </c>
      <c r="D336" s="52">
        <v>266843</v>
      </c>
      <c r="E336" s="20">
        <f t="shared" si="30"/>
        <v>60</v>
      </c>
      <c r="F336" s="10">
        <f t="shared" si="33"/>
        <v>1</v>
      </c>
      <c r="G336" s="29">
        <f t="shared" si="34"/>
        <v>0</v>
      </c>
      <c r="H336" s="29">
        <f t="shared" si="35"/>
        <v>0</v>
      </c>
    </row>
    <row r="337" spans="1:8" x14ac:dyDescent="0.15">
      <c r="A337" s="23">
        <v>336</v>
      </c>
      <c r="B337" s="20">
        <f t="shared" si="31"/>
        <v>206</v>
      </c>
      <c r="C337" s="20">
        <f t="shared" si="32"/>
        <v>207</v>
      </c>
      <c r="D337" s="52">
        <v>268311</v>
      </c>
      <c r="E337" s="20">
        <f t="shared" si="30"/>
        <v>60</v>
      </c>
      <c r="F337" s="10">
        <f t="shared" si="33"/>
        <v>0</v>
      </c>
      <c r="G337" s="29">
        <f t="shared" si="34"/>
        <v>1</v>
      </c>
      <c r="H337" s="29">
        <f t="shared" si="35"/>
        <v>0</v>
      </c>
    </row>
    <row r="338" spans="1:8" x14ac:dyDescent="0.15">
      <c r="A338" s="23">
        <v>337</v>
      </c>
      <c r="B338" s="20">
        <f t="shared" si="31"/>
        <v>207</v>
      </c>
      <c r="C338" s="20">
        <f t="shared" si="32"/>
        <v>207</v>
      </c>
      <c r="D338" s="52">
        <v>269787</v>
      </c>
      <c r="E338" s="20">
        <f t="shared" si="30"/>
        <v>60</v>
      </c>
      <c r="F338" s="10">
        <f t="shared" si="33"/>
        <v>1</v>
      </c>
      <c r="G338" s="29">
        <f t="shared" si="34"/>
        <v>0</v>
      </c>
      <c r="H338" s="29">
        <f t="shared" si="35"/>
        <v>0</v>
      </c>
    </row>
    <row r="339" spans="1:8" x14ac:dyDescent="0.15">
      <c r="A339" s="23">
        <v>338</v>
      </c>
      <c r="B339" s="20">
        <f t="shared" si="31"/>
        <v>207</v>
      </c>
      <c r="C339" s="20">
        <f t="shared" si="32"/>
        <v>207</v>
      </c>
      <c r="D339" s="52">
        <v>271271</v>
      </c>
      <c r="E339" s="20">
        <f t="shared" si="30"/>
        <v>60</v>
      </c>
      <c r="F339" s="10">
        <f t="shared" si="33"/>
        <v>0</v>
      </c>
      <c r="G339" s="29">
        <f t="shared" si="34"/>
        <v>0</v>
      </c>
      <c r="H339" s="29">
        <f t="shared" si="35"/>
        <v>0</v>
      </c>
    </row>
    <row r="340" spans="1:8" x14ac:dyDescent="0.15">
      <c r="A340" s="23">
        <v>339</v>
      </c>
      <c r="B340" s="20">
        <f t="shared" si="31"/>
        <v>208</v>
      </c>
      <c r="C340" s="20">
        <f t="shared" si="32"/>
        <v>207</v>
      </c>
      <c r="D340" s="52">
        <v>272763</v>
      </c>
      <c r="E340" s="20">
        <f t="shared" si="30"/>
        <v>60</v>
      </c>
      <c r="F340" s="10">
        <f t="shared" si="33"/>
        <v>1</v>
      </c>
      <c r="G340" s="29">
        <f t="shared" si="34"/>
        <v>0</v>
      </c>
      <c r="H340" s="29">
        <f t="shared" si="35"/>
        <v>0</v>
      </c>
    </row>
    <row r="341" spans="1:8" x14ac:dyDescent="0.15">
      <c r="A341" s="23">
        <v>340</v>
      </c>
      <c r="B341" s="20">
        <f t="shared" si="31"/>
        <v>208</v>
      </c>
      <c r="C341" s="20">
        <f t="shared" si="32"/>
        <v>208</v>
      </c>
      <c r="D341" s="52">
        <v>274127</v>
      </c>
      <c r="E341" s="20">
        <f t="shared" si="30"/>
        <v>60</v>
      </c>
      <c r="F341" s="10">
        <f t="shared" si="33"/>
        <v>0</v>
      </c>
      <c r="G341" s="29">
        <f t="shared" si="34"/>
        <v>1</v>
      </c>
      <c r="H341" s="29">
        <f t="shared" si="35"/>
        <v>0</v>
      </c>
    </row>
    <row r="342" spans="1:8" x14ac:dyDescent="0.15">
      <c r="A342" s="23">
        <v>341</v>
      </c>
      <c r="B342" s="20">
        <f t="shared" si="31"/>
        <v>209</v>
      </c>
      <c r="C342" s="20">
        <f t="shared" si="32"/>
        <v>208</v>
      </c>
      <c r="D342" s="52">
        <v>275498</v>
      </c>
      <c r="E342" s="20">
        <f t="shared" si="30"/>
        <v>60</v>
      </c>
      <c r="F342" s="10">
        <f t="shared" si="33"/>
        <v>1</v>
      </c>
      <c r="G342" s="29">
        <f t="shared" si="34"/>
        <v>0</v>
      </c>
      <c r="H342" s="29">
        <f t="shared" si="35"/>
        <v>0</v>
      </c>
    </row>
    <row r="343" spans="1:8" x14ac:dyDescent="0.15">
      <c r="A343" s="23">
        <v>342</v>
      </c>
      <c r="B343" s="20">
        <f t="shared" si="31"/>
        <v>209</v>
      </c>
      <c r="C343" s="20">
        <f t="shared" si="32"/>
        <v>208</v>
      </c>
      <c r="D343" s="52">
        <v>276875</v>
      </c>
      <c r="E343" s="20">
        <f t="shared" si="30"/>
        <v>60</v>
      </c>
      <c r="F343" s="10">
        <f t="shared" si="33"/>
        <v>0</v>
      </c>
      <c r="G343" s="29">
        <f t="shared" si="34"/>
        <v>0</v>
      </c>
      <c r="H343" s="29">
        <f t="shared" si="35"/>
        <v>0</v>
      </c>
    </row>
    <row r="344" spans="1:8" x14ac:dyDescent="0.15">
      <c r="A344" s="23">
        <v>343</v>
      </c>
      <c r="B344" s="20">
        <f t="shared" si="31"/>
        <v>210</v>
      </c>
      <c r="C344" s="20">
        <f t="shared" si="32"/>
        <v>208</v>
      </c>
      <c r="D344" s="52">
        <v>278259</v>
      </c>
      <c r="E344" s="20">
        <f t="shared" si="30"/>
        <v>60</v>
      </c>
      <c r="F344" s="10">
        <f t="shared" si="33"/>
        <v>1</v>
      </c>
      <c r="G344" s="29">
        <f t="shared" si="34"/>
        <v>0</v>
      </c>
      <c r="H344" s="29">
        <f t="shared" si="35"/>
        <v>0</v>
      </c>
    </row>
    <row r="345" spans="1:8" x14ac:dyDescent="0.15">
      <c r="A345" s="23">
        <v>344</v>
      </c>
      <c r="B345" s="20">
        <f t="shared" si="31"/>
        <v>210</v>
      </c>
      <c r="C345" s="20">
        <f t="shared" si="32"/>
        <v>209</v>
      </c>
      <c r="D345" s="52">
        <v>279650</v>
      </c>
      <c r="E345" s="20">
        <f t="shared" si="30"/>
        <v>60</v>
      </c>
      <c r="F345" s="10">
        <f t="shared" si="33"/>
        <v>0</v>
      </c>
      <c r="G345" s="29">
        <f t="shared" si="34"/>
        <v>1</v>
      </c>
      <c r="H345" s="29">
        <f t="shared" si="35"/>
        <v>0</v>
      </c>
    </row>
    <row r="346" spans="1:8" x14ac:dyDescent="0.15">
      <c r="A346" s="23">
        <v>345</v>
      </c>
      <c r="B346" s="20">
        <f t="shared" si="31"/>
        <v>211</v>
      </c>
      <c r="C346" s="20">
        <f t="shared" si="32"/>
        <v>209</v>
      </c>
      <c r="D346" s="52">
        <v>281048</v>
      </c>
      <c r="E346" s="20">
        <f t="shared" si="30"/>
        <v>60</v>
      </c>
      <c r="F346" s="10">
        <f t="shared" si="33"/>
        <v>1</v>
      </c>
      <c r="G346" s="29">
        <f t="shared" si="34"/>
        <v>0</v>
      </c>
      <c r="H346" s="29">
        <f t="shared" si="35"/>
        <v>0</v>
      </c>
    </row>
    <row r="347" spans="1:8" x14ac:dyDescent="0.15">
      <c r="A347" s="23">
        <v>346</v>
      </c>
      <c r="B347" s="20">
        <f t="shared" si="31"/>
        <v>211</v>
      </c>
      <c r="C347" s="20">
        <f t="shared" si="32"/>
        <v>209</v>
      </c>
      <c r="D347" s="52">
        <v>282453</v>
      </c>
      <c r="E347" s="20">
        <f t="shared" si="30"/>
        <v>60</v>
      </c>
      <c r="F347" s="10">
        <f t="shared" si="33"/>
        <v>0</v>
      </c>
      <c r="G347" s="29">
        <f t="shared" si="34"/>
        <v>0</v>
      </c>
      <c r="H347" s="29">
        <f t="shared" si="35"/>
        <v>0</v>
      </c>
    </row>
    <row r="348" spans="1:8" x14ac:dyDescent="0.15">
      <c r="A348" s="23">
        <v>347</v>
      </c>
      <c r="B348" s="20">
        <f t="shared" si="31"/>
        <v>212</v>
      </c>
      <c r="C348" s="20">
        <f t="shared" si="32"/>
        <v>209</v>
      </c>
      <c r="D348" s="52">
        <v>283865</v>
      </c>
      <c r="E348" s="20">
        <f t="shared" si="30"/>
        <v>60</v>
      </c>
      <c r="F348" s="10">
        <f t="shared" si="33"/>
        <v>1</v>
      </c>
      <c r="G348" s="29">
        <f t="shared" si="34"/>
        <v>0</v>
      </c>
      <c r="H348" s="29">
        <f t="shared" si="35"/>
        <v>0</v>
      </c>
    </row>
    <row r="349" spans="1:8" x14ac:dyDescent="0.15">
      <c r="A349" s="23">
        <v>348</v>
      </c>
      <c r="B349" s="20">
        <f t="shared" si="31"/>
        <v>212</v>
      </c>
      <c r="C349" s="20">
        <f t="shared" si="32"/>
        <v>210</v>
      </c>
      <c r="D349" s="52">
        <v>285284</v>
      </c>
      <c r="E349" s="20">
        <f t="shared" si="30"/>
        <v>60</v>
      </c>
      <c r="F349" s="10">
        <f t="shared" si="33"/>
        <v>0</v>
      </c>
      <c r="G349" s="29">
        <f t="shared" si="34"/>
        <v>1</v>
      </c>
      <c r="H349" s="29">
        <f t="shared" si="35"/>
        <v>0</v>
      </c>
    </row>
    <row r="350" spans="1:8" x14ac:dyDescent="0.15">
      <c r="A350" s="23">
        <v>349</v>
      </c>
      <c r="B350" s="20">
        <f t="shared" si="31"/>
        <v>213</v>
      </c>
      <c r="C350" s="20">
        <f t="shared" si="32"/>
        <v>210</v>
      </c>
      <c r="D350" s="52">
        <v>286710</v>
      </c>
      <c r="E350" s="20">
        <f t="shared" si="30"/>
        <v>60</v>
      </c>
      <c r="F350" s="10">
        <f t="shared" si="33"/>
        <v>1</v>
      </c>
      <c r="G350" s="29">
        <f t="shared" si="34"/>
        <v>0</v>
      </c>
      <c r="H350" s="29">
        <f t="shared" si="35"/>
        <v>0</v>
      </c>
    </row>
    <row r="351" spans="1:8" x14ac:dyDescent="0.15">
      <c r="A351" s="23">
        <v>350</v>
      </c>
      <c r="B351" s="20">
        <f t="shared" si="31"/>
        <v>213</v>
      </c>
      <c r="C351" s="20">
        <f t="shared" si="32"/>
        <v>210</v>
      </c>
      <c r="D351" s="52">
        <v>288144</v>
      </c>
      <c r="E351" s="20">
        <f t="shared" si="30"/>
        <v>60</v>
      </c>
      <c r="F351" s="10">
        <f t="shared" si="33"/>
        <v>0</v>
      </c>
      <c r="G351" s="29">
        <f t="shared" si="34"/>
        <v>0</v>
      </c>
      <c r="H351" s="29">
        <f t="shared" si="35"/>
        <v>0</v>
      </c>
    </row>
    <row r="352" spans="1:8" x14ac:dyDescent="0.15">
      <c r="A352" s="23">
        <v>351</v>
      </c>
      <c r="B352" s="20">
        <f t="shared" si="31"/>
        <v>214</v>
      </c>
      <c r="C352" s="20">
        <f t="shared" si="32"/>
        <v>210</v>
      </c>
      <c r="D352" s="52">
        <v>289585</v>
      </c>
      <c r="E352" s="20">
        <f t="shared" si="30"/>
        <v>60</v>
      </c>
      <c r="F352" s="10">
        <f t="shared" si="33"/>
        <v>1</v>
      </c>
      <c r="G352" s="29">
        <f t="shared" si="34"/>
        <v>0</v>
      </c>
      <c r="H352" s="29">
        <f t="shared" si="35"/>
        <v>0</v>
      </c>
    </row>
    <row r="353" spans="1:8" x14ac:dyDescent="0.15">
      <c r="A353" s="23">
        <v>352</v>
      </c>
      <c r="B353" s="20">
        <f t="shared" si="31"/>
        <v>214</v>
      </c>
      <c r="C353" s="20">
        <f t="shared" si="32"/>
        <v>211</v>
      </c>
      <c r="D353" s="52">
        <v>291033</v>
      </c>
      <c r="E353" s="20">
        <f t="shared" si="30"/>
        <v>60</v>
      </c>
      <c r="F353" s="10">
        <f t="shared" si="33"/>
        <v>0</v>
      </c>
      <c r="G353" s="29">
        <f t="shared" si="34"/>
        <v>1</v>
      </c>
      <c r="H353" s="29">
        <f t="shared" si="35"/>
        <v>0</v>
      </c>
    </row>
    <row r="354" spans="1:8" x14ac:dyDescent="0.15">
      <c r="A354" s="23">
        <v>353</v>
      </c>
      <c r="B354" s="20">
        <f t="shared" si="31"/>
        <v>215</v>
      </c>
      <c r="C354" s="20">
        <f t="shared" si="32"/>
        <v>211</v>
      </c>
      <c r="D354" s="52">
        <v>292488</v>
      </c>
      <c r="E354" s="20">
        <f t="shared" si="30"/>
        <v>60</v>
      </c>
      <c r="F354" s="10">
        <f t="shared" si="33"/>
        <v>1</v>
      </c>
      <c r="G354" s="29">
        <f t="shared" si="34"/>
        <v>0</v>
      </c>
      <c r="H354" s="29">
        <f t="shared" si="35"/>
        <v>0</v>
      </c>
    </row>
    <row r="355" spans="1:8" x14ac:dyDescent="0.15">
      <c r="A355" s="23">
        <v>354</v>
      </c>
      <c r="B355" s="20">
        <f t="shared" si="31"/>
        <v>215</v>
      </c>
      <c r="C355" s="20">
        <f t="shared" si="32"/>
        <v>211</v>
      </c>
      <c r="D355" s="52">
        <v>293950</v>
      </c>
      <c r="E355" s="20">
        <f t="shared" si="30"/>
        <v>60</v>
      </c>
      <c r="F355" s="10">
        <f t="shared" si="33"/>
        <v>0</v>
      </c>
      <c r="G355" s="29">
        <f t="shared" si="34"/>
        <v>0</v>
      </c>
      <c r="H355" s="29">
        <f t="shared" si="35"/>
        <v>0</v>
      </c>
    </row>
    <row r="356" spans="1:8" x14ac:dyDescent="0.15">
      <c r="A356" s="23">
        <v>355</v>
      </c>
      <c r="B356" s="20">
        <f t="shared" si="31"/>
        <v>216</v>
      </c>
      <c r="C356" s="20">
        <f t="shared" si="32"/>
        <v>211</v>
      </c>
      <c r="D356" s="52">
        <v>295420</v>
      </c>
      <c r="E356" s="20">
        <f t="shared" si="30"/>
        <v>60</v>
      </c>
      <c r="F356" s="10">
        <f t="shared" si="33"/>
        <v>1</v>
      </c>
      <c r="G356" s="29">
        <f t="shared" si="34"/>
        <v>0</v>
      </c>
      <c r="H356" s="29">
        <f t="shared" si="35"/>
        <v>0</v>
      </c>
    </row>
    <row r="357" spans="1:8" x14ac:dyDescent="0.15">
      <c r="A357" s="23">
        <v>356</v>
      </c>
      <c r="B357" s="20">
        <f t="shared" si="31"/>
        <v>216</v>
      </c>
      <c r="C357" s="20">
        <f t="shared" si="32"/>
        <v>212</v>
      </c>
      <c r="D357" s="52">
        <v>296897</v>
      </c>
      <c r="E357" s="20">
        <f t="shared" si="30"/>
        <v>60</v>
      </c>
      <c r="F357" s="10">
        <f t="shared" si="33"/>
        <v>0</v>
      </c>
      <c r="G357" s="29">
        <f t="shared" si="34"/>
        <v>1</v>
      </c>
      <c r="H357" s="29">
        <f t="shared" si="35"/>
        <v>0</v>
      </c>
    </row>
    <row r="358" spans="1:8" x14ac:dyDescent="0.15">
      <c r="A358" s="23">
        <v>357</v>
      </c>
      <c r="B358" s="20">
        <f t="shared" si="31"/>
        <v>217</v>
      </c>
      <c r="C358" s="20">
        <f t="shared" si="32"/>
        <v>212</v>
      </c>
      <c r="D358" s="52">
        <v>298381</v>
      </c>
      <c r="E358" s="20">
        <f t="shared" si="30"/>
        <v>60</v>
      </c>
      <c r="F358" s="10">
        <f t="shared" si="33"/>
        <v>1</v>
      </c>
      <c r="G358" s="29">
        <f t="shared" si="34"/>
        <v>0</v>
      </c>
      <c r="H358" s="29">
        <f t="shared" si="35"/>
        <v>0</v>
      </c>
    </row>
    <row r="359" spans="1:8" x14ac:dyDescent="0.15">
      <c r="A359" s="23">
        <v>358</v>
      </c>
      <c r="B359" s="20">
        <f t="shared" si="31"/>
        <v>217</v>
      </c>
      <c r="C359" s="20">
        <f t="shared" si="32"/>
        <v>212</v>
      </c>
      <c r="D359" s="52">
        <v>299873</v>
      </c>
      <c r="E359" s="20">
        <f t="shared" si="30"/>
        <v>60</v>
      </c>
      <c r="F359" s="10">
        <f t="shared" si="33"/>
        <v>0</v>
      </c>
      <c r="G359" s="29">
        <f t="shared" si="34"/>
        <v>0</v>
      </c>
      <c r="H359" s="29">
        <f t="shared" si="35"/>
        <v>0</v>
      </c>
    </row>
    <row r="360" spans="1:8" x14ac:dyDescent="0.15">
      <c r="A360" s="23">
        <v>359</v>
      </c>
      <c r="B360" s="20">
        <f t="shared" si="31"/>
        <v>218</v>
      </c>
      <c r="C360" s="20">
        <f t="shared" si="32"/>
        <v>212</v>
      </c>
      <c r="D360" s="52">
        <v>301372</v>
      </c>
      <c r="E360" s="20">
        <f t="shared" si="30"/>
        <v>60</v>
      </c>
      <c r="F360" s="10">
        <f t="shared" si="33"/>
        <v>1</v>
      </c>
      <c r="G360" s="29">
        <f t="shared" si="34"/>
        <v>0</v>
      </c>
      <c r="H360" s="29">
        <f t="shared" si="35"/>
        <v>0</v>
      </c>
    </row>
    <row r="361" spans="1:8" x14ac:dyDescent="0.15">
      <c r="A361" s="23">
        <v>360</v>
      </c>
      <c r="B361" s="20">
        <f t="shared" si="31"/>
        <v>218</v>
      </c>
      <c r="C361" s="20">
        <f t="shared" si="32"/>
        <v>213</v>
      </c>
      <c r="D361" s="52">
        <v>302879</v>
      </c>
      <c r="E361" s="20">
        <f t="shared" si="30"/>
        <v>60</v>
      </c>
      <c r="F361" s="10">
        <f t="shared" si="33"/>
        <v>0</v>
      </c>
      <c r="G361" s="29">
        <f t="shared" si="34"/>
        <v>1</v>
      </c>
      <c r="H361" s="29">
        <f t="shared" si="35"/>
        <v>0</v>
      </c>
    </row>
    <row r="362" spans="1:8" x14ac:dyDescent="0.15">
      <c r="A362" s="23">
        <v>361</v>
      </c>
      <c r="B362" s="20">
        <f t="shared" si="31"/>
        <v>219</v>
      </c>
      <c r="C362" s="20">
        <f t="shared" si="32"/>
        <v>213</v>
      </c>
      <c r="D362" s="52">
        <v>304393</v>
      </c>
      <c r="E362" s="20">
        <f t="shared" si="30"/>
        <v>60</v>
      </c>
      <c r="F362" s="10">
        <f t="shared" si="33"/>
        <v>1</v>
      </c>
      <c r="G362" s="29">
        <f t="shared" si="34"/>
        <v>0</v>
      </c>
      <c r="H362" s="29">
        <f t="shared" si="35"/>
        <v>0</v>
      </c>
    </row>
    <row r="363" spans="1:8" x14ac:dyDescent="0.15">
      <c r="A363" s="23">
        <v>362</v>
      </c>
      <c r="B363" s="20">
        <f t="shared" si="31"/>
        <v>219</v>
      </c>
      <c r="C363" s="20">
        <f t="shared" si="32"/>
        <v>213</v>
      </c>
      <c r="D363" s="52">
        <v>305915</v>
      </c>
      <c r="E363" s="20">
        <f t="shared" si="30"/>
        <v>60</v>
      </c>
      <c r="F363" s="10">
        <f t="shared" si="33"/>
        <v>0</v>
      </c>
      <c r="G363" s="29">
        <f t="shared" si="34"/>
        <v>0</v>
      </c>
      <c r="H363" s="29">
        <f t="shared" si="35"/>
        <v>0</v>
      </c>
    </row>
    <row r="364" spans="1:8" x14ac:dyDescent="0.15">
      <c r="A364" s="23">
        <v>363</v>
      </c>
      <c r="B364" s="20">
        <f t="shared" si="31"/>
        <v>220</v>
      </c>
      <c r="C364" s="20">
        <f t="shared" si="32"/>
        <v>213</v>
      </c>
      <c r="D364" s="52">
        <v>307445</v>
      </c>
      <c r="E364" s="20">
        <f t="shared" si="30"/>
        <v>60</v>
      </c>
      <c r="F364" s="10">
        <f t="shared" si="33"/>
        <v>1</v>
      </c>
      <c r="G364" s="29">
        <f t="shared" si="34"/>
        <v>0</v>
      </c>
      <c r="H364" s="29">
        <f t="shared" si="35"/>
        <v>0</v>
      </c>
    </row>
    <row r="365" spans="1:8" x14ac:dyDescent="0.15">
      <c r="A365" s="23">
        <v>364</v>
      </c>
      <c r="B365" s="20">
        <f t="shared" si="31"/>
        <v>220</v>
      </c>
      <c r="C365" s="20">
        <f t="shared" si="32"/>
        <v>214</v>
      </c>
      <c r="D365" s="52">
        <v>308982</v>
      </c>
      <c r="E365" s="20">
        <f t="shared" si="30"/>
        <v>60</v>
      </c>
      <c r="F365" s="10">
        <f t="shared" si="33"/>
        <v>0</v>
      </c>
      <c r="G365" s="29">
        <f t="shared" si="34"/>
        <v>1</v>
      </c>
      <c r="H365" s="29">
        <f t="shared" si="35"/>
        <v>0</v>
      </c>
    </row>
    <row r="366" spans="1:8" x14ac:dyDescent="0.15">
      <c r="A366" s="23">
        <v>365</v>
      </c>
      <c r="B366" s="20">
        <f t="shared" si="31"/>
        <v>221</v>
      </c>
      <c r="C366" s="20">
        <f t="shared" si="32"/>
        <v>214</v>
      </c>
      <c r="D366" s="52">
        <v>310527</v>
      </c>
      <c r="E366" s="20">
        <f t="shared" ref="E366:E401" si="36">E365+H366</f>
        <v>60</v>
      </c>
      <c r="F366" s="10">
        <f t="shared" ref="F366:F401" si="37">IF(A366&gt;=106, IF(MOD(A366,2)=0,0,1), IF(A366 &gt;= 65, IF(MOD(A366, 2) =0,0, IF(MOD(A366,5)= 0, 2, 1)), IF(MOD(A366, 2) =0,0, IF(MOD(A366,5)= 0, 5, 1))))</f>
        <v>1</v>
      </c>
      <c r="G366" s="29">
        <f t="shared" si="34"/>
        <v>0</v>
      </c>
      <c r="H366" s="29">
        <f t="shared" si="35"/>
        <v>0</v>
      </c>
    </row>
    <row r="367" spans="1:8" x14ac:dyDescent="0.15">
      <c r="A367" s="23">
        <v>366</v>
      </c>
      <c r="B367" s="20">
        <f t="shared" si="31"/>
        <v>221</v>
      </c>
      <c r="C367" s="20">
        <f t="shared" si="32"/>
        <v>214</v>
      </c>
      <c r="D367" s="52">
        <v>312080</v>
      </c>
      <c r="E367" s="20">
        <f t="shared" si="36"/>
        <v>60</v>
      </c>
      <c r="F367" s="10">
        <f t="shared" si="37"/>
        <v>0</v>
      </c>
      <c r="G367" s="29">
        <f t="shared" si="34"/>
        <v>0</v>
      </c>
      <c r="H367" s="29">
        <f t="shared" si="35"/>
        <v>0</v>
      </c>
    </row>
    <row r="368" spans="1:8" x14ac:dyDescent="0.15">
      <c r="A368" s="23">
        <v>367</v>
      </c>
      <c r="B368" s="20">
        <f t="shared" si="31"/>
        <v>222</v>
      </c>
      <c r="C368" s="20">
        <f t="shared" si="32"/>
        <v>214</v>
      </c>
      <c r="D368" s="52">
        <v>313640</v>
      </c>
      <c r="E368" s="20">
        <f t="shared" si="36"/>
        <v>60</v>
      </c>
      <c r="F368" s="10">
        <f t="shared" si="37"/>
        <v>1</v>
      </c>
      <c r="G368" s="29">
        <f t="shared" si="34"/>
        <v>0</v>
      </c>
      <c r="H368" s="29">
        <f t="shared" si="35"/>
        <v>0</v>
      </c>
    </row>
    <row r="369" spans="1:8" x14ac:dyDescent="0.15">
      <c r="A369" s="23">
        <v>368</v>
      </c>
      <c r="B369" s="20">
        <f t="shared" si="31"/>
        <v>222</v>
      </c>
      <c r="C369" s="20">
        <f t="shared" si="32"/>
        <v>215</v>
      </c>
      <c r="D369" s="52">
        <v>315208</v>
      </c>
      <c r="E369" s="20">
        <f t="shared" si="36"/>
        <v>60</v>
      </c>
      <c r="F369" s="10">
        <f t="shared" si="37"/>
        <v>0</v>
      </c>
      <c r="G369" s="29">
        <f t="shared" si="34"/>
        <v>1</v>
      </c>
      <c r="H369" s="29">
        <f t="shared" si="35"/>
        <v>0</v>
      </c>
    </row>
    <row r="370" spans="1:8" x14ac:dyDescent="0.15">
      <c r="A370" s="23">
        <v>369</v>
      </c>
      <c r="B370" s="20">
        <f t="shared" si="31"/>
        <v>223</v>
      </c>
      <c r="C370" s="20">
        <f t="shared" si="32"/>
        <v>215</v>
      </c>
      <c r="D370" s="52">
        <v>316784</v>
      </c>
      <c r="E370" s="20">
        <f t="shared" si="36"/>
        <v>60</v>
      </c>
      <c r="F370" s="10">
        <f t="shared" si="37"/>
        <v>1</v>
      </c>
      <c r="G370" s="29">
        <f t="shared" si="34"/>
        <v>0</v>
      </c>
      <c r="H370" s="29">
        <f t="shared" si="35"/>
        <v>0</v>
      </c>
    </row>
    <row r="371" spans="1:8" x14ac:dyDescent="0.15">
      <c r="A371" s="23">
        <v>370</v>
      </c>
      <c r="B371" s="20">
        <f t="shared" si="31"/>
        <v>223</v>
      </c>
      <c r="C371" s="20">
        <f t="shared" si="32"/>
        <v>215</v>
      </c>
      <c r="D371" s="52">
        <v>318368</v>
      </c>
      <c r="E371" s="20">
        <f t="shared" si="36"/>
        <v>60</v>
      </c>
      <c r="F371" s="10">
        <f t="shared" si="37"/>
        <v>0</v>
      </c>
      <c r="G371" s="29">
        <f t="shared" si="34"/>
        <v>0</v>
      </c>
      <c r="H371" s="29">
        <f t="shared" si="35"/>
        <v>0</v>
      </c>
    </row>
    <row r="372" spans="1:8" x14ac:dyDescent="0.15">
      <c r="A372" s="23">
        <v>371</v>
      </c>
      <c r="B372" s="20">
        <f t="shared" si="31"/>
        <v>224</v>
      </c>
      <c r="C372" s="20">
        <f t="shared" si="32"/>
        <v>215</v>
      </c>
      <c r="D372" s="52">
        <v>319960</v>
      </c>
      <c r="E372" s="20">
        <f t="shared" si="36"/>
        <v>60</v>
      </c>
      <c r="F372" s="10">
        <f t="shared" si="37"/>
        <v>1</v>
      </c>
      <c r="G372" s="29">
        <f t="shared" si="34"/>
        <v>0</v>
      </c>
      <c r="H372" s="29">
        <f t="shared" si="35"/>
        <v>0</v>
      </c>
    </row>
    <row r="373" spans="1:8" x14ac:dyDescent="0.15">
      <c r="A373" s="23">
        <v>372</v>
      </c>
      <c r="B373" s="20">
        <f t="shared" si="31"/>
        <v>224</v>
      </c>
      <c r="C373" s="20">
        <f t="shared" si="32"/>
        <v>216</v>
      </c>
      <c r="D373" s="52">
        <v>321560</v>
      </c>
      <c r="E373" s="20">
        <f t="shared" si="36"/>
        <v>60</v>
      </c>
      <c r="F373" s="10">
        <f t="shared" si="37"/>
        <v>0</v>
      </c>
      <c r="G373" s="29">
        <f t="shared" si="34"/>
        <v>1</v>
      </c>
      <c r="H373" s="29">
        <f t="shared" si="35"/>
        <v>0</v>
      </c>
    </row>
    <row r="374" spans="1:8" x14ac:dyDescent="0.15">
      <c r="A374" s="23">
        <v>373</v>
      </c>
      <c r="B374" s="20">
        <f t="shared" si="31"/>
        <v>225</v>
      </c>
      <c r="C374" s="20">
        <f t="shared" si="32"/>
        <v>216</v>
      </c>
      <c r="D374" s="52">
        <v>323168</v>
      </c>
      <c r="E374" s="20">
        <f t="shared" si="36"/>
        <v>60</v>
      </c>
      <c r="F374" s="10">
        <f t="shared" si="37"/>
        <v>1</v>
      </c>
      <c r="G374" s="29">
        <f t="shared" si="34"/>
        <v>0</v>
      </c>
      <c r="H374" s="29">
        <f t="shared" si="35"/>
        <v>0</v>
      </c>
    </row>
    <row r="375" spans="1:8" x14ac:dyDescent="0.15">
      <c r="A375" s="23">
        <v>374</v>
      </c>
      <c r="B375" s="20">
        <f t="shared" si="31"/>
        <v>225</v>
      </c>
      <c r="C375" s="20">
        <f t="shared" si="32"/>
        <v>216</v>
      </c>
      <c r="D375" s="52">
        <v>324784</v>
      </c>
      <c r="E375" s="20">
        <f t="shared" si="36"/>
        <v>60</v>
      </c>
      <c r="F375" s="10">
        <f t="shared" si="37"/>
        <v>0</v>
      </c>
      <c r="G375" s="29">
        <f t="shared" si="34"/>
        <v>0</v>
      </c>
      <c r="H375" s="29">
        <f t="shared" si="35"/>
        <v>0</v>
      </c>
    </row>
    <row r="376" spans="1:8" x14ac:dyDescent="0.15">
      <c r="A376" s="23">
        <v>375</v>
      </c>
      <c r="B376" s="20">
        <f t="shared" si="31"/>
        <v>226</v>
      </c>
      <c r="C376" s="20">
        <f t="shared" si="32"/>
        <v>216</v>
      </c>
      <c r="D376" s="52">
        <v>326408</v>
      </c>
      <c r="E376" s="20">
        <f t="shared" si="36"/>
        <v>60</v>
      </c>
      <c r="F376" s="10">
        <f t="shared" si="37"/>
        <v>1</v>
      </c>
      <c r="G376" s="29">
        <f t="shared" si="34"/>
        <v>0</v>
      </c>
      <c r="H376" s="29">
        <f t="shared" si="35"/>
        <v>0</v>
      </c>
    </row>
    <row r="377" spans="1:8" x14ac:dyDescent="0.15">
      <c r="A377" s="23">
        <v>376</v>
      </c>
      <c r="B377" s="20">
        <f t="shared" si="31"/>
        <v>226</v>
      </c>
      <c r="C377" s="20">
        <f t="shared" si="32"/>
        <v>217</v>
      </c>
      <c r="D377" s="52">
        <v>328040</v>
      </c>
      <c r="E377" s="20">
        <f t="shared" si="36"/>
        <v>60</v>
      </c>
      <c r="F377" s="10">
        <f t="shared" si="37"/>
        <v>0</v>
      </c>
      <c r="G377" s="29">
        <f t="shared" si="34"/>
        <v>1</v>
      </c>
      <c r="H377" s="29">
        <f t="shared" si="35"/>
        <v>0</v>
      </c>
    </row>
    <row r="378" spans="1:8" x14ac:dyDescent="0.15">
      <c r="A378" s="23">
        <v>377</v>
      </c>
      <c r="B378" s="20">
        <f t="shared" si="31"/>
        <v>227</v>
      </c>
      <c r="C378" s="20">
        <f t="shared" si="32"/>
        <v>217</v>
      </c>
      <c r="D378" s="52">
        <v>329680</v>
      </c>
      <c r="E378" s="20">
        <f t="shared" si="36"/>
        <v>60</v>
      </c>
      <c r="F378" s="10">
        <f t="shared" si="37"/>
        <v>1</v>
      </c>
      <c r="G378" s="29">
        <f t="shared" si="34"/>
        <v>0</v>
      </c>
      <c r="H378" s="29">
        <f t="shared" si="35"/>
        <v>0</v>
      </c>
    </row>
    <row r="379" spans="1:8" x14ac:dyDescent="0.15">
      <c r="A379" s="23">
        <v>378</v>
      </c>
      <c r="B379" s="20">
        <f t="shared" si="31"/>
        <v>227</v>
      </c>
      <c r="C379" s="20">
        <f t="shared" si="32"/>
        <v>217</v>
      </c>
      <c r="D379" s="52">
        <v>331328</v>
      </c>
      <c r="E379" s="20">
        <f t="shared" si="36"/>
        <v>60</v>
      </c>
      <c r="F379" s="10">
        <f t="shared" si="37"/>
        <v>0</v>
      </c>
      <c r="G379" s="29">
        <f t="shared" si="34"/>
        <v>0</v>
      </c>
      <c r="H379" s="29">
        <f t="shared" si="35"/>
        <v>0</v>
      </c>
    </row>
    <row r="380" spans="1:8" x14ac:dyDescent="0.15">
      <c r="A380" s="23">
        <v>379</v>
      </c>
      <c r="B380" s="20">
        <f t="shared" si="31"/>
        <v>228</v>
      </c>
      <c r="C380" s="20">
        <f t="shared" si="32"/>
        <v>217</v>
      </c>
      <c r="D380" s="52">
        <v>332985</v>
      </c>
      <c r="E380" s="20">
        <f t="shared" si="36"/>
        <v>60</v>
      </c>
      <c r="F380" s="10">
        <f t="shared" si="37"/>
        <v>1</v>
      </c>
      <c r="G380" s="29">
        <f t="shared" si="34"/>
        <v>0</v>
      </c>
      <c r="H380" s="29">
        <f t="shared" si="35"/>
        <v>0</v>
      </c>
    </row>
    <row r="381" spans="1:8" x14ac:dyDescent="0.15">
      <c r="A381" s="23">
        <v>380</v>
      </c>
      <c r="B381" s="20">
        <f t="shared" si="31"/>
        <v>228</v>
      </c>
      <c r="C381" s="20">
        <f t="shared" si="32"/>
        <v>218</v>
      </c>
      <c r="D381" s="52">
        <v>334650</v>
      </c>
      <c r="E381" s="20">
        <f t="shared" si="36"/>
        <v>60</v>
      </c>
      <c r="F381" s="10">
        <f t="shared" si="37"/>
        <v>0</v>
      </c>
      <c r="G381" s="29">
        <f t="shared" si="34"/>
        <v>1</v>
      </c>
      <c r="H381" s="29">
        <f t="shared" si="35"/>
        <v>0</v>
      </c>
    </row>
    <row r="382" spans="1:8" x14ac:dyDescent="0.15">
      <c r="A382" s="23">
        <v>381</v>
      </c>
      <c r="B382" s="20">
        <f t="shared" si="31"/>
        <v>229</v>
      </c>
      <c r="C382" s="20">
        <f t="shared" si="32"/>
        <v>218</v>
      </c>
      <c r="D382" s="52">
        <v>336323</v>
      </c>
      <c r="E382" s="20">
        <f t="shared" si="36"/>
        <v>60</v>
      </c>
      <c r="F382" s="10">
        <f t="shared" si="37"/>
        <v>1</v>
      </c>
      <c r="G382" s="29">
        <f t="shared" si="34"/>
        <v>0</v>
      </c>
      <c r="H382" s="29">
        <f t="shared" si="35"/>
        <v>0</v>
      </c>
    </row>
    <row r="383" spans="1:8" x14ac:dyDescent="0.15">
      <c r="A383" s="23">
        <v>382</v>
      </c>
      <c r="B383" s="20">
        <f t="shared" si="31"/>
        <v>229</v>
      </c>
      <c r="C383" s="20">
        <f t="shared" si="32"/>
        <v>218</v>
      </c>
      <c r="D383" s="52">
        <v>338005</v>
      </c>
      <c r="E383" s="20">
        <f t="shared" si="36"/>
        <v>60</v>
      </c>
      <c r="F383" s="10">
        <f t="shared" si="37"/>
        <v>0</v>
      </c>
      <c r="G383" s="29">
        <f t="shared" si="34"/>
        <v>0</v>
      </c>
      <c r="H383" s="29">
        <f t="shared" si="35"/>
        <v>0</v>
      </c>
    </row>
    <row r="384" spans="1:8" x14ac:dyDescent="0.15">
      <c r="A384" s="23">
        <v>383</v>
      </c>
      <c r="B384" s="20">
        <f t="shared" si="31"/>
        <v>230</v>
      </c>
      <c r="C384" s="20">
        <f t="shared" si="32"/>
        <v>218</v>
      </c>
      <c r="D384" s="52">
        <v>339695</v>
      </c>
      <c r="E384" s="20">
        <f t="shared" si="36"/>
        <v>60</v>
      </c>
      <c r="F384" s="10">
        <f t="shared" si="37"/>
        <v>1</v>
      </c>
      <c r="G384" s="29">
        <f t="shared" si="34"/>
        <v>0</v>
      </c>
      <c r="H384" s="29">
        <f t="shared" si="35"/>
        <v>0</v>
      </c>
    </row>
    <row r="385" spans="1:8" x14ac:dyDescent="0.15">
      <c r="A385" s="23">
        <v>384</v>
      </c>
      <c r="B385" s="20">
        <f t="shared" si="31"/>
        <v>230</v>
      </c>
      <c r="C385" s="20">
        <f t="shared" si="32"/>
        <v>219</v>
      </c>
      <c r="D385" s="52">
        <v>341393</v>
      </c>
      <c r="E385" s="20">
        <f t="shared" si="36"/>
        <v>60</v>
      </c>
      <c r="F385" s="10">
        <f t="shared" si="37"/>
        <v>0</v>
      </c>
      <c r="G385" s="29">
        <f t="shared" si="34"/>
        <v>1</v>
      </c>
      <c r="H385" s="29">
        <f t="shared" si="35"/>
        <v>0</v>
      </c>
    </row>
    <row r="386" spans="1:8" x14ac:dyDescent="0.15">
      <c r="A386" s="23">
        <v>385</v>
      </c>
      <c r="B386" s="20">
        <f t="shared" si="31"/>
        <v>231</v>
      </c>
      <c r="C386" s="20">
        <f t="shared" si="32"/>
        <v>219</v>
      </c>
      <c r="D386" s="52">
        <v>343100</v>
      </c>
      <c r="E386" s="20">
        <f t="shared" si="36"/>
        <v>60</v>
      </c>
      <c r="F386" s="10">
        <f t="shared" si="37"/>
        <v>1</v>
      </c>
      <c r="G386" s="29">
        <f t="shared" si="34"/>
        <v>0</v>
      </c>
      <c r="H386" s="29">
        <f t="shared" si="35"/>
        <v>0</v>
      </c>
    </row>
    <row r="387" spans="1:8" x14ac:dyDescent="0.15">
      <c r="A387" s="23">
        <v>386</v>
      </c>
      <c r="B387" s="20">
        <f t="shared" ref="B387:B401" si="38">B386+F387</f>
        <v>231</v>
      </c>
      <c r="C387" s="20">
        <f t="shared" ref="C387:C401" si="39">C386+G387</f>
        <v>219</v>
      </c>
      <c r="D387" s="52">
        <v>344816</v>
      </c>
      <c r="E387" s="20">
        <f t="shared" si="36"/>
        <v>60</v>
      </c>
      <c r="F387" s="10">
        <f t="shared" si="37"/>
        <v>0</v>
      </c>
      <c r="G387" s="29">
        <f t="shared" ref="G387:G401" si="40">IF($A387&gt;=100,IF(MOD($A387,4)=0,1,0),IF(MOD($A387,5)=0,3,IF(MOD($A387,2)=0,1,0)))</f>
        <v>0</v>
      </c>
      <c r="H387" s="29">
        <f t="shared" ref="H387:H401" si="41">IF($A387&gt;=51,0,IF($A387&gt;=30,IF(MOD($A387,5)=0,1,0),IF($A387&gt;=11,IF(MOD($A387,5)=0,3,IF(MOD($A387,2)=0,1,0)),IF(MOD($A387,5)=0,5,IF(MOD($A387,2)=0,2,0)))))</f>
        <v>0</v>
      </c>
    </row>
    <row r="388" spans="1:8" x14ac:dyDescent="0.15">
      <c r="A388" s="23">
        <v>387</v>
      </c>
      <c r="B388" s="20">
        <f t="shared" si="38"/>
        <v>232</v>
      </c>
      <c r="C388" s="20">
        <f t="shared" si="39"/>
        <v>219</v>
      </c>
      <c r="D388" s="52">
        <v>346540</v>
      </c>
      <c r="E388" s="20">
        <f t="shared" si="36"/>
        <v>60</v>
      </c>
      <c r="F388" s="10">
        <f t="shared" si="37"/>
        <v>1</v>
      </c>
      <c r="G388" s="29">
        <f t="shared" si="40"/>
        <v>0</v>
      </c>
      <c r="H388" s="29">
        <f t="shared" si="41"/>
        <v>0</v>
      </c>
    </row>
    <row r="389" spans="1:8" x14ac:dyDescent="0.15">
      <c r="A389" s="23">
        <v>388</v>
      </c>
      <c r="B389" s="20">
        <f t="shared" si="38"/>
        <v>232</v>
      </c>
      <c r="C389" s="20">
        <f t="shared" si="39"/>
        <v>220</v>
      </c>
      <c r="D389" s="52">
        <v>348273</v>
      </c>
      <c r="E389" s="20">
        <f t="shared" si="36"/>
        <v>60</v>
      </c>
      <c r="F389" s="10">
        <f t="shared" si="37"/>
        <v>0</v>
      </c>
      <c r="G389" s="29">
        <f t="shared" si="40"/>
        <v>1</v>
      </c>
      <c r="H389" s="29">
        <f t="shared" si="41"/>
        <v>0</v>
      </c>
    </row>
    <row r="390" spans="1:8" x14ac:dyDescent="0.15">
      <c r="A390" s="23">
        <v>389</v>
      </c>
      <c r="B390" s="20">
        <f t="shared" si="38"/>
        <v>233</v>
      </c>
      <c r="C390" s="20">
        <f t="shared" si="39"/>
        <v>220</v>
      </c>
      <c r="D390" s="52">
        <v>350014</v>
      </c>
      <c r="E390" s="20">
        <f t="shared" si="36"/>
        <v>60</v>
      </c>
      <c r="F390" s="10">
        <f t="shared" si="37"/>
        <v>1</v>
      </c>
      <c r="G390" s="29">
        <f t="shared" si="40"/>
        <v>0</v>
      </c>
      <c r="H390" s="29">
        <f t="shared" si="41"/>
        <v>0</v>
      </c>
    </row>
    <row r="391" spans="1:8" x14ac:dyDescent="0.15">
      <c r="A391" s="23">
        <v>390</v>
      </c>
      <c r="B391" s="20">
        <f t="shared" si="38"/>
        <v>233</v>
      </c>
      <c r="C391" s="20">
        <f t="shared" si="39"/>
        <v>220</v>
      </c>
      <c r="D391" s="52">
        <v>351764</v>
      </c>
      <c r="E391" s="20">
        <f t="shared" si="36"/>
        <v>60</v>
      </c>
      <c r="F391" s="10">
        <f t="shared" si="37"/>
        <v>0</v>
      </c>
      <c r="G391" s="29">
        <f t="shared" si="40"/>
        <v>0</v>
      </c>
      <c r="H391" s="29">
        <f t="shared" si="41"/>
        <v>0</v>
      </c>
    </row>
    <row r="392" spans="1:8" x14ac:dyDescent="0.15">
      <c r="A392" s="23">
        <v>391</v>
      </c>
      <c r="B392" s="20">
        <f t="shared" si="38"/>
        <v>234</v>
      </c>
      <c r="C392" s="20">
        <f t="shared" si="39"/>
        <v>220</v>
      </c>
      <c r="D392" s="52">
        <v>353523</v>
      </c>
      <c r="E392" s="20">
        <f t="shared" si="36"/>
        <v>60</v>
      </c>
      <c r="F392" s="10">
        <f t="shared" si="37"/>
        <v>1</v>
      </c>
      <c r="G392" s="29">
        <f t="shared" si="40"/>
        <v>0</v>
      </c>
      <c r="H392" s="29">
        <f t="shared" si="41"/>
        <v>0</v>
      </c>
    </row>
    <row r="393" spans="1:8" x14ac:dyDescent="0.15">
      <c r="A393" s="23">
        <v>392</v>
      </c>
      <c r="B393" s="20">
        <f t="shared" si="38"/>
        <v>234</v>
      </c>
      <c r="C393" s="20">
        <f t="shared" si="39"/>
        <v>221</v>
      </c>
      <c r="D393" s="52">
        <v>355291</v>
      </c>
      <c r="E393" s="20">
        <f t="shared" si="36"/>
        <v>60</v>
      </c>
      <c r="F393" s="10">
        <f t="shared" si="37"/>
        <v>0</v>
      </c>
      <c r="G393" s="29">
        <f t="shared" si="40"/>
        <v>1</v>
      </c>
      <c r="H393" s="29">
        <f t="shared" si="41"/>
        <v>0</v>
      </c>
    </row>
    <row r="394" spans="1:8" x14ac:dyDescent="0.15">
      <c r="A394" s="23">
        <v>393</v>
      </c>
      <c r="B394" s="20">
        <f t="shared" si="38"/>
        <v>235</v>
      </c>
      <c r="C394" s="20">
        <f t="shared" si="39"/>
        <v>221</v>
      </c>
      <c r="D394" s="52">
        <v>357067</v>
      </c>
      <c r="E394" s="20">
        <f t="shared" si="36"/>
        <v>60</v>
      </c>
      <c r="F394" s="10">
        <f t="shared" si="37"/>
        <v>1</v>
      </c>
      <c r="G394" s="29">
        <f t="shared" si="40"/>
        <v>0</v>
      </c>
      <c r="H394" s="29">
        <f t="shared" si="41"/>
        <v>0</v>
      </c>
    </row>
    <row r="395" spans="1:8" x14ac:dyDescent="0.15">
      <c r="A395" s="23">
        <v>394</v>
      </c>
      <c r="B395" s="20">
        <f t="shared" si="38"/>
        <v>235</v>
      </c>
      <c r="C395" s="20">
        <f t="shared" si="39"/>
        <v>221</v>
      </c>
      <c r="D395" s="52">
        <v>358852</v>
      </c>
      <c r="E395" s="20">
        <f t="shared" si="36"/>
        <v>60</v>
      </c>
      <c r="F395" s="10">
        <f t="shared" si="37"/>
        <v>0</v>
      </c>
      <c r="G395" s="29">
        <f t="shared" si="40"/>
        <v>0</v>
      </c>
      <c r="H395" s="29">
        <f t="shared" si="41"/>
        <v>0</v>
      </c>
    </row>
    <row r="396" spans="1:8" x14ac:dyDescent="0.15">
      <c r="A396" s="23">
        <v>395</v>
      </c>
      <c r="B396" s="20">
        <f t="shared" si="38"/>
        <v>236</v>
      </c>
      <c r="C396" s="20">
        <f t="shared" si="39"/>
        <v>221</v>
      </c>
      <c r="D396" s="52">
        <v>360646</v>
      </c>
      <c r="E396" s="20">
        <f t="shared" si="36"/>
        <v>60</v>
      </c>
      <c r="F396" s="10">
        <f t="shared" si="37"/>
        <v>1</v>
      </c>
      <c r="G396" s="29">
        <f t="shared" si="40"/>
        <v>0</v>
      </c>
      <c r="H396" s="29">
        <f t="shared" si="41"/>
        <v>0</v>
      </c>
    </row>
    <row r="397" spans="1:8" x14ac:dyDescent="0.15">
      <c r="A397" s="23">
        <v>396</v>
      </c>
      <c r="B397" s="20">
        <f t="shared" si="38"/>
        <v>236</v>
      </c>
      <c r="C397" s="20">
        <f t="shared" si="39"/>
        <v>222</v>
      </c>
      <c r="D397" s="52">
        <v>362449</v>
      </c>
      <c r="E397" s="20">
        <f t="shared" si="36"/>
        <v>60</v>
      </c>
      <c r="F397" s="10">
        <f t="shared" si="37"/>
        <v>0</v>
      </c>
      <c r="G397" s="29">
        <f t="shared" si="40"/>
        <v>1</v>
      </c>
      <c r="H397" s="29">
        <f t="shared" si="41"/>
        <v>0</v>
      </c>
    </row>
    <row r="398" spans="1:8" x14ac:dyDescent="0.15">
      <c r="A398" s="23">
        <v>397</v>
      </c>
      <c r="B398" s="20">
        <f t="shared" si="38"/>
        <v>237</v>
      </c>
      <c r="C398" s="20">
        <f t="shared" si="39"/>
        <v>222</v>
      </c>
      <c r="D398" s="52">
        <v>364261</v>
      </c>
      <c r="E398" s="20">
        <f t="shared" si="36"/>
        <v>60</v>
      </c>
      <c r="F398" s="10">
        <f t="shared" si="37"/>
        <v>1</v>
      </c>
      <c r="G398" s="29">
        <f t="shared" si="40"/>
        <v>0</v>
      </c>
      <c r="H398" s="29">
        <f t="shared" si="41"/>
        <v>0</v>
      </c>
    </row>
    <row r="399" spans="1:8" x14ac:dyDescent="0.15">
      <c r="A399" s="23">
        <v>398</v>
      </c>
      <c r="B399" s="20">
        <f t="shared" si="38"/>
        <v>237</v>
      </c>
      <c r="C399" s="20">
        <f t="shared" si="39"/>
        <v>222</v>
      </c>
      <c r="D399" s="52">
        <v>366082</v>
      </c>
      <c r="E399" s="20">
        <f t="shared" si="36"/>
        <v>60</v>
      </c>
      <c r="F399" s="10">
        <f t="shared" si="37"/>
        <v>0</v>
      </c>
      <c r="G399" s="29">
        <f t="shared" si="40"/>
        <v>0</v>
      </c>
      <c r="H399" s="29">
        <f t="shared" si="41"/>
        <v>0</v>
      </c>
    </row>
    <row r="400" spans="1:8" x14ac:dyDescent="0.15">
      <c r="A400" s="23">
        <v>399</v>
      </c>
      <c r="B400" s="20">
        <f t="shared" si="38"/>
        <v>238</v>
      </c>
      <c r="C400" s="20">
        <f t="shared" si="39"/>
        <v>222</v>
      </c>
      <c r="D400" s="52">
        <v>367912</v>
      </c>
      <c r="E400" s="20">
        <f t="shared" si="36"/>
        <v>60</v>
      </c>
      <c r="F400" s="10">
        <f t="shared" si="37"/>
        <v>1</v>
      </c>
      <c r="G400" s="29">
        <f t="shared" si="40"/>
        <v>0</v>
      </c>
      <c r="H400" s="29">
        <f t="shared" si="41"/>
        <v>0</v>
      </c>
    </row>
    <row r="401" spans="1:8" x14ac:dyDescent="0.15">
      <c r="A401" s="23">
        <v>400</v>
      </c>
      <c r="B401" s="20">
        <f t="shared" si="38"/>
        <v>238</v>
      </c>
      <c r="C401" s="20">
        <f t="shared" si="39"/>
        <v>223</v>
      </c>
      <c r="D401" s="52">
        <v>369752</v>
      </c>
      <c r="E401" s="20">
        <f t="shared" si="36"/>
        <v>60</v>
      </c>
      <c r="F401" s="10">
        <f t="shared" si="37"/>
        <v>0</v>
      </c>
      <c r="G401" s="29">
        <f t="shared" si="40"/>
        <v>1</v>
      </c>
      <c r="H401" s="29">
        <f t="shared" si="41"/>
        <v>0</v>
      </c>
    </row>
  </sheetData>
  <autoFilter ref="A1:I201"/>
  <phoneticPr fontId="3"/>
  <pageMargins left="0.7" right="0.7" top="0.75" bottom="0.75" header="0.3" footer="0.3"/>
  <pageSetup paperSize="9" orientation="portrait" horizontalDpi="4294967292" verticalDpi="4294967292"/>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output</vt:lpstr>
      <vt:lpstr>ユーザー基礎設計</vt:lpstr>
      <vt:lpstr>参考</vt:lpstr>
      <vt:lpstr>player_ranks_uprev1609_2</vt:lpstr>
      <vt:lpstr>player_ranks_uprev1609</vt:lpstr>
      <vt:lpstr>player_ranks_uprev</vt:lpstr>
      <vt:lpstr>player_ranks_old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¥98</dc:creator>
  <cp:lastModifiedBy>Microsoft Office ユーザー</cp:lastModifiedBy>
  <dcterms:created xsi:type="dcterms:W3CDTF">2013-10-07T08:00:17Z</dcterms:created>
  <dcterms:modified xsi:type="dcterms:W3CDTF">2016-09-21T10:42:14Z</dcterms:modified>
</cp:coreProperties>
</file>