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0" yWindow="0" windowWidth="25120" windowHeight="15600" tabRatio="943"/>
  </bookViews>
  <sheets>
    <sheet name="output" sheetId="103" r:id="rId1"/>
    <sheet name="gacha_300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gacha_300_base!$A$37:$B$63</definedName>
    <definedName name="_xlnm._FilterDatabase" localSheetId="4" hidden="1">gacha_bonus_tables!$B$1:$G$1</definedName>
    <definedName name="_xlnm._FilterDatabase" localSheetId="2" hidden="1">gacha_select_tables!$A$1:$T$407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82" l="1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400" i="82"/>
  <c r="B401" i="82"/>
  <c r="B402" i="82"/>
  <c r="B403" i="82"/>
  <c r="B404" i="82"/>
  <c r="B405" i="82"/>
  <c r="B406" i="82"/>
  <c r="B407" i="82"/>
  <c r="B408" i="82"/>
  <c r="B409" i="82"/>
  <c r="B410" i="82"/>
  <c r="B411" i="82"/>
  <c r="B412" i="82"/>
  <c r="B413" i="82"/>
  <c r="B414" i="82"/>
  <c r="B415" i="82"/>
  <c r="B416" i="82"/>
  <c r="B417" i="82"/>
  <c r="B2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18" i="82"/>
  <c r="I318" i="82"/>
  <c r="D318" i="82"/>
  <c r="H319" i="82"/>
  <c r="I319" i="82"/>
  <c r="D319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6" i="82"/>
  <c r="I336" i="82"/>
  <c r="D336" i="82"/>
  <c r="H337" i="82"/>
  <c r="I337" i="82"/>
  <c r="D337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346" i="82"/>
  <c r="I346" i="82"/>
  <c r="D346" i="82"/>
  <c r="H347" i="82"/>
  <c r="I347" i="82"/>
  <c r="D347" i="82"/>
  <c r="H348" i="82"/>
  <c r="I348" i="82"/>
  <c r="D348" i="82"/>
  <c r="H349" i="82"/>
  <c r="I349" i="82"/>
  <c r="D349" i="82"/>
  <c r="H350" i="82"/>
  <c r="I350" i="82"/>
  <c r="D350" i="82"/>
  <c r="H351" i="82"/>
  <c r="I351" i="82"/>
  <c r="D351" i="82"/>
  <c r="H352" i="82"/>
  <c r="I352" i="82"/>
  <c r="D352" i="82"/>
  <c r="H353" i="82"/>
  <c r="I353" i="82"/>
  <c r="D353" i="82"/>
  <c r="H354" i="82"/>
  <c r="I354" i="82"/>
  <c r="D354" i="82"/>
  <c r="H355" i="82"/>
  <c r="I355" i="82"/>
  <c r="D355" i="82"/>
  <c r="H356" i="82"/>
  <c r="I356" i="82"/>
  <c r="D356" i="82"/>
  <c r="H357" i="82"/>
  <c r="I357" i="82"/>
  <c r="D357" i="82"/>
  <c r="H358" i="82"/>
  <c r="I358" i="82"/>
  <c r="D358" i="82"/>
  <c r="H359" i="82"/>
  <c r="I359" i="82"/>
  <c r="D359" i="82"/>
  <c r="H360" i="82"/>
  <c r="I360" i="82"/>
  <c r="D360" i="82"/>
  <c r="H361" i="82"/>
  <c r="I361" i="82"/>
  <c r="D361" i="82"/>
  <c r="H362" i="82"/>
  <c r="I362" i="82"/>
  <c r="D362" i="82"/>
  <c r="H363" i="82"/>
  <c r="I363" i="82"/>
  <c r="D363" i="82"/>
  <c r="H364" i="82"/>
  <c r="I364" i="82"/>
  <c r="D364" i="82"/>
  <c r="H365" i="82"/>
  <c r="I365" i="82"/>
  <c r="D365" i="82"/>
  <c r="H366" i="82"/>
  <c r="I366" i="82"/>
  <c r="D366" i="82"/>
  <c r="H367" i="82"/>
  <c r="I367" i="82"/>
  <c r="D367" i="82"/>
  <c r="H368" i="82"/>
  <c r="I368" i="82"/>
  <c r="D368" i="82"/>
  <c r="H369" i="82"/>
  <c r="I369" i="82"/>
  <c r="D369" i="82"/>
  <c r="H370" i="82"/>
  <c r="I370" i="82"/>
  <c r="D370" i="82"/>
  <c r="H371" i="82"/>
  <c r="I371" i="82"/>
  <c r="D371" i="82"/>
  <c r="H372" i="82"/>
  <c r="I372" i="82"/>
  <c r="D372" i="82"/>
  <c r="H373" i="82"/>
  <c r="I373" i="82"/>
  <c r="D373" i="82"/>
  <c r="H374" i="82"/>
  <c r="I374" i="82"/>
  <c r="D374" i="82"/>
  <c r="H375" i="82"/>
  <c r="I375" i="82"/>
  <c r="D375" i="82"/>
  <c r="H376" i="82"/>
  <c r="I376" i="82"/>
  <c r="D376" i="82"/>
  <c r="H377" i="82"/>
  <c r="I377" i="82"/>
  <c r="D377" i="82"/>
  <c r="H378" i="82"/>
  <c r="I378" i="82"/>
  <c r="D378" i="82"/>
  <c r="H379" i="82"/>
  <c r="I379" i="82"/>
  <c r="D379" i="82"/>
  <c r="H380" i="82"/>
  <c r="I380" i="82"/>
  <c r="D380" i="82"/>
  <c r="H381" i="82"/>
  <c r="I381" i="82"/>
  <c r="D381" i="82"/>
  <c r="H382" i="82"/>
  <c r="I382" i="82"/>
  <c r="D382" i="82"/>
  <c r="H383" i="82"/>
  <c r="I383" i="82"/>
  <c r="D383" i="82"/>
  <c r="H384" i="82"/>
  <c r="I384" i="82"/>
  <c r="D384" i="82"/>
  <c r="H385" i="82"/>
  <c r="I385" i="82"/>
  <c r="D385" i="82"/>
  <c r="H386" i="82"/>
  <c r="I386" i="82"/>
  <c r="D386" i="82"/>
  <c r="H387" i="82"/>
  <c r="I387" i="82"/>
  <c r="D387" i="82"/>
  <c r="H388" i="82"/>
  <c r="I388" i="82"/>
  <c r="D388" i="82"/>
  <c r="H389" i="82"/>
  <c r="I389" i="82"/>
  <c r="D389" i="82"/>
  <c r="H390" i="82"/>
  <c r="I390" i="82"/>
  <c r="D390" i="82"/>
  <c r="H391" i="82"/>
  <c r="I391" i="82"/>
  <c r="D391" i="82"/>
  <c r="H392" i="82"/>
  <c r="I392" i="82"/>
  <c r="D392" i="82"/>
  <c r="H393" i="82"/>
  <c r="I393" i="82"/>
  <c r="D393" i="82"/>
  <c r="H394" i="82"/>
  <c r="I394" i="82"/>
  <c r="D394" i="82"/>
  <c r="H395" i="82"/>
  <c r="I395" i="82"/>
  <c r="D395" i="82"/>
  <c r="H396" i="82"/>
  <c r="I396" i="82"/>
  <c r="D396" i="82"/>
  <c r="H397" i="82"/>
  <c r="I397" i="82"/>
  <c r="D397" i="82"/>
  <c r="H398" i="82"/>
  <c r="I398" i="82"/>
  <c r="D398" i="82"/>
  <c r="H399" i="82"/>
  <c r="I399" i="82"/>
  <c r="D399" i="82"/>
  <c r="H400" i="82"/>
  <c r="I400" i="82"/>
  <c r="D400" i="82"/>
  <c r="H401" i="82"/>
  <c r="I401" i="82"/>
  <c r="D401" i="82"/>
  <c r="H402" i="82"/>
  <c r="I402" i="82"/>
  <c r="D402" i="82"/>
  <c r="H403" i="82"/>
  <c r="I403" i="82"/>
  <c r="D403" i="82"/>
  <c r="H404" i="82"/>
  <c r="I404" i="82"/>
  <c r="D404" i="82"/>
  <c r="H405" i="82"/>
  <c r="I405" i="82"/>
  <c r="D405" i="82"/>
  <c r="H406" i="82"/>
  <c r="I406" i="82"/>
  <c r="D406" i="82"/>
  <c r="H407" i="82"/>
  <c r="I407" i="82"/>
  <c r="D407" i="82"/>
  <c r="H408" i="82"/>
  <c r="I408" i="82"/>
  <c r="D408" i="82"/>
  <c r="H409" i="82"/>
  <c r="I409" i="82"/>
  <c r="D409" i="82"/>
  <c r="H410" i="82"/>
  <c r="I410" i="82"/>
  <c r="D410" i="82"/>
  <c r="H411" i="82"/>
  <c r="I411" i="82"/>
  <c r="D411" i="82"/>
  <c r="H412" i="82"/>
  <c r="I412" i="82"/>
  <c r="D412" i="82"/>
  <c r="H413" i="82"/>
  <c r="I413" i="82"/>
  <c r="D413" i="82"/>
  <c r="H414" i="82"/>
  <c r="I414" i="82"/>
  <c r="D414" i="82"/>
  <c r="H415" i="82"/>
  <c r="I415" i="82"/>
  <c r="D415" i="82"/>
  <c r="H416" i="82"/>
  <c r="I416" i="82"/>
  <c r="D416" i="82"/>
  <c r="H417" i="82"/>
  <c r="I417" i="82"/>
  <c r="D417" i="82"/>
  <c r="B3" i="104"/>
  <c r="B4" i="104"/>
  <c r="B5" i="104"/>
  <c r="B6" i="104"/>
  <c r="B7" i="104"/>
  <c r="B8" i="104"/>
  <c r="B9" i="104"/>
  <c r="B10" i="104"/>
  <c r="B11" i="104"/>
  <c r="B2" i="104"/>
  <c r="A6" i="94"/>
  <c r="A3" i="94"/>
  <c r="A4" i="94"/>
  <c r="A5" i="94"/>
  <c r="A7" i="94"/>
  <c r="A8" i="94"/>
  <c r="A9" i="94"/>
  <c r="A2" i="94"/>
  <c r="N162" i="82"/>
  <c r="A12" i="94"/>
  <c r="A13" i="94"/>
  <c r="A14" i="94"/>
  <c r="A15" i="94"/>
  <c r="A16" i="94"/>
  <c r="A17" i="94"/>
  <c r="A18" i="94"/>
  <c r="A19" i="94"/>
  <c r="A20" i="94"/>
  <c r="A21" i="94"/>
  <c r="N167" i="82"/>
  <c r="N166" i="82"/>
  <c r="T173" i="82"/>
  <c r="S173" i="82"/>
  <c r="R173" i="82"/>
  <c r="Q173" i="82"/>
  <c r="P173" i="82"/>
  <c r="O173" i="82"/>
  <c r="N173" i="82"/>
  <c r="L173" i="82"/>
  <c r="K173" i="82"/>
  <c r="J173" i="82"/>
  <c r="G173" i="82"/>
  <c r="C173" i="82"/>
  <c r="A173" i="82"/>
  <c r="T172" i="82"/>
  <c r="S172" i="82"/>
  <c r="R172" i="82"/>
  <c r="Q172" i="82"/>
  <c r="P172" i="82"/>
  <c r="O172" i="82"/>
  <c r="N172" i="82"/>
  <c r="L172" i="82"/>
  <c r="K172" i="82"/>
  <c r="J172" i="82"/>
  <c r="G172" i="82"/>
  <c r="C172" i="82"/>
  <c r="A172" i="82"/>
  <c r="T171" i="82"/>
  <c r="S171" i="82"/>
  <c r="R171" i="82"/>
  <c r="Q171" i="82"/>
  <c r="P171" i="82"/>
  <c r="O171" i="82"/>
  <c r="N171" i="82"/>
  <c r="L171" i="82"/>
  <c r="K171" i="82"/>
  <c r="J171" i="82"/>
  <c r="G171" i="82"/>
  <c r="C171" i="82"/>
  <c r="A171" i="82"/>
  <c r="T170" i="82"/>
  <c r="S170" i="82"/>
  <c r="R170" i="82"/>
  <c r="Q170" i="82"/>
  <c r="P170" i="82"/>
  <c r="O170" i="82"/>
  <c r="N170" i="82"/>
  <c r="L170" i="82"/>
  <c r="K170" i="82"/>
  <c r="J170" i="82"/>
  <c r="G170" i="82"/>
  <c r="C170" i="82"/>
  <c r="A170" i="82"/>
  <c r="T169" i="82"/>
  <c r="S169" i="82"/>
  <c r="R169" i="82"/>
  <c r="Q169" i="82"/>
  <c r="P169" i="82"/>
  <c r="O169" i="82"/>
  <c r="N169" i="82"/>
  <c r="L169" i="82"/>
  <c r="K169" i="82"/>
  <c r="J169" i="82"/>
  <c r="G169" i="82"/>
  <c r="C169" i="82"/>
  <c r="A169" i="82"/>
  <c r="T168" i="82"/>
  <c r="S168" i="82"/>
  <c r="R168" i="82"/>
  <c r="Q168" i="82"/>
  <c r="P168" i="82"/>
  <c r="O168" i="82"/>
  <c r="N168" i="82"/>
  <c r="L168" i="82"/>
  <c r="K168" i="82"/>
  <c r="J168" i="82"/>
  <c r="G168" i="82"/>
  <c r="C168" i="82"/>
  <c r="A168" i="82"/>
  <c r="T167" i="82"/>
  <c r="S167" i="82"/>
  <c r="R167" i="82"/>
  <c r="Q167" i="82"/>
  <c r="P167" i="82"/>
  <c r="O167" i="82"/>
  <c r="L167" i="82"/>
  <c r="K167" i="82"/>
  <c r="J167" i="82"/>
  <c r="G167" i="82"/>
  <c r="C167" i="82"/>
  <c r="A167" i="82"/>
  <c r="T166" i="82"/>
  <c r="S166" i="82"/>
  <c r="R166" i="82"/>
  <c r="Q166" i="82"/>
  <c r="P166" i="82"/>
  <c r="O166" i="82"/>
  <c r="L166" i="82"/>
  <c r="K166" i="82"/>
  <c r="J166" i="82"/>
  <c r="G166" i="82"/>
  <c r="C166" i="82"/>
  <c r="A166" i="82"/>
  <c r="A408" i="82"/>
  <c r="C408" i="82"/>
  <c r="G408" i="82"/>
  <c r="J408" i="82"/>
  <c r="K408" i="82"/>
  <c r="L408" i="82"/>
  <c r="N408" i="82"/>
  <c r="O408" i="82"/>
  <c r="P408" i="82"/>
  <c r="Q408" i="82"/>
  <c r="R408" i="82"/>
  <c r="S408" i="82"/>
  <c r="T408" i="82"/>
  <c r="A409" i="82"/>
  <c r="C409" i="82"/>
  <c r="G409" i="82"/>
  <c r="J409" i="82"/>
  <c r="K409" i="82"/>
  <c r="L409" i="82"/>
  <c r="N409" i="82"/>
  <c r="O409" i="82"/>
  <c r="P409" i="82"/>
  <c r="Q409" i="82"/>
  <c r="R409" i="82"/>
  <c r="S409" i="82"/>
  <c r="T409" i="82"/>
  <c r="A410" i="82"/>
  <c r="C410" i="82"/>
  <c r="G410" i="82"/>
  <c r="J410" i="82"/>
  <c r="K410" i="82"/>
  <c r="L410" i="82"/>
  <c r="N410" i="82"/>
  <c r="O410" i="82"/>
  <c r="P410" i="82"/>
  <c r="Q410" i="82"/>
  <c r="R410" i="82"/>
  <c r="S410" i="82"/>
  <c r="T410" i="82"/>
  <c r="A411" i="82"/>
  <c r="C411" i="82"/>
  <c r="G411" i="82"/>
  <c r="J411" i="82"/>
  <c r="K411" i="82"/>
  <c r="L411" i="82"/>
  <c r="N411" i="82"/>
  <c r="O411" i="82"/>
  <c r="P411" i="82"/>
  <c r="Q411" i="82"/>
  <c r="R411" i="82"/>
  <c r="S411" i="82"/>
  <c r="T411" i="82"/>
  <c r="A412" i="82"/>
  <c r="C412" i="82"/>
  <c r="G412" i="82"/>
  <c r="J412" i="82"/>
  <c r="K412" i="82"/>
  <c r="L412" i="82"/>
  <c r="N412" i="82"/>
  <c r="O412" i="82"/>
  <c r="P412" i="82"/>
  <c r="Q412" i="82"/>
  <c r="R412" i="82"/>
  <c r="S412" i="82"/>
  <c r="T412" i="82"/>
  <c r="A413" i="82"/>
  <c r="C413" i="82"/>
  <c r="G413" i="82"/>
  <c r="J413" i="82"/>
  <c r="K413" i="82"/>
  <c r="L413" i="82"/>
  <c r="N413" i="82"/>
  <c r="O413" i="82"/>
  <c r="P413" i="82"/>
  <c r="Q413" i="82"/>
  <c r="R413" i="82"/>
  <c r="S413" i="82"/>
  <c r="T413" i="82"/>
  <c r="A414" i="82"/>
  <c r="C414" i="82"/>
  <c r="G414" i="82"/>
  <c r="J414" i="82"/>
  <c r="K414" i="82"/>
  <c r="L414" i="82"/>
  <c r="N414" i="82"/>
  <c r="O414" i="82"/>
  <c r="P414" i="82"/>
  <c r="Q414" i="82"/>
  <c r="R414" i="82"/>
  <c r="S414" i="82"/>
  <c r="T414" i="82"/>
  <c r="A415" i="82"/>
  <c r="C415" i="82"/>
  <c r="G415" i="82"/>
  <c r="J415" i="82"/>
  <c r="K415" i="82"/>
  <c r="L415" i="82"/>
  <c r="N415" i="82"/>
  <c r="O415" i="82"/>
  <c r="P415" i="82"/>
  <c r="Q415" i="82"/>
  <c r="R415" i="82"/>
  <c r="S415" i="82"/>
  <c r="T415" i="82"/>
  <c r="A416" i="82"/>
  <c r="C416" i="82"/>
  <c r="G416" i="82"/>
  <c r="J416" i="82"/>
  <c r="K416" i="82"/>
  <c r="L416" i="82"/>
  <c r="N416" i="82"/>
  <c r="O416" i="82"/>
  <c r="P416" i="82"/>
  <c r="Q416" i="82"/>
  <c r="R416" i="82"/>
  <c r="S416" i="82"/>
  <c r="T416" i="82"/>
  <c r="A417" i="82"/>
  <c r="C417" i="82"/>
  <c r="G417" i="82"/>
  <c r="J417" i="82"/>
  <c r="K417" i="82"/>
  <c r="L417" i="82"/>
  <c r="N417" i="82"/>
  <c r="O417" i="82"/>
  <c r="P417" i="82"/>
  <c r="Q417" i="82"/>
  <c r="R417" i="82"/>
  <c r="S417" i="82"/>
  <c r="T417" i="82"/>
  <c r="H5" i="105"/>
  <c r="G16" i="105"/>
  <c r="G13" i="105"/>
  <c r="T2" i="82"/>
  <c r="T3" i="82"/>
  <c r="T4" i="82"/>
  <c r="T5" i="82"/>
  <c r="T6" i="82"/>
  <c r="T7" i="82"/>
  <c r="T8" i="82"/>
  <c r="T9" i="82"/>
  <c r="T10" i="82"/>
  <c r="T11" i="82"/>
  <c r="T12" i="82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T29" i="82"/>
  <c r="T30" i="82"/>
  <c r="T31" i="82"/>
  <c r="T32" i="82"/>
  <c r="T33" i="82"/>
  <c r="T34" i="82"/>
  <c r="T35" i="82"/>
  <c r="T36" i="82"/>
  <c r="T37" i="82"/>
  <c r="T38" i="82"/>
  <c r="T39" i="82"/>
  <c r="T40" i="82"/>
  <c r="T41" i="82"/>
  <c r="T42" i="82"/>
  <c r="T43" i="82"/>
  <c r="T44" i="82"/>
  <c r="T45" i="82"/>
  <c r="T46" i="82"/>
  <c r="T47" i="82"/>
  <c r="T48" i="82"/>
  <c r="T49" i="82"/>
  <c r="T50" i="82"/>
  <c r="T51" i="82"/>
  <c r="T52" i="82"/>
  <c r="T53" i="82"/>
  <c r="T54" i="82"/>
  <c r="T55" i="82"/>
  <c r="T56" i="82"/>
  <c r="T57" i="82"/>
  <c r="T58" i="82"/>
  <c r="T59" i="82"/>
  <c r="T60" i="82"/>
  <c r="T61" i="82"/>
  <c r="T62" i="82"/>
  <c r="T63" i="82"/>
  <c r="T64" i="82"/>
  <c r="T65" i="82"/>
  <c r="T66" i="82"/>
  <c r="T67" i="82"/>
  <c r="T68" i="82"/>
  <c r="T69" i="82"/>
  <c r="T70" i="82"/>
  <c r="T71" i="82"/>
  <c r="T72" i="82"/>
  <c r="T73" i="82"/>
  <c r="T74" i="82"/>
  <c r="T75" i="82"/>
  <c r="T76" i="82"/>
  <c r="T77" i="82"/>
  <c r="T78" i="82"/>
  <c r="T79" i="82"/>
  <c r="T80" i="82"/>
  <c r="T81" i="82"/>
  <c r="T82" i="82"/>
  <c r="T83" i="82"/>
  <c r="T84" i="82"/>
  <c r="T85" i="82"/>
  <c r="T86" i="82"/>
  <c r="T87" i="82"/>
  <c r="T88" i="82"/>
  <c r="T89" i="82"/>
  <c r="T90" i="82"/>
  <c r="T91" i="82"/>
  <c r="T92" i="82"/>
  <c r="T93" i="82"/>
  <c r="T94" i="82"/>
  <c r="T95" i="82"/>
  <c r="T96" i="82"/>
  <c r="T97" i="82"/>
  <c r="T98" i="82"/>
  <c r="T99" i="82"/>
  <c r="T100" i="82"/>
  <c r="T101" i="82"/>
  <c r="T102" i="82"/>
  <c r="T103" i="82"/>
  <c r="T104" i="82"/>
  <c r="T105" i="82"/>
  <c r="T106" i="82"/>
  <c r="T107" i="82"/>
  <c r="T108" i="82"/>
  <c r="T109" i="82"/>
  <c r="T110" i="82"/>
  <c r="T111" i="82"/>
  <c r="T112" i="82"/>
  <c r="T113" i="82"/>
  <c r="T114" i="82"/>
  <c r="T115" i="82"/>
  <c r="T116" i="82"/>
  <c r="T117" i="82"/>
  <c r="T118" i="82"/>
  <c r="T119" i="82"/>
  <c r="T120" i="82"/>
  <c r="T121" i="82"/>
  <c r="T122" i="82"/>
  <c r="T123" i="82"/>
  <c r="T124" i="82"/>
  <c r="T125" i="82"/>
  <c r="T126" i="82"/>
  <c r="T127" i="82"/>
  <c r="T128" i="82"/>
  <c r="T129" i="82"/>
  <c r="T130" i="82"/>
  <c r="T131" i="82"/>
  <c r="T132" i="82"/>
  <c r="T133" i="82"/>
  <c r="T134" i="82"/>
  <c r="T135" i="82"/>
  <c r="T136" i="82"/>
  <c r="T137" i="82"/>
  <c r="T138" i="82"/>
  <c r="T139" i="82"/>
  <c r="T140" i="82"/>
  <c r="T141" i="82"/>
  <c r="T142" i="82"/>
  <c r="T143" i="82"/>
  <c r="T144" i="82"/>
  <c r="T145" i="82"/>
  <c r="T146" i="82"/>
  <c r="T147" i="82"/>
  <c r="T148" i="82"/>
  <c r="T149" i="82"/>
  <c r="T150" i="82"/>
  <c r="T151" i="82"/>
  <c r="T152" i="82"/>
  <c r="T153" i="82"/>
  <c r="T154" i="82"/>
  <c r="T155" i="82"/>
  <c r="T156" i="82"/>
  <c r="T157" i="82"/>
  <c r="T158" i="82"/>
  <c r="T159" i="82"/>
  <c r="T160" i="82"/>
  <c r="T161" i="82"/>
  <c r="T162" i="82"/>
  <c r="T163" i="82"/>
  <c r="T164" i="82"/>
  <c r="T165" i="82"/>
  <c r="T174" i="82"/>
  <c r="T175" i="82"/>
  <c r="T176" i="82"/>
  <c r="T177" i="82"/>
  <c r="T178" i="82"/>
  <c r="T179" i="82"/>
  <c r="T180" i="82"/>
  <c r="T181" i="82"/>
  <c r="T182" i="82"/>
  <c r="T183" i="82"/>
  <c r="T184" i="82"/>
  <c r="T185" i="82"/>
  <c r="T186" i="82"/>
  <c r="T187" i="82"/>
  <c r="T188" i="82"/>
  <c r="T189" i="82"/>
  <c r="T190" i="82"/>
  <c r="T191" i="82"/>
  <c r="T192" i="82"/>
  <c r="T193" i="82"/>
  <c r="T194" i="82"/>
  <c r="T195" i="82"/>
  <c r="T196" i="82"/>
  <c r="T197" i="82"/>
  <c r="T198" i="82"/>
  <c r="T199" i="82"/>
  <c r="T200" i="82"/>
  <c r="T201" i="82"/>
  <c r="T202" i="82"/>
  <c r="T203" i="82"/>
  <c r="T204" i="82"/>
  <c r="T205" i="82"/>
  <c r="T206" i="82"/>
  <c r="T207" i="82"/>
  <c r="T208" i="82"/>
  <c r="T209" i="82"/>
  <c r="T210" i="82"/>
  <c r="T211" i="82"/>
  <c r="T212" i="82"/>
  <c r="T213" i="82"/>
  <c r="T214" i="82"/>
  <c r="T215" i="82"/>
  <c r="T216" i="82"/>
  <c r="T217" i="82"/>
  <c r="T218" i="82"/>
  <c r="T219" i="82"/>
  <c r="T220" i="82"/>
  <c r="T221" i="82"/>
  <c r="T222" i="82"/>
  <c r="T223" i="82"/>
  <c r="T224" i="82"/>
  <c r="T225" i="82"/>
  <c r="T226" i="82"/>
  <c r="T227" i="82"/>
  <c r="T228" i="82"/>
  <c r="T229" i="82"/>
  <c r="T230" i="82"/>
  <c r="T231" i="82"/>
  <c r="T232" i="82"/>
  <c r="T233" i="82"/>
  <c r="T234" i="82"/>
  <c r="T235" i="82"/>
  <c r="T236" i="82"/>
  <c r="T237" i="82"/>
  <c r="T238" i="82"/>
  <c r="T239" i="82"/>
  <c r="T240" i="82"/>
  <c r="T241" i="82"/>
  <c r="T242" i="82"/>
  <c r="T243" i="82"/>
  <c r="T244" i="82"/>
  <c r="T245" i="82"/>
  <c r="T246" i="82"/>
  <c r="T247" i="82"/>
  <c r="T248" i="82"/>
  <c r="T249" i="82"/>
  <c r="T250" i="82"/>
  <c r="T251" i="82"/>
  <c r="T252" i="82"/>
  <c r="T253" i="82"/>
  <c r="T254" i="82"/>
  <c r="T255" i="82"/>
  <c r="T256" i="82"/>
  <c r="T257" i="82"/>
  <c r="T258" i="82"/>
  <c r="T259" i="82"/>
  <c r="T260" i="82"/>
  <c r="T261" i="82"/>
  <c r="T262" i="82"/>
  <c r="T263" i="82"/>
  <c r="T264" i="82"/>
  <c r="T265" i="82"/>
  <c r="T266" i="82"/>
  <c r="T267" i="82"/>
  <c r="T268" i="82"/>
  <c r="T269" i="82"/>
  <c r="T270" i="82"/>
  <c r="T271" i="82"/>
  <c r="T272" i="82"/>
  <c r="T273" i="82"/>
  <c r="T274" i="82"/>
  <c r="T275" i="82"/>
  <c r="T276" i="82"/>
  <c r="T277" i="82"/>
  <c r="T278" i="82"/>
  <c r="T279" i="82"/>
  <c r="T280" i="82"/>
  <c r="T281" i="82"/>
  <c r="T282" i="82"/>
  <c r="T283" i="82"/>
  <c r="T284" i="82"/>
  <c r="T285" i="82"/>
  <c r="T286" i="82"/>
  <c r="T287" i="82"/>
  <c r="T288" i="82"/>
  <c r="T289" i="82"/>
  <c r="T290" i="82"/>
  <c r="T291" i="82"/>
  <c r="T292" i="82"/>
  <c r="T293" i="82"/>
  <c r="T294" i="82"/>
  <c r="T295" i="82"/>
  <c r="T296" i="82"/>
  <c r="T297" i="82"/>
  <c r="T298" i="82"/>
  <c r="T299" i="82"/>
  <c r="T300" i="82"/>
  <c r="T301" i="82"/>
  <c r="T302" i="82"/>
  <c r="T303" i="82"/>
  <c r="T304" i="82"/>
  <c r="T305" i="82"/>
  <c r="T306" i="82"/>
  <c r="T307" i="82"/>
  <c r="T308" i="82"/>
  <c r="T309" i="82"/>
  <c r="T310" i="82"/>
  <c r="T311" i="82"/>
  <c r="T312" i="82"/>
  <c r="T313" i="82"/>
  <c r="T314" i="82"/>
  <c r="T315" i="82"/>
  <c r="T316" i="82"/>
  <c r="T317" i="82"/>
  <c r="T318" i="82"/>
  <c r="T319" i="82"/>
  <c r="T320" i="82"/>
  <c r="T321" i="82"/>
  <c r="T322" i="82"/>
  <c r="T323" i="82"/>
  <c r="T324" i="82"/>
  <c r="T325" i="82"/>
  <c r="T326" i="82"/>
  <c r="T327" i="82"/>
  <c r="T328" i="82"/>
  <c r="T329" i="82"/>
  <c r="T330" i="82"/>
  <c r="T331" i="82"/>
  <c r="T332" i="82"/>
  <c r="T333" i="82"/>
  <c r="T334" i="82"/>
  <c r="T335" i="82"/>
  <c r="T336" i="82"/>
  <c r="T337" i="82"/>
  <c r="T338" i="82"/>
  <c r="T339" i="82"/>
  <c r="T340" i="82"/>
  <c r="T341" i="82"/>
  <c r="T342" i="82"/>
  <c r="T343" i="82"/>
  <c r="T344" i="82"/>
  <c r="T345" i="82"/>
  <c r="T346" i="82"/>
  <c r="T347" i="82"/>
  <c r="T348" i="82"/>
  <c r="T349" i="82"/>
  <c r="T350" i="82"/>
  <c r="T351" i="82"/>
  <c r="T352" i="82"/>
  <c r="T353" i="82"/>
  <c r="T354" i="82"/>
  <c r="T355" i="82"/>
  <c r="T356" i="82"/>
  <c r="T357" i="82"/>
  <c r="T358" i="82"/>
  <c r="T359" i="82"/>
  <c r="T360" i="82"/>
  <c r="T361" i="82"/>
  <c r="T362" i="82"/>
  <c r="T363" i="82"/>
  <c r="T364" i="82"/>
  <c r="T365" i="82"/>
  <c r="T366" i="82"/>
  <c r="T367" i="82"/>
  <c r="T368" i="82"/>
  <c r="T369" i="82"/>
  <c r="T370" i="82"/>
  <c r="T371" i="82"/>
  <c r="T372" i="82"/>
  <c r="T373" i="82"/>
  <c r="T374" i="82"/>
  <c r="T375" i="82"/>
  <c r="T376" i="82"/>
  <c r="T377" i="82"/>
  <c r="T378" i="82"/>
  <c r="T379" i="82"/>
  <c r="T380" i="82"/>
  <c r="T381" i="82"/>
  <c r="T382" i="82"/>
  <c r="T383" i="82"/>
  <c r="T384" i="82"/>
  <c r="T385" i="82"/>
  <c r="T386" i="82"/>
  <c r="T387" i="82"/>
  <c r="T388" i="82"/>
  <c r="T389" i="82"/>
  <c r="T390" i="82"/>
  <c r="T391" i="82"/>
  <c r="T392" i="82"/>
  <c r="T393" i="82"/>
  <c r="T394" i="82"/>
  <c r="T395" i="82"/>
  <c r="T396" i="82"/>
  <c r="T397" i="82"/>
  <c r="T398" i="82"/>
  <c r="T399" i="82"/>
  <c r="T400" i="82"/>
  <c r="T401" i="82"/>
  <c r="T402" i="82"/>
  <c r="T403" i="82"/>
  <c r="T404" i="82"/>
  <c r="T405" i="82"/>
  <c r="T406" i="82"/>
  <c r="T407" i="82"/>
  <c r="E5" i="105"/>
  <c r="D10" i="105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O295" i="82"/>
  <c r="O296" i="82"/>
  <c r="O297" i="82"/>
  <c r="O298" i="82"/>
  <c r="O299" i="82"/>
  <c r="O300" i="82"/>
  <c r="O301" i="82"/>
  <c r="O302" i="82"/>
  <c r="O303" i="82"/>
  <c r="O304" i="82"/>
  <c r="O305" i="82"/>
  <c r="O306" i="82"/>
  <c r="O307" i="82"/>
  <c r="O308" i="82"/>
  <c r="O309" i="82"/>
  <c r="O310" i="82"/>
  <c r="O311" i="82"/>
  <c r="O312" i="82"/>
  <c r="O313" i="82"/>
  <c r="O314" i="82"/>
  <c r="O315" i="82"/>
  <c r="O316" i="82"/>
  <c r="O317" i="82"/>
  <c r="O318" i="82"/>
  <c r="O319" i="82"/>
  <c r="O320" i="82"/>
  <c r="O321" i="82"/>
  <c r="O322" i="82"/>
  <c r="O323" i="82"/>
  <c r="O324" i="82"/>
  <c r="O325" i="82"/>
  <c r="O326" i="82"/>
  <c r="O327" i="82"/>
  <c r="O328" i="82"/>
  <c r="O329" i="82"/>
  <c r="O330" i="82"/>
  <c r="O331" i="82"/>
  <c r="O332" i="82"/>
  <c r="O333" i="82"/>
  <c r="O334" i="82"/>
  <c r="O335" i="82"/>
  <c r="O336" i="82"/>
  <c r="O337" i="82"/>
  <c r="O338" i="82"/>
  <c r="O339" i="82"/>
  <c r="O340" i="82"/>
  <c r="O341" i="82"/>
  <c r="O342" i="82"/>
  <c r="O343" i="82"/>
  <c r="O344" i="82"/>
  <c r="O345" i="82"/>
  <c r="O346" i="82"/>
  <c r="O347" i="82"/>
  <c r="O348" i="82"/>
  <c r="O349" i="82"/>
  <c r="O350" i="82"/>
  <c r="O351" i="82"/>
  <c r="O352" i="82"/>
  <c r="O353" i="82"/>
  <c r="O354" i="82"/>
  <c r="O355" i="82"/>
  <c r="O356" i="82"/>
  <c r="O357" i="82"/>
  <c r="O358" i="82"/>
  <c r="O359" i="82"/>
  <c r="O360" i="82"/>
  <c r="O361" i="82"/>
  <c r="O362" i="82"/>
  <c r="O363" i="82"/>
  <c r="O364" i="82"/>
  <c r="O365" i="82"/>
  <c r="O366" i="82"/>
  <c r="O367" i="82"/>
  <c r="O368" i="82"/>
  <c r="O369" i="82"/>
  <c r="O370" i="82"/>
  <c r="O371" i="82"/>
  <c r="O372" i="82"/>
  <c r="O373" i="82"/>
  <c r="O374" i="82"/>
  <c r="O375" i="82"/>
  <c r="O376" i="82"/>
  <c r="O377" i="82"/>
  <c r="O378" i="82"/>
  <c r="O379" i="82"/>
  <c r="O380" i="82"/>
  <c r="O381" i="82"/>
  <c r="O382" i="82"/>
  <c r="O383" i="82"/>
  <c r="O384" i="82"/>
  <c r="O385" i="82"/>
  <c r="O386" i="82"/>
  <c r="O387" i="82"/>
  <c r="O388" i="82"/>
  <c r="O389" i="82"/>
  <c r="O390" i="82"/>
  <c r="O391" i="82"/>
  <c r="O392" i="82"/>
  <c r="O393" i="82"/>
  <c r="O394" i="82"/>
  <c r="O395" i="82"/>
  <c r="O396" i="82"/>
  <c r="O397" i="82"/>
  <c r="O398" i="82"/>
  <c r="O399" i="82"/>
  <c r="O400" i="82"/>
  <c r="O401" i="82"/>
  <c r="O402" i="82"/>
  <c r="O403" i="82"/>
  <c r="O404" i="82"/>
  <c r="O405" i="82"/>
  <c r="O406" i="82"/>
  <c r="O407" i="82"/>
  <c r="D13" i="105"/>
  <c r="B5" i="105"/>
  <c r="A13" i="105"/>
  <c r="D16" i="105"/>
  <c r="A16" i="105"/>
  <c r="S165" i="82"/>
  <c r="R165" i="82"/>
  <c r="Q165" i="82"/>
  <c r="P165" i="82"/>
  <c r="N165" i="82"/>
  <c r="L165" i="82"/>
  <c r="K165" i="82"/>
  <c r="J165" i="82"/>
  <c r="G165" i="82"/>
  <c r="C165" i="82"/>
  <c r="A165" i="82"/>
  <c r="S164" i="82"/>
  <c r="R164" i="82"/>
  <c r="Q164" i="82"/>
  <c r="P164" i="82"/>
  <c r="N164" i="82"/>
  <c r="L164" i="82"/>
  <c r="K164" i="82"/>
  <c r="J164" i="82"/>
  <c r="G164" i="82"/>
  <c r="C164" i="82"/>
  <c r="A164" i="82"/>
  <c r="S163" i="82"/>
  <c r="R163" i="82"/>
  <c r="Q163" i="82"/>
  <c r="P163" i="82"/>
  <c r="N163" i="82"/>
  <c r="L163" i="82"/>
  <c r="K163" i="82"/>
  <c r="J163" i="82"/>
  <c r="G163" i="82"/>
  <c r="C163" i="82"/>
  <c r="A163" i="82"/>
  <c r="S162" i="82"/>
  <c r="R162" i="82"/>
  <c r="Q162" i="82"/>
  <c r="P162" i="82"/>
  <c r="L162" i="82"/>
  <c r="K162" i="82"/>
  <c r="J162" i="82"/>
  <c r="G162" i="82"/>
  <c r="C162" i="82"/>
  <c r="A162" i="82"/>
  <c r="S161" i="82"/>
  <c r="R161" i="82"/>
  <c r="Q161" i="82"/>
  <c r="P161" i="82"/>
  <c r="N161" i="82"/>
  <c r="L161" i="82"/>
  <c r="K161" i="82"/>
  <c r="J161" i="82"/>
  <c r="G161" i="82"/>
  <c r="C161" i="82"/>
  <c r="A161" i="82"/>
  <c r="S160" i="82"/>
  <c r="R160" i="82"/>
  <c r="Q160" i="82"/>
  <c r="P160" i="82"/>
  <c r="N160" i="82"/>
  <c r="L160" i="82"/>
  <c r="K160" i="82"/>
  <c r="J160" i="82"/>
  <c r="G160" i="82"/>
  <c r="C160" i="82"/>
  <c r="A160" i="82"/>
  <c r="S159" i="82"/>
  <c r="R159" i="82"/>
  <c r="Q159" i="82"/>
  <c r="P159" i="82"/>
  <c r="N159" i="82"/>
  <c r="L159" i="82"/>
  <c r="K159" i="82"/>
  <c r="J159" i="82"/>
  <c r="G159" i="82"/>
  <c r="C159" i="82"/>
  <c r="A159" i="82"/>
  <c r="S158" i="82"/>
  <c r="R158" i="82"/>
  <c r="Q158" i="82"/>
  <c r="P158" i="82"/>
  <c r="N158" i="82"/>
  <c r="L158" i="82"/>
  <c r="K158" i="82"/>
  <c r="J158" i="82"/>
  <c r="G158" i="82"/>
  <c r="C158" i="82"/>
  <c r="A158" i="82"/>
  <c r="A397" i="82"/>
  <c r="C397" i="82"/>
  <c r="G397" i="82"/>
  <c r="J397" i="82"/>
  <c r="K397" i="82"/>
  <c r="L397" i="82"/>
  <c r="N397" i="82"/>
  <c r="P397" i="82"/>
  <c r="Q397" i="82"/>
  <c r="R397" i="82"/>
  <c r="S397" i="82"/>
  <c r="A398" i="82"/>
  <c r="C398" i="82"/>
  <c r="G398" i="82"/>
  <c r="J398" i="82"/>
  <c r="K398" i="82"/>
  <c r="L398" i="82"/>
  <c r="N398" i="82"/>
  <c r="P398" i="82"/>
  <c r="Q398" i="82"/>
  <c r="R398" i="82"/>
  <c r="S398" i="82"/>
  <c r="A399" i="82"/>
  <c r="C399" i="82"/>
  <c r="G399" i="82"/>
  <c r="J399" i="82"/>
  <c r="K399" i="82"/>
  <c r="L399" i="82"/>
  <c r="N399" i="82"/>
  <c r="P399" i="82"/>
  <c r="Q399" i="82"/>
  <c r="R399" i="82"/>
  <c r="S399" i="82"/>
  <c r="A400" i="82"/>
  <c r="C400" i="82"/>
  <c r="G400" i="82"/>
  <c r="J400" i="82"/>
  <c r="K400" i="82"/>
  <c r="L400" i="82"/>
  <c r="N400" i="82"/>
  <c r="P400" i="82"/>
  <c r="Q400" i="82"/>
  <c r="R400" i="82"/>
  <c r="S400" i="82"/>
  <c r="A401" i="82"/>
  <c r="C401" i="82"/>
  <c r="G401" i="82"/>
  <c r="J401" i="82"/>
  <c r="K401" i="82"/>
  <c r="L401" i="82"/>
  <c r="N401" i="82"/>
  <c r="P401" i="82"/>
  <c r="Q401" i="82"/>
  <c r="R401" i="82"/>
  <c r="S401" i="82"/>
  <c r="A402" i="82"/>
  <c r="C402" i="82"/>
  <c r="G402" i="82"/>
  <c r="J402" i="82"/>
  <c r="K402" i="82"/>
  <c r="L402" i="82"/>
  <c r="N402" i="82"/>
  <c r="P402" i="82"/>
  <c r="Q402" i="82"/>
  <c r="R402" i="82"/>
  <c r="S402" i="82"/>
  <c r="A403" i="82"/>
  <c r="C403" i="82"/>
  <c r="G403" i="82"/>
  <c r="J403" i="82"/>
  <c r="K403" i="82"/>
  <c r="L403" i="82"/>
  <c r="N403" i="82"/>
  <c r="P403" i="82"/>
  <c r="Q403" i="82"/>
  <c r="R403" i="82"/>
  <c r="S403" i="82"/>
  <c r="A404" i="82"/>
  <c r="C404" i="82"/>
  <c r="G404" i="82"/>
  <c r="J404" i="82"/>
  <c r="K404" i="82"/>
  <c r="L404" i="82"/>
  <c r="N404" i="82"/>
  <c r="P404" i="82"/>
  <c r="Q404" i="82"/>
  <c r="R404" i="82"/>
  <c r="S404" i="82"/>
  <c r="A405" i="82"/>
  <c r="C405" i="82"/>
  <c r="G405" i="82"/>
  <c r="J405" i="82"/>
  <c r="K405" i="82"/>
  <c r="L405" i="82"/>
  <c r="N405" i="82"/>
  <c r="P405" i="82"/>
  <c r="Q405" i="82"/>
  <c r="R405" i="82"/>
  <c r="S405" i="82"/>
  <c r="A406" i="82"/>
  <c r="C406" i="82"/>
  <c r="G406" i="82"/>
  <c r="J406" i="82"/>
  <c r="K406" i="82"/>
  <c r="L406" i="82"/>
  <c r="N406" i="82"/>
  <c r="P406" i="82"/>
  <c r="Q406" i="82"/>
  <c r="R406" i="82"/>
  <c r="S406" i="82"/>
  <c r="A407" i="82"/>
  <c r="C407" i="82"/>
  <c r="G407" i="82"/>
  <c r="J407" i="82"/>
  <c r="K407" i="82"/>
  <c r="L407" i="82"/>
  <c r="N407" i="82"/>
  <c r="P407" i="82"/>
  <c r="Q407" i="82"/>
  <c r="R407" i="82"/>
  <c r="S407" i="82"/>
  <c r="H2" i="82"/>
  <c r="I2" i="82"/>
  <c r="D2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S396" i="82"/>
  <c r="R396" i="82"/>
  <c r="Q396" i="82"/>
  <c r="P396" i="82"/>
  <c r="L396" i="82"/>
  <c r="K396" i="82"/>
  <c r="J396" i="82"/>
  <c r="G396" i="82"/>
  <c r="C396" i="82"/>
  <c r="A396" i="82"/>
  <c r="S395" i="82"/>
  <c r="R395" i="82"/>
  <c r="Q395" i="82"/>
  <c r="P395" i="82"/>
  <c r="L395" i="82"/>
  <c r="K395" i="82"/>
  <c r="J395" i="82"/>
  <c r="G395" i="82"/>
  <c r="C395" i="82"/>
  <c r="A395" i="82"/>
  <c r="S394" i="82"/>
  <c r="R394" i="82"/>
  <c r="Q394" i="82"/>
  <c r="P394" i="82"/>
  <c r="L394" i="82"/>
  <c r="K394" i="82"/>
  <c r="J394" i="82"/>
  <c r="G394" i="82"/>
  <c r="C394" i="82"/>
  <c r="A394" i="82"/>
  <c r="S393" i="82"/>
  <c r="R393" i="82"/>
  <c r="Q393" i="82"/>
  <c r="P393" i="82"/>
  <c r="L393" i="82"/>
  <c r="K393" i="82"/>
  <c r="J393" i="82"/>
  <c r="G393" i="82"/>
  <c r="C393" i="82"/>
  <c r="A393" i="82"/>
  <c r="S392" i="82"/>
  <c r="R392" i="82"/>
  <c r="Q392" i="82"/>
  <c r="P392" i="82"/>
  <c r="L392" i="82"/>
  <c r="K392" i="82"/>
  <c r="J392" i="82"/>
  <c r="G392" i="82"/>
  <c r="C392" i="82"/>
  <c r="A392" i="82"/>
  <c r="S391" i="82"/>
  <c r="R391" i="82"/>
  <c r="Q391" i="82"/>
  <c r="P391" i="82"/>
  <c r="L391" i="82"/>
  <c r="K391" i="82"/>
  <c r="J391" i="82"/>
  <c r="G391" i="82"/>
  <c r="C391" i="82"/>
  <c r="A391" i="82"/>
  <c r="S390" i="82"/>
  <c r="R390" i="82"/>
  <c r="Q390" i="82"/>
  <c r="P390" i="82"/>
  <c r="L390" i="82"/>
  <c r="K390" i="82"/>
  <c r="J390" i="82"/>
  <c r="G390" i="82"/>
  <c r="C390" i="82"/>
  <c r="A390" i="82"/>
  <c r="S389" i="82"/>
  <c r="R389" i="82"/>
  <c r="Q389" i="82"/>
  <c r="P389" i="82"/>
  <c r="L389" i="82"/>
  <c r="K389" i="82"/>
  <c r="J389" i="82"/>
  <c r="G389" i="82"/>
  <c r="C389" i="82"/>
  <c r="A389" i="82"/>
  <c r="S388" i="82"/>
  <c r="R388" i="82"/>
  <c r="Q388" i="82"/>
  <c r="P388" i="82"/>
  <c r="L388" i="82"/>
  <c r="K388" i="82"/>
  <c r="J388" i="82"/>
  <c r="G388" i="82"/>
  <c r="C388" i="82"/>
  <c r="A388" i="82"/>
  <c r="S387" i="82"/>
  <c r="R387" i="82"/>
  <c r="Q387" i="82"/>
  <c r="P387" i="82"/>
  <c r="L387" i="82"/>
  <c r="K387" i="82"/>
  <c r="J387" i="82"/>
  <c r="G387" i="82"/>
  <c r="C387" i="82"/>
  <c r="A387" i="82"/>
  <c r="S386" i="82"/>
  <c r="R386" i="82"/>
  <c r="Q386" i="82"/>
  <c r="P386" i="82"/>
  <c r="L386" i="82"/>
  <c r="K386" i="82"/>
  <c r="J386" i="82"/>
  <c r="G386" i="82"/>
  <c r="C386" i="82"/>
  <c r="A386" i="82"/>
  <c r="S385" i="82"/>
  <c r="R385" i="82"/>
  <c r="Q385" i="82"/>
  <c r="P385" i="82"/>
  <c r="L385" i="82"/>
  <c r="K385" i="82"/>
  <c r="J385" i="82"/>
  <c r="G385" i="82"/>
  <c r="C385" i="82"/>
  <c r="A385" i="82"/>
  <c r="S384" i="82"/>
  <c r="R384" i="82"/>
  <c r="Q384" i="82"/>
  <c r="P384" i="82"/>
  <c r="L384" i="82"/>
  <c r="K384" i="82"/>
  <c r="J384" i="82"/>
  <c r="G384" i="82"/>
  <c r="C384" i="82"/>
  <c r="A384" i="82"/>
  <c r="S383" i="82"/>
  <c r="R383" i="82"/>
  <c r="Q383" i="82"/>
  <c r="P383" i="82"/>
  <c r="L383" i="82"/>
  <c r="K383" i="82"/>
  <c r="J383" i="82"/>
  <c r="G383" i="82"/>
  <c r="C383" i="82"/>
  <c r="A383" i="82"/>
  <c r="S382" i="82"/>
  <c r="R382" i="82"/>
  <c r="Q382" i="82"/>
  <c r="P382" i="82"/>
  <c r="L382" i="82"/>
  <c r="K382" i="82"/>
  <c r="J382" i="82"/>
  <c r="G382" i="82"/>
  <c r="C382" i="82"/>
  <c r="A382" i="82"/>
  <c r="S381" i="82"/>
  <c r="R381" i="82"/>
  <c r="Q381" i="82"/>
  <c r="P381" i="82"/>
  <c r="L381" i="82"/>
  <c r="K381" i="82"/>
  <c r="J381" i="82"/>
  <c r="G381" i="82"/>
  <c r="C381" i="82"/>
  <c r="A381" i="82"/>
  <c r="S380" i="82"/>
  <c r="R380" i="82"/>
  <c r="Q380" i="82"/>
  <c r="P380" i="82"/>
  <c r="L380" i="82"/>
  <c r="K380" i="82"/>
  <c r="J380" i="82"/>
  <c r="G380" i="82"/>
  <c r="C380" i="82"/>
  <c r="A380" i="82"/>
  <c r="S379" i="82"/>
  <c r="R379" i="82"/>
  <c r="Q379" i="82"/>
  <c r="P379" i="82"/>
  <c r="L379" i="82"/>
  <c r="K379" i="82"/>
  <c r="J379" i="82"/>
  <c r="G379" i="82"/>
  <c r="C379" i="82"/>
  <c r="A379" i="82"/>
  <c r="S378" i="82"/>
  <c r="R378" i="82"/>
  <c r="Q378" i="82"/>
  <c r="P378" i="82"/>
  <c r="L378" i="82"/>
  <c r="K378" i="82"/>
  <c r="J378" i="82"/>
  <c r="G378" i="82"/>
  <c r="C378" i="82"/>
  <c r="A378" i="82"/>
  <c r="S377" i="82"/>
  <c r="R377" i="82"/>
  <c r="Q377" i="82"/>
  <c r="P377" i="82"/>
  <c r="L377" i="82"/>
  <c r="K377" i="82"/>
  <c r="J377" i="82"/>
  <c r="G377" i="82"/>
  <c r="C377" i="82"/>
  <c r="A377" i="82"/>
  <c r="S376" i="82"/>
  <c r="R376" i="82"/>
  <c r="Q376" i="82"/>
  <c r="P376" i="82"/>
  <c r="L376" i="82"/>
  <c r="K376" i="82"/>
  <c r="J376" i="82"/>
  <c r="G376" i="82"/>
  <c r="C376" i="82"/>
  <c r="A376" i="82"/>
  <c r="S375" i="82"/>
  <c r="R375" i="82"/>
  <c r="Q375" i="82"/>
  <c r="P375" i="82"/>
  <c r="L375" i="82"/>
  <c r="K375" i="82"/>
  <c r="J375" i="82"/>
  <c r="G375" i="82"/>
  <c r="C375" i="82"/>
  <c r="A375" i="82"/>
  <c r="S374" i="82"/>
  <c r="R374" i="82"/>
  <c r="Q374" i="82"/>
  <c r="P374" i="82"/>
  <c r="L374" i="82"/>
  <c r="K374" i="82"/>
  <c r="J374" i="82"/>
  <c r="G374" i="82"/>
  <c r="C374" i="82"/>
  <c r="A374" i="82"/>
  <c r="S373" i="82"/>
  <c r="R373" i="82"/>
  <c r="Q373" i="82"/>
  <c r="P373" i="82"/>
  <c r="L373" i="82"/>
  <c r="K373" i="82"/>
  <c r="J373" i="82"/>
  <c r="G373" i="82"/>
  <c r="C373" i="82"/>
  <c r="A373" i="82"/>
  <c r="S372" i="82"/>
  <c r="R372" i="82"/>
  <c r="Q372" i="82"/>
  <c r="P372" i="82"/>
  <c r="L372" i="82"/>
  <c r="K372" i="82"/>
  <c r="J372" i="82"/>
  <c r="G372" i="82"/>
  <c r="C372" i="82"/>
  <c r="A372" i="82"/>
  <c r="S371" i="82"/>
  <c r="R371" i="82"/>
  <c r="Q371" i="82"/>
  <c r="P371" i="82"/>
  <c r="L371" i="82"/>
  <c r="K371" i="82"/>
  <c r="J371" i="82"/>
  <c r="G371" i="82"/>
  <c r="C371" i="82"/>
  <c r="A371" i="82"/>
  <c r="S370" i="82"/>
  <c r="R370" i="82"/>
  <c r="Q370" i="82"/>
  <c r="P370" i="82"/>
  <c r="L370" i="82"/>
  <c r="K370" i="82"/>
  <c r="J370" i="82"/>
  <c r="G370" i="82"/>
  <c r="C370" i="82"/>
  <c r="A370" i="82"/>
  <c r="S369" i="82"/>
  <c r="R369" i="82"/>
  <c r="Q369" i="82"/>
  <c r="P369" i="82"/>
  <c r="L369" i="82"/>
  <c r="K369" i="82"/>
  <c r="J369" i="82"/>
  <c r="G369" i="82"/>
  <c r="C369" i="82"/>
  <c r="A369" i="82"/>
  <c r="S368" i="82"/>
  <c r="R368" i="82"/>
  <c r="Q368" i="82"/>
  <c r="P368" i="82"/>
  <c r="L368" i="82"/>
  <c r="K368" i="82"/>
  <c r="J368" i="82"/>
  <c r="G368" i="82"/>
  <c r="C368" i="82"/>
  <c r="A368" i="82"/>
  <c r="S367" i="82"/>
  <c r="R367" i="82"/>
  <c r="Q367" i="82"/>
  <c r="P367" i="82"/>
  <c r="L367" i="82"/>
  <c r="K367" i="82"/>
  <c r="J367" i="82"/>
  <c r="G367" i="82"/>
  <c r="C367" i="82"/>
  <c r="A367" i="82"/>
  <c r="S366" i="82"/>
  <c r="R366" i="82"/>
  <c r="Q366" i="82"/>
  <c r="P366" i="82"/>
  <c r="L366" i="82"/>
  <c r="K366" i="82"/>
  <c r="J366" i="82"/>
  <c r="G366" i="82"/>
  <c r="C366" i="82"/>
  <c r="A366" i="82"/>
  <c r="S365" i="82"/>
  <c r="R365" i="82"/>
  <c r="Q365" i="82"/>
  <c r="P365" i="82"/>
  <c r="L365" i="82"/>
  <c r="K365" i="82"/>
  <c r="J365" i="82"/>
  <c r="G365" i="82"/>
  <c r="C365" i="82"/>
  <c r="A365" i="82"/>
  <c r="S364" i="82"/>
  <c r="R364" i="82"/>
  <c r="Q364" i="82"/>
  <c r="P364" i="82"/>
  <c r="L364" i="82"/>
  <c r="K364" i="82"/>
  <c r="J364" i="82"/>
  <c r="G364" i="82"/>
  <c r="C364" i="82"/>
  <c r="A364" i="82"/>
  <c r="S363" i="82"/>
  <c r="R363" i="82"/>
  <c r="Q363" i="82"/>
  <c r="P363" i="82"/>
  <c r="L363" i="82"/>
  <c r="K363" i="82"/>
  <c r="J363" i="82"/>
  <c r="G363" i="82"/>
  <c r="C363" i="82"/>
  <c r="A363" i="82"/>
  <c r="S362" i="82"/>
  <c r="R362" i="82"/>
  <c r="Q362" i="82"/>
  <c r="P362" i="82"/>
  <c r="L362" i="82"/>
  <c r="K362" i="82"/>
  <c r="J362" i="82"/>
  <c r="G362" i="82"/>
  <c r="C362" i="82"/>
  <c r="A362" i="82"/>
  <c r="S361" i="82"/>
  <c r="R361" i="82"/>
  <c r="Q361" i="82"/>
  <c r="P361" i="82"/>
  <c r="L361" i="82"/>
  <c r="K361" i="82"/>
  <c r="J361" i="82"/>
  <c r="G361" i="82"/>
  <c r="C361" i="82"/>
  <c r="A361" i="82"/>
  <c r="S360" i="82"/>
  <c r="R360" i="82"/>
  <c r="Q360" i="82"/>
  <c r="P360" i="82"/>
  <c r="L360" i="82"/>
  <c r="K360" i="82"/>
  <c r="J360" i="82"/>
  <c r="G360" i="82"/>
  <c r="C360" i="82"/>
  <c r="A360" i="82"/>
  <c r="S359" i="82"/>
  <c r="R359" i="82"/>
  <c r="Q359" i="82"/>
  <c r="P359" i="82"/>
  <c r="L359" i="82"/>
  <c r="K359" i="82"/>
  <c r="J359" i="82"/>
  <c r="G359" i="82"/>
  <c r="C359" i="82"/>
  <c r="A359" i="82"/>
  <c r="S358" i="82"/>
  <c r="R358" i="82"/>
  <c r="Q358" i="82"/>
  <c r="P358" i="82"/>
  <c r="L358" i="82"/>
  <c r="K358" i="82"/>
  <c r="J358" i="82"/>
  <c r="G358" i="82"/>
  <c r="C358" i="82"/>
  <c r="A358" i="82"/>
  <c r="S357" i="82"/>
  <c r="R357" i="82"/>
  <c r="Q357" i="82"/>
  <c r="P357" i="82"/>
  <c r="L357" i="82"/>
  <c r="K357" i="82"/>
  <c r="J357" i="82"/>
  <c r="G357" i="82"/>
  <c r="C357" i="82"/>
  <c r="A357" i="82"/>
  <c r="S356" i="82"/>
  <c r="R356" i="82"/>
  <c r="Q356" i="82"/>
  <c r="P356" i="82"/>
  <c r="L356" i="82"/>
  <c r="K356" i="82"/>
  <c r="J356" i="82"/>
  <c r="G356" i="82"/>
  <c r="C356" i="82"/>
  <c r="A356" i="82"/>
  <c r="S355" i="82"/>
  <c r="R355" i="82"/>
  <c r="Q355" i="82"/>
  <c r="P355" i="82"/>
  <c r="L355" i="82"/>
  <c r="K355" i="82"/>
  <c r="J355" i="82"/>
  <c r="G355" i="82"/>
  <c r="C355" i="82"/>
  <c r="A355" i="82"/>
  <c r="S354" i="82"/>
  <c r="R354" i="82"/>
  <c r="Q354" i="82"/>
  <c r="P354" i="82"/>
  <c r="L354" i="82"/>
  <c r="K354" i="82"/>
  <c r="J354" i="82"/>
  <c r="G354" i="82"/>
  <c r="C354" i="82"/>
  <c r="A354" i="82"/>
  <c r="S353" i="82"/>
  <c r="R353" i="82"/>
  <c r="Q353" i="82"/>
  <c r="P353" i="82"/>
  <c r="L353" i="82"/>
  <c r="K353" i="82"/>
  <c r="J353" i="82"/>
  <c r="G353" i="82"/>
  <c r="C353" i="82"/>
  <c r="A353" i="82"/>
  <c r="S352" i="82"/>
  <c r="R352" i="82"/>
  <c r="Q352" i="82"/>
  <c r="P352" i="82"/>
  <c r="L352" i="82"/>
  <c r="K352" i="82"/>
  <c r="J352" i="82"/>
  <c r="G352" i="82"/>
  <c r="C352" i="82"/>
  <c r="A352" i="82"/>
  <c r="S351" i="82"/>
  <c r="R351" i="82"/>
  <c r="Q351" i="82"/>
  <c r="P351" i="82"/>
  <c r="L351" i="82"/>
  <c r="K351" i="82"/>
  <c r="J351" i="82"/>
  <c r="G351" i="82"/>
  <c r="C351" i="82"/>
  <c r="A351" i="82"/>
  <c r="S350" i="82"/>
  <c r="R350" i="82"/>
  <c r="Q350" i="82"/>
  <c r="P350" i="82"/>
  <c r="L350" i="82"/>
  <c r="K350" i="82"/>
  <c r="J350" i="82"/>
  <c r="G350" i="82"/>
  <c r="C350" i="82"/>
  <c r="A350" i="82"/>
  <c r="S349" i="82"/>
  <c r="R349" i="82"/>
  <c r="Q349" i="82"/>
  <c r="P349" i="82"/>
  <c r="L349" i="82"/>
  <c r="K349" i="82"/>
  <c r="J349" i="82"/>
  <c r="G349" i="82"/>
  <c r="C349" i="82"/>
  <c r="A349" i="82"/>
  <c r="S348" i="82"/>
  <c r="R348" i="82"/>
  <c r="Q348" i="82"/>
  <c r="P348" i="82"/>
  <c r="L348" i="82"/>
  <c r="K348" i="82"/>
  <c r="J348" i="82"/>
  <c r="G348" i="82"/>
  <c r="C348" i="82"/>
  <c r="A348" i="82"/>
  <c r="S347" i="82"/>
  <c r="R347" i="82"/>
  <c r="Q347" i="82"/>
  <c r="P347" i="82"/>
  <c r="L347" i="82"/>
  <c r="K347" i="82"/>
  <c r="J347" i="82"/>
  <c r="G347" i="82"/>
  <c r="C347" i="82"/>
  <c r="A347" i="82"/>
  <c r="S346" i="82"/>
  <c r="R346" i="82"/>
  <c r="Q346" i="82"/>
  <c r="P346" i="82"/>
  <c r="L346" i="82"/>
  <c r="K346" i="82"/>
  <c r="J346" i="82"/>
  <c r="G346" i="82"/>
  <c r="C346" i="82"/>
  <c r="A346" i="82"/>
  <c r="S345" i="82"/>
  <c r="R345" i="82"/>
  <c r="Q345" i="82"/>
  <c r="P345" i="82"/>
  <c r="L345" i="82"/>
  <c r="K345" i="82"/>
  <c r="J345" i="82"/>
  <c r="G345" i="82"/>
  <c r="C345" i="82"/>
  <c r="A345" i="82"/>
  <c r="S344" i="82"/>
  <c r="R344" i="82"/>
  <c r="Q344" i="82"/>
  <c r="P344" i="82"/>
  <c r="L344" i="82"/>
  <c r="K344" i="82"/>
  <c r="J344" i="82"/>
  <c r="G344" i="82"/>
  <c r="C344" i="82"/>
  <c r="A344" i="82"/>
  <c r="S343" i="82"/>
  <c r="R343" i="82"/>
  <c r="Q343" i="82"/>
  <c r="P343" i="82"/>
  <c r="L343" i="82"/>
  <c r="K343" i="82"/>
  <c r="J343" i="82"/>
  <c r="G343" i="82"/>
  <c r="C343" i="82"/>
  <c r="A343" i="82"/>
  <c r="S342" i="82"/>
  <c r="R342" i="82"/>
  <c r="Q342" i="82"/>
  <c r="P342" i="82"/>
  <c r="L342" i="82"/>
  <c r="K342" i="82"/>
  <c r="J342" i="82"/>
  <c r="G342" i="82"/>
  <c r="C342" i="82"/>
  <c r="A342" i="82"/>
  <c r="S341" i="82"/>
  <c r="R341" i="82"/>
  <c r="Q341" i="82"/>
  <c r="P341" i="82"/>
  <c r="L341" i="82"/>
  <c r="K341" i="82"/>
  <c r="J341" i="82"/>
  <c r="G341" i="82"/>
  <c r="C341" i="82"/>
  <c r="A341" i="82"/>
  <c r="S340" i="82"/>
  <c r="R340" i="82"/>
  <c r="Q340" i="82"/>
  <c r="P340" i="82"/>
  <c r="L340" i="82"/>
  <c r="K340" i="82"/>
  <c r="J340" i="82"/>
  <c r="G340" i="82"/>
  <c r="C340" i="82"/>
  <c r="A340" i="82"/>
  <c r="S339" i="82"/>
  <c r="R339" i="82"/>
  <c r="Q339" i="82"/>
  <c r="P339" i="82"/>
  <c r="L339" i="82"/>
  <c r="K339" i="82"/>
  <c r="J339" i="82"/>
  <c r="G339" i="82"/>
  <c r="C339" i="82"/>
  <c r="A339" i="82"/>
  <c r="S338" i="82"/>
  <c r="R338" i="82"/>
  <c r="Q338" i="82"/>
  <c r="P338" i="82"/>
  <c r="L338" i="82"/>
  <c r="K338" i="82"/>
  <c r="J338" i="82"/>
  <c r="G338" i="82"/>
  <c r="C338" i="82"/>
  <c r="A338" i="82"/>
  <c r="S337" i="82"/>
  <c r="R337" i="82"/>
  <c r="Q337" i="82"/>
  <c r="P337" i="82"/>
  <c r="L337" i="82"/>
  <c r="K337" i="82"/>
  <c r="J337" i="82"/>
  <c r="G337" i="82"/>
  <c r="C337" i="82"/>
  <c r="A337" i="82"/>
  <c r="S336" i="82"/>
  <c r="R336" i="82"/>
  <c r="Q336" i="82"/>
  <c r="P336" i="82"/>
  <c r="L336" i="82"/>
  <c r="K336" i="82"/>
  <c r="J336" i="82"/>
  <c r="G336" i="82"/>
  <c r="C336" i="82"/>
  <c r="A336" i="82"/>
  <c r="S335" i="82"/>
  <c r="R335" i="82"/>
  <c r="Q335" i="82"/>
  <c r="P335" i="82"/>
  <c r="L335" i="82"/>
  <c r="K335" i="82"/>
  <c r="J335" i="82"/>
  <c r="G335" i="82"/>
  <c r="C335" i="82"/>
  <c r="A335" i="82"/>
  <c r="S334" i="82"/>
  <c r="R334" i="82"/>
  <c r="Q334" i="82"/>
  <c r="P334" i="82"/>
  <c r="L334" i="82"/>
  <c r="K334" i="82"/>
  <c r="J334" i="82"/>
  <c r="G334" i="82"/>
  <c r="C334" i="82"/>
  <c r="A334" i="82"/>
  <c r="S333" i="82"/>
  <c r="R333" i="82"/>
  <c r="Q333" i="82"/>
  <c r="P333" i="82"/>
  <c r="L333" i="82"/>
  <c r="K333" i="82"/>
  <c r="J333" i="82"/>
  <c r="G333" i="82"/>
  <c r="C333" i="82"/>
  <c r="A333" i="82"/>
  <c r="S332" i="82"/>
  <c r="R332" i="82"/>
  <c r="Q332" i="82"/>
  <c r="P332" i="82"/>
  <c r="L332" i="82"/>
  <c r="K332" i="82"/>
  <c r="J332" i="82"/>
  <c r="G332" i="82"/>
  <c r="C332" i="82"/>
  <c r="A332" i="82"/>
  <c r="S331" i="82"/>
  <c r="R331" i="82"/>
  <c r="Q331" i="82"/>
  <c r="P331" i="82"/>
  <c r="L331" i="82"/>
  <c r="K331" i="82"/>
  <c r="J331" i="82"/>
  <c r="G331" i="82"/>
  <c r="C331" i="82"/>
  <c r="A331" i="82"/>
  <c r="S330" i="82"/>
  <c r="R330" i="82"/>
  <c r="Q330" i="82"/>
  <c r="P330" i="82"/>
  <c r="L330" i="82"/>
  <c r="K330" i="82"/>
  <c r="J330" i="82"/>
  <c r="G330" i="82"/>
  <c r="C330" i="82"/>
  <c r="A330" i="82"/>
  <c r="S329" i="82"/>
  <c r="R329" i="82"/>
  <c r="Q329" i="82"/>
  <c r="P329" i="82"/>
  <c r="L329" i="82"/>
  <c r="K329" i="82"/>
  <c r="J329" i="82"/>
  <c r="G329" i="82"/>
  <c r="C329" i="82"/>
  <c r="A329" i="82"/>
  <c r="S328" i="82"/>
  <c r="R328" i="82"/>
  <c r="Q328" i="82"/>
  <c r="P328" i="82"/>
  <c r="L328" i="82"/>
  <c r="K328" i="82"/>
  <c r="J328" i="82"/>
  <c r="G328" i="82"/>
  <c r="C328" i="82"/>
  <c r="A328" i="82"/>
  <c r="S327" i="82"/>
  <c r="R327" i="82"/>
  <c r="Q327" i="82"/>
  <c r="P327" i="82"/>
  <c r="L327" i="82"/>
  <c r="K327" i="82"/>
  <c r="J327" i="82"/>
  <c r="G327" i="82"/>
  <c r="C327" i="82"/>
  <c r="A327" i="82"/>
  <c r="S326" i="82"/>
  <c r="R326" i="82"/>
  <c r="Q326" i="82"/>
  <c r="P326" i="82"/>
  <c r="L326" i="82"/>
  <c r="K326" i="82"/>
  <c r="J326" i="82"/>
  <c r="G326" i="82"/>
  <c r="C326" i="82"/>
  <c r="A326" i="82"/>
  <c r="S325" i="82"/>
  <c r="R325" i="82"/>
  <c r="Q325" i="82"/>
  <c r="P325" i="82"/>
  <c r="L325" i="82"/>
  <c r="K325" i="82"/>
  <c r="J325" i="82"/>
  <c r="G325" i="82"/>
  <c r="C325" i="82"/>
  <c r="A325" i="82"/>
  <c r="S324" i="82"/>
  <c r="R324" i="82"/>
  <c r="Q324" i="82"/>
  <c r="P324" i="82"/>
  <c r="L324" i="82"/>
  <c r="K324" i="82"/>
  <c r="J324" i="82"/>
  <c r="G324" i="82"/>
  <c r="C324" i="82"/>
  <c r="A324" i="82"/>
  <c r="S323" i="82"/>
  <c r="R323" i="82"/>
  <c r="Q323" i="82"/>
  <c r="P323" i="82"/>
  <c r="L323" i="82"/>
  <c r="K323" i="82"/>
  <c r="J323" i="82"/>
  <c r="G323" i="82"/>
  <c r="C323" i="82"/>
  <c r="A323" i="82"/>
  <c r="S322" i="82"/>
  <c r="R322" i="82"/>
  <c r="Q322" i="82"/>
  <c r="P322" i="82"/>
  <c r="L322" i="82"/>
  <c r="K322" i="82"/>
  <c r="J322" i="82"/>
  <c r="G322" i="82"/>
  <c r="C322" i="82"/>
  <c r="A322" i="82"/>
  <c r="S321" i="82"/>
  <c r="R321" i="82"/>
  <c r="Q321" i="82"/>
  <c r="P321" i="82"/>
  <c r="L321" i="82"/>
  <c r="K321" i="82"/>
  <c r="J321" i="82"/>
  <c r="G321" i="82"/>
  <c r="C321" i="82"/>
  <c r="A321" i="82"/>
  <c r="S320" i="82"/>
  <c r="R320" i="82"/>
  <c r="Q320" i="82"/>
  <c r="P320" i="82"/>
  <c r="L320" i="82"/>
  <c r="K320" i="82"/>
  <c r="J320" i="82"/>
  <c r="G320" i="82"/>
  <c r="C320" i="82"/>
  <c r="A320" i="82"/>
  <c r="S319" i="82"/>
  <c r="R319" i="82"/>
  <c r="Q319" i="82"/>
  <c r="P319" i="82"/>
  <c r="L319" i="82"/>
  <c r="K319" i="82"/>
  <c r="J319" i="82"/>
  <c r="G319" i="82"/>
  <c r="C319" i="82"/>
  <c r="A319" i="82"/>
  <c r="S318" i="82"/>
  <c r="R318" i="82"/>
  <c r="Q318" i="82"/>
  <c r="P318" i="82"/>
  <c r="L318" i="82"/>
  <c r="K318" i="82"/>
  <c r="J318" i="82"/>
  <c r="G318" i="82"/>
  <c r="C318" i="82"/>
  <c r="A318" i="82"/>
  <c r="S317" i="82"/>
  <c r="R317" i="82"/>
  <c r="Q317" i="82"/>
  <c r="P317" i="82"/>
  <c r="L317" i="82"/>
  <c r="K317" i="82"/>
  <c r="J317" i="82"/>
  <c r="G317" i="82"/>
  <c r="C317" i="82"/>
  <c r="A317" i="82"/>
  <c r="S316" i="82"/>
  <c r="R316" i="82"/>
  <c r="Q316" i="82"/>
  <c r="P316" i="82"/>
  <c r="L316" i="82"/>
  <c r="K316" i="82"/>
  <c r="J316" i="82"/>
  <c r="G316" i="82"/>
  <c r="C316" i="82"/>
  <c r="A316" i="82"/>
  <c r="S315" i="82"/>
  <c r="R315" i="82"/>
  <c r="Q315" i="82"/>
  <c r="P315" i="82"/>
  <c r="L315" i="82"/>
  <c r="K315" i="82"/>
  <c r="J315" i="82"/>
  <c r="G315" i="82"/>
  <c r="C315" i="82"/>
  <c r="A315" i="82"/>
  <c r="S314" i="82"/>
  <c r="R314" i="82"/>
  <c r="Q314" i="82"/>
  <c r="P314" i="82"/>
  <c r="L314" i="82"/>
  <c r="K314" i="82"/>
  <c r="J314" i="82"/>
  <c r="G314" i="82"/>
  <c r="C314" i="82"/>
  <c r="A314" i="82"/>
  <c r="S313" i="82"/>
  <c r="R313" i="82"/>
  <c r="Q313" i="82"/>
  <c r="P313" i="82"/>
  <c r="L313" i="82"/>
  <c r="K313" i="82"/>
  <c r="J313" i="82"/>
  <c r="G313" i="82"/>
  <c r="C313" i="82"/>
  <c r="A313" i="82"/>
  <c r="S312" i="82"/>
  <c r="R312" i="82"/>
  <c r="Q312" i="82"/>
  <c r="P312" i="82"/>
  <c r="L312" i="82"/>
  <c r="K312" i="82"/>
  <c r="J312" i="82"/>
  <c r="G312" i="82"/>
  <c r="C312" i="82"/>
  <c r="A312" i="82"/>
  <c r="S311" i="82"/>
  <c r="R311" i="82"/>
  <c r="Q311" i="82"/>
  <c r="P311" i="82"/>
  <c r="L311" i="82"/>
  <c r="K311" i="82"/>
  <c r="J311" i="82"/>
  <c r="G311" i="82"/>
  <c r="C311" i="82"/>
  <c r="A311" i="82"/>
  <c r="S310" i="82"/>
  <c r="R310" i="82"/>
  <c r="Q310" i="82"/>
  <c r="P310" i="82"/>
  <c r="L310" i="82"/>
  <c r="K310" i="82"/>
  <c r="J310" i="82"/>
  <c r="G310" i="82"/>
  <c r="C310" i="82"/>
  <c r="A310" i="82"/>
  <c r="S309" i="82"/>
  <c r="R309" i="82"/>
  <c r="Q309" i="82"/>
  <c r="P309" i="82"/>
  <c r="L309" i="82"/>
  <c r="K309" i="82"/>
  <c r="J309" i="82"/>
  <c r="G309" i="82"/>
  <c r="C309" i="82"/>
  <c r="A309" i="82"/>
  <c r="S308" i="82"/>
  <c r="R308" i="82"/>
  <c r="Q308" i="82"/>
  <c r="P308" i="82"/>
  <c r="L308" i="82"/>
  <c r="K308" i="82"/>
  <c r="J308" i="82"/>
  <c r="G308" i="82"/>
  <c r="C308" i="82"/>
  <c r="A308" i="82"/>
  <c r="S307" i="82"/>
  <c r="R307" i="82"/>
  <c r="Q307" i="82"/>
  <c r="P307" i="82"/>
  <c r="L307" i="82"/>
  <c r="K307" i="82"/>
  <c r="J307" i="82"/>
  <c r="G307" i="82"/>
  <c r="C307" i="82"/>
  <c r="A307" i="82"/>
  <c r="S306" i="82"/>
  <c r="R306" i="82"/>
  <c r="Q306" i="82"/>
  <c r="P306" i="82"/>
  <c r="L306" i="82"/>
  <c r="K306" i="82"/>
  <c r="J306" i="82"/>
  <c r="G306" i="82"/>
  <c r="C306" i="82"/>
  <c r="A306" i="82"/>
  <c r="S305" i="82"/>
  <c r="R305" i="82"/>
  <c r="Q305" i="82"/>
  <c r="P305" i="82"/>
  <c r="L305" i="82"/>
  <c r="K305" i="82"/>
  <c r="J305" i="82"/>
  <c r="G305" i="82"/>
  <c r="C305" i="82"/>
  <c r="A305" i="82"/>
  <c r="S304" i="82"/>
  <c r="R304" i="82"/>
  <c r="Q304" i="82"/>
  <c r="P304" i="82"/>
  <c r="L304" i="82"/>
  <c r="K304" i="82"/>
  <c r="J304" i="82"/>
  <c r="G304" i="82"/>
  <c r="C304" i="82"/>
  <c r="A304" i="82"/>
  <c r="S303" i="82"/>
  <c r="R303" i="82"/>
  <c r="Q303" i="82"/>
  <c r="P303" i="82"/>
  <c r="L303" i="82"/>
  <c r="K303" i="82"/>
  <c r="J303" i="82"/>
  <c r="G303" i="82"/>
  <c r="C303" i="82"/>
  <c r="A303" i="82"/>
  <c r="S302" i="82"/>
  <c r="R302" i="82"/>
  <c r="Q302" i="82"/>
  <c r="P302" i="82"/>
  <c r="L302" i="82"/>
  <c r="K302" i="82"/>
  <c r="J302" i="82"/>
  <c r="G302" i="82"/>
  <c r="C302" i="82"/>
  <c r="A302" i="82"/>
  <c r="S301" i="82"/>
  <c r="R301" i="82"/>
  <c r="Q301" i="82"/>
  <c r="P301" i="82"/>
  <c r="L301" i="82"/>
  <c r="K301" i="82"/>
  <c r="J301" i="82"/>
  <c r="G301" i="82"/>
  <c r="C301" i="82"/>
  <c r="A301" i="82"/>
  <c r="S300" i="82"/>
  <c r="R300" i="82"/>
  <c r="Q300" i="82"/>
  <c r="P300" i="82"/>
  <c r="L300" i="82"/>
  <c r="K300" i="82"/>
  <c r="J300" i="82"/>
  <c r="G300" i="82"/>
  <c r="C300" i="82"/>
  <c r="A300" i="82"/>
  <c r="S299" i="82"/>
  <c r="R299" i="82"/>
  <c r="Q299" i="82"/>
  <c r="P299" i="82"/>
  <c r="L299" i="82"/>
  <c r="K299" i="82"/>
  <c r="J299" i="82"/>
  <c r="G299" i="82"/>
  <c r="C299" i="82"/>
  <c r="A299" i="82"/>
  <c r="S298" i="82"/>
  <c r="R298" i="82"/>
  <c r="Q298" i="82"/>
  <c r="P298" i="82"/>
  <c r="L298" i="82"/>
  <c r="K298" i="82"/>
  <c r="J298" i="82"/>
  <c r="G298" i="82"/>
  <c r="C298" i="82"/>
  <c r="A298" i="82"/>
  <c r="S297" i="82"/>
  <c r="R297" i="82"/>
  <c r="Q297" i="82"/>
  <c r="P297" i="82"/>
  <c r="L297" i="82"/>
  <c r="K297" i="82"/>
  <c r="J297" i="82"/>
  <c r="G297" i="82"/>
  <c r="C297" i="82"/>
  <c r="A297" i="82"/>
  <c r="S296" i="82"/>
  <c r="R296" i="82"/>
  <c r="Q296" i="82"/>
  <c r="P296" i="82"/>
  <c r="L296" i="82"/>
  <c r="K296" i="82"/>
  <c r="J296" i="82"/>
  <c r="G296" i="82"/>
  <c r="C296" i="82"/>
  <c r="A296" i="82"/>
  <c r="S295" i="82"/>
  <c r="R295" i="82"/>
  <c r="Q295" i="82"/>
  <c r="P295" i="82"/>
  <c r="L295" i="82"/>
  <c r="K295" i="82"/>
  <c r="J295" i="82"/>
  <c r="G295" i="82"/>
  <c r="C295" i="82"/>
  <c r="A295" i="82"/>
  <c r="S294" i="82"/>
  <c r="R294" i="82"/>
  <c r="Q294" i="82"/>
  <c r="P294" i="82"/>
  <c r="L294" i="82"/>
  <c r="K294" i="82"/>
  <c r="J294" i="82"/>
  <c r="G294" i="82"/>
  <c r="C294" i="82"/>
  <c r="A294" i="82"/>
  <c r="S293" i="82"/>
  <c r="R293" i="82"/>
  <c r="Q293" i="82"/>
  <c r="P293" i="82"/>
  <c r="L293" i="82"/>
  <c r="K293" i="82"/>
  <c r="J293" i="82"/>
  <c r="G293" i="82"/>
  <c r="C293" i="82"/>
  <c r="A293" i="82"/>
  <c r="S292" i="82"/>
  <c r="R292" i="82"/>
  <c r="Q292" i="82"/>
  <c r="P292" i="82"/>
  <c r="L292" i="82"/>
  <c r="K292" i="82"/>
  <c r="J292" i="82"/>
  <c r="G292" i="82"/>
  <c r="C292" i="82"/>
  <c r="A292" i="82"/>
  <c r="S291" i="82"/>
  <c r="R291" i="82"/>
  <c r="Q291" i="82"/>
  <c r="P291" i="82"/>
  <c r="L291" i="82"/>
  <c r="K291" i="82"/>
  <c r="J291" i="82"/>
  <c r="G291" i="82"/>
  <c r="C291" i="82"/>
  <c r="A291" i="82"/>
  <c r="S290" i="82"/>
  <c r="R290" i="82"/>
  <c r="Q290" i="82"/>
  <c r="P290" i="82"/>
  <c r="L290" i="82"/>
  <c r="K290" i="82"/>
  <c r="J290" i="82"/>
  <c r="G290" i="82"/>
  <c r="C290" i="82"/>
  <c r="A290" i="82"/>
  <c r="S289" i="82"/>
  <c r="R289" i="82"/>
  <c r="Q289" i="82"/>
  <c r="P289" i="82"/>
  <c r="L289" i="82"/>
  <c r="K289" i="82"/>
  <c r="J289" i="82"/>
  <c r="G289" i="82"/>
  <c r="C289" i="82"/>
  <c r="A289" i="82"/>
  <c r="S288" i="82"/>
  <c r="R288" i="82"/>
  <c r="Q288" i="82"/>
  <c r="P288" i="82"/>
  <c r="L288" i="82"/>
  <c r="K288" i="82"/>
  <c r="J288" i="82"/>
  <c r="G288" i="82"/>
  <c r="C288" i="82"/>
  <c r="A288" i="82"/>
  <c r="S287" i="82"/>
  <c r="R287" i="82"/>
  <c r="Q287" i="82"/>
  <c r="P287" i="82"/>
  <c r="L287" i="82"/>
  <c r="K287" i="82"/>
  <c r="J287" i="82"/>
  <c r="G287" i="82"/>
  <c r="C287" i="82"/>
  <c r="A287" i="82"/>
  <c r="S286" i="82"/>
  <c r="R286" i="82"/>
  <c r="Q286" i="82"/>
  <c r="P286" i="82"/>
  <c r="L286" i="82"/>
  <c r="K286" i="82"/>
  <c r="J286" i="82"/>
  <c r="G286" i="82"/>
  <c r="C286" i="82"/>
  <c r="A286" i="82"/>
  <c r="S285" i="82"/>
  <c r="R285" i="82"/>
  <c r="Q285" i="82"/>
  <c r="P285" i="82"/>
  <c r="L285" i="82"/>
  <c r="K285" i="82"/>
  <c r="J285" i="82"/>
  <c r="G285" i="82"/>
  <c r="C285" i="82"/>
  <c r="A285" i="82"/>
  <c r="S284" i="82"/>
  <c r="R284" i="82"/>
  <c r="Q284" i="82"/>
  <c r="P284" i="82"/>
  <c r="L284" i="82"/>
  <c r="K284" i="82"/>
  <c r="J284" i="82"/>
  <c r="G284" i="82"/>
  <c r="C284" i="82"/>
  <c r="A284" i="82"/>
  <c r="S283" i="82"/>
  <c r="R283" i="82"/>
  <c r="Q283" i="82"/>
  <c r="P283" i="82"/>
  <c r="L283" i="82"/>
  <c r="K283" i="82"/>
  <c r="J283" i="82"/>
  <c r="G283" i="82"/>
  <c r="C283" i="82"/>
  <c r="A283" i="82"/>
  <c r="S282" i="82"/>
  <c r="R282" i="82"/>
  <c r="Q282" i="82"/>
  <c r="P282" i="82"/>
  <c r="L282" i="82"/>
  <c r="K282" i="82"/>
  <c r="J282" i="82"/>
  <c r="G282" i="82"/>
  <c r="C282" i="82"/>
  <c r="A282" i="82"/>
  <c r="S281" i="82"/>
  <c r="R281" i="82"/>
  <c r="Q281" i="82"/>
  <c r="P281" i="82"/>
  <c r="L281" i="82"/>
  <c r="K281" i="82"/>
  <c r="J281" i="82"/>
  <c r="G281" i="82"/>
  <c r="C281" i="82"/>
  <c r="A281" i="82"/>
  <c r="S280" i="82"/>
  <c r="R280" i="82"/>
  <c r="Q280" i="82"/>
  <c r="P280" i="82"/>
  <c r="L280" i="82"/>
  <c r="K280" i="82"/>
  <c r="J280" i="82"/>
  <c r="G280" i="82"/>
  <c r="C280" i="82"/>
  <c r="A280" i="82"/>
  <c r="S279" i="82"/>
  <c r="R279" i="82"/>
  <c r="Q279" i="82"/>
  <c r="P279" i="82"/>
  <c r="L279" i="82"/>
  <c r="K279" i="82"/>
  <c r="J279" i="82"/>
  <c r="G279" i="82"/>
  <c r="C279" i="82"/>
  <c r="A279" i="82"/>
  <c r="S278" i="82"/>
  <c r="R278" i="82"/>
  <c r="Q278" i="82"/>
  <c r="P278" i="82"/>
  <c r="L278" i="82"/>
  <c r="K278" i="82"/>
  <c r="J278" i="82"/>
  <c r="G278" i="82"/>
  <c r="C278" i="82"/>
  <c r="A278" i="82"/>
  <c r="S277" i="82"/>
  <c r="R277" i="82"/>
  <c r="Q277" i="82"/>
  <c r="P277" i="82"/>
  <c r="L277" i="82"/>
  <c r="K277" i="82"/>
  <c r="J277" i="82"/>
  <c r="G277" i="82"/>
  <c r="C277" i="82"/>
  <c r="A277" i="82"/>
  <c r="S276" i="82"/>
  <c r="R276" i="82"/>
  <c r="Q276" i="82"/>
  <c r="P276" i="82"/>
  <c r="L276" i="82"/>
  <c r="K276" i="82"/>
  <c r="J276" i="82"/>
  <c r="G276" i="82"/>
  <c r="C276" i="82"/>
  <c r="A276" i="82"/>
  <c r="S275" i="82"/>
  <c r="R275" i="82"/>
  <c r="Q275" i="82"/>
  <c r="P275" i="82"/>
  <c r="L275" i="82"/>
  <c r="K275" i="82"/>
  <c r="J275" i="82"/>
  <c r="G275" i="82"/>
  <c r="C275" i="82"/>
  <c r="A275" i="82"/>
  <c r="S274" i="82"/>
  <c r="R274" i="82"/>
  <c r="Q274" i="82"/>
  <c r="P274" i="82"/>
  <c r="L274" i="82"/>
  <c r="K274" i="82"/>
  <c r="J274" i="82"/>
  <c r="G274" i="82"/>
  <c r="C274" i="82"/>
  <c r="A274" i="82"/>
  <c r="S273" i="82"/>
  <c r="R273" i="82"/>
  <c r="Q273" i="82"/>
  <c r="P273" i="82"/>
  <c r="L273" i="82"/>
  <c r="K273" i="82"/>
  <c r="J273" i="82"/>
  <c r="G273" i="82"/>
  <c r="C273" i="82"/>
  <c r="A273" i="82"/>
  <c r="S272" i="82"/>
  <c r="R272" i="82"/>
  <c r="Q272" i="82"/>
  <c r="P272" i="82"/>
  <c r="L272" i="82"/>
  <c r="K272" i="82"/>
  <c r="J272" i="82"/>
  <c r="G272" i="82"/>
  <c r="C272" i="82"/>
  <c r="A272" i="82"/>
  <c r="S271" i="82"/>
  <c r="R271" i="82"/>
  <c r="Q271" i="82"/>
  <c r="P271" i="82"/>
  <c r="L271" i="82"/>
  <c r="K271" i="82"/>
  <c r="J271" i="82"/>
  <c r="G271" i="82"/>
  <c r="C271" i="82"/>
  <c r="A271" i="82"/>
  <c r="S270" i="82"/>
  <c r="R270" i="82"/>
  <c r="Q270" i="82"/>
  <c r="P270" i="82"/>
  <c r="L270" i="82"/>
  <c r="K270" i="82"/>
  <c r="J270" i="82"/>
  <c r="G270" i="82"/>
  <c r="C270" i="82"/>
  <c r="A270" i="82"/>
  <c r="S269" i="82"/>
  <c r="R269" i="82"/>
  <c r="Q269" i="82"/>
  <c r="P269" i="82"/>
  <c r="L269" i="82"/>
  <c r="K269" i="82"/>
  <c r="J269" i="82"/>
  <c r="G269" i="82"/>
  <c r="C269" i="82"/>
  <c r="A269" i="82"/>
  <c r="S268" i="82"/>
  <c r="R268" i="82"/>
  <c r="Q268" i="82"/>
  <c r="P268" i="82"/>
  <c r="L268" i="82"/>
  <c r="K268" i="82"/>
  <c r="J268" i="82"/>
  <c r="G268" i="82"/>
  <c r="C268" i="82"/>
  <c r="A268" i="82"/>
  <c r="S267" i="82"/>
  <c r="R267" i="82"/>
  <c r="Q267" i="82"/>
  <c r="P267" i="82"/>
  <c r="L267" i="82"/>
  <c r="K267" i="82"/>
  <c r="J267" i="82"/>
  <c r="G267" i="82"/>
  <c r="C267" i="82"/>
  <c r="A267" i="82"/>
  <c r="S266" i="82"/>
  <c r="R266" i="82"/>
  <c r="Q266" i="82"/>
  <c r="P266" i="82"/>
  <c r="L266" i="82"/>
  <c r="K266" i="82"/>
  <c r="J266" i="82"/>
  <c r="G266" i="82"/>
  <c r="C266" i="82"/>
  <c r="A266" i="82"/>
  <c r="S265" i="82"/>
  <c r="R265" i="82"/>
  <c r="Q265" i="82"/>
  <c r="P265" i="82"/>
  <c r="L265" i="82"/>
  <c r="K265" i="82"/>
  <c r="J265" i="82"/>
  <c r="G265" i="82"/>
  <c r="C265" i="82"/>
  <c r="A265" i="82"/>
  <c r="S264" i="82"/>
  <c r="R264" i="82"/>
  <c r="Q264" i="82"/>
  <c r="P264" i="82"/>
  <c r="L264" i="82"/>
  <c r="K264" i="82"/>
  <c r="J264" i="82"/>
  <c r="G264" i="82"/>
  <c r="C264" i="82"/>
  <c r="A264" i="82"/>
  <c r="S263" i="82"/>
  <c r="R263" i="82"/>
  <c r="Q263" i="82"/>
  <c r="P263" i="82"/>
  <c r="L263" i="82"/>
  <c r="K263" i="82"/>
  <c r="J263" i="82"/>
  <c r="G263" i="82"/>
  <c r="C263" i="82"/>
  <c r="A263" i="82"/>
  <c r="S262" i="82"/>
  <c r="R262" i="82"/>
  <c r="Q262" i="82"/>
  <c r="P262" i="82"/>
  <c r="L262" i="82"/>
  <c r="K262" i="82"/>
  <c r="J262" i="82"/>
  <c r="G262" i="82"/>
  <c r="C262" i="82"/>
  <c r="A262" i="82"/>
  <c r="S261" i="82"/>
  <c r="R261" i="82"/>
  <c r="Q261" i="82"/>
  <c r="P261" i="82"/>
  <c r="L261" i="82"/>
  <c r="K261" i="82"/>
  <c r="J261" i="82"/>
  <c r="G261" i="82"/>
  <c r="C261" i="82"/>
  <c r="A261" i="82"/>
  <c r="S260" i="82"/>
  <c r="R260" i="82"/>
  <c r="Q260" i="82"/>
  <c r="P260" i="82"/>
  <c r="L260" i="82"/>
  <c r="K260" i="82"/>
  <c r="J260" i="82"/>
  <c r="G260" i="82"/>
  <c r="C260" i="82"/>
  <c r="A260" i="82"/>
  <c r="S259" i="82"/>
  <c r="R259" i="82"/>
  <c r="Q259" i="82"/>
  <c r="P259" i="82"/>
  <c r="L259" i="82"/>
  <c r="K259" i="82"/>
  <c r="J259" i="82"/>
  <c r="G259" i="82"/>
  <c r="C259" i="82"/>
  <c r="A259" i="82"/>
  <c r="S258" i="82"/>
  <c r="R258" i="82"/>
  <c r="Q258" i="82"/>
  <c r="P258" i="82"/>
  <c r="L258" i="82"/>
  <c r="K258" i="82"/>
  <c r="J258" i="82"/>
  <c r="G258" i="82"/>
  <c r="C258" i="82"/>
  <c r="A258" i="82"/>
  <c r="S257" i="82"/>
  <c r="R257" i="82"/>
  <c r="Q257" i="82"/>
  <c r="P257" i="82"/>
  <c r="L257" i="82"/>
  <c r="K257" i="82"/>
  <c r="J257" i="82"/>
  <c r="G257" i="82"/>
  <c r="C257" i="82"/>
  <c r="A257" i="82"/>
  <c r="S256" i="82"/>
  <c r="R256" i="82"/>
  <c r="Q256" i="82"/>
  <c r="P256" i="82"/>
  <c r="L256" i="82"/>
  <c r="K256" i="82"/>
  <c r="J256" i="82"/>
  <c r="G256" i="82"/>
  <c r="C256" i="82"/>
  <c r="A256" i="82"/>
  <c r="S255" i="82"/>
  <c r="R255" i="82"/>
  <c r="Q255" i="82"/>
  <c r="P255" i="82"/>
  <c r="L255" i="82"/>
  <c r="K255" i="82"/>
  <c r="J255" i="82"/>
  <c r="G255" i="82"/>
  <c r="C255" i="82"/>
  <c r="A255" i="82"/>
  <c r="S254" i="82"/>
  <c r="R254" i="82"/>
  <c r="Q254" i="82"/>
  <c r="P254" i="82"/>
  <c r="L254" i="82"/>
  <c r="K254" i="82"/>
  <c r="J254" i="82"/>
  <c r="G254" i="82"/>
  <c r="C254" i="82"/>
  <c r="A254" i="82"/>
  <c r="S253" i="82"/>
  <c r="R253" i="82"/>
  <c r="Q253" i="82"/>
  <c r="P253" i="82"/>
  <c r="L253" i="82"/>
  <c r="K253" i="82"/>
  <c r="J253" i="82"/>
  <c r="G253" i="82"/>
  <c r="C253" i="82"/>
  <c r="A253" i="82"/>
  <c r="S252" i="82"/>
  <c r="R252" i="82"/>
  <c r="Q252" i="82"/>
  <c r="P252" i="82"/>
  <c r="L252" i="82"/>
  <c r="K252" i="82"/>
  <c r="J252" i="82"/>
  <c r="G252" i="82"/>
  <c r="C252" i="82"/>
  <c r="A252" i="82"/>
  <c r="S251" i="82"/>
  <c r="R251" i="82"/>
  <c r="Q251" i="82"/>
  <c r="P251" i="82"/>
  <c r="L251" i="82"/>
  <c r="K251" i="82"/>
  <c r="J251" i="82"/>
  <c r="G251" i="82"/>
  <c r="C251" i="82"/>
  <c r="A251" i="82"/>
  <c r="S250" i="82"/>
  <c r="R250" i="82"/>
  <c r="Q250" i="82"/>
  <c r="P250" i="82"/>
  <c r="L250" i="82"/>
  <c r="K250" i="82"/>
  <c r="J250" i="82"/>
  <c r="G250" i="82"/>
  <c r="C250" i="82"/>
  <c r="A250" i="82"/>
  <c r="S249" i="82"/>
  <c r="R249" i="82"/>
  <c r="Q249" i="82"/>
  <c r="P249" i="82"/>
  <c r="L249" i="82"/>
  <c r="K249" i="82"/>
  <c r="J249" i="82"/>
  <c r="G249" i="82"/>
  <c r="C249" i="82"/>
  <c r="A249" i="82"/>
  <c r="S248" i="82"/>
  <c r="R248" i="82"/>
  <c r="Q248" i="82"/>
  <c r="P248" i="82"/>
  <c r="L248" i="82"/>
  <c r="K248" i="82"/>
  <c r="J248" i="82"/>
  <c r="G248" i="82"/>
  <c r="C248" i="82"/>
  <c r="A248" i="82"/>
  <c r="S247" i="82"/>
  <c r="R247" i="82"/>
  <c r="Q247" i="82"/>
  <c r="P247" i="82"/>
  <c r="L247" i="82"/>
  <c r="K247" i="82"/>
  <c r="J247" i="82"/>
  <c r="G247" i="82"/>
  <c r="C247" i="82"/>
  <c r="A247" i="82"/>
  <c r="S246" i="82"/>
  <c r="R246" i="82"/>
  <c r="Q246" i="82"/>
  <c r="P246" i="82"/>
  <c r="L246" i="82"/>
  <c r="K246" i="82"/>
  <c r="J246" i="82"/>
  <c r="G246" i="82"/>
  <c r="C246" i="82"/>
  <c r="A246" i="82"/>
  <c r="S245" i="82"/>
  <c r="R245" i="82"/>
  <c r="Q245" i="82"/>
  <c r="P245" i="82"/>
  <c r="L245" i="82"/>
  <c r="K245" i="82"/>
  <c r="J245" i="82"/>
  <c r="G245" i="82"/>
  <c r="C245" i="82"/>
  <c r="A245" i="82"/>
  <c r="S244" i="82"/>
  <c r="R244" i="82"/>
  <c r="Q244" i="82"/>
  <c r="P244" i="82"/>
  <c r="L244" i="82"/>
  <c r="K244" i="82"/>
  <c r="J244" i="82"/>
  <c r="G244" i="82"/>
  <c r="C244" i="82"/>
  <c r="A244" i="82"/>
  <c r="S243" i="82"/>
  <c r="R243" i="82"/>
  <c r="Q243" i="82"/>
  <c r="P243" i="82"/>
  <c r="L243" i="82"/>
  <c r="K243" i="82"/>
  <c r="J243" i="82"/>
  <c r="G243" i="82"/>
  <c r="C243" i="82"/>
  <c r="A243" i="82"/>
  <c r="S242" i="82"/>
  <c r="R242" i="82"/>
  <c r="Q242" i="82"/>
  <c r="P242" i="82"/>
  <c r="L242" i="82"/>
  <c r="K242" i="82"/>
  <c r="J242" i="82"/>
  <c r="G242" i="82"/>
  <c r="C242" i="82"/>
  <c r="A242" i="82"/>
  <c r="S241" i="82"/>
  <c r="R241" i="82"/>
  <c r="Q241" i="82"/>
  <c r="P241" i="82"/>
  <c r="L241" i="82"/>
  <c r="K241" i="82"/>
  <c r="J241" i="82"/>
  <c r="G241" i="82"/>
  <c r="C241" i="82"/>
  <c r="A241" i="82"/>
  <c r="S240" i="82"/>
  <c r="R240" i="82"/>
  <c r="Q240" i="82"/>
  <c r="P240" i="82"/>
  <c r="L240" i="82"/>
  <c r="K240" i="82"/>
  <c r="J240" i="82"/>
  <c r="G240" i="82"/>
  <c r="C240" i="82"/>
  <c r="A240" i="82"/>
  <c r="S239" i="82"/>
  <c r="R239" i="82"/>
  <c r="Q239" i="82"/>
  <c r="P239" i="82"/>
  <c r="L239" i="82"/>
  <c r="K239" i="82"/>
  <c r="J239" i="82"/>
  <c r="G239" i="82"/>
  <c r="C239" i="82"/>
  <c r="A239" i="82"/>
  <c r="S238" i="82"/>
  <c r="R238" i="82"/>
  <c r="Q238" i="82"/>
  <c r="P238" i="82"/>
  <c r="L238" i="82"/>
  <c r="K238" i="82"/>
  <c r="J238" i="82"/>
  <c r="G238" i="82"/>
  <c r="C238" i="82"/>
  <c r="A238" i="82"/>
  <c r="S237" i="82"/>
  <c r="R237" i="82"/>
  <c r="Q237" i="82"/>
  <c r="P237" i="82"/>
  <c r="L237" i="82"/>
  <c r="K237" i="82"/>
  <c r="J237" i="82"/>
  <c r="G237" i="82"/>
  <c r="C237" i="82"/>
  <c r="A237" i="82"/>
  <c r="S236" i="82"/>
  <c r="R236" i="82"/>
  <c r="Q236" i="82"/>
  <c r="P236" i="82"/>
  <c r="L236" i="82"/>
  <c r="K236" i="82"/>
  <c r="J236" i="82"/>
  <c r="G236" i="82"/>
  <c r="C236" i="82"/>
  <c r="A236" i="82"/>
  <c r="S235" i="82"/>
  <c r="R235" i="82"/>
  <c r="Q235" i="82"/>
  <c r="P235" i="82"/>
  <c r="L235" i="82"/>
  <c r="K235" i="82"/>
  <c r="J235" i="82"/>
  <c r="G235" i="82"/>
  <c r="C235" i="82"/>
  <c r="A235" i="82"/>
  <c r="S234" i="82"/>
  <c r="R234" i="82"/>
  <c r="Q234" i="82"/>
  <c r="P234" i="82"/>
  <c r="L234" i="82"/>
  <c r="K234" i="82"/>
  <c r="J234" i="82"/>
  <c r="G234" i="82"/>
  <c r="C234" i="82"/>
  <c r="A234" i="82"/>
  <c r="S233" i="82"/>
  <c r="R233" i="82"/>
  <c r="Q233" i="82"/>
  <c r="P233" i="82"/>
  <c r="L233" i="82"/>
  <c r="K233" i="82"/>
  <c r="J233" i="82"/>
  <c r="G233" i="82"/>
  <c r="C233" i="82"/>
  <c r="A233" i="82"/>
  <c r="S232" i="82"/>
  <c r="R232" i="82"/>
  <c r="Q232" i="82"/>
  <c r="P232" i="82"/>
  <c r="L232" i="82"/>
  <c r="K232" i="82"/>
  <c r="J232" i="82"/>
  <c r="G232" i="82"/>
  <c r="C232" i="82"/>
  <c r="A232" i="82"/>
  <c r="S231" i="82"/>
  <c r="R231" i="82"/>
  <c r="Q231" i="82"/>
  <c r="P231" i="82"/>
  <c r="L231" i="82"/>
  <c r="K231" i="82"/>
  <c r="J231" i="82"/>
  <c r="G231" i="82"/>
  <c r="C231" i="82"/>
  <c r="A231" i="82"/>
  <c r="S230" i="82"/>
  <c r="R230" i="82"/>
  <c r="Q230" i="82"/>
  <c r="P230" i="82"/>
  <c r="L230" i="82"/>
  <c r="K230" i="82"/>
  <c r="J230" i="82"/>
  <c r="G230" i="82"/>
  <c r="C230" i="82"/>
  <c r="A230" i="82"/>
  <c r="S229" i="82"/>
  <c r="R229" i="82"/>
  <c r="Q229" i="82"/>
  <c r="P229" i="82"/>
  <c r="L229" i="82"/>
  <c r="K229" i="82"/>
  <c r="J229" i="82"/>
  <c r="G229" i="82"/>
  <c r="C229" i="82"/>
  <c r="A229" i="82"/>
  <c r="S228" i="82"/>
  <c r="R228" i="82"/>
  <c r="Q228" i="82"/>
  <c r="P228" i="82"/>
  <c r="L228" i="82"/>
  <c r="K228" i="82"/>
  <c r="J228" i="82"/>
  <c r="G228" i="82"/>
  <c r="C228" i="82"/>
  <c r="A228" i="82"/>
  <c r="S227" i="82"/>
  <c r="R227" i="82"/>
  <c r="Q227" i="82"/>
  <c r="P227" i="82"/>
  <c r="L227" i="82"/>
  <c r="K227" i="82"/>
  <c r="J227" i="82"/>
  <c r="G227" i="82"/>
  <c r="C227" i="82"/>
  <c r="A227" i="82"/>
  <c r="S226" i="82"/>
  <c r="R226" i="82"/>
  <c r="Q226" i="82"/>
  <c r="P226" i="82"/>
  <c r="L226" i="82"/>
  <c r="K226" i="82"/>
  <c r="J226" i="82"/>
  <c r="G226" i="82"/>
  <c r="C226" i="82"/>
  <c r="A226" i="82"/>
  <c r="S225" i="82"/>
  <c r="R225" i="82"/>
  <c r="Q225" i="82"/>
  <c r="P225" i="82"/>
  <c r="L225" i="82"/>
  <c r="K225" i="82"/>
  <c r="J225" i="82"/>
  <c r="G225" i="82"/>
  <c r="C225" i="82"/>
  <c r="A225" i="82"/>
  <c r="S224" i="82"/>
  <c r="R224" i="82"/>
  <c r="Q224" i="82"/>
  <c r="P224" i="82"/>
  <c r="L224" i="82"/>
  <c r="K224" i="82"/>
  <c r="J224" i="82"/>
  <c r="G224" i="82"/>
  <c r="C224" i="82"/>
  <c r="A224" i="82"/>
  <c r="S223" i="82"/>
  <c r="R223" i="82"/>
  <c r="Q223" i="82"/>
  <c r="P223" i="82"/>
  <c r="L223" i="82"/>
  <c r="K223" i="82"/>
  <c r="J223" i="82"/>
  <c r="G223" i="82"/>
  <c r="C223" i="82"/>
  <c r="A223" i="82"/>
  <c r="S222" i="82"/>
  <c r="R222" i="82"/>
  <c r="Q222" i="82"/>
  <c r="P222" i="82"/>
  <c r="L222" i="82"/>
  <c r="K222" i="82"/>
  <c r="J222" i="82"/>
  <c r="G222" i="82"/>
  <c r="C222" i="82"/>
  <c r="A222" i="82"/>
  <c r="S221" i="82"/>
  <c r="R221" i="82"/>
  <c r="Q221" i="82"/>
  <c r="P221" i="82"/>
  <c r="L221" i="82"/>
  <c r="K221" i="82"/>
  <c r="J221" i="82"/>
  <c r="G221" i="82"/>
  <c r="C221" i="82"/>
  <c r="A221" i="82"/>
  <c r="S220" i="82"/>
  <c r="R220" i="82"/>
  <c r="Q220" i="82"/>
  <c r="P220" i="82"/>
  <c r="L220" i="82"/>
  <c r="K220" i="82"/>
  <c r="J220" i="82"/>
  <c r="G220" i="82"/>
  <c r="C220" i="82"/>
  <c r="A220" i="82"/>
  <c r="S219" i="82"/>
  <c r="R219" i="82"/>
  <c r="Q219" i="82"/>
  <c r="P219" i="82"/>
  <c r="L219" i="82"/>
  <c r="K219" i="82"/>
  <c r="J219" i="82"/>
  <c r="G219" i="82"/>
  <c r="C219" i="82"/>
  <c r="A219" i="82"/>
  <c r="S218" i="82"/>
  <c r="R218" i="82"/>
  <c r="Q218" i="82"/>
  <c r="P218" i="82"/>
  <c r="L218" i="82"/>
  <c r="K218" i="82"/>
  <c r="J218" i="82"/>
  <c r="G218" i="82"/>
  <c r="C218" i="82"/>
  <c r="A218" i="82"/>
  <c r="S217" i="82"/>
  <c r="R217" i="82"/>
  <c r="Q217" i="82"/>
  <c r="P217" i="82"/>
  <c r="L217" i="82"/>
  <c r="K217" i="82"/>
  <c r="J217" i="82"/>
  <c r="G217" i="82"/>
  <c r="C217" i="82"/>
  <c r="A217" i="82"/>
  <c r="S216" i="82"/>
  <c r="R216" i="82"/>
  <c r="Q216" i="82"/>
  <c r="P216" i="82"/>
  <c r="L216" i="82"/>
  <c r="K216" i="82"/>
  <c r="J216" i="82"/>
  <c r="G216" i="82"/>
  <c r="C216" i="82"/>
  <c r="A216" i="82"/>
  <c r="S215" i="82"/>
  <c r="R215" i="82"/>
  <c r="Q215" i="82"/>
  <c r="P215" i="82"/>
  <c r="L215" i="82"/>
  <c r="K215" i="82"/>
  <c r="J215" i="82"/>
  <c r="G215" i="82"/>
  <c r="C215" i="82"/>
  <c r="A215" i="82"/>
  <c r="S214" i="82"/>
  <c r="R214" i="82"/>
  <c r="Q214" i="82"/>
  <c r="P214" i="82"/>
  <c r="L214" i="82"/>
  <c r="K214" i="82"/>
  <c r="J214" i="82"/>
  <c r="G214" i="82"/>
  <c r="C214" i="82"/>
  <c r="A214" i="82"/>
  <c r="S213" i="82"/>
  <c r="R213" i="82"/>
  <c r="Q213" i="82"/>
  <c r="P213" i="82"/>
  <c r="L213" i="82"/>
  <c r="K213" i="82"/>
  <c r="J213" i="82"/>
  <c r="G213" i="82"/>
  <c r="C213" i="82"/>
  <c r="A213" i="82"/>
  <c r="S212" i="82"/>
  <c r="R212" i="82"/>
  <c r="Q212" i="82"/>
  <c r="P212" i="82"/>
  <c r="L212" i="82"/>
  <c r="K212" i="82"/>
  <c r="J212" i="82"/>
  <c r="G212" i="82"/>
  <c r="C212" i="82"/>
  <c r="A212" i="82"/>
  <c r="S211" i="82"/>
  <c r="R211" i="82"/>
  <c r="Q211" i="82"/>
  <c r="P211" i="82"/>
  <c r="L211" i="82"/>
  <c r="K211" i="82"/>
  <c r="J211" i="82"/>
  <c r="G211" i="82"/>
  <c r="C211" i="82"/>
  <c r="A211" i="82"/>
  <c r="S210" i="82"/>
  <c r="R210" i="82"/>
  <c r="Q210" i="82"/>
  <c r="P210" i="82"/>
  <c r="L210" i="82"/>
  <c r="K210" i="82"/>
  <c r="J210" i="82"/>
  <c r="G210" i="82"/>
  <c r="C210" i="82"/>
  <c r="A210" i="82"/>
  <c r="S209" i="82"/>
  <c r="R209" i="82"/>
  <c r="Q209" i="82"/>
  <c r="P209" i="82"/>
  <c r="L209" i="82"/>
  <c r="K209" i="82"/>
  <c r="J209" i="82"/>
  <c r="G209" i="82"/>
  <c r="C209" i="82"/>
  <c r="A209" i="82"/>
  <c r="S208" i="82"/>
  <c r="R208" i="82"/>
  <c r="Q208" i="82"/>
  <c r="P208" i="82"/>
  <c r="L208" i="82"/>
  <c r="K208" i="82"/>
  <c r="J208" i="82"/>
  <c r="G208" i="82"/>
  <c r="C208" i="82"/>
  <c r="A208" i="82"/>
  <c r="S207" i="82"/>
  <c r="R207" i="82"/>
  <c r="Q207" i="82"/>
  <c r="P207" i="82"/>
  <c r="L207" i="82"/>
  <c r="K207" i="82"/>
  <c r="J207" i="82"/>
  <c r="G207" i="82"/>
  <c r="C207" i="82"/>
  <c r="A207" i="82"/>
  <c r="S206" i="82"/>
  <c r="R206" i="82"/>
  <c r="Q206" i="82"/>
  <c r="P206" i="82"/>
  <c r="L206" i="82"/>
  <c r="K206" i="82"/>
  <c r="J206" i="82"/>
  <c r="G206" i="82"/>
  <c r="C206" i="82"/>
  <c r="A206" i="82"/>
  <c r="S205" i="82"/>
  <c r="R205" i="82"/>
  <c r="Q205" i="82"/>
  <c r="P205" i="82"/>
  <c r="L205" i="82"/>
  <c r="K205" i="82"/>
  <c r="J205" i="82"/>
  <c r="G205" i="82"/>
  <c r="C205" i="82"/>
  <c r="A205" i="82"/>
  <c r="S204" i="82"/>
  <c r="R204" i="82"/>
  <c r="Q204" i="82"/>
  <c r="P204" i="82"/>
  <c r="L204" i="82"/>
  <c r="K204" i="82"/>
  <c r="J204" i="82"/>
  <c r="G204" i="82"/>
  <c r="C204" i="82"/>
  <c r="A204" i="82"/>
  <c r="S203" i="82"/>
  <c r="R203" i="82"/>
  <c r="Q203" i="82"/>
  <c r="P203" i="82"/>
  <c r="L203" i="82"/>
  <c r="K203" i="82"/>
  <c r="J203" i="82"/>
  <c r="G203" i="82"/>
  <c r="C203" i="82"/>
  <c r="A203" i="82"/>
  <c r="S202" i="82"/>
  <c r="R202" i="82"/>
  <c r="Q202" i="82"/>
  <c r="P202" i="82"/>
  <c r="L202" i="82"/>
  <c r="K202" i="82"/>
  <c r="J202" i="82"/>
  <c r="G202" i="82"/>
  <c r="C202" i="82"/>
  <c r="A202" i="82"/>
  <c r="S201" i="82"/>
  <c r="R201" i="82"/>
  <c r="Q201" i="82"/>
  <c r="P201" i="82"/>
  <c r="L201" i="82"/>
  <c r="K201" i="82"/>
  <c r="J201" i="82"/>
  <c r="G201" i="82"/>
  <c r="C201" i="82"/>
  <c r="A201" i="82"/>
  <c r="S200" i="82"/>
  <c r="R200" i="82"/>
  <c r="Q200" i="82"/>
  <c r="P200" i="82"/>
  <c r="L200" i="82"/>
  <c r="K200" i="82"/>
  <c r="J200" i="82"/>
  <c r="G200" i="82"/>
  <c r="C200" i="82"/>
  <c r="A200" i="82"/>
  <c r="S199" i="82"/>
  <c r="R199" i="82"/>
  <c r="Q199" i="82"/>
  <c r="P199" i="82"/>
  <c r="L199" i="82"/>
  <c r="K199" i="82"/>
  <c r="J199" i="82"/>
  <c r="G199" i="82"/>
  <c r="C199" i="82"/>
  <c r="A199" i="82"/>
  <c r="S198" i="82"/>
  <c r="R198" i="82"/>
  <c r="Q198" i="82"/>
  <c r="P198" i="82"/>
  <c r="L198" i="82"/>
  <c r="K198" i="82"/>
  <c r="J198" i="82"/>
  <c r="G198" i="82"/>
  <c r="C198" i="82"/>
  <c r="A198" i="82"/>
  <c r="S197" i="82"/>
  <c r="R197" i="82"/>
  <c r="Q197" i="82"/>
  <c r="P197" i="82"/>
  <c r="L197" i="82"/>
  <c r="K197" i="82"/>
  <c r="J197" i="82"/>
  <c r="G197" i="82"/>
  <c r="C197" i="82"/>
  <c r="A197" i="82"/>
  <c r="S196" i="82"/>
  <c r="R196" i="82"/>
  <c r="Q196" i="82"/>
  <c r="P196" i="82"/>
  <c r="L196" i="82"/>
  <c r="K196" i="82"/>
  <c r="J196" i="82"/>
  <c r="G196" i="82"/>
  <c r="C196" i="82"/>
  <c r="A196" i="82"/>
  <c r="S195" i="82"/>
  <c r="R195" i="82"/>
  <c r="Q195" i="82"/>
  <c r="P195" i="82"/>
  <c r="L195" i="82"/>
  <c r="K195" i="82"/>
  <c r="J195" i="82"/>
  <c r="G195" i="82"/>
  <c r="C195" i="82"/>
  <c r="A195" i="82"/>
  <c r="S194" i="82"/>
  <c r="R194" i="82"/>
  <c r="Q194" i="82"/>
  <c r="P194" i="82"/>
  <c r="L194" i="82"/>
  <c r="K194" i="82"/>
  <c r="J194" i="82"/>
  <c r="G194" i="82"/>
  <c r="C194" i="82"/>
  <c r="A194" i="82"/>
  <c r="S193" i="82"/>
  <c r="R193" i="82"/>
  <c r="Q193" i="82"/>
  <c r="P193" i="82"/>
  <c r="L193" i="82"/>
  <c r="K193" i="82"/>
  <c r="J193" i="82"/>
  <c r="G193" i="82"/>
  <c r="C193" i="82"/>
  <c r="A193" i="82"/>
  <c r="S192" i="82"/>
  <c r="R192" i="82"/>
  <c r="Q192" i="82"/>
  <c r="P192" i="82"/>
  <c r="L192" i="82"/>
  <c r="K192" i="82"/>
  <c r="J192" i="82"/>
  <c r="G192" i="82"/>
  <c r="C192" i="82"/>
  <c r="A192" i="82"/>
  <c r="S191" i="82"/>
  <c r="R191" i="82"/>
  <c r="Q191" i="82"/>
  <c r="P191" i="82"/>
  <c r="L191" i="82"/>
  <c r="K191" i="82"/>
  <c r="J191" i="82"/>
  <c r="G191" i="82"/>
  <c r="C191" i="82"/>
  <c r="A191" i="82"/>
  <c r="S190" i="82"/>
  <c r="R190" i="82"/>
  <c r="Q190" i="82"/>
  <c r="P190" i="82"/>
  <c r="L190" i="82"/>
  <c r="K190" i="82"/>
  <c r="J190" i="82"/>
  <c r="G190" i="82"/>
  <c r="C190" i="82"/>
  <c r="A190" i="82"/>
  <c r="S189" i="82"/>
  <c r="R189" i="82"/>
  <c r="Q189" i="82"/>
  <c r="P189" i="82"/>
  <c r="L189" i="82"/>
  <c r="K189" i="82"/>
  <c r="J189" i="82"/>
  <c r="G189" i="82"/>
  <c r="C189" i="82"/>
  <c r="A189" i="82"/>
  <c r="S188" i="82"/>
  <c r="R188" i="82"/>
  <c r="Q188" i="82"/>
  <c r="P188" i="82"/>
  <c r="L188" i="82"/>
  <c r="K188" i="82"/>
  <c r="J188" i="82"/>
  <c r="G188" i="82"/>
  <c r="C188" i="82"/>
  <c r="A188" i="82"/>
  <c r="S187" i="82"/>
  <c r="R187" i="82"/>
  <c r="Q187" i="82"/>
  <c r="P187" i="82"/>
  <c r="L187" i="82"/>
  <c r="K187" i="82"/>
  <c r="J187" i="82"/>
  <c r="G187" i="82"/>
  <c r="C187" i="82"/>
  <c r="A187" i="82"/>
  <c r="S186" i="82"/>
  <c r="R186" i="82"/>
  <c r="Q186" i="82"/>
  <c r="P186" i="82"/>
  <c r="L186" i="82"/>
  <c r="K186" i="82"/>
  <c r="J186" i="82"/>
  <c r="G186" i="82"/>
  <c r="C186" i="82"/>
  <c r="A186" i="82"/>
  <c r="S185" i="82"/>
  <c r="R185" i="82"/>
  <c r="Q185" i="82"/>
  <c r="P185" i="82"/>
  <c r="L185" i="82"/>
  <c r="K185" i="82"/>
  <c r="J185" i="82"/>
  <c r="G185" i="82"/>
  <c r="C185" i="82"/>
  <c r="A185" i="82"/>
  <c r="S184" i="82"/>
  <c r="R184" i="82"/>
  <c r="Q184" i="82"/>
  <c r="P184" i="82"/>
  <c r="L184" i="82"/>
  <c r="K184" i="82"/>
  <c r="J184" i="82"/>
  <c r="G184" i="82"/>
  <c r="C184" i="82"/>
  <c r="A184" i="82"/>
  <c r="S183" i="82"/>
  <c r="R183" i="82"/>
  <c r="Q183" i="82"/>
  <c r="P183" i="82"/>
  <c r="L183" i="82"/>
  <c r="K183" i="82"/>
  <c r="J183" i="82"/>
  <c r="G183" i="82"/>
  <c r="C183" i="82"/>
  <c r="A183" i="82"/>
  <c r="S182" i="82"/>
  <c r="R182" i="82"/>
  <c r="Q182" i="82"/>
  <c r="P182" i="82"/>
  <c r="L182" i="82"/>
  <c r="K182" i="82"/>
  <c r="J182" i="82"/>
  <c r="G182" i="82"/>
  <c r="C182" i="82"/>
  <c r="A182" i="82"/>
  <c r="S181" i="82"/>
  <c r="R181" i="82"/>
  <c r="Q181" i="82"/>
  <c r="P181" i="82"/>
  <c r="L181" i="82"/>
  <c r="K181" i="82"/>
  <c r="J181" i="82"/>
  <c r="G181" i="82"/>
  <c r="C181" i="82"/>
  <c r="A181" i="82"/>
  <c r="S180" i="82"/>
  <c r="R180" i="82"/>
  <c r="Q180" i="82"/>
  <c r="P180" i="82"/>
  <c r="L180" i="82"/>
  <c r="K180" i="82"/>
  <c r="J180" i="82"/>
  <c r="G180" i="82"/>
  <c r="C180" i="82"/>
  <c r="A180" i="82"/>
  <c r="S179" i="82"/>
  <c r="R179" i="82"/>
  <c r="Q179" i="82"/>
  <c r="P179" i="82"/>
  <c r="L179" i="82"/>
  <c r="K179" i="82"/>
  <c r="J179" i="82"/>
  <c r="G179" i="82"/>
  <c r="C179" i="82"/>
  <c r="A179" i="82"/>
  <c r="S178" i="82"/>
  <c r="R178" i="82"/>
  <c r="Q178" i="82"/>
  <c r="P178" i="82"/>
  <c r="L178" i="82"/>
  <c r="K178" i="82"/>
  <c r="J178" i="82"/>
  <c r="G178" i="82"/>
  <c r="C178" i="82"/>
  <c r="A178" i="82"/>
  <c r="S177" i="82"/>
  <c r="R177" i="82"/>
  <c r="Q177" i="82"/>
  <c r="P177" i="82"/>
  <c r="L177" i="82"/>
  <c r="K177" i="82"/>
  <c r="J177" i="82"/>
  <c r="G177" i="82"/>
  <c r="C177" i="82"/>
  <c r="A177" i="82"/>
  <c r="S176" i="82"/>
  <c r="R176" i="82"/>
  <c r="Q176" i="82"/>
  <c r="P176" i="82"/>
  <c r="L176" i="82"/>
  <c r="K176" i="82"/>
  <c r="J176" i="82"/>
  <c r="G176" i="82"/>
  <c r="C176" i="82"/>
  <c r="A176" i="82"/>
  <c r="S175" i="82"/>
  <c r="R175" i="82"/>
  <c r="Q175" i="82"/>
  <c r="P175" i="82"/>
  <c r="L175" i="82"/>
  <c r="K175" i="82"/>
  <c r="J175" i="82"/>
  <c r="G175" i="82"/>
  <c r="C175" i="82"/>
  <c r="A175" i="82"/>
  <c r="S174" i="82"/>
  <c r="R174" i="82"/>
  <c r="Q174" i="82"/>
  <c r="P174" i="82"/>
  <c r="L174" i="82"/>
  <c r="K174" i="82"/>
  <c r="J174" i="82"/>
  <c r="G174" i="82"/>
  <c r="C174" i="82"/>
  <c r="A174" i="82"/>
  <c r="A7" i="105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D7" i="105"/>
  <c r="A10" i="105"/>
  <c r="S157" i="82"/>
  <c r="R157" i="82"/>
  <c r="Q157" i="82"/>
  <c r="P157" i="82"/>
  <c r="L157" i="82"/>
  <c r="K157" i="82"/>
  <c r="G157" i="82"/>
  <c r="C157" i="82"/>
  <c r="A157" i="82"/>
  <c r="S156" i="82"/>
  <c r="R156" i="82"/>
  <c r="Q156" i="82"/>
  <c r="P156" i="82"/>
  <c r="L156" i="82"/>
  <c r="K156" i="82"/>
  <c r="G156" i="82"/>
  <c r="C156" i="82"/>
  <c r="A156" i="82"/>
  <c r="S155" i="82"/>
  <c r="R155" i="82"/>
  <c r="Q155" i="82"/>
  <c r="P155" i="82"/>
  <c r="L155" i="82"/>
  <c r="K155" i="82"/>
  <c r="G155" i="82"/>
  <c r="C155" i="82"/>
  <c r="A155" i="82"/>
  <c r="S154" i="82"/>
  <c r="R154" i="82"/>
  <c r="Q154" i="82"/>
  <c r="P154" i="82"/>
  <c r="L154" i="82"/>
  <c r="K154" i="82"/>
  <c r="G154" i="82"/>
  <c r="C154" i="82"/>
  <c r="A154" i="82"/>
  <c r="S153" i="82"/>
  <c r="R153" i="82"/>
  <c r="Q153" i="82"/>
  <c r="P153" i="82"/>
  <c r="L153" i="82"/>
  <c r="K153" i="82"/>
  <c r="G153" i="82"/>
  <c r="C153" i="82"/>
  <c r="A153" i="82"/>
  <c r="S152" i="82"/>
  <c r="R152" i="82"/>
  <c r="Q152" i="82"/>
  <c r="P152" i="82"/>
  <c r="L152" i="82"/>
  <c r="K152" i="82"/>
  <c r="G152" i="82"/>
  <c r="C152" i="82"/>
  <c r="A152" i="82"/>
  <c r="S151" i="82"/>
  <c r="R151" i="82"/>
  <c r="Q151" i="82"/>
  <c r="P151" i="82"/>
  <c r="L151" i="82"/>
  <c r="K151" i="82"/>
  <c r="G151" i="82"/>
  <c r="C151" i="82"/>
  <c r="A151" i="82"/>
  <c r="S150" i="82"/>
  <c r="R150" i="82"/>
  <c r="Q150" i="82"/>
  <c r="P150" i="82"/>
  <c r="L150" i="82"/>
  <c r="K150" i="82"/>
  <c r="G150" i="82"/>
  <c r="C150" i="82"/>
  <c r="A150" i="82"/>
  <c r="G148" i="82"/>
  <c r="A142" i="82"/>
  <c r="C142" i="82"/>
  <c r="G142" i="82"/>
  <c r="K142" i="82"/>
  <c r="L142" i="82"/>
  <c r="P142" i="82"/>
  <c r="Q142" i="82"/>
  <c r="R142" i="82"/>
  <c r="S142" i="82"/>
  <c r="A143" i="82"/>
  <c r="C143" i="82"/>
  <c r="G143" i="82"/>
  <c r="K143" i="82"/>
  <c r="L143" i="82"/>
  <c r="P143" i="82"/>
  <c r="Q143" i="82"/>
  <c r="R143" i="82"/>
  <c r="S143" i="82"/>
  <c r="A144" i="82"/>
  <c r="C144" i="82"/>
  <c r="G144" i="82"/>
  <c r="K144" i="82"/>
  <c r="L144" i="82"/>
  <c r="P144" i="82"/>
  <c r="Q144" i="82"/>
  <c r="R144" i="82"/>
  <c r="S144" i="82"/>
  <c r="A145" i="82"/>
  <c r="C145" i="82"/>
  <c r="G145" i="82"/>
  <c r="K145" i="82"/>
  <c r="L145" i="82"/>
  <c r="P145" i="82"/>
  <c r="Q145" i="82"/>
  <c r="R145" i="82"/>
  <c r="S145" i="82"/>
  <c r="A146" i="82"/>
  <c r="C146" i="82"/>
  <c r="G146" i="82"/>
  <c r="K146" i="82"/>
  <c r="L146" i="82"/>
  <c r="P146" i="82"/>
  <c r="Q146" i="82"/>
  <c r="R146" i="82"/>
  <c r="S146" i="82"/>
  <c r="A147" i="82"/>
  <c r="C147" i="82"/>
  <c r="G147" i="82"/>
  <c r="K147" i="82"/>
  <c r="L147" i="82"/>
  <c r="P147" i="82"/>
  <c r="Q147" i="82"/>
  <c r="R147" i="82"/>
  <c r="S147" i="82"/>
  <c r="A148" i="82"/>
  <c r="C148" i="82"/>
  <c r="K148" i="82"/>
  <c r="L148" i="82"/>
  <c r="P148" i="82"/>
  <c r="Q148" i="82"/>
  <c r="R148" i="82"/>
  <c r="S148" i="82"/>
  <c r="A149" i="82"/>
  <c r="C149" i="82"/>
  <c r="G149" i="82"/>
  <c r="K149" i="82"/>
  <c r="L149" i="82"/>
  <c r="P149" i="82"/>
  <c r="Q149" i="82"/>
  <c r="R149" i="82"/>
  <c r="S149" i="82"/>
  <c r="P2" i="82"/>
  <c r="Q2" i="82"/>
  <c r="R2" i="82"/>
  <c r="S2" i="82"/>
  <c r="P3" i="82"/>
  <c r="Q3" i="82"/>
  <c r="R3" i="82"/>
  <c r="S3" i="82"/>
  <c r="P4" i="82"/>
  <c r="Q4" i="82"/>
  <c r="R4" i="82"/>
  <c r="S4" i="82"/>
  <c r="P5" i="82"/>
  <c r="Q5" i="82"/>
  <c r="R5" i="82"/>
  <c r="S5" i="82"/>
  <c r="P6" i="82"/>
  <c r="Q6" i="82"/>
  <c r="R6" i="82"/>
  <c r="S6" i="82"/>
  <c r="P7" i="82"/>
  <c r="Q7" i="82"/>
  <c r="R7" i="82"/>
  <c r="S7" i="82"/>
  <c r="P8" i="82"/>
  <c r="Q8" i="82"/>
  <c r="R8" i="82"/>
  <c r="S8" i="82"/>
  <c r="P9" i="82"/>
  <c r="Q9" i="82"/>
  <c r="R9" i="82"/>
  <c r="S9" i="82"/>
  <c r="P10" i="82"/>
  <c r="Q10" i="82"/>
  <c r="R10" i="82"/>
  <c r="S10" i="82"/>
  <c r="P11" i="82"/>
  <c r="Q11" i="82"/>
  <c r="R11" i="82"/>
  <c r="S11" i="82"/>
  <c r="P12" i="82"/>
  <c r="Q12" i="82"/>
  <c r="R12" i="82"/>
  <c r="S12" i="82"/>
  <c r="P13" i="82"/>
  <c r="Q13" i="82"/>
  <c r="R13" i="82"/>
  <c r="S13" i="82"/>
  <c r="P14" i="82"/>
  <c r="Q14" i="82"/>
  <c r="R14" i="82"/>
  <c r="S14" i="82"/>
  <c r="P15" i="82"/>
  <c r="Q15" i="82"/>
  <c r="R15" i="82"/>
  <c r="S15" i="82"/>
  <c r="P16" i="82"/>
  <c r="Q16" i="82"/>
  <c r="R16" i="82"/>
  <c r="S16" i="82"/>
  <c r="P17" i="82"/>
  <c r="Q17" i="82"/>
  <c r="R17" i="82"/>
  <c r="S17" i="82"/>
  <c r="P18" i="82"/>
  <c r="Q18" i="82"/>
  <c r="R18" i="82"/>
  <c r="S18" i="82"/>
  <c r="P19" i="82"/>
  <c r="Q19" i="82"/>
  <c r="R19" i="82"/>
  <c r="S19" i="82"/>
  <c r="P20" i="82"/>
  <c r="Q20" i="82"/>
  <c r="R20" i="82"/>
  <c r="S20" i="82"/>
  <c r="P21" i="82"/>
  <c r="Q21" i="82"/>
  <c r="R21" i="82"/>
  <c r="S21" i="82"/>
  <c r="P22" i="82"/>
  <c r="Q22" i="82"/>
  <c r="R22" i="82"/>
  <c r="S22" i="82"/>
  <c r="P23" i="82"/>
  <c r="Q23" i="82"/>
  <c r="R23" i="82"/>
  <c r="S23" i="82"/>
  <c r="P24" i="82"/>
  <c r="Q24" i="82"/>
  <c r="R24" i="82"/>
  <c r="S24" i="82"/>
  <c r="P25" i="82"/>
  <c r="Q25" i="82"/>
  <c r="R25" i="82"/>
  <c r="S25" i="82"/>
  <c r="P26" i="82"/>
  <c r="Q26" i="82"/>
  <c r="R26" i="82"/>
  <c r="S26" i="82"/>
  <c r="P27" i="82"/>
  <c r="Q27" i="82"/>
  <c r="R27" i="82"/>
  <c r="S27" i="82"/>
  <c r="P28" i="82"/>
  <c r="Q28" i="82"/>
  <c r="R28" i="82"/>
  <c r="S28" i="82"/>
  <c r="P29" i="82"/>
  <c r="Q29" i="82"/>
  <c r="R29" i="82"/>
  <c r="S29" i="82"/>
  <c r="P30" i="82"/>
  <c r="Q30" i="82"/>
  <c r="R30" i="82"/>
  <c r="S30" i="82"/>
  <c r="P31" i="82"/>
  <c r="Q31" i="82"/>
  <c r="R31" i="82"/>
  <c r="S31" i="82"/>
  <c r="P32" i="82"/>
  <c r="Q32" i="82"/>
  <c r="R32" i="82"/>
  <c r="S32" i="82"/>
  <c r="P33" i="82"/>
  <c r="Q33" i="82"/>
  <c r="R33" i="82"/>
  <c r="S33" i="82"/>
  <c r="P34" i="82"/>
  <c r="Q34" i="82"/>
  <c r="R34" i="82"/>
  <c r="S34" i="82"/>
  <c r="P35" i="82"/>
  <c r="Q35" i="82"/>
  <c r="R35" i="82"/>
  <c r="S35" i="82"/>
  <c r="P36" i="82"/>
  <c r="Q36" i="82"/>
  <c r="R36" i="82"/>
  <c r="S36" i="82"/>
  <c r="P37" i="82"/>
  <c r="Q37" i="82"/>
  <c r="R37" i="82"/>
  <c r="S37" i="82"/>
  <c r="P38" i="82"/>
  <c r="Q38" i="82"/>
  <c r="R38" i="82"/>
  <c r="S38" i="82"/>
  <c r="P39" i="82"/>
  <c r="Q39" i="82"/>
  <c r="R39" i="82"/>
  <c r="S39" i="82"/>
  <c r="P40" i="82"/>
  <c r="Q40" i="82"/>
  <c r="R40" i="82"/>
  <c r="S40" i="82"/>
  <c r="P41" i="82"/>
  <c r="Q41" i="82"/>
  <c r="R41" i="82"/>
  <c r="S41" i="82"/>
  <c r="P42" i="82"/>
  <c r="Q42" i="82"/>
  <c r="R42" i="82"/>
  <c r="S42" i="82"/>
  <c r="P43" i="82"/>
  <c r="Q43" i="82"/>
  <c r="R43" i="82"/>
  <c r="S43" i="82"/>
  <c r="P44" i="82"/>
  <c r="Q44" i="82"/>
  <c r="R44" i="82"/>
  <c r="S44" i="82"/>
  <c r="P45" i="82"/>
  <c r="Q45" i="82"/>
  <c r="R45" i="82"/>
  <c r="S45" i="82"/>
  <c r="P46" i="82"/>
  <c r="Q46" i="82"/>
  <c r="R46" i="82"/>
  <c r="S46" i="82"/>
  <c r="P47" i="82"/>
  <c r="Q47" i="82"/>
  <c r="R47" i="82"/>
  <c r="S47" i="82"/>
  <c r="P48" i="82"/>
  <c r="Q48" i="82"/>
  <c r="R48" i="82"/>
  <c r="S48" i="82"/>
  <c r="P49" i="82"/>
  <c r="Q49" i="82"/>
  <c r="R49" i="82"/>
  <c r="S49" i="82"/>
  <c r="P50" i="82"/>
  <c r="Q50" i="82"/>
  <c r="R50" i="82"/>
  <c r="S50" i="82"/>
  <c r="P51" i="82"/>
  <c r="Q51" i="82"/>
  <c r="R51" i="82"/>
  <c r="S51" i="82"/>
  <c r="P52" i="82"/>
  <c r="Q52" i="82"/>
  <c r="R52" i="82"/>
  <c r="S52" i="82"/>
  <c r="P53" i="82"/>
  <c r="Q53" i="82"/>
  <c r="R53" i="82"/>
  <c r="S53" i="82"/>
  <c r="P54" i="82"/>
  <c r="Q54" i="82"/>
  <c r="R54" i="82"/>
  <c r="S54" i="82"/>
  <c r="P55" i="82"/>
  <c r="Q55" i="82"/>
  <c r="R55" i="82"/>
  <c r="S55" i="82"/>
  <c r="P56" i="82"/>
  <c r="Q56" i="82"/>
  <c r="R56" i="82"/>
  <c r="S56" i="82"/>
  <c r="P57" i="82"/>
  <c r="Q57" i="82"/>
  <c r="R57" i="82"/>
  <c r="S57" i="82"/>
  <c r="P58" i="82"/>
  <c r="Q58" i="82"/>
  <c r="R58" i="82"/>
  <c r="S58" i="82"/>
  <c r="P59" i="82"/>
  <c r="Q59" i="82"/>
  <c r="R59" i="82"/>
  <c r="S59" i="82"/>
  <c r="P60" i="82"/>
  <c r="Q60" i="82"/>
  <c r="R60" i="82"/>
  <c r="S60" i="82"/>
  <c r="P61" i="82"/>
  <c r="Q61" i="82"/>
  <c r="R61" i="82"/>
  <c r="S61" i="82"/>
  <c r="P62" i="82"/>
  <c r="Q62" i="82"/>
  <c r="R62" i="82"/>
  <c r="S62" i="82"/>
  <c r="P63" i="82"/>
  <c r="Q63" i="82"/>
  <c r="R63" i="82"/>
  <c r="S63" i="82"/>
  <c r="P64" i="82"/>
  <c r="Q64" i="82"/>
  <c r="R64" i="82"/>
  <c r="S64" i="82"/>
  <c r="P65" i="82"/>
  <c r="Q65" i="82"/>
  <c r="R65" i="82"/>
  <c r="S65" i="82"/>
  <c r="P66" i="82"/>
  <c r="Q66" i="82"/>
  <c r="R66" i="82"/>
  <c r="S66" i="82"/>
  <c r="P67" i="82"/>
  <c r="Q67" i="82"/>
  <c r="R67" i="82"/>
  <c r="S67" i="82"/>
  <c r="P68" i="82"/>
  <c r="Q68" i="82"/>
  <c r="R68" i="82"/>
  <c r="S68" i="82"/>
  <c r="P69" i="82"/>
  <c r="Q69" i="82"/>
  <c r="R69" i="82"/>
  <c r="S69" i="82"/>
  <c r="P70" i="82"/>
  <c r="Q70" i="82"/>
  <c r="R70" i="82"/>
  <c r="S70" i="82"/>
  <c r="P71" i="82"/>
  <c r="Q71" i="82"/>
  <c r="R71" i="82"/>
  <c r="S71" i="82"/>
  <c r="P72" i="82"/>
  <c r="Q72" i="82"/>
  <c r="R72" i="82"/>
  <c r="S72" i="82"/>
  <c r="P73" i="82"/>
  <c r="Q73" i="82"/>
  <c r="R73" i="82"/>
  <c r="S73" i="82"/>
  <c r="P74" i="82"/>
  <c r="Q74" i="82"/>
  <c r="R74" i="82"/>
  <c r="S74" i="82"/>
  <c r="P75" i="82"/>
  <c r="Q75" i="82"/>
  <c r="R75" i="82"/>
  <c r="S75" i="82"/>
  <c r="P76" i="82"/>
  <c r="Q76" i="82"/>
  <c r="R76" i="82"/>
  <c r="S76" i="82"/>
  <c r="P77" i="82"/>
  <c r="Q77" i="82"/>
  <c r="R77" i="82"/>
  <c r="S77" i="82"/>
  <c r="P78" i="82"/>
  <c r="Q78" i="82"/>
  <c r="R78" i="82"/>
  <c r="S78" i="82"/>
  <c r="P79" i="82"/>
  <c r="Q79" i="82"/>
  <c r="R79" i="82"/>
  <c r="S79" i="82"/>
  <c r="P80" i="82"/>
  <c r="Q80" i="82"/>
  <c r="R80" i="82"/>
  <c r="S80" i="82"/>
  <c r="P81" i="82"/>
  <c r="Q81" i="82"/>
  <c r="R81" i="82"/>
  <c r="S81" i="82"/>
  <c r="P82" i="82"/>
  <c r="Q82" i="82"/>
  <c r="R82" i="82"/>
  <c r="S82" i="82"/>
  <c r="P83" i="82"/>
  <c r="Q83" i="82"/>
  <c r="R83" i="82"/>
  <c r="S83" i="82"/>
  <c r="P84" i="82"/>
  <c r="Q84" i="82"/>
  <c r="R84" i="82"/>
  <c r="S84" i="82"/>
  <c r="P85" i="82"/>
  <c r="Q85" i="82"/>
  <c r="R85" i="82"/>
  <c r="S85" i="82"/>
  <c r="P86" i="82"/>
  <c r="Q86" i="82"/>
  <c r="R86" i="82"/>
  <c r="S86" i="82"/>
  <c r="P87" i="82"/>
  <c r="Q87" i="82"/>
  <c r="R87" i="82"/>
  <c r="S87" i="82"/>
  <c r="P88" i="82"/>
  <c r="Q88" i="82"/>
  <c r="R88" i="82"/>
  <c r="S88" i="82"/>
  <c r="P89" i="82"/>
  <c r="Q89" i="82"/>
  <c r="R89" i="82"/>
  <c r="S89" i="82"/>
  <c r="P90" i="82"/>
  <c r="Q90" i="82"/>
  <c r="R90" i="82"/>
  <c r="S90" i="82"/>
  <c r="P91" i="82"/>
  <c r="Q91" i="82"/>
  <c r="R91" i="82"/>
  <c r="S91" i="82"/>
  <c r="P92" i="82"/>
  <c r="Q92" i="82"/>
  <c r="R92" i="82"/>
  <c r="S92" i="82"/>
  <c r="P93" i="82"/>
  <c r="Q93" i="82"/>
  <c r="R93" i="82"/>
  <c r="S93" i="82"/>
  <c r="P94" i="82"/>
  <c r="Q94" i="82"/>
  <c r="R94" i="82"/>
  <c r="S94" i="82"/>
  <c r="P95" i="82"/>
  <c r="Q95" i="82"/>
  <c r="R95" i="82"/>
  <c r="S95" i="82"/>
  <c r="P96" i="82"/>
  <c r="Q96" i="82"/>
  <c r="R96" i="82"/>
  <c r="S96" i="82"/>
  <c r="P97" i="82"/>
  <c r="Q97" i="82"/>
  <c r="R97" i="82"/>
  <c r="S97" i="82"/>
  <c r="P98" i="82"/>
  <c r="Q98" i="82"/>
  <c r="R98" i="82"/>
  <c r="S98" i="82"/>
  <c r="P99" i="82"/>
  <c r="Q99" i="82"/>
  <c r="R99" i="82"/>
  <c r="S99" i="82"/>
  <c r="P100" i="82"/>
  <c r="Q100" i="82"/>
  <c r="R100" i="82"/>
  <c r="S100" i="82"/>
  <c r="P101" i="82"/>
  <c r="Q101" i="82"/>
  <c r="R101" i="82"/>
  <c r="S101" i="82"/>
  <c r="P102" i="82"/>
  <c r="Q102" i="82"/>
  <c r="R102" i="82"/>
  <c r="S102" i="82"/>
  <c r="P103" i="82"/>
  <c r="Q103" i="82"/>
  <c r="R103" i="82"/>
  <c r="S103" i="82"/>
  <c r="P104" i="82"/>
  <c r="Q104" i="82"/>
  <c r="R104" i="82"/>
  <c r="S104" i="82"/>
  <c r="P105" i="82"/>
  <c r="Q105" i="82"/>
  <c r="R105" i="82"/>
  <c r="S105" i="82"/>
  <c r="P106" i="82"/>
  <c r="Q106" i="82"/>
  <c r="R106" i="82"/>
  <c r="S106" i="82"/>
  <c r="P107" i="82"/>
  <c r="Q107" i="82"/>
  <c r="R107" i="82"/>
  <c r="S107" i="82"/>
  <c r="P108" i="82"/>
  <c r="Q108" i="82"/>
  <c r="R108" i="82"/>
  <c r="S108" i="82"/>
  <c r="P109" i="82"/>
  <c r="Q109" i="82"/>
  <c r="R109" i="82"/>
  <c r="S109" i="82"/>
  <c r="P110" i="82"/>
  <c r="Q110" i="82"/>
  <c r="R110" i="82"/>
  <c r="S110" i="82"/>
  <c r="P111" i="82"/>
  <c r="Q111" i="82"/>
  <c r="R111" i="82"/>
  <c r="S111" i="82"/>
  <c r="P112" i="82"/>
  <c r="Q112" i="82"/>
  <c r="R112" i="82"/>
  <c r="S112" i="82"/>
  <c r="P113" i="82"/>
  <c r="Q113" i="82"/>
  <c r="R113" i="82"/>
  <c r="S113" i="82"/>
  <c r="P114" i="82"/>
  <c r="Q114" i="82"/>
  <c r="R114" i="82"/>
  <c r="S114" i="82"/>
  <c r="P115" i="82"/>
  <c r="Q115" i="82"/>
  <c r="R115" i="82"/>
  <c r="S115" i="82"/>
  <c r="P116" i="82"/>
  <c r="Q116" i="82"/>
  <c r="R116" i="82"/>
  <c r="S116" i="82"/>
  <c r="P117" i="82"/>
  <c r="Q117" i="82"/>
  <c r="R117" i="82"/>
  <c r="S117" i="82"/>
  <c r="P118" i="82"/>
  <c r="Q118" i="82"/>
  <c r="R118" i="82"/>
  <c r="S118" i="82"/>
  <c r="P119" i="82"/>
  <c r="Q119" i="82"/>
  <c r="R119" i="82"/>
  <c r="S119" i="82"/>
  <c r="P120" i="82"/>
  <c r="Q120" i="82"/>
  <c r="R120" i="82"/>
  <c r="S120" i="82"/>
  <c r="P121" i="82"/>
  <c r="Q121" i="82"/>
  <c r="R121" i="82"/>
  <c r="S121" i="82"/>
  <c r="P122" i="82"/>
  <c r="Q122" i="82"/>
  <c r="R122" i="82"/>
  <c r="S122" i="82"/>
  <c r="P123" i="82"/>
  <c r="Q123" i="82"/>
  <c r="R123" i="82"/>
  <c r="S123" i="82"/>
  <c r="P124" i="82"/>
  <c r="Q124" i="82"/>
  <c r="R124" i="82"/>
  <c r="S124" i="82"/>
  <c r="P125" i="82"/>
  <c r="Q125" i="82"/>
  <c r="R125" i="82"/>
  <c r="S125" i="82"/>
  <c r="P126" i="82"/>
  <c r="Q126" i="82"/>
  <c r="R126" i="82"/>
  <c r="S126" i="82"/>
  <c r="P127" i="82"/>
  <c r="Q127" i="82"/>
  <c r="R127" i="82"/>
  <c r="S127" i="82"/>
  <c r="P128" i="82"/>
  <c r="Q128" i="82"/>
  <c r="R128" i="82"/>
  <c r="S128" i="82"/>
  <c r="P129" i="82"/>
  <c r="Q129" i="82"/>
  <c r="R129" i="82"/>
  <c r="S129" i="82"/>
  <c r="P130" i="82"/>
  <c r="Q130" i="82"/>
  <c r="R130" i="82"/>
  <c r="S130" i="82"/>
  <c r="P131" i="82"/>
  <c r="Q131" i="82"/>
  <c r="R131" i="82"/>
  <c r="S131" i="82"/>
  <c r="P132" i="82"/>
  <c r="Q132" i="82"/>
  <c r="R132" i="82"/>
  <c r="S132" i="82"/>
  <c r="P133" i="82"/>
  <c r="Q133" i="82"/>
  <c r="R133" i="82"/>
  <c r="S133" i="82"/>
  <c r="P134" i="82"/>
  <c r="Q134" i="82"/>
  <c r="R134" i="82"/>
  <c r="S134" i="82"/>
  <c r="P135" i="82"/>
  <c r="Q135" i="82"/>
  <c r="R135" i="82"/>
  <c r="S135" i="82"/>
  <c r="P136" i="82"/>
  <c r="Q136" i="82"/>
  <c r="R136" i="82"/>
  <c r="S136" i="82"/>
  <c r="P137" i="82"/>
  <c r="Q137" i="82"/>
  <c r="R137" i="82"/>
  <c r="S137" i="82"/>
  <c r="P138" i="82"/>
  <c r="Q138" i="82"/>
  <c r="R138" i="82"/>
  <c r="S138" i="82"/>
  <c r="P139" i="82"/>
  <c r="Q139" i="82"/>
  <c r="R139" i="82"/>
  <c r="S139" i="82"/>
  <c r="P140" i="82"/>
  <c r="Q140" i="82"/>
  <c r="R140" i="82"/>
  <c r="S140" i="82"/>
  <c r="P141" i="82"/>
  <c r="Q141" i="82"/>
  <c r="R141" i="82"/>
  <c r="S141" i="82"/>
  <c r="B13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<sst xmlns="http://schemas.openxmlformats.org/spreadsheetml/2006/main" count="157" uniqueCount="93">
  <si>
    <t>character_id</t>
  </si>
  <si>
    <t>character_id</t>
    <phoneticPr fontId="13"/>
  </si>
  <si>
    <t>unit_level</t>
    <phoneticPr fontId="13"/>
  </si>
  <si>
    <t>weight</t>
    <phoneticPr fontId="13"/>
  </si>
  <si>
    <t>rare</t>
    <phoneticPr fontId="13"/>
  </si>
  <si>
    <t>name</t>
    <phoneticPr fontId="13"/>
  </si>
  <si>
    <t>drop_label</t>
    <phoneticPr fontId="13"/>
  </si>
  <si>
    <t>color</t>
    <phoneticPr fontId="13"/>
  </si>
  <si>
    <t>character_type_id</t>
    <phoneticPr fontId="13"/>
  </si>
  <si>
    <t>character_tribe_id</t>
    <phoneticPr fontId="13"/>
  </si>
  <si>
    <t>temp_gacha</t>
    <phoneticPr fontId="13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</si>
  <si>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</si>
  <si>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</si>
  <si>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</si>
  <si>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</si>
  <si>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</si>
  <si>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</si>
  <si>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</si>
  <si>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3"/>
  </si>
  <si>
    <t>pickup_flg</t>
    <phoneticPr fontId="13"/>
  </si>
  <si>
    <t>select_table_no</t>
    <phoneticPr fontId="13"/>
  </si>
  <si>
    <t>select_table_no</t>
    <phoneticPr fontId="13"/>
  </si>
  <si>
    <t>bonus_table_no</t>
    <phoneticPr fontId="13"/>
  </si>
  <si>
    <t>bonus_table_no</t>
    <phoneticPr fontId="13"/>
  </si>
  <si>
    <t>weight</t>
    <phoneticPr fontId="13"/>
  </si>
  <si>
    <t>gift_id</t>
    <phoneticPr fontId="13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</si>
  <si>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</si>
  <si>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</si>
  <si>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</si>
  <si>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</si>
  <si>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</si>
  <si>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</si>
  <si>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</si>
  <si>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</si>
  <si>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gift_id</t>
    <phoneticPr fontId="13"/>
  </si>
  <si>
    <t>gift_value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</si>
  <si>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</si>
  <si>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</si>
  <si>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</si>
  <si>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</si>
  <si>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</si>
  <si>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</si>
  <si>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gift_type</t>
    <phoneticPr fontId="13"/>
  </si>
  <si>
    <t>備考</t>
    <rPh sb="0" eb="2">
      <t>ビコウ</t>
    </rPh>
    <phoneticPr fontId="13"/>
  </si>
  <si>
    <t>label</t>
    <phoneticPr fontId="13"/>
  </si>
  <si>
    <t>table_no</t>
    <phoneticPr fontId="13"/>
  </si>
  <si>
    <t>character_id</t>
    <phoneticPr fontId="13"/>
  </si>
  <si>
    <t>name</t>
    <phoneticPr fontId="13"/>
  </si>
  <si>
    <t>drop_label</t>
    <phoneticPr fontId="13"/>
  </si>
  <si>
    <t>rare</t>
    <phoneticPr fontId="13"/>
  </si>
  <si>
    <t>character_type_id</t>
    <phoneticPr fontId="13"/>
  </si>
  <si>
    <t>character_tribe_id</t>
    <phoneticPr fontId="13"/>
  </si>
  <si>
    <t>unit_level</t>
    <phoneticPr fontId="13"/>
  </si>
  <si>
    <t>weight</t>
    <phoneticPr fontId="13"/>
  </si>
  <si>
    <t>接頭語</t>
    <rPh sb="0" eb="3">
      <t>セットウゴ</t>
    </rPh>
    <phoneticPr fontId="47"/>
  </si>
  <si>
    <t>識別子</t>
    <rPh sb="0" eb="3">
      <t>シキベツシ</t>
    </rPh>
    <phoneticPr fontId="47"/>
  </si>
  <si>
    <t>形式</t>
    <rPh sb="0" eb="2">
      <t>ケイシキ</t>
    </rPh>
    <phoneticPr fontId="47"/>
  </si>
  <si>
    <t>出力ファイル名</t>
    <rPh sb="0" eb="2">
      <t>シュツリョク</t>
    </rPh>
    <rPh sb="6" eb="7">
      <t>メイ</t>
    </rPh>
    <phoneticPr fontId="47"/>
  </si>
  <si>
    <t>入力シート名</t>
    <rPh sb="0" eb="2">
      <t>ニュウリョク</t>
    </rPh>
    <rPh sb="5" eb="6">
      <t>メイ</t>
    </rPh>
    <phoneticPr fontId="47"/>
  </si>
  <si>
    <t>出力データ</t>
    <rPh sb="0" eb="2">
      <t>シュツリョク</t>
    </rPh>
    <phoneticPr fontId="47"/>
  </si>
  <si>
    <t>.tmp</t>
    <phoneticPr fontId="47"/>
  </si>
  <si>
    <t>.tmp</t>
    <phoneticPr fontId="47"/>
  </si>
  <si>
    <t>gacha_select_tables</t>
    <phoneticPr fontId="47"/>
  </si>
  <si>
    <t>gacha_settle_tables</t>
    <phoneticPr fontId="47"/>
  </si>
  <si>
    <t>gacha_bonus_tables</t>
    <phoneticPr fontId="47"/>
  </si>
  <si>
    <t>gifts_tmp_</t>
    <phoneticPr fontId="13"/>
  </si>
  <si>
    <t>gifts_i18n_</t>
    <phoneticPr fontId="13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</si>
  <si>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</si>
  <si>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</si>
  <si>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</si>
  <si>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t>出力flg</t>
    <rPh sb="0" eb="2">
      <t>シュツリョク</t>
    </rPh>
    <phoneticPr fontId="47"/>
  </si>
  <si>
    <t>PremiumW</t>
  </si>
  <si>
    <t>PremiumN</t>
  </si>
  <si>
    <t>PremiumS</t>
  </si>
  <si>
    <t>PremiumSS</t>
  </si>
  <si>
    <t>label</t>
    <phoneticPr fontId="13"/>
  </si>
  <si>
    <t>color</t>
    <phoneticPr fontId="13"/>
  </si>
  <si>
    <t>rarity</t>
    <phoneticPr fontId="13"/>
  </si>
  <si>
    <t>rarity</t>
    <phoneticPr fontId="13"/>
  </si>
  <si>
    <t>name</t>
    <phoneticPr fontId="13"/>
  </si>
  <si>
    <t>バグ設定ユニット数</t>
    <rPh sb="2" eb="9">
      <t>セッテイy</t>
    </rPh>
    <phoneticPr fontId="13"/>
  </si>
  <si>
    <t>単発ガチャ</t>
    <rPh sb="0" eb="5">
      <t>タンパt</t>
    </rPh>
    <phoneticPr fontId="13"/>
  </si>
  <si>
    <t>unit_level</t>
    <phoneticPr fontId="13"/>
  </si>
  <si>
    <t>フェス限定キャラ数</t>
    <rPh sb="3" eb="8">
      <t>ゲン</t>
    </rPh>
    <rPh sb="8" eb="9">
      <t>シュt</t>
    </rPh>
    <phoneticPr fontId="13"/>
  </si>
  <si>
    <t>１０連ガチャ</t>
    <rPh sb="2" eb="6">
      <t>レン</t>
    </rPh>
    <phoneticPr fontId="13"/>
  </si>
  <si>
    <t>確定枠</t>
    <rPh sb="0" eb="3">
      <t>カクテ</t>
    </rPh>
    <phoneticPr fontId="13"/>
  </si>
  <si>
    <t>今回のガチャID</t>
    <rPh sb="0" eb="3">
      <t>コンカ</t>
    </rPh>
    <phoneticPr fontId="13"/>
  </si>
  <si>
    <t>other</t>
    <phoneticPr fontId="13"/>
  </si>
  <si>
    <t>総ユニット数</t>
    <rPh sb="0" eb="1">
      <t>ソウ</t>
    </rPh>
    <rPh sb="5" eb="6">
      <t>ス</t>
    </rPh>
    <phoneticPr fontId="13"/>
  </si>
  <si>
    <t>総ユニット数</t>
    <rPh sb="0" eb="6">
      <t>ソウユニッt</t>
    </rPh>
    <phoneticPr fontId="13"/>
  </si>
  <si>
    <t>レベル設定ユニット数</t>
    <rPh sb="3" eb="10">
      <t>セッテイy</t>
    </rPh>
    <phoneticPr fontId="13"/>
  </si>
  <si>
    <t>skip</t>
    <phoneticPr fontId="13"/>
  </si>
  <si>
    <t>gender_label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</si>
</sst>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75">
    <xf numFmtId="0" fontId="0" fillId="0" borderId="0"/>
    <xf numFmtId="0" fontId="12" fillId="0" borderId="0"/>
    <xf numFmtId="0" fontId="16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1" fillId="0" borderId="0"/>
    <xf numFmtId="0" fontId="24" fillId="6" borderId="2" applyNumberFormat="0" applyAlignment="0" applyProtection="0"/>
    <xf numFmtId="0" fontId="25" fillId="7" borderId="0" applyNumberFormat="0" applyBorder="0" applyAlignment="0" applyProtection="0"/>
    <xf numFmtId="0" fontId="26" fillId="8" borderId="3" applyNumberFormat="0" applyAlignment="0" applyProtection="0"/>
    <xf numFmtId="0" fontId="27" fillId="0" borderId="0" applyNumberFormat="0" applyFill="0" applyBorder="0" applyAlignment="0" applyProtection="0"/>
    <xf numFmtId="0" fontId="28" fillId="9" borderId="0" applyNumberFormat="0" applyBorder="0" applyAlignment="0" applyProtection="0"/>
    <xf numFmtId="0" fontId="29" fillId="10" borderId="4" applyNumberFormat="0" applyAlignment="0" applyProtection="0"/>
    <xf numFmtId="0" fontId="30" fillId="0" borderId="0" applyNumberFormat="0" applyFill="0" applyBorder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3" fillId="0" borderId="7" applyNumberFormat="0" applyFill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4" fillId="7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2" borderId="0" applyNumberFormat="0" applyBorder="0" applyAlignment="0" applyProtection="0"/>
    <xf numFmtId="0" fontId="34" fillId="6" borderId="0" applyNumberFormat="0" applyBorder="0" applyAlignment="0" applyProtection="0"/>
    <xf numFmtId="0" fontId="34" fillId="8" borderId="0" applyNumberFormat="0" applyBorder="0" applyAlignment="0" applyProtection="0"/>
    <xf numFmtId="0" fontId="34" fillId="13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4" borderId="0" applyNumberFormat="0" applyBorder="0" applyAlignment="0" applyProtection="0"/>
    <xf numFmtId="0" fontId="34" fillId="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5" fillId="11" borderId="0" applyNumberFormat="0" applyBorder="0" applyAlignment="0" applyProtection="0"/>
    <xf numFmtId="0" fontId="35" fillId="8" borderId="0" applyNumberFormat="0" applyBorder="0" applyAlignment="0" applyProtection="0"/>
    <xf numFmtId="0" fontId="35" fillId="15" borderId="0" applyNumberFormat="0" applyBorder="0" applyAlignment="0" applyProtection="0"/>
    <xf numFmtId="0" fontId="35" fillId="7" borderId="0" applyNumberFormat="0" applyBorder="0" applyAlignment="0" applyProtection="0"/>
    <xf numFmtId="0" fontId="27" fillId="0" borderId="0" applyNumberFormat="0" applyFill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1" borderId="0" applyNumberFormat="0" applyBorder="0" applyAlignment="0" applyProtection="0"/>
    <xf numFmtId="0" fontId="35" fillId="1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6" fillId="18" borderId="0" applyNumberFormat="0" applyBorder="0" applyAlignment="0" applyProtection="0"/>
    <xf numFmtId="0" fontId="25" fillId="7" borderId="0" applyNumberFormat="0" applyBorder="0" applyAlignment="0" applyProtection="0"/>
    <xf numFmtId="0" fontId="37" fillId="0" borderId="8" applyNumberFormat="0" applyFill="0" applyAlignment="0" applyProtection="0"/>
    <xf numFmtId="0" fontId="38" fillId="8" borderId="9" applyNumberFormat="0" applyAlignment="0" applyProtection="0"/>
    <xf numFmtId="0" fontId="38" fillId="19" borderId="9" applyNumberFormat="0" applyAlignment="0" applyProtection="0"/>
    <xf numFmtId="0" fontId="26" fillId="7" borderId="3" applyNumberFormat="0" applyAlignment="0" applyProtection="0"/>
    <xf numFmtId="0" fontId="39" fillId="0" borderId="10" applyNumberFormat="0" applyFill="0" applyAlignment="0" applyProtection="0"/>
    <xf numFmtId="0" fontId="40" fillId="19" borderId="3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38" fontId="11" fillId="0" borderId="0" applyFont="0" applyFill="0" applyBorder="0" applyAlignment="0" applyProtection="0">
      <alignment vertical="center"/>
    </xf>
    <xf numFmtId="0" fontId="43" fillId="20" borderId="0" applyNumberFormat="0" applyBorder="0" applyAlignment="0" applyProtection="0"/>
    <xf numFmtId="0" fontId="44" fillId="21" borderId="0" applyNumberFormat="0" applyBorder="0" applyAlignment="0" applyProtection="0"/>
    <xf numFmtId="0" fontId="11" fillId="0" borderId="0"/>
    <xf numFmtId="0" fontId="45" fillId="21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6" fillId="0" borderId="0"/>
    <xf numFmtId="0" fontId="48" fillId="0" borderId="0">
      <alignment vertical="center"/>
    </xf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69">
    <xf numFmtId="0" fontId="0" fillId="0" borderId="0" xfId="0"/>
    <xf numFmtId="0" fontId="18" fillId="0" borderId="0" xfId="2" applyFont="1" applyAlignment="1">
      <alignment vertical="center"/>
    </xf>
    <xf numFmtId="0" fontId="18" fillId="0" borderId="1" xfId="2" applyFont="1" applyBorder="1" applyAlignment="1">
      <alignment vertical="center"/>
    </xf>
    <xf numFmtId="0" fontId="18" fillId="3" borderId="1" xfId="2" applyFont="1" applyFill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8" fillId="4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horizontal="right" vertical="center"/>
    </xf>
    <xf numFmtId="0" fontId="23" fillId="5" borderId="0" xfId="2" applyFont="1" applyFill="1" applyAlignment="1">
      <alignment vertical="center"/>
    </xf>
    <xf numFmtId="0" fontId="18" fillId="3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vertical="center"/>
    </xf>
    <xf numFmtId="0" fontId="18" fillId="4" borderId="12" xfId="2" applyFont="1" applyFill="1" applyBorder="1" applyAlignment="1">
      <alignment vertical="center"/>
    </xf>
    <xf numFmtId="0" fontId="18" fillId="0" borderId="13" xfId="2" applyFont="1" applyBorder="1" applyAlignment="1">
      <alignment vertical="center"/>
    </xf>
    <xf numFmtId="0" fontId="17" fillId="4" borderId="12" xfId="0" applyFont="1" applyFill="1" applyBorder="1" applyAlignment="1">
      <alignment horizontal="right" vertical="center"/>
    </xf>
    <xf numFmtId="0" fontId="17" fillId="4" borderId="14" xfId="0" applyFont="1" applyFill="1" applyBorder="1" applyAlignment="1">
      <alignment horizontal="right" vertical="center"/>
    </xf>
    <xf numFmtId="0" fontId="18" fillId="0" borderId="15" xfId="2" applyFont="1" applyBorder="1" applyAlignment="1">
      <alignment vertical="center"/>
    </xf>
    <xf numFmtId="0" fontId="19" fillId="3" borderId="1" xfId="0" applyFont="1" applyFill="1" applyBorder="1" applyAlignment="1">
      <alignment vertical="center"/>
    </xf>
    <xf numFmtId="0" fontId="0" fillId="4" borderId="1" xfId="0" applyFill="1" applyBorder="1"/>
    <xf numFmtId="0" fontId="18" fillId="2" borderId="1" xfId="2" applyFont="1" applyFill="1" applyBorder="1" applyAlignment="1">
      <alignment horizontal="left" vertical="center"/>
    </xf>
    <xf numFmtId="0" fontId="18" fillId="3" borderId="1" xfId="2" applyFont="1" applyFill="1" applyBorder="1" applyAlignment="1">
      <alignment horizontal="left" vertical="center"/>
    </xf>
    <xf numFmtId="0" fontId="18" fillId="5" borderId="0" xfId="2" applyFont="1" applyFill="1" applyAlignment="1">
      <alignment vertical="center"/>
    </xf>
    <xf numFmtId="0" fontId="46" fillId="22" borderId="1" xfId="0" applyFont="1" applyFill="1" applyBorder="1" applyAlignment="1">
      <alignment horizontal="left" vertical="center"/>
    </xf>
    <xf numFmtId="0" fontId="18" fillId="2" borderId="1" xfId="2" applyFont="1" applyFill="1" applyBorder="1" applyAlignment="1">
      <alignment horizontal="center" vertical="center"/>
    </xf>
    <xf numFmtId="0" fontId="20" fillId="23" borderId="1" xfId="2978" applyFont="1" applyFill="1" applyBorder="1"/>
    <xf numFmtId="0" fontId="6" fillId="23" borderId="1" xfId="2978" applyFill="1" applyBorder="1"/>
    <xf numFmtId="0" fontId="6" fillId="0" borderId="0" xfId="2978"/>
    <xf numFmtId="0" fontId="6" fillId="0" borderId="1" xfId="2978" applyBorder="1"/>
    <xf numFmtId="0" fontId="6" fillId="2" borderId="1" xfId="2978" applyFill="1" applyBorder="1"/>
    <xf numFmtId="0" fontId="10" fillId="2" borderId="1" xfId="19" applyFont="1" applyFill="1" applyBorder="1"/>
    <xf numFmtId="0" fontId="11" fillId="2" borderId="1" xfId="19" applyFill="1" applyBorder="1"/>
    <xf numFmtId="0" fontId="9" fillId="2" borderId="1" xfId="19" applyFont="1" applyFill="1" applyBorder="1"/>
    <xf numFmtId="0" fontId="7" fillId="2" borderId="1" xfId="19" applyFont="1" applyFill="1" applyBorder="1"/>
    <xf numFmtId="0" fontId="8" fillId="2" borderId="1" xfId="19" applyFont="1" applyFill="1" applyBorder="1"/>
    <xf numFmtId="0" fontId="6" fillId="2" borderId="1" xfId="19" applyFont="1" applyFill="1" applyBorder="1"/>
    <xf numFmtId="0" fontId="5" fillId="0" borderId="1" xfId="2978" applyFont="1" applyBorder="1"/>
    <xf numFmtId="0" fontId="20" fillId="23" borderId="1" xfId="0" applyFont="1" applyFill="1" applyBorder="1"/>
    <xf numFmtId="0" fontId="18" fillId="0" borderId="0" xfId="2" applyFont="1" applyBorder="1" applyAlignment="1">
      <alignment vertical="center"/>
    </xf>
    <xf numFmtId="0" fontId="46" fillId="24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6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9" fillId="0" borderId="1" xfId="0" applyFont="1" applyFill="1" applyBorder="1" applyAlignment="1">
      <alignment vertical="center"/>
    </xf>
    <xf numFmtId="0" fontId="0" fillId="0" borderId="0" xfId="0" applyFill="1"/>
    <xf numFmtId="0" fontId="46" fillId="25" borderId="1" xfId="0" applyFont="1" applyFill="1" applyBorder="1" applyAlignment="1">
      <alignment horizontal="right" vertical="center"/>
    </xf>
    <xf numFmtId="0" fontId="46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6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0" borderId="0" xfId="0" applyBorder="1"/>
    <xf numFmtId="0" fontId="3" fillId="0" borderId="1" xfId="3036" applyFont="1" applyBorder="1"/>
    <xf numFmtId="0" fontId="46" fillId="27" borderId="1" xfId="0" applyFont="1" applyFill="1" applyBorder="1" applyAlignment="1">
      <alignment vertical="center"/>
    </xf>
    <xf numFmtId="0" fontId="2" fillId="0" borderId="1" xfId="3036" applyFont="1" applyBorder="1"/>
    <xf numFmtId="0" fontId="18" fillId="0" borderId="1" xfId="2" applyFont="1" applyFill="1" applyBorder="1" applyAlignment="1">
      <alignment vertical="center"/>
    </xf>
    <xf numFmtId="0" fontId="18" fillId="0" borderId="0" xfId="2" applyFont="1" applyFill="1" applyAlignment="1">
      <alignment vertical="center"/>
    </xf>
    <xf numFmtId="0" fontId="18" fillId="26" borderId="1" xfId="2" applyFont="1" applyFill="1" applyBorder="1" applyAlignment="1">
      <alignment horizontal="center" vertical="center"/>
    </xf>
    <xf numFmtId="0" fontId="1" fillId="0" borderId="1" xfId="3036" applyFont="1" applyBorder="1"/>
  </cellXfs>
  <cellStyles count="3575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レイブン</v>
          </cell>
          <cell r="D679" t="str">
            <v>White day Unit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レイブン</v>
          </cell>
          <cell r="D680" t="str">
            <v>White day Unit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White day Unit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DropWizS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White day Unit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DropWizS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White day Unit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DropWizS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White day Unit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DropWizS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White day Unit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DropWizS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White day Unit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DropWizS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White day Unit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DropWizS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White day Unit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DropWizS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R4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R5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R4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R5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R4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R5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R4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R5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R4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R5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R4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R5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green</v>
          </cell>
          <cell r="I765">
            <v>4</v>
          </cell>
          <cell r="J765" t="str">
            <v>PremiumSS</v>
          </cell>
          <cell r="K765" t="str">
            <v>attack</v>
          </cell>
          <cell r="L765" t="str">
            <v>攻撃タイプ</v>
          </cell>
          <cell r="M765" t="str">
            <v>dragon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green</v>
          </cell>
          <cell r="I766">
            <v>5</v>
          </cell>
          <cell r="J766" t="str">
            <v>PremiumSS</v>
          </cell>
          <cell r="K766" t="str">
            <v>attack</v>
          </cell>
          <cell r="L766" t="str">
            <v>攻撃タイプ</v>
          </cell>
          <cell r="M766" t="str">
            <v>dragon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green</v>
          </cell>
          <cell r="I767">
            <v>3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animal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green</v>
          </cell>
          <cell r="I768">
            <v>4</v>
          </cell>
          <cell r="J768" t="str">
            <v>PremiumSS</v>
          </cell>
          <cell r="K768" t="str">
            <v>attack</v>
          </cell>
          <cell r="L768" t="str">
            <v>攻撃タイプ</v>
          </cell>
          <cell r="M768" t="str">
            <v>animal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5</v>
          </cell>
          <cell r="J769" t="str">
            <v>PremiumSS</v>
          </cell>
          <cell r="K769" t="str">
            <v>attack</v>
          </cell>
          <cell r="L769" t="str">
            <v>攻撃タイプ</v>
          </cell>
          <cell r="M769" t="str">
            <v>animal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3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unknown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green</v>
          </cell>
          <cell r="I795">
            <v>4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tabSelected="1" workbookViewId="0">
      <selection activeCell="C19" sqref="C19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68" t="s">
        <v>91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girlsboys</v>
      </c>
      <c r="D2" s="25" t="s">
        <v>60</v>
      </c>
      <c r="E2" s="23" t="str">
        <f ca="1">B2&amp;C2&amp;D2</f>
        <v>gacha_select_tables_girlsboys.tmp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64" t="s">
        <v>91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girlsboys</v>
      </c>
      <c r="D3" s="25" t="s">
        <v>61</v>
      </c>
      <c r="E3" s="23" t="str">
        <f ca="1">B3&amp;C3&amp;D3</f>
        <v>gacha_settle_tables_girlsboys.tmp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62" t="s">
        <v>91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girlsboys</v>
      </c>
      <c r="D4" s="25" t="s">
        <v>61</v>
      </c>
      <c r="E4" s="23" t="str">
        <f ca="1">B4&amp;C4&amp;D4</f>
        <v>gacha_bonus_tables_girlsboys.tmp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62" t="s">
        <v>91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girlsboys</v>
      </c>
      <c r="D5" s="25" t="s">
        <v>61</v>
      </c>
      <c r="E5" s="23" t="str">
        <f ca="1">B5&amp;C5&amp;D5</f>
        <v>gifts_tmp_girlsboys.tmp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62" t="s">
        <v>91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girlsboys</v>
      </c>
      <c r="D6" s="25" t="s">
        <v>61</v>
      </c>
      <c r="E6" s="23" t="str">
        <f ca="1">B6&amp;C6&amp;D6</f>
        <v>gifts_i18n_girlsboys.tmp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0"/>
  <sheetViews>
    <sheetView workbookViewId="0">
      <selection activeCell="C29" sqref="C29"/>
    </sheetView>
  </sheetViews>
  <sheetFormatPr baseColWidth="12" defaultRowHeight="14" x14ac:dyDescent="0"/>
  <cols>
    <col min="1" max="1" width="15.1640625" style="54" customWidth="1"/>
    <col min="2" max="3" width="12.83203125" style="54"/>
  </cols>
  <sheetData>
    <row r="1" spans="1:5">
      <c r="A1" t="s">
        <v>18</v>
      </c>
      <c r="B1" t="s">
        <v>12</v>
      </c>
      <c r="C1" t="s">
        <v>75</v>
      </c>
      <c r="D1" t="s">
        <v>78</v>
      </c>
      <c r="E1" t="s">
        <v>77</v>
      </c>
    </row>
    <row r="2" spans="1:5">
      <c r="A2" s="15" t="str">
        <f>0&amp;C2&amp;D2</f>
        <v>0</v>
      </c>
      <c r="B2"/>
      <c r="C2" s="51"/>
    </row>
    <row r="3" spans="1:5">
      <c r="A3" s="15" t="str">
        <f t="shared" ref="A3:A9" si="0">0&amp;C3&amp;D3&amp;E3</f>
        <v>0PremiumW4</v>
      </c>
      <c r="B3">
        <v>7742</v>
      </c>
      <c r="C3" s="51" t="s">
        <v>71</v>
      </c>
      <c r="D3">
        <v>4</v>
      </c>
    </row>
    <row r="4" spans="1:5">
      <c r="A4" s="15" t="str">
        <f t="shared" si="0"/>
        <v>0PremiumN4</v>
      </c>
      <c r="B4">
        <v>14570</v>
      </c>
      <c r="C4" s="51" t="s">
        <v>72</v>
      </c>
      <c r="D4">
        <v>4</v>
      </c>
    </row>
    <row r="5" spans="1:5">
      <c r="A5" s="15" t="str">
        <f t="shared" si="0"/>
        <v>0PremiumS4</v>
      </c>
      <c r="B5">
        <v>14570</v>
      </c>
      <c r="C5" s="51" t="s">
        <v>73</v>
      </c>
      <c r="D5">
        <v>4</v>
      </c>
    </row>
    <row r="6" spans="1:5">
      <c r="A6" s="15" t="str">
        <f t="shared" si="0"/>
        <v>0PremiumSS4</v>
      </c>
      <c r="B6">
        <v>1568</v>
      </c>
      <c r="C6" s="51" t="s">
        <v>74</v>
      </c>
      <c r="D6">
        <v>4</v>
      </c>
    </row>
    <row r="7" spans="1:5">
      <c r="A7" s="15" t="str">
        <f t="shared" si="0"/>
        <v>0PremiumN5</v>
      </c>
      <c r="B7">
        <v>914</v>
      </c>
      <c r="C7" s="51" t="s">
        <v>72</v>
      </c>
      <c r="D7">
        <v>5</v>
      </c>
    </row>
    <row r="8" spans="1:5">
      <c r="A8" s="15" t="str">
        <f t="shared" si="0"/>
        <v>0PremiumS5</v>
      </c>
      <c r="B8">
        <v>914</v>
      </c>
      <c r="C8" s="51" t="s">
        <v>73</v>
      </c>
      <c r="D8">
        <v>5</v>
      </c>
    </row>
    <row r="9" spans="1:5">
      <c r="A9" s="15" t="str">
        <f t="shared" si="0"/>
        <v>0PremiumSS5</v>
      </c>
      <c r="B9">
        <v>98</v>
      </c>
      <c r="C9" s="51" t="s">
        <v>74</v>
      </c>
      <c r="D9">
        <v>5</v>
      </c>
    </row>
    <row r="10" spans="1:5">
      <c r="A10" s="15"/>
      <c r="B10"/>
      <c r="C10" s="60"/>
    </row>
    <row r="11" spans="1:5">
      <c r="A11" s="53"/>
      <c r="B11"/>
      <c r="C11" s="59"/>
    </row>
    <row r="12" spans="1:5">
      <c r="A12" s="15" t="str">
        <f t="shared" ref="A12:A21" si="1">1&amp;C12&amp;D12&amp;E12</f>
        <v>1PremiumW3</v>
      </c>
      <c r="B12">
        <v>7445</v>
      </c>
      <c r="C12" s="50" t="s">
        <v>71</v>
      </c>
      <c r="D12">
        <v>3</v>
      </c>
    </row>
    <row r="13" spans="1:5">
      <c r="A13" s="15" t="str">
        <f t="shared" si="1"/>
        <v>1PremiumN3</v>
      </c>
      <c r="B13">
        <v>11167</v>
      </c>
      <c r="C13" s="50" t="s">
        <v>72</v>
      </c>
      <c r="D13">
        <v>3</v>
      </c>
    </row>
    <row r="14" spans="1:5">
      <c r="A14" s="15" t="str">
        <f t="shared" si="1"/>
        <v>1PremiumS3</v>
      </c>
      <c r="B14">
        <v>11912</v>
      </c>
      <c r="C14" s="50" t="s">
        <v>73</v>
      </c>
      <c r="D14">
        <v>3</v>
      </c>
    </row>
    <row r="15" spans="1:5">
      <c r="A15" s="15" t="str">
        <f t="shared" si="1"/>
        <v>1PremiumW4</v>
      </c>
      <c r="B15">
        <v>2351</v>
      </c>
      <c r="C15" s="50" t="s">
        <v>71</v>
      </c>
      <c r="D15">
        <v>4</v>
      </c>
    </row>
    <row r="16" spans="1:5">
      <c r="A16" s="15" t="str">
        <f t="shared" si="1"/>
        <v>1PremiumN4</v>
      </c>
      <c r="B16">
        <v>2616</v>
      </c>
      <c r="C16" s="50" t="s">
        <v>72</v>
      </c>
      <c r="D16">
        <v>4</v>
      </c>
    </row>
    <row r="17" spans="1:9">
      <c r="A17" s="15" t="str">
        <f t="shared" si="1"/>
        <v>1PremiumS4</v>
      </c>
      <c r="B17">
        <v>2790</v>
      </c>
      <c r="C17" s="50" t="s">
        <v>73</v>
      </c>
      <c r="D17">
        <v>4</v>
      </c>
      <c r="H17" s="49"/>
      <c r="I17" s="49"/>
    </row>
    <row r="18" spans="1:9">
      <c r="A18" s="15" t="str">
        <f t="shared" si="1"/>
        <v>1PremiumSS4</v>
      </c>
      <c r="B18">
        <v>1705</v>
      </c>
      <c r="C18" s="50" t="s">
        <v>74</v>
      </c>
      <c r="D18">
        <v>4</v>
      </c>
    </row>
    <row r="19" spans="1:9">
      <c r="A19" s="15" t="str">
        <f t="shared" si="1"/>
        <v>1PremiumN5</v>
      </c>
      <c r="B19">
        <v>911</v>
      </c>
      <c r="C19" s="50" t="s">
        <v>72</v>
      </c>
      <c r="D19">
        <v>5</v>
      </c>
    </row>
    <row r="20" spans="1:9">
      <c r="A20" s="15" t="str">
        <f t="shared" si="1"/>
        <v>1PremiumS5</v>
      </c>
      <c r="B20">
        <v>972</v>
      </c>
      <c r="C20" s="51" t="s">
        <v>73</v>
      </c>
      <c r="D20">
        <v>5</v>
      </c>
    </row>
    <row r="21" spans="1:9">
      <c r="A21" s="15" t="str">
        <f t="shared" si="1"/>
        <v>1PremiumSS5</v>
      </c>
      <c r="B21">
        <v>113</v>
      </c>
      <c r="C21" s="51" t="s">
        <v>74</v>
      </c>
      <c r="D21">
        <v>5</v>
      </c>
    </row>
    <row r="22" spans="1:9">
      <c r="A22" s="15"/>
      <c r="B22"/>
      <c r="C22" s="51"/>
    </row>
    <row r="23" spans="1:9">
      <c r="A23" s="15"/>
      <c r="B23"/>
      <c r="C23" s="50"/>
    </row>
    <row r="24" spans="1:9">
      <c r="A24" s="15"/>
      <c r="B24"/>
      <c r="C24" s="50"/>
    </row>
    <row r="25" spans="1:9">
      <c r="A25" s="15"/>
      <c r="B25"/>
      <c r="C25" s="40"/>
    </row>
    <row r="26" spans="1:9">
      <c r="A26" s="15"/>
      <c r="B26"/>
      <c r="C26" s="40"/>
    </row>
    <row r="27" spans="1:9">
      <c r="A27" s="15"/>
      <c r="B27"/>
      <c r="C27" s="40"/>
    </row>
    <row r="28" spans="1:9">
      <c r="A28" s="15"/>
      <c r="B28"/>
      <c r="C28" s="40"/>
    </row>
    <row r="29" spans="1:9">
      <c r="A29" s="15"/>
      <c r="B29"/>
      <c r="C29" s="40"/>
    </row>
    <row r="30" spans="1:9">
      <c r="A30" s="53"/>
      <c r="B30"/>
      <c r="C30"/>
    </row>
    <row r="31" spans="1:9">
      <c r="A31" s="53"/>
      <c r="C31" s="59"/>
    </row>
    <row r="32" spans="1:9">
      <c r="A32" s="53"/>
      <c r="C32" s="52"/>
    </row>
    <row r="33" spans="1:3">
      <c r="A33" s="53"/>
      <c r="C33" s="52"/>
    </row>
    <row r="34" spans="1:3">
      <c r="A34" s="53"/>
      <c r="C34" s="52"/>
    </row>
    <row r="35" spans="1:3">
      <c r="A35" s="53"/>
      <c r="C35" s="59"/>
    </row>
    <row r="36" spans="1:3">
      <c r="A36" s="53"/>
      <c r="C36" s="59"/>
    </row>
    <row r="37" spans="1:3">
      <c r="A37" s="53"/>
    </row>
    <row r="38" spans="1:3">
      <c r="A38" s="53"/>
    </row>
    <row r="39" spans="1:3">
      <c r="A39" s="53"/>
    </row>
    <row r="40" spans="1:3">
      <c r="A40" s="53"/>
    </row>
    <row r="43" spans="1:3">
      <c r="A43" s="53"/>
      <c r="C43" s="52"/>
    </row>
    <row r="44" spans="1:3">
      <c r="A44" s="53"/>
      <c r="C44" s="52"/>
    </row>
    <row r="45" spans="1:3">
      <c r="A45" s="53"/>
      <c r="C45" s="52"/>
    </row>
    <row r="46" spans="1:3">
      <c r="A46" s="53"/>
      <c r="C46" s="52"/>
    </row>
    <row r="47" spans="1:3">
      <c r="A47" s="53"/>
      <c r="C47" s="52"/>
    </row>
    <row r="48" spans="1:3">
      <c r="A48" s="53"/>
      <c r="C48" s="52"/>
    </row>
    <row r="49" spans="1:3">
      <c r="A49" s="53"/>
      <c r="C49" s="52"/>
    </row>
    <row r="50" spans="1:3">
      <c r="A50" s="53"/>
    </row>
    <row r="51" spans="1:3">
      <c r="A51" s="53"/>
    </row>
    <row r="52" spans="1:3">
      <c r="A52" s="53"/>
    </row>
    <row r="55" spans="1:3">
      <c r="A55" s="53"/>
      <c r="C55" s="52"/>
    </row>
    <row r="56" spans="1:3">
      <c r="A56" s="53"/>
      <c r="C56" s="52"/>
    </row>
    <row r="57" spans="1:3">
      <c r="A57" s="53"/>
      <c r="C57" s="52"/>
    </row>
    <row r="58" spans="1:3">
      <c r="A58" s="53"/>
      <c r="C58" s="52"/>
    </row>
    <row r="59" spans="1:3">
      <c r="A59" s="53"/>
      <c r="C59" s="52"/>
    </row>
    <row r="60" spans="1:3">
      <c r="A60" s="53"/>
      <c r="C60" s="52"/>
    </row>
    <row r="61" spans="1:3">
      <c r="A61" s="53"/>
      <c r="C61" s="52"/>
    </row>
    <row r="64" spans="1:3">
      <c r="A64" s="53"/>
      <c r="C64" s="52"/>
    </row>
    <row r="65" spans="1:3">
      <c r="A65" s="53"/>
      <c r="C65" s="52"/>
    </row>
    <row r="66" spans="1:3">
      <c r="A66" s="53"/>
      <c r="C66" s="52"/>
    </row>
    <row r="67" spans="1:3">
      <c r="A67" s="53"/>
      <c r="C67" s="52"/>
    </row>
    <row r="68" spans="1:3">
      <c r="A68" s="53"/>
      <c r="C68" s="52"/>
    </row>
    <row r="69" spans="1:3">
      <c r="A69" s="53"/>
      <c r="C69" s="52"/>
    </row>
    <row r="70" spans="1:3">
      <c r="A70" s="53"/>
      <c r="C70" s="52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T417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M1" sqref="M1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9" style="66" customWidth="1" outlineLevel="1"/>
    <col min="14" max="14" width="11.33203125" style="1" bestFit="1" customWidth="1"/>
    <col min="15" max="15" width="13.1640625" style="1" bestFit="1" customWidth="1"/>
    <col min="16" max="16384" width="12.83203125" style="1"/>
  </cols>
  <sheetData>
    <row r="1" spans="1:20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76</v>
      </c>
      <c r="K1" s="3" t="s">
        <v>50</v>
      </c>
      <c r="L1" s="3" t="s">
        <v>51</v>
      </c>
      <c r="M1" s="67" t="s">
        <v>92</v>
      </c>
      <c r="N1" s="21" t="s">
        <v>53</v>
      </c>
      <c r="O1" s="21" t="s">
        <v>52</v>
      </c>
      <c r="P1" s="36" t="s">
        <v>13</v>
      </c>
      <c r="Q1" s="36" t="s">
        <v>14</v>
      </c>
      <c r="R1" s="36" t="s">
        <v>15</v>
      </c>
      <c r="S1" s="36" t="s">
        <v>16</v>
      </c>
      <c r="T1" s="36" t="s">
        <v>17</v>
      </c>
    </row>
    <row r="2" spans="1:20" ht="21" customHeight="1">
      <c r="A2" s="7" t="str">
        <f t="shared" ref="A2:A64" si="0">B2&amp;F2</f>
        <v>3000127</v>
      </c>
      <c r="B2" s="2" t="str">
        <f>300&amp;E2</f>
        <v>3000</v>
      </c>
      <c r="C2" s="8" t="str">
        <f t="shared" ref="C2:C36" si="1">E2&amp;H2&amp;I2</f>
        <v>0PremiumW4</v>
      </c>
      <c r="D2" s="8" t="str">
        <f t="shared" ref="D2:D65" si="2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65"/>
      <c r="N2" s="16">
        <f>VLOOKUP(D2,gacha_300_base!A:B,2,FALSE)</f>
        <v>7742</v>
      </c>
      <c r="O2" s="37">
        <f>IFERROR(VLOOKUP($F2,bug_conf_sheet!$A:$H,3,FALSE),VLOOKUP("other",bug_conf_sheet!$A:$H,3,FALSE))</f>
        <v>1</v>
      </c>
      <c r="P2" s="37">
        <f>IFERROR(VLOOKUP($F2,bug_conf_sheet!$A:$H,4,FALSE),VLOOKUP("other",bug_conf_sheet!$A:$H,4,FALSE))</f>
        <v>0</v>
      </c>
      <c r="Q2" s="37">
        <f>IFERROR(VLOOKUP($F2,bug_conf_sheet!$A:$H,5,FALSE),VLOOKUP("other",bug_conf_sheet!$A:$H,5,FALSE))</f>
        <v>0</v>
      </c>
      <c r="R2" s="37">
        <f>IFERROR(VLOOKUP($F2,bug_conf_sheet!$A:$H,6,FALSE),VLOOKUP("other",bug_conf_sheet!$A:$H,6,FALSE))</f>
        <v>0</v>
      </c>
      <c r="S2" s="37">
        <f>IFERROR(VLOOKUP($F2,bug_conf_sheet!$A:$H,7,FALSE),VLOOKUP("other",bug_conf_sheet!$A:$H,7,FALSE))</f>
        <v>0</v>
      </c>
      <c r="T2" s="37">
        <f>IFERROR(VLOOKUP($F2,bug_conf_sheet!$A:$H,8,FALSE),VLOOKUP("other",bug_conf_sheet!$A:$H,8,FALSE))</f>
        <v>1</v>
      </c>
    </row>
    <row r="3" spans="1:20" ht="21" customHeight="1">
      <c r="A3" s="7" t="str">
        <f t="shared" si="0"/>
        <v>3000129</v>
      </c>
      <c r="B3" s="2" t="str">
        <f t="shared" ref="B3:B66" si="3">300&amp;E3</f>
        <v>3000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65"/>
      <c r="N3" s="16">
        <f>VLOOKUP(D3,gacha_300_base!A:B,2,FALSE)</f>
        <v>7742</v>
      </c>
      <c r="O3" s="37">
        <f>IFERROR(VLOOKUP($F3,bug_conf_sheet!$A:$H,3,FALSE),VLOOKUP("other",bug_conf_sheet!$A:$H,3,FALSE))</f>
        <v>1</v>
      </c>
      <c r="P3" s="37">
        <f>IFERROR(VLOOKUP($F3,bug_conf_sheet!$A:$H,4,FALSE),VLOOKUP("other",bug_conf_sheet!$A:$H,4,FALSE))</f>
        <v>0</v>
      </c>
      <c r="Q3" s="37">
        <f>IFERROR(VLOOKUP($F3,bug_conf_sheet!$A:$H,5,FALSE),VLOOKUP("other",bug_conf_sheet!$A:$H,5,FALSE))</f>
        <v>0</v>
      </c>
      <c r="R3" s="37">
        <f>IFERROR(VLOOKUP($F3,bug_conf_sheet!$A:$H,6,FALSE),VLOOKUP("other",bug_conf_sheet!$A:$H,6,FALSE))</f>
        <v>0</v>
      </c>
      <c r="S3" s="37">
        <f>IFERROR(VLOOKUP($F3,bug_conf_sheet!$A:$H,7,FALSE),VLOOKUP("other",bug_conf_sheet!$A:$H,7,FALSE))</f>
        <v>0</v>
      </c>
      <c r="T3" s="37">
        <f>IFERROR(VLOOKUP($F3,bug_conf_sheet!$A:$H,8,FALSE),VLOOKUP("other",bug_conf_sheet!$A:$H,8,FALSE))</f>
        <v>1</v>
      </c>
    </row>
    <row r="4" spans="1:20" ht="21" customHeight="1">
      <c r="A4" s="7" t="str">
        <f t="shared" si="0"/>
        <v>3000131</v>
      </c>
      <c r="B4" s="2" t="str">
        <f t="shared" si="3"/>
        <v>3000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65"/>
      <c r="N4" s="16">
        <f>VLOOKUP(D4,gacha_300_base!A:B,2,FALSE)</f>
        <v>7742</v>
      </c>
      <c r="O4" s="37">
        <f>IFERROR(VLOOKUP($F4,bug_conf_sheet!$A:$H,3,FALSE),VLOOKUP("other",bug_conf_sheet!$A:$H,3,FALSE))</f>
        <v>1</v>
      </c>
      <c r="P4" s="37">
        <f>IFERROR(VLOOKUP($F4,bug_conf_sheet!$A:$H,4,FALSE),VLOOKUP("other",bug_conf_sheet!$A:$H,4,FALSE))</f>
        <v>0</v>
      </c>
      <c r="Q4" s="37">
        <f>IFERROR(VLOOKUP($F4,bug_conf_sheet!$A:$H,5,FALSE),VLOOKUP("other",bug_conf_sheet!$A:$H,5,FALSE))</f>
        <v>0</v>
      </c>
      <c r="R4" s="37">
        <f>IFERROR(VLOOKUP($F4,bug_conf_sheet!$A:$H,6,FALSE),VLOOKUP("other",bug_conf_sheet!$A:$H,6,FALSE))</f>
        <v>0</v>
      </c>
      <c r="S4" s="37">
        <f>IFERROR(VLOOKUP($F4,bug_conf_sheet!$A:$H,7,FALSE),VLOOKUP("other",bug_conf_sheet!$A:$H,7,FALSE))</f>
        <v>0</v>
      </c>
      <c r="T4" s="37">
        <f>IFERROR(VLOOKUP($F4,bug_conf_sheet!$A:$H,8,FALSE),VLOOKUP("other",bug_conf_sheet!$A:$H,8,FALSE))</f>
        <v>1</v>
      </c>
    </row>
    <row r="5" spans="1:20" ht="21" customHeight="1">
      <c r="A5" s="7" t="str">
        <f t="shared" si="0"/>
        <v>3000133</v>
      </c>
      <c r="B5" s="2" t="str">
        <f t="shared" si="3"/>
        <v>3000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65"/>
      <c r="N5" s="16">
        <f>VLOOKUP(D5,gacha_300_base!A:B,2,FALSE)</f>
        <v>7742</v>
      </c>
      <c r="O5" s="37">
        <f>IFERROR(VLOOKUP($F5,bug_conf_sheet!$A:$H,3,FALSE),VLOOKUP("other",bug_conf_sheet!$A:$H,3,FALSE))</f>
        <v>1</v>
      </c>
      <c r="P5" s="37">
        <f>IFERROR(VLOOKUP($F5,bug_conf_sheet!$A:$H,4,FALSE),VLOOKUP("other",bug_conf_sheet!$A:$H,4,FALSE))</f>
        <v>0</v>
      </c>
      <c r="Q5" s="37">
        <f>IFERROR(VLOOKUP($F5,bug_conf_sheet!$A:$H,5,FALSE),VLOOKUP("other",bug_conf_sheet!$A:$H,5,FALSE))</f>
        <v>0</v>
      </c>
      <c r="R5" s="37">
        <f>IFERROR(VLOOKUP($F5,bug_conf_sheet!$A:$H,6,FALSE),VLOOKUP("other",bug_conf_sheet!$A:$H,6,FALSE))</f>
        <v>0</v>
      </c>
      <c r="S5" s="37">
        <f>IFERROR(VLOOKUP($F5,bug_conf_sheet!$A:$H,7,FALSE),VLOOKUP("other",bug_conf_sheet!$A:$H,7,FALSE))</f>
        <v>0</v>
      </c>
      <c r="T5" s="37">
        <f>IFERROR(VLOOKUP($F5,bug_conf_sheet!$A:$H,8,FALSE),VLOOKUP("other",bug_conf_sheet!$A:$H,8,FALSE))</f>
        <v>1</v>
      </c>
    </row>
    <row r="6" spans="1:20" ht="21" customHeight="1">
      <c r="A6" s="7" t="str">
        <f t="shared" si="0"/>
        <v>3000135</v>
      </c>
      <c r="B6" s="2" t="str">
        <f t="shared" si="3"/>
        <v>3000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65"/>
      <c r="N6" s="16">
        <f>VLOOKUP(D6,gacha_300_base!A:B,2,FALSE)</f>
        <v>7742</v>
      </c>
      <c r="O6" s="37">
        <f>IFERROR(VLOOKUP($F6,bug_conf_sheet!$A:$H,3,FALSE),VLOOKUP("other",bug_conf_sheet!$A:$H,3,FALSE))</f>
        <v>1</v>
      </c>
      <c r="P6" s="37">
        <f>IFERROR(VLOOKUP($F6,bug_conf_sheet!$A:$H,4,FALSE),VLOOKUP("other",bug_conf_sheet!$A:$H,4,FALSE))</f>
        <v>0</v>
      </c>
      <c r="Q6" s="37">
        <f>IFERROR(VLOOKUP($F6,bug_conf_sheet!$A:$H,5,FALSE),VLOOKUP("other",bug_conf_sheet!$A:$H,5,FALSE))</f>
        <v>0</v>
      </c>
      <c r="R6" s="37">
        <f>IFERROR(VLOOKUP($F6,bug_conf_sheet!$A:$H,6,FALSE),VLOOKUP("other",bug_conf_sheet!$A:$H,6,FALSE))</f>
        <v>0</v>
      </c>
      <c r="S6" s="37">
        <f>IFERROR(VLOOKUP($F6,bug_conf_sheet!$A:$H,7,FALSE),VLOOKUP("other",bug_conf_sheet!$A:$H,7,FALSE))</f>
        <v>0</v>
      </c>
      <c r="T6" s="37">
        <f>IFERROR(VLOOKUP($F6,bug_conf_sheet!$A:$H,8,FALSE),VLOOKUP("other",bug_conf_sheet!$A:$H,8,FALSE))</f>
        <v>1</v>
      </c>
    </row>
    <row r="7" spans="1:20" ht="21" customHeight="1">
      <c r="A7" s="7" t="str">
        <f t="shared" si="0"/>
        <v>3000137</v>
      </c>
      <c r="B7" s="2" t="str">
        <f t="shared" si="3"/>
        <v>3000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65"/>
      <c r="N7" s="16">
        <f>VLOOKUP(D7,gacha_300_base!A:B,2,FALSE)</f>
        <v>7742</v>
      </c>
      <c r="O7" s="37">
        <f>IFERROR(VLOOKUP($F7,bug_conf_sheet!$A:$H,3,FALSE),VLOOKUP("other",bug_conf_sheet!$A:$H,3,FALSE))</f>
        <v>1</v>
      </c>
      <c r="P7" s="37">
        <f>IFERROR(VLOOKUP($F7,bug_conf_sheet!$A:$H,4,FALSE),VLOOKUP("other",bug_conf_sheet!$A:$H,4,FALSE))</f>
        <v>0</v>
      </c>
      <c r="Q7" s="37">
        <f>IFERROR(VLOOKUP($F7,bug_conf_sheet!$A:$H,5,FALSE),VLOOKUP("other",bug_conf_sheet!$A:$H,5,FALSE))</f>
        <v>0</v>
      </c>
      <c r="R7" s="37">
        <f>IFERROR(VLOOKUP($F7,bug_conf_sheet!$A:$H,6,FALSE),VLOOKUP("other",bug_conf_sheet!$A:$H,6,FALSE))</f>
        <v>0</v>
      </c>
      <c r="S7" s="37">
        <f>IFERROR(VLOOKUP($F7,bug_conf_sheet!$A:$H,7,FALSE),VLOOKUP("other",bug_conf_sheet!$A:$H,7,FALSE))</f>
        <v>0</v>
      </c>
      <c r="T7" s="37">
        <f>IFERROR(VLOOKUP($F7,bug_conf_sheet!$A:$H,8,FALSE),VLOOKUP("other",bug_conf_sheet!$A:$H,8,FALSE))</f>
        <v>1</v>
      </c>
    </row>
    <row r="8" spans="1:20" ht="21" customHeight="1">
      <c r="A8" s="7" t="str">
        <f t="shared" si="0"/>
        <v>3000139</v>
      </c>
      <c r="B8" s="2" t="str">
        <f t="shared" si="3"/>
        <v>3000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65"/>
      <c r="N8" s="16">
        <f>VLOOKUP(D8,gacha_300_base!A:B,2,FALSE)</f>
        <v>7742</v>
      </c>
      <c r="O8" s="37">
        <f>IFERROR(VLOOKUP($F8,bug_conf_sheet!$A:$H,3,FALSE),VLOOKUP("other",bug_conf_sheet!$A:$H,3,FALSE))</f>
        <v>1</v>
      </c>
      <c r="P8" s="37">
        <f>IFERROR(VLOOKUP($F8,bug_conf_sheet!$A:$H,4,FALSE),VLOOKUP("other",bug_conf_sheet!$A:$H,4,FALSE))</f>
        <v>0</v>
      </c>
      <c r="Q8" s="37">
        <f>IFERROR(VLOOKUP($F8,bug_conf_sheet!$A:$H,5,FALSE),VLOOKUP("other",bug_conf_sheet!$A:$H,5,FALSE))</f>
        <v>0</v>
      </c>
      <c r="R8" s="37">
        <f>IFERROR(VLOOKUP($F8,bug_conf_sheet!$A:$H,6,FALSE),VLOOKUP("other",bug_conf_sheet!$A:$H,6,FALSE))</f>
        <v>0</v>
      </c>
      <c r="S8" s="37">
        <f>IFERROR(VLOOKUP($F8,bug_conf_sheet!$A:$H,7,FALSE),VLOOKUP("other",bug_conf_sheet!$A:$H,7,FALSE))</f>
        <v>0</v>
      </c>
      <c r="T8" s="37">
        <f>IFERROR(VLOOKUP($F8,bug_conf_sheet!$A:$H,8,FALSE),VLOOKUP("other",bug_conf_sheet!$A:$H,8,FALSE))</f>
        <v>1</v>
      </c>
    </row>
    <row r="9" spans="1:20" ht="21" customHeight="1">
      <c r="A9" s="7" t="str">
        <f t="shared" si="0"/>
        <v>3000141</v>
      </c>
      <c r="B9" s="2" t="str">
        <f t="shared" si="3"/>
        <v>3000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65"/>
      <c r="N9" s="16">
        <f>VLOOKUP(D9,gacha_300_base!A:B,2,FALSE)</f>
        <v>7742</v>
      </c>
      <c r="O9" s="37">
        <f>IFERROR(VLOOKUP($F9,bug_conf_sheet!$A:$H,3,FALSE),VLOOKUP("other",bug_conf_sheet!$A:$H,3,FALSE))</f>
        <v>1</v>
      </c>
      <c r="P9" s="37">
        <f>IFERROR(VLOOKUP($F9,bug_conf_sheet!$A:$H,4,FALSE),VLOOKUP("other",bug_conf_sheet!$A:$H,4,FALSE))</f>
        <v>0</v>
      </c>
      <c r="Q9" s="37">
        <f>IFERROR(VLOOKUP($F9,bug_conf_sheet!$A:$H,5,FALSE),VLOOKUP("other",bug_conf_sheet!$A:$H,5,FALSE))</f>
        <v>0</v>
      </c>
      <c r="R9" s="37">
        <f>IFERROR(VLOOKUP($F9,bug_conf_sheet!$A:$H,6,FALSE),VLOOKUP("other",bug_conf_sheet!$A:$H,6,FALSE))</f>
        <v>0</v>
      </c>
      <c r="S9" s="37">
        <f>IFERROR(VLOOKUP($F9,bug_conf_sheet!$A:$H,7,FALSE),VLOOKUP("other",bug_conf_sheet!$A:$H,7,FALSE))</f>
        <v>0</v>
      </c>
      <c r="T9" s="37">
        <f>IFERROR(VLOOKUP($F9,bug_conf_sheet!$A:$H,8,FALSE),VLOOKUP("other",bug_conf_sheet!$A:$H,8,FALSE))</f>
        <v>1</v>
      </c>
    </row>
    <row r="10" spans="1:20" ht="21" customHeight="1">
      <c r="A10" s="7" t="str">
        <f t="shared" si="0"/>
        <v>3000143</v>
      </c>
      <c r="B10" s="2" t="str">
        <f t="shared" si="3"/>
        <v>3000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65"/>
      <c r="N10" s="16">
        <f>VLOOKUP(D10,gacha_300_base!A:B,2,FALSE)</f>
        <v>7742</v>
      </c>
      <c r="O10" s="37">
        <f>IFERROR(VLOOKUP($F10,bug_conf_sheet!$A:$H,3,FALSE),VLOOKUP("other",bug_conf_sheet!$A:$H,3,FALSE))</f>
        <v>1</v>
      </c>
      <c r="P10" s="37">
        <f>IFERROR(VLOOKUP($F10,bug_conf_sheet!$A:$H,4,FALSE),VLOOKUP("other",bug_conf_sheet!$A:$H,4,FALSE))</f>
        <v>0</v>
      </c>
      <c r="Q10" s="37">
        <f>IFERROR(VLOOKUP($F10,bug_conf_sheet!$A:$H,5,FALSE),VLOOKUP("other",bug_conf_sheet!$A:$H,5,FALSE))</f>
        <v>0</v>
      </c>
      <c r="R10" s="37">
        <f>IFERROR(VLOOKUP($F10,bug_conf_sheet!$A:$H,6,FALSE),VLOOKUP("other",bug_conf_sheet!$A:$H,6,FALSE))</f>
        <v>0</v>
      </c>
      <c r="S10" s="37">
        <f>IFERROR(VLOOKUP($F10,bug_conf_sheet!$A:$H,7,FALSE),VLOOKUP("other",bug_conf_sheet!$A:$H,7,FALSE))</f>
        <v>0</v>
      </c>
      <c r="T10" s="37">
        <f>IFERROR(VLOOKUP($F10,bug_conf_sheet!$A:$H,8,FALSE),VLOOKUP("other",bug_conf_sheet!$A:$H,8,FALSE))</f>
        <v>1</v>
      </c>
    </row>
    <row r="11" spans="1:20" ht="21" customHeight="1">
      <c r="A11" s="7" t="str">
        <f t="shared" si="0"/>
        <v>3000145</v>
      </c>
      <c r="B11" s="2" t="str">
        <f t="shared" si="3"/>
        <v>3000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65"/>
      <c r="N11" s="16">
        <f>VLOOKUP(D11,gacha_300_base!A:B,2,FALSE)</f>
        <v>7742</v>
      </c>
      <c r="O11" s="37">
        <f>IFERROR(VLOOKUP($F11,bug_conf_sheet!$A:$H,3,FALSE),VLOOKUP("other",bug_conf_sheet!$A:$H,3,FALSE))</f>
        <v>1</v>
      </c>
      <c r="P11" s="37">
        <f>IFERROR(VLOOKUP($F11,bug_conf_sheet!$A:$H,4,FALSE),VLOOKUP("other",bug_conf_sheet!$A:$H,4,FALSE))</f>
        <v>0</v>
      </c>
      <c r="Q11" s="37">
        <f>IFERROR(VLOOKUP($F11,bug_conf_sheet!$A:$H,5,FALSE),VLOOKUP("other",bug_conf_sheet!$A:$H,5,FALSE))</f>
        <v>0</v>
      </c>
      <c r="R11" s="37">
        <f>IFERROR(VLOOKUP($F11,bug_conf_sheet!$A:$H,6,FALSE),VLOOKUP("other",bug_conf_sheet!$A:$H,6,FALSE))</f>
        <v>0</v>
      </c>
      <c r="S11" s="37">
        <f>IFERROR(VLOOKUP($F11,bug_conf_sheet!$A:$H,7,FALSE),VLOOKUP("other",bug_conf_sheet!$A:$H,7,FALSE))</f>
        <v>0</v>
      </c>
      <c r="T11" s="37">
        <f>IFERROR(VLOOKUP($F11,bug_conf_sheet!$A:$H,8,FALSE),VLOOKUP("other",bug_conf_sheet!$A:$H,8,FALSE))</f>
        <v>1</v>
      </c>
    </row>
    <row r="12" spans="1:20" ht="21" customHeight="1">
      <c r="A12" s="7" t="str">
        <f t="shared" si="0"/>
        <v>3000147</v>
      </c>
      <c r="B12" s="2" t="str">
        <f t="shared" si="3"/>
        <v>3000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65"/>
      <c r="N12" s="16">
        <f>VLOOKUP(D12,gacha_300_base!A:B,2,FALSE)</f>
        <v>7742</v>
      </c>
      <c r="O12" s="37">
        <f>IFERROR(VLOOKUP($F12,bug_conf_sheet!$A:$H,3,FALSE),VLOOKUP("other",bug_conf_sheet!$A:$H,3,FALSE))</f>
        <v>1</v>
      </c>
      <c r="P12" s="37">
        <f>IFERROR(VLOOKUP($F12,bug_conf_sheet!$A:$H,4,FALSE),VLOOKUP("other",bug_conf_sheet!$A:$H,4,FALSE))</f>
        <v>0</v>
      </c>
      <c r="Q12" s="37">
        <f>IFERROR(VLOOKUP($F12,bug_conf_sheet!$A:$H,5,FALSE),VLOOKUP("other",bug_conf_sheet!$A:$H,5,FALSE))</f>
        <v>0</v>
      </c>
      <c r="R12" s="37">
        <f>IFERROR(VLOOKUP($F12,bug_conf_sheet!$A:$H,6,FALSE),VLOOKUP("other",bug_conf_sheet!$A:$H,6,FALSE))</f>
        <v>0</v>
      </c>
      <c r="S12" s="37">
        <f>IFERROR(VLOOKUP($F12,bug_conf_sheet!$A:$H,7,FALSE),VLOOKUP("other",bug_conf_sheet!$A:$H,7,FALSE))</f>
        <v>0</v>
      </c>
      <c r="T12" s="37">
        <f>IFERROR(VLOOKUP($F12,bug_conf_sheet!$A:$H,8,FALSE),VLOOKUP("other",bug_conf_sheet!$A:$H,8,FALSE))</f>
        <v>1</v>
      </c>
    </row>
    <row r="13" spans="1:20" ht="21" customHeight="1">
      <c r="A13" s="7" t="str">
        <f t="shared" si="0"/>
        <v>3000149</v>
      </c>
      <c r="B13" s="2" t="str">
        <f t="shared" si="3"/>
        <v>3000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65"/>
      <c r="N13" s="16">
        <f>VLOOKUP(D13,gacha_300_base!A:B,2,FALSE)</f>
        <v>7742</v>
      </c>
      <c r="O13" s="37">
        <f>IFERROR(VLOOKUP($F13,bug_conf_sheet!$A:$H,3,FALSE),VLOOKUP("other",bug_conf_sheet!$A:$H,3,FALSE))</f>
        <v>1</v>
      </c>
      <c r="P13" s="37">
        <f>IFERROR(VLOOKUP($F13,bug_conf_sheet!$A:$H,4,FALSE),VLOOKUP("other",bug_conf_sheet!$A:$H,4,FALSE))</f>
        <v>0</v>
      </c>
      <c r="Q13" s="37">
        <f>IFERROR(VLOOKUP($F13,bug_conf_sheet!$A:$H,5,FALSE),VLOOKUP("other",bug_conf_sheet!$A:$H,5,FALSE))</f>
        <v>0</v>
      </c>
      <c r="R13" s="37">
        <f>IFERROR(VLOOKUP($F13,bug_conf_sheet!$A:$H,6,FALSE),VLOOKUP("other",bug_conf_sheet!$A:$H,6,FALSE))</f>
        <v>0</v>
      </c>
      <c r="S13" s="37">
        <f>IFERROR(VLOOKUP($F13,bug_conf_sheet!$A:$H,7,FALSE),VLOOKUP("other",bug_conf_sheet!$A:$H,7,FALSE))</f>
        <v>0</v>
      </c>
      <c r="T13" s="37">
        <f>IFERROR(VLOOKUP($F13,bug_conf_sheet!$A:$H,8,FALSE),VLOOKUP("other",bug_conf_sheet!$A:$H,8,FALSE))</f>
        <v>1</v>
      </c>
    </row>
    <row r="14" spans="1:20" ht="21" customHeight="1">
      <c r="A14" s="7" t="str">
        <f t="shared" si="0"/>
        <v>3000151</v>
      </c>
      <c r="B14" s="2" t="str">
        <f t="shared" si="3"/>
        <v>3000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65"/>
      <c r="N14" s="16">
        <f>VLOOKUP(D14,gacha_300_base!A:B,2,FALSE)</f>
        <v>7742</v>
      </c>
      <c r="O14" s="37">
        <f>IFERROR(VLOOKUP($F14,bug_conf_sheet!$A:$H,3,FALSE),VLOOKUP("other",bug_conf_sheet!$A:$H,3,FALSE))</f>
        <v>1</v>
      </c>
      <c r="P14" s="37">
        <f>IFERROR(VLOOKUP($F14,bug_conf_sheet!$A:$H,4,FALSE),VLOOKUP("other",bug_conf_sheet!$A:$H,4,FALSE))</f>
        <v>0</v>
      </c>
      <c r="Q14" s="37">
        <f>IFERROR(VLOOKUP($F14,bug_conf_sheet!$A:$H,5,FALSE),VLOOKUP("other",bug_conf_sheet!$A:$H,5,FALSE))</f>
        <v>0</v>
      </c>
      <c r="R14" s="37">
        <f>IFERROR(VLOOKUP($F14,bug_conf_sheet!$A:$H,6,FALSE),VLOOKUP("other",bug_conf_sheet!$A:$H,6,FALSE))</f>
        <v>0</v>
      </c>
      <c r="S14" s="37">
        <f>IFERROR(VLOOKUP($F14,bug_conf_sheet!$A:$H,7,FALSE),VLOOKUP("other",bug_conf_sheet!$A:$H,7,FALSE))</f>
        <v>0</v>
      </c>
      <c r="T14" s="37">
        <f>IFERROR(VLOOKUP($F14,bug_conf_sheet!$A:$H,8,FALSE),VLOOKUP("other",bug_conf_sheet!$A:$H,8,FALSE))</f>
        <v>1</v>
      </c>
    </row>
    <row r="15" spans="1:20" ht="21" customHeight="1">
      <c r="A15" s="7" t="str">
        <f t="shared" si="0"/>
        <v>3000153</v>
      </c>
      <c r="B15" s="2" t="str">
        <f t="shared" si="3"/>
        <v>3000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65"/>
      <c r="N15" s="16">
        <f>VLOOKUP(D15,gacha_300_base!A:B,2,FALSE)</f>
        <v>7742</v>
      </c>
      <c r="O15" s="37">
        <f>IFERROR(VLOOKUP($F15,bug_conf_sheet!$A:$H,3,FALSE),VLOOKUP("other",bug_conf_sheet!$A:$H,3,FALSE))</f>
        <v>1</v>
      </c>
      <c r="P15" s="37">
        <f>IFERROR(VLOOKUP($F15,bug_conf_sheet!$A:$H,4,FALSE),VLOOKUP("other",bug_conf_sheet!$A:$H,4,FALSE))</f>
        <v>0</v>
      </c>
      <c r="Q15" s="37">
        <f>IFERROR(VLOOKUP($F15,bug_conf_sheet!$A:$H,5,FALSE),VLOOKUP("other",bug_conf_sheet!$A:$H,5,FALSE))</f>
        <v>0</v>
      </c>
      <c r="R15" s="37">
        <f>IFERROR(VLOOKUP($F15,bug_conf_sheet!$A:$H,6,FALSE),VLOOKUP("other",bug_conf_sheet!$A:$H,6,FALSE))</f>
        <v>0</v>
      </c>
      <c r="S15" s="37">
        <f>IFERROR(VLOOKUP($F15,bug_conf_sheet!$A:$H,7,FALSE),VLOOKUP("other",bug_conf_sheet!$A:$H,7,FALSE))</f>
        <v>0</v>
      </c>
      <c r="T15" s="37">
        <f>IFERROR(VLOOKUP($F15,bug_conf_sheet!$A:$H,8,FALSE),VLOOKUP("other",bug_conf_sheet!$A:$H,8,FALSE))</f>
        <v>1</v>
      </c>
    </row>
    <row r="16" spans="1:20" ht="21" customHeight="1">
      <c r="A16" s="7" t="str">
        <f t="shared" si="0"/>
        <v>3000155</v>
      </c>
      <c r="B16" s="2" t="str">
        <f t="shared" si="3"/>
        <v>3000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65"/>
      <c r="N16" s="16">
        <f>VLOOKUP(D16,gacha_300_base!A:B,2,FALSE)</f>
        <v>7742</v>
      </c>
      <c r="O16" s="37">
        <f>IFERROR(VLOOKUP($F16,bug_conf_sheet!$A:$H,3,FALSE),VLOOKUP("other",bug_conf_sheet!$A:$H,3,FALSE))</f>
        <v>1</v>
      </c>
      <c r="P16" s="37">
        <f>IFERROR(VLOOKUP($F16,bug_conf_sheet!$A:$H,4,FALSE),VLOOKUP("other",bug_conf_sheet!$A:$H,4,FALSE))</f>
        <v>0</v>
      </c>
      <c r="Q16" s="37">
        <f>IFERROR(VLOOKUP($F16,bug_conf_sheet!$A:$H,5,FALSE),VLOOKUP("other",bug_conf_sheet!$A:$H,5,FALSE))</f>
        <v>0</v>
      </c>
      <c r="R16" s="37">
        <f>IFERROR(VLOOKUP($F16,bug_conf_sheet!$A:$H,6,FALSE),VLOOKUP("other",bug_conf_sheet!$A:$H,6,FALSE))</f>
        <v>0</v>
      </c>
      <c r="S16" s="37">
        <f>IFERROR(VLOOKUP($F16,bug_conf_sheet!$A:$H,7,FALSE),VLOOKUP("other",bug_conf_sheet!$A:$H,7,FALSE))</f>
        <v>0</v>
      </c>
      <c r="T16" s="37">
        <f>IFERROR(VLOOKUP($F16,bug_conf_sheet!$A:$H,8,FALSE),VLOOKUP("other",bug_conf_sheet!$A:$H,8,FALSE))</f>
        <v>1</v>
      </c>
    </row>
    <row r="17" spans="1:20" ht="21" customHeight="1">
      <c r="A17" s="7" t="str">
        <f t="shared" si="0"/>
        <v>3000157</v>
      </c>
      <c r="B17" s="2" t="str">
        <f t="shared" si="3"/>
        <v>3000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65"/>
      <c r="N17" s="16">
        <f>VLOOKUP(D17,gacha_300_base!A:B,2,FALSE)</f>
        <v>7742</v>
      </c>
      <c r="O17" s="37">
        <f>IFERROR(VLOOKUP($F17,bug_conf_sheet!$A:$H,3,FALSE),VLOOKUP("other",bug_conf_sheet!$A:$H,3,FALSE))</f>
        <v>1</v>
      </c>
      <c r="P17" s="37">
        <f>IFERROR(VLOOKUP($F17,bug_conf_sheet!$A:$H,4,FALSE),VLOOKUP("other",bug_conf_sheet!$A:$H,4,FALSE))</f>
        <v>0</v>
      </c>
      <c r="Q17" s="37">
        <f>IFERROR(VLOOKUP($F17,bug_conf_sheet!$A:$H,5,FALSE),VLOOKUP("other",bug_conf_sheet!$A:$H,5,FALSE))</f>
        <v>0</v>
      </c>
      <c r="R17" s="37">
        <f>IFERROR(VLOOKUP($F17,bug_conf_sheet!$A:$H,6,FALSE),VLOOKUP("other",bug_conf_sheet!$A:$H,6,FALSE))</f>
        <v>0</v>
      </c>
      <c r="S17" s="37">
        <f>IFERROR(VLOOKUP($F17,bug_conf_sheet!$A:$H,7,FALSE),VLOOKUP("other",bug_conf_sheet!$A:$H,7,FALSE))</f>
        <v>0</v>
      </c>
      <c r="T17" s="37">
        <f>IFERROR(VLOOKUP($F17,bug_conf_sheet!$A:$H,8,FALSE),VLOOKUP("other",bug_conf_sheet!$A:$H,8,FALSE))</f>
        <v>1</v>
      </c>
    </row>
    <row r="18" spans="1:20" ht="21" customHeight="1">
      <c r="A18" s="7" t="str">
        <f t="shared" si="0"/>
        <v>3000159</v>
      </c>
      <c r="B18" s="2" t="str">
        <f t="shared" si="3"/>
        <v>3000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65"/>
      <c r="N18" s="16">
        <f>VLOOKUP(D18,gacha_300_base!A:B,2,FALSE)</f>
        <v>7742</v>
      </c>
      <c r="O18" s="37">
        <f>IFERROR(VLOOKUP($F18,bug_conf_sheet!$A:$H,3,FALSE),VLOOKUP("other",bug_conf_sheet!$A:$H,3,FALSE))</f>
        <v>1</v>
      </c>
      <c r="P18" s="37">
        <f>IFERROR(VLOOKUP($F18,bug_conf_sheet!$A:$H,4,FALSE),VLOOKUP("other",bug_conf_sheet!$A:$H,4,FALSE))</f>
        <v>0</v>
      </c>
      <c r="Q18" s="37">
        <f>IFERROR(VLOOKUP($F18,bug_conf_sheet!$A:$H,5,FALSE),VLOOKUP("other",bug_conf_sheet!$A:$H,5,FALSE))</f>
        <v>0</v>
      </c>
      <c r="R18" s="37">
        <f>IFERROR(VLOOKUP($F18,bug_conf_sheet!$A:$H,6,FALSE),VLOOKUP("other",bug_conf_sheet!$A:$H,6,FALSE))</f>
        <v>0</v>
      </c>
      <c r="S18" s="37">
        <f>IFERROR(VLOOKUP($F18,bug_conf_sheet!$A:$H,7,FALSE),VLOOKUP("other",bug_conf_sheet!$A:$H,7,FALSE))</f>
        <v>0</v>
      </c>
      <c r="T18" s="37">
        <f>IFERROR(VLOOKUP($F18,bug_conf_sheet!$A:$H,8,FALSE),VLOOKUP("other",bug_conf_sheet!$A:$H,8,FALSE))</f>
        <v>1</v>
      </c>
    </row>
    <row r="19" spans="1:20" ht="21" customHeight="1">
      <c r="A19" s="7" t="str">
        <f t="shared" si="0"/>
        <v>3000161</v>
      </c>
      <c r="B19" s="2" t="str">
        <f t="shared" si="3"/>
        <v>3000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65"/>
      <c r="N19" s="16">
        <f>VLOOKUP(D19,gacha_300_base!A:B,2,FALSE)</f>
        <v>7742</v>
      </c>
      <c r="O19" s="37">
        <f>IFERROR(VLOOKUP($F19,bug_conf_sheet!$A:$H,3,FALSE),VLOOKUP("other",bug_conf_sheet!$A:$H,3,FALSE))</f>
        <v>1</v>
      </c>
      <c r="P19" s="37">
        <f>IFERROR(VLOOKUP($F19,bug_conf_sheet!$A:$H,4,FALSE),VLOOKUP("other",bug_conf_sheet!$A:$H,4,FALSE))</f>
        <v>0</v>
      </c>
      <c r="Q19" s="37">
        <f>IFERROR(VLOOKUP($F19,bug_conf_sheet!$A:$H,5,FALSE),VLOOKUP("other",bug_conf_sheet!$A:$H,5,FALSE))</f>
        <v>0</v>
      </c>
      <c r="R19" s="37">
        <f>IFERROR(VLOOKUP($F19,bug_conf_sheet!$A:$H,6,FALSE),VLOOKUP("other",bug_conf_sheet!$A:$H,6,FALSE))</f>
        <v>0</v>
      </c>
      <c r="S19" s="37">
        <f>IFERROR(VLOOKUP($F19,bug_conf_sheet!$A:$H,7,FALSE),VLOOKUP("other",bug_conf_sheet!$A:$H,7,FALSE))</f>
        <v>0</v>
      </c>
      <c r="T19" s="37">
        <f>IFERROR(VLOOKUP($F19,bug_conf_sheet!$A:$H,8,FALSE),VLOOKUP("other",bug_conf_sheet!$A:$H,8,FALSE))</f>
        <v>1</v>
      </c>
    </row>
    <row r="20" spans="1:20" ht="21" customHeight="1">
      <c r="A20" s="7" t="str">
        <f t="shared" si="0"/>
        <v>3000163</v>
      </c>
      <c r="B20" s="2" t="str">
        <f t="shared" si="3"/>
        <v>3000</v>
      </c>
      <c r="C20" s="8" t="str">
        <f t="shared" si="1"/>
        <v>0PremiumW4</v>
      </c>
      <c r="D20" s="8" t="str">
        <f t="shared" si="2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65"/>
      <c r="N20" s="16">
        <f>VLOOKUP(D20,gacha_300_base!A:B,2,FALSE)</f>
        <v>7742</v>
      </c>
      <c r="O20" s="37">
        <f>IFERROR(VLOOKUP($F20,bug_conf_sheet!$A:$H,3,FALSE),VLOOKUP("other",bug_conf_sheet!$A:$H,3,FALSE))</f>
        <v>1</v>
      </c>
      <c r="P20" s="37">
        <f>IFERROR(VLOOKUP($F20,bug_conf_sheet!$A:$H,4,FALSE),VLOOKUP("other",bug_conf_sheet!$A:$H,4,FALSE))</f>
        <v>0</v>
      </c>
      <c r="Q20" s="37">
        <f>IFERROR(VLOOKUP($F20,bug_conf_sheet!$A:$H,5,FALSE),VLOOKUP("other",bug_conf_sheet!$A:$H,5,FALSE))</f>
        <v>0</v>
      </c>
      <c r="R20" s="37">
        <f>IFERROR(VLOOKUP($F20,bug_conf_sheet!$A:$H,6,FALSE),VLOOKUP("other",bug_conf_sheet!$A:$H,6,FALSE))</f>
        <v>0</v>
      </c>
      <c r="S20" s="37">
        <f>IFERROR(VLOOKUP($F20,bug_conf_sheet!$A:$H,7,FALSE),VLOOKUP("other",bug_conf_sheet!$A:$H,7,FALSE))</f>
        <v>0</v>
      </c>
      <c r="T20" s="37">
        <f>IFERROR(VLOOKUP($F20,bug_conf_sheet!$A:$H,8,FALSE),VLOOKUP("other",bug_conf_sheet!$A:$H,8,FALSE))</f>
        <v>1</v>
      </c>
    </row>
    <row r="21" spans="1:20" ht="21" customHeight="1">
      <c r="A21" s="7" t="str">
        <f t="shared" si="0"/>
        <v>3000165</v>
      </c>
      <c r="B21" s="2" t="str">
        <f t="shared" si="3"/>
        <v>3000</v>
      </c>
      <c r="C21" s="8" t="str">
        <f t="shared" si="1"/>
        <v>0PremiumW4</v>
      </c>
      <c r="D21" s="8" t="str">
        <f t="shared" si="2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65"/>
      <c r="N21" s="16">
        <f>VLOOKUP(D21,gacha_300_base!A:B,2,FALSE)</f>
        <v>7742</v>
      </c>
      <c r="O21" s="37">
        <f>IFERROR(VLOOKUP($F21,bug_conf_sheet!$A:$H,3,FALSE),VLOOKUP("other",bug_conf_sheet!$A:$H,3,FALSE))</f>
        <v>1</v>
      </c>
      <c r="P21" s="37">
        <f>IFERROR(VLOOKUP($F21,bug_conf_sheet!$A:$H,4,FALSE),VLOOKUP("other",bug_conf_sheet!$A:$H,4,FALSE))</f>
        <v>0</v>
      </c>
      <c r="Q21" s="37">
        <f>IFERROR(VLOOKUP($F21,bug_conf_sheet!$A:$H,5,FALSE),VLOOKUP("other",bug_conf_sheet!$A:$H,5,FALSE))</f>
        <v>0</v>
      </c>
      <c r="R21" s="37">
        <f>IFERROR(VLOOKUP($F21,bug_conf_sheet!$A:$H,6,FALSE),VLOOKUP("other",bug_conf_sheet!$A:$H,6,FALSE))</f>
        <v>0</v>
      </c>
      <c r="S21" s="37">
        <f>IFERROR(VLOOKUP($F21,bug_conf_sheet!$A:$H,7,FALSE),VLOOKUP("other",bug_conf_sheet!$A:$H,7,FALSE))</f>
        <v>0</v>
      </c>
      <c r="T21" s="37">
        <f>IFERROR(VLOOKUP($F21,bug_conf_sheet!$A:$H,8,FALSE),VLOOKUP("other",bug_conf_sheet!$A:$H,8,FALSE))</f>
        <v>1</v>
      </c>
    </row>
    <row r="22" spans="1:20" ht="21" customHeight="1">
      <c r="A22" s="7" t="str">
        <f t="shared" si="0"/>
        <v>3000167</v>
      </c>
      <c r="B22" s="2" t="str">
        <f t="shared" si="3"/>
        <v>3000</v>
      </c>
      <c r="C22" s="8" t="str">
        <f t="shared" si="1"/>
        <v>0PremiumN4</v>
      </c>
      <c r="D22" s="8" t="str">
        <f t="shared" si="2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65"/>
      <c r="N22" s="16">
        <f>VLOOKUP(D22,gacha_300_base!A:B,2,FALSE)</f>
        <v>14570</v>
      </c>
      <c r="O22" s="37">
        <f>IFERROR(VLOOKUP($F22,bug_conf_sheet!$A:$H,3,FALSE),VLOOKUP("other",bug_conf_sheet!$A:$H,3,FALSE))</f>
        <v>1</v>
      </c>
      <c r="P22" s="37">
        <f>IFERROR(VLOOKUP($F22,bug_conf_sheet!$A:$H,4,FALSE),VLOOKUP("other",bug_conf_sheet!$A:$H,4,FALSE))</f>
        <v>0</v>
      </c>
      <c r="Q22" s="37">
        <f>IFERROR(VLOOKUP($F22,bug_conf_sheet!$A:$H,5,FALSE),VLOOKUP("other",bug_conf_sheet!$A:$H,5,FALSE))</f>
        <v>0</v>
      </c>
      <c r="R22" s="37">
        <f>IFERROR(VLOOKUP($F22,bug_conf_sheet!$A:$H,6,FALSE),VLOOKUP("other",bug_conf_sheet!$A:$H,6,FALSE))</f>
        <v>0</v>
      </c>
      <c r="S22" s="37">
        <f>IFERROR(VLOOKUP($F22,bug_conf_sheet!$A:$H,7,FALSE),VLOOKUP("other",bug_conf_sheet!$A:$H,7,FALSE))</f>
        <v>0</v>
      </c>
      <c r="T22" s="37">
        <f>IFERROR(VLOOKUP($F22,bug_conf_sheet!$A:$H,8,FALSE),VLOOKUP("other",bug_conf_sheet!$A:$H,8,FALSE))</f>
        <v>1</v>
      </c>
    </row>
    <row r="23" spans="1:20" ht="21" customHeight="1">
      <c r="A23" s="7" t="str">
        <f t="shared" si="0"/>
        <v>3000168</v>
      </c>
      <c r="B23" s="2" t="str">
        <f t="shared" si="3"/>
        <v>3000</v>
      </c>
      <c r="C23" s="8" t="str">
        <f t="shared" si="1"/>
        <v>0PremiumN5</v>
      </c>
      <c r="D23" s="8" t="str">
        <f t="shared" si="2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65"/>
      <c r="N23" s="16">
        <f>VLOOKUP(D23,gacha_300_base!A:B,2,FALSE)</f>
        <v>914</v>
      </c>
      <c r="O23" s="37">
        <f>IFERROR(VLOOKUP($F23,bug_conf_sheet!$A:$H,3,FALSE),VLOOKUP("other",bug_conf_sheet!$A:$H,3,FALSE))</f>
        <v>1</v>
      </c>
      <c r="P23" s="37">
        <f>IFERROR(VLOOKUP($F23,bug_conf_sheet!$A:$H,4,FALSE),VLOOKUP("other",bug_conf_sheet!$A:$H,4,FALSE))</f>
        <v>0</v>
      </c>
      <c r="Q23" s="37">
        <f>IFERROR(VLOOKUP($F23,bug_conf_sheet!$A:$H,5,FALSE),VLOOKUP("other",bug_conf_sheet!$A:$H,5,FALSE))</f>
        <v>0</v>
      </c>
      <c r="R23" s="37">
        <f>IFERROR(VLOOKUP($F23,bug_conf_sheet!$A:$H,6,FALSE),VLOOKUP("other",bug_conf_sheet!$A:$H,6,FALSE))</f>
        <v>0</v>
      </c>
      <c r="S23" s="37">
        <f>IFERROR(VLOOKUP($F23,bug_conf_sheet!$A:$H,7,FALSE),VLOOKUP("other",bug_conf_sheet!$A:$H,7,FALSE))</f>
        <v>0</v>
      </c>
      <c r="T23" s="37">
        <f>IFERROR(VLOOKUP($F23,bug_conf_sheet!$A:$H,8,FALSE),VLOOKUP("other",bug_conf_sheet!$A:$H,8,FALSE))</f>
        <v>1</v>
      </c>
    </row>
    <row r="24" spans="1:20" ht="21" customHeight="1">
      <c r="A24" s="7" t="str">
        <f t="shared" si="0"/>
        <v>3000170</v>
      </c>
      <c r="B24" s="2" t="str">
        <f t="shared" si="3"/>
        <v>3000</v>
      </c>
      <c r="C24" s="8" t="str">
        <f t="shared" si="1"/>
        <v>0PremiumN4</v>
      </c>
      <c r="D24" s="8" t="str">
        <f t="shared" si="2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65"/>
      <c r="N24" s="16">
        <f>VLOOKUP(D24,gacha_300_base!A:B,2,FALSE)</f>
        <v>14570</v>
      </c>
      <c r="O24" s="37">
        <f>IFERROR(VLOOKUP($F24,bug_conf_sheet!$A:$H,3,FALSE),VLOOKUP("other",bug_conf_sheet!$A:$H,3,FALSE))</f>
        <v>1</v>
      </c>
      <c r="P24" s="37">
        <f>IFERROR(VLOOKUP($F24,bug_conf_sheet!$A:$H,4,FALSE),VLOOKUP("other",bug_conf_sheet!$A:$H,4,FALSE))</f>
        <v>0</v>
      </c>
      <c r="Q24" s="37">
        <f>IFERROR(VLOOKUP($F24,bug_conf_sheet!$A:$H,5,FALSE),VLOOKUP("other",bug_conf_sheet!$A:$H,5,FALSE))</f>
        <v>0</v>
      </c>
      <c r="R24" s="37">
        <f>IFERROR(VLOOKUP($F24,bug_conf_sheet!$A:$H,6,FALSE),VLOOKUP("other",bug_conf_sheet!$A:$H,6,FALSE))</f>
        <v>0</v>
      </c>
      <c r="S24" s="37">
        <f>IFERROR(VLOOKUP($F24,bug_conf_sheet!$A:$H,7,FALSE),VLOOKUP("other",bug_conf_sheet!$A:$H,7,FALSE))</f>
        <v>0</v>
      </c>
      <c r="T24" s="37">
        <f>IFERROR(VLOOKUP($F24,bug_conf_sheet!$A:$H,8,FALSE),VLOOKUP("other",bug_conf_sheet!$A:$H,8,FALSE))</f>
        <v>1</v>
      </c>
    </row>
    <row r="25" spans="1:20" ht="21" customHeight="1">
      <c r="A25" s="7" t="str">
        <f t="shared" si="0"/>
        <v>3000171</v>
      </c>
      <c r="B25" s="2" t="str">
        <f t="shared" si="3"/>
        <v>3000</v>
      </c>
      <c r="C25" s="8" t="str">
        <f t="shared" si="1"/>
        <v>0PremiumN5</v>
      </c>
      <c r="D25" s="8" t="str">
        <f t="shared" si="2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65"/>
      <c r="N25" s="16">
        <f>VLOOKUP(D25,gacha_300_base!A:B,2,FALSE)</f>
        <v>914</v>
      </c>
      <c r="O25" s="37">
        <f>IFERROR(VLOOKUP($F25,bug_conf_sheet!$A:$H,3,FALSE),VLOOKUP("other",bug_conf_sheet!$A:$H,3,FALSE))</f>
        <v>1</v>
      </c>
      <c r="P25" s="37">
        <f>IFERROR(VLOOKUP($F25,bug_conf_sheet!$A:$H,4,FALSE),VLOOKUP("other",bug_conf_sheet!$A:$H,4,FALSE))</f>
        <v>0</v>
      </c>
      <c r="Q25" s="37">
        <f>IFERROR(VLOOKUP($F25,bug_conf_sheet!$A:$H,5,FALSE),VLOOKUP("other",bug_conf_sheet!$A:$H,5,FALSE))</f>
        <v>0</v>
      </c>
      <c r="R25" s="37">
        <f>IFERROR(VLOOKUP($F25,bug_conf_sheet!$A:$H,6,FALSE),VLOOKUP("other",bug_conf_sheet!$A:$H,6,FALSE))</f>
        <v>0</v>
      </c>
      <c r="S25" s="37">
        <f>IFERROR(VLOOKUP($F25,bug_conf_sheet!$A:$H,7,FALSE),VLOOKUP("other",bug_conf_sheet!$A:$H,7,FALSE))</f>
        <v>0</v>
      </c>
      <c r="T25" s="37">
        <f>IFERROR(VLOOKUP($F25,bug_conf_sheet!$A:$H,8,FALSE),VLOOKUP("other",bug_conf_sheet!$A:$H,8,FALSE))</f>
        <v>1</v>
      </c>
    </row>
    <row r="26" spans="1:20" ht="21" customHeight="1">
      <c r="A26" s="7" t="str">
        <f t="shared" si="0"/>
        <v>3000173</v>
      </c>
      <c r="B26" s="2" t="str">
        <f t="shared" si="3"/>
        <v>3000</v>
      </c>
      <c r="C26" s="8" t="str">
        <f t="shared" si="1"/>
        <v>0PremiumN4</v>
      </c>
      <c r="D26" s="8" t="str">
        <f t="shared" si="2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65"/>
      <c r="N26" s="16">
        <f>VLOOKUP(D26,gacha_300_base!A:B,2,FALSE)</f>
        <v>14570</v>
      </c>
      <c r="O26" s="37">
        <f>IFERROR(VLOOKUP($F26,bug_conf_sheet!$A:$H,3,FALSE),VLOOKUP("other",bug_conf_sheet!$A:$H,3,FALSE))</f>
        <v>1</v>
      </c>
      <c r="P26" s="37">
        <f>IFERROR(VLOOKUP($F26,bug_conf_sheet!$A:$H,4,FALSE),VLOOKUP("other",bug_conf_sheet!$A:$H,4,FALSE))</f>
        <v>0</v>
      </c>
      <c r="Q26" s="37">
        <f>IFERROR(VLOOKUP($F26,bug_conf_sheet!$A:$H,5,FALSE),VLOOKUP("other",bug_conf_sheet!$A:$H,5,FALSE))</f>
        <v>0</v>
      </c>
      <c r="R26" s="37">
        <f>IFERROR(VLOOKUP($F26,bug_conf_sheet!$A:$H,6,FALSE),VLOOKUP("other",bug_conf_sheet!$A:$H,6,FALSE))</f>
        <v>0</v>
      </c>
      <c r="S26" s="37">
        <f>IFERROR(VLOOKUP($F26,bug_conf_sheet!$A:$H,7,FALSE),VLOOKUP("other",bug_conf_sheet!$A:$H,7,FALSE))</f>
        <v>0</v>
      </c>
      <c r="T26" s="37">
        <f>IFERROR(VLOOKUP($F26,bug_conf_sheet!$A:$H,8,FALSE),VLOOKUP("other",bug_conf_sheet!$A:$H,8,FALSE))</f>
        <v>1</v>
      </c>
    </row>
    <row r="27" spans="1:20" ht="21" customHeight="1">
      <c r="A27" s="7" t="str">
        <f t="shared" si="0"/>
        <v>3000174</v>
      </c>
      <c r="B27" s="2" t="str">
        <f t="shared" si="3"/>
        <v>3000</v>
      </c>
      <c r="C27" s="8" t="str">
        <f t="shared" si="1"/>
        <v>0PremiumN5</v>
      </c>
      <c r="D27" s="8" t="str">
        <f t="shared" si="2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65"/>
      <c r="N27" s="16">
        <f>VLOOKUP(D27,gacha_300_base!A:B,2,FALSE)</f>
        <v>914</v>
      </c>
      <c r="O27" s="37">
        <f>IFERROR(VLOOKUP($F27,bug_conf_sheet!$A:$H,3,FALSE),VLOOKUP("other",bug_conf_sheet!$A:$H,3,FALSE))</f>
        <v>1</v>
      </c>
      <c r="P27" s="37">
        <f>IFERROR(VLOOKUP($F27,bug_conf_sheet!$A:$H,4,FALSE),VLOOKUP("other",bug_conf_sheet!$A:$H,4,FALSE))</f>
        <v>0</v>
      </c>
      <c r="Q27" s="37">
        <f>IFERROR(VLOOKUP($F27,bug_conf_sheet!$A:$H,5,FALSE),VLOOKUP("other",bug_conf_sheet!$A:$H,5,FALSE))</f>
        <v>0</v>
      </c>
      <c r="R27" s="37">
        <f>IFERROR(VLOOKUP($F27,bug_conf_sheet!$A:$H,6,FALSE),VLOOKUP("other",bug_conf_sheet!$A:$H,6,FALSE))</f>
        <v>0</v>
      </c>
      <c r="S27" s="37">
        <f>IFERROR(VLOOKUP($F27,bug_conf_sheet!$A:$H,7,FALSE),VLOOKUP("other",bug_conf_sheet!$A:$H,7,FALSE))</f>
        <v>0</v>
      </c>
      <c r="T27" s="37">
        <f>IFERROR(VLOOKUP($F27,bug_conf_sheet!$A:$H,8,FALSE),VLOOKUP("other",bug_conf_sheet!$A:$H,8,FALSE))</f>
        <v>1</v>
      </c>
    </row>
    <row r="28" spans="1:20" ht="21" customHeight="1">
      <c r="A28" s="7" t="str">
        <f t="shared" si="0"/>
        <v>3000176</v>
      </c>
      <c r="B28" s="2" t="str">
        <f t="shared" si="3"/>
        <v>3000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65"/>
      <c r="N28" s="16">
        <f>VLOOKUP(D28,gacha_300_base!A:B,2,FALSE)</f>
        <v>14570</v>
      </c>
      <c r="O28" s="37">
        <f>IFERROR(VLOOKUP($F28,bug_conf_sheet!$A:$H,3,FALSE),VLOOKUP("other",bug_conf_sheet!$A:$H,3,FALSE))</f>
        <v>1</v>
      </c>
      <c r="P28" s="37">
        <f>IFERROR(VLOOKUP($F28,bug_conf_sheet!$A:$H,4,FALSE),VLOOKUP("other",bug_conf_sheet!$A:$H,4,FALSE))</f>
        <v>0</v>
      </c>
      <c r="Q28" s="37">
        <f>IFERROR(VLOOKUP($F28,bug_conf_sheet!$A:$H,5,FALSE),VLOOKUP("other",bug_conf_sheet!$A:$H,5,FALSE))</f>
        <v>0</v>
      </c>
      <c r="R28" s="37">
        <f>IFERROR(VLOOKUP($F28,bug_conf_sheet!$A:$H,6,FALSE),VLOOKUP("other",bug_conf_sheet!$A:$H,6,FALSE))</f>
        <v>0</v>
      </c>
      <c r="S28" s="37">
        <f>IFERROR(VLOOKUP($F28,bug_conf_sheet!$A:$H,7,FALSE),VLOOKUP("other",bug_conf_sheet!$A:$H,7,FALSE))</f>
        <v>0</v>
      </c>
      <c r="T28" s="37">
        <f>IFERROR(VLOOKUP($F28,bug_conf_sheet!$A:$H,8,FALSE),VLOOKUP("other",bug_conf_sheet!$A:$H,8,FALSE))</f>
        <v>1</v>
      </c>
    </row>
    <row r="29" spans="1:20" ht="21" customHeight="1">
      <c r="A29" s="7" t="str">
        <f t="shared" si="0"/>
        <v>3000177</v>
      </c>
      <c r="B29" s="2" t="str">
        <f t="shared" si="3"/>
        <v>3000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65"/>
      <c r="N29" s="16">
        <f>VLOOKUP(D29,gacha_300_base!A:B,2,FALSE)</f>
        <v>914</v>
      </c>
      <c r="O29" s="37">
        <f>IFERROR(VLOOKUP($F29,bug_conf_sheet!$A:$H,3,FALSE),VLOOKUP("other",bug_conf_sheet!$A:$H,3,FALSE))</f>
        <v>1</v>
      </c>
      <c r="P29" s="37">
        <f>IFERROR(VLOOKUP($F29,bug_conf_sheet!$A:$H,4,FALSE),VLOOKUP("other",bug_conf_sheet!$A:$H,4,FALSE))</f>
        <v>0</v>
      </c>
      <c r="Q29" s="37">
        <f>IFERROR(VLOOKUP($F29,bug_conf_sheet!$A:$H,5,FALSE),VLOOKUP("other",bug_conf_sheet!$A:$H,5,FALSE))</f>
        <v>0</v>
      </c>
      <c r="R29" s="37">
        <f>IFERROR(VLOOKUP($F29,bug_conf_sheet!$A:$H,6,FALSE),VLOOKUP("other",bug_conf_sheet!$A:$H,6,FALSE))</f>
        <v>0</v>
      </c>
      <c r="S29" s="37">
        <f>IFERROR(VLOOKUP($F29,bug_conf_sheet!$A:$H,7,FALSE),VLOOKUP("other",bug_conf_sheet!$A:$H,7,FALSE))</f>
        <v>0</v>
      </c>
      <c r="T29" s="37">
        <f>IFERROR(VLOOKUP($F29,bug_conf_sheet!$A:$H,8,FALSE),VLOOKUP("other",bug_conf_sheet!$A:$H,8,FALSE))</f>
        <v>1</v>
      </c>
    </row>
    <row r="30" spans="1:20" ht="21" customHeight="1">
      <c r="A30" s="7" t="str">
        <f t="shared" si="0"/>
        <v>3000179</v>
      </c>
      <c r="B30" s="2" t="str">
        <f t="shared" si="3"/>
        <v>3000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65"/>
      <c r="N30" s="16">
        <f>VLOOKUP(D30,gacha_300_base!A:B,2,FALSE)</f>
        <v>14570</v>
      </c>
      <c r="O30" s="37">
        <f>IFERROR(VLOOKUP($F30,bug_conf_sheet!$A:$H,3,FALSE),VLOOKUP("other",bug_conf_sheet!$A:$H,3,FALSE))</f>
        <v>1</v>
      </c>
      <c r="P30" s="37">
        <f>IFERROR(VLOOKUP($F30,bug_conf_sheet!$A:$H,4,FALSE),VLOOKUP("other",bug_conf_sheet!$A:$H,4,FALSE))</f>
        <v>0</v>
      </c>
      <c r="Q30" s="37">
        <f>IFERROR(VLOOKUP($F30,bug_conf_sheet!$A:$H,5,FALSE),VLOOKUP("other",bug_conf_sheet!$A:$H,5,FALSE))</f>
        <v>0</v>
      </c>
      <c r="R30" s="37">
        <f>IFERROR(VLOOKUP($F30,bug_conf_sheet!$A:$H,6,FALSE),VLOOKUP("other",bug_conf_sheet!$A:$H,6,FALSE))</f>
        <v>0</v>
      </c>
      <c r="S30" s="37">
        <f>IFERROR(VLOOKUP($F30,bug_conf_sheet!$A:$H,7,FALSE),VLOOKUP("other",bug_conf_sheet!$A:$H,7,FALSE))</f>
        <v>0</v>
      </c>
      <c r="T30" s="37">
        <f>IFERROR(VLOOKUP($F30,bug_conf_sheet!$A:$H,8,FALSE),VLOOKUP("other",bug_conf_sheet!$A:$H,8,FALSE))</f>
        <v>1</v>
      </c>
    </row>
    <row r="31" spans="1:20" ht="21" customHeight="1">
      <c r="A31" s="7" t="str">
        <f t="shared" si="0"/>
        <v>3000180</v>
      </c>
      <c r="B31" s="2" t="str">
        <f t="shared" si="3"/>
        <v>3000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65"/>
      <c r="N31" s="16">
        <f>VLOOKUP(D31,gacha_300_base!A:B,2,FALSE)</f>
        <v>914</v>
      </c>
      <c r="O31" s="37">
        <f>IFERROR(VLOOKUP($F31,bug_conf_sheet!$A:$H,3,FALSE),VLOOKUP("other",bug_conf_sheet!$A:$H,3,FALSE))</f>
        <v>1</v>
      </c>
      <c r="P31" s="37">
        <f>IFERROR(VLOOKUP($F31,bug_conf_sheet!$A:$H,4,FALSE),VLOOKUP("other",bug_conf_sheet!$A:$H,4,FALSE))</f>
        <v>0</v>
      </c>
      <c r="Q31" s="37">
        <f>IFERROR(VLOOKUP($F31,bug_conf_sheet!$A:$H,5,FALSE),VLOOKUP("other",bug_conf_sheet!$A:$H,5,FALSE))</f>
        <v>0</v>
      </c>
      <c r="R31" s="37">
        <f>IFERROR(VLOOKUP($F31,bug_conf_sheet!$A:$H,6,FALSE),VLOOKUP("other",bug_conf_sheet!$A:$H,6,FALSE))</f>
        <v>0</v>
      </c>
      <c r="S31" s="37">
        <f>IFERROR(VLOOKUP($F31,bug_conf_sheet!$A:$H,7,FALSE),VLOOKUP("other",bug_conf_sheet!$A:$H,7,FALSE))</f>
        <v>0</v>
      </c>
      <c r="T31" s="37">
        <f>IFERROR(VLOOKUP($F31,bug_conf_sheet!$A:$H,8,FALSE),VLOOKUP("other",bug_conf_sheet!$A:$H,8,FALSE))</f>
        <v>1</v>
      </c>
    </row>
    <row r="32" spans="1:20" ht="21" customHeight="1">
      <c r="A32" s="7" t="str">
        <f t="shared" si="0"/>
        <v>3000182</v>
      </c>
      <c r="B32" s="2" t="str">
        <f t="shared" si="3"/>
        <v>3000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65"/>
      <c r="N32" s="16">
        <f>VLOOKUP(D32,gacha_300_base!A:B,2,FALSE)</f>
        <v>14570</v>
      </c>
      <c r="O32" s="37">
        <f>IFERROR(VLOOKUP($F32,bug_conf_sheet!$A:$H,3,FALSE),VLOOKUP("other",bug_conf_sheet!$A:$H,3,FALSE))</f>
        <v>1</v>
      </c>
      <c r="P32" s="37">
        <f>IFERROR(VLOOKUP($F32,bug_conf_sheet!$A:$H,4,FALSE),VLOOKUP("other",bug_conf_sheet!$A:$H,4,FALSE))</f>
        <v>0</v>
      </c>
      <c r="Q32" s="37">
        <f>IFERROR(VLOOKUP($F32,bug_conf_sheet!$A:$H,5,FALSE),VLOOKUP("other",bug_conf_sheet!$A:$H,5,FALSE))</f>
        <v>0</v>
      </c>
      <c r="R32" s="37">
        <f>IFERROR(VLOOKUP($F32,bug_conf_sheet!$A:$H,6,FALSE),VLOOKUP("other",bug_conf_sheet!$A:$H,6,FALSE))</f>
        <v>0</v>
      </c>
      <c r="S32" s="37">
        <f>IFERROR(VLOOKUP($F32,bug_conf_sheet!$A:$H,7,FALSE),VLOOKUP("other",bug_conf_sheet!$A:$H,7,FALSE))</f>
        <v>0</v>
      </c>
      <c r="T32" s="37">
        <f>IFERROR(VLOOKUP($F32,bug_conf_sheet!$A:$H,8,FALSE),VLOOKUP("other",bug_conf_sheet!$A:$H,8,FALSE))</f>
        <v>1</v>
      </c>
    </row>
    <row r="33" spans="1:20" ht="21" customHeight="1">
      <c r="A33" s="7" t="str">
        <f t="shared" si="0"/>
        <v>3000183</v>
      </c>
      <c r="B33" s="2" t="str">
        <f t="shared" si="3"/>
        <v>3000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65"/>
      <c r="N33" s="16">
        <f>VLOOKUP(D33,gacha_300_base!A:B,2,FALSE)</f>
        <v>914</v>
      </c>
      <c r="O33" s="37">
        <f>IFERROR(VLOOKUP($F33,bug_conf_sheet!$A:$H,3,FALSE),VLOOKUP("other",bug_conf_sheet!$A:$H,3,FALSE))</f>
        <v>1</v>
      </c>
      <c r="P33" s="37">
        <f>IFERROR(VLOOKUP($F33,bug_conf_sheet!$A:$H,4,FALSE),VLOOKUP("other",bug_conf_sheet!$A:$H,4,FALSE))</f>
        <v>0</v>
      </c>
      <c r="Q33" s="37">
        <f>IFERROR(VLOOKUP($F33,bug_conf_sheet!$A:$H,5,FALSE),VLOOKUP("other",bug_conf_sheet!$A:$H,5,FALSE))</f>
        <v>0</v>
      </c>
      <c r="R33" s="37">
        <f>IFERROR(VLOOKUP($F33,bug_conf_sheet!$A:$H,6,FALSE),VLOOKUP("other",bug_conf_sheet!$A:$H,6,FALSE))</f>
        <v>0</v>
      </c>
      <c r="S33" s="37">
        <f>IFERROR(VLOOKUP($F33,bug_conf_sheet!$A:$H,7,FALSE),VLOOKUP("other",bug_conf_sheet!$A:$H,7,FALSE))</f>
        <v>0</v>
      </c>
      <c r="T33" s="37">
        <f>IFERROR(VLOOKUP($F33,bug_conf_sheet!$A:$H,8,FALSE),VLOOKUP("other",bug_conf_sheet!$A:$H,8,FALSE))</f>
        <v>1</v>
      </c>
    </row>
    <row r="34" spans="1:20" ht="21" customHeight="1">
      <c r="A34" s="7" t="str">
        <f t="shared" si="0"/>
        <v>3000185</v>
      </c>
      <c r="B34" s="2" t="str">
        <f t="shared" si="3"/>
        <v>3000</v>
      </c>
      <c r="C34" s="8" t="str">
        <f t="shared" si="1"/>
        <v>0PremiumN4</v>
      </c>
      <c r="D34" s="8" t="str">
        <f t="shared" si="2"/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65"/>
      <c r="N34" s="16">
        <f>VLOOKUP(D34,gacha_300_base!A:B,2,FALSE)</f>
        <v>14570</v>
      </c>
      <c r="O34" s="37">
        <f>IFERROR(VLOOKUP($F34,bug_conf_sheet!$A:$H,3,FALSE),VLOOKUP("other",bug_conf_sheet!$A:$H,3,FALSE))</f>
        <v>1</v>
      </c>
      <c r="P34" s="37">
        <f>IFERROR(VLOOKUP($F34,bug_conf_sheet!$A:$H,4,FALSE),VLOOKUP("other",bug_conf_sheet!$A:$H,4,FALSE))</f>
        <v>0</v>
      </c>
      <c r="Q34" s="37">
        <f>IFERROR(VLOOKUP($F34,bug_conf_sheet!$A:$H,5,FALSE),VLOOKUP("other",bug_conf_sheet!$A:$H,5,FALSE))</f>
        <v>0</v>
      </c>
      <c r="R34" s="37">
        <f>IFERROR(VLOOKUP($F34,bug_conf_sheet!$A:$H,6,FALSE),VLOOKUP("other",bug_conf_sheet!$A:$H,6,FALSE))</f>
        <v>0</v>
      </c>
      <c r="S34" s="37">
        <f>IFERROR(VLOOKUP($F34,bug_conf_sheet!$A:$H,7,FALSE),VLOOKUP("other",bug_conf_sheet!$A:$H,7,FALSE))</f>
        <v>0</v>
      </c>
      <c r="T34" s="37">
        <f>IFERROR(VLOOKUP($F34,bug_conf_sheet!$A:$H,8,FALSE),VLOOKUP("other",bug_conf_sheet!$A:$H,8,FALSE))</f>
        <v>1</v>
      </c>
    </row>
    <row r="35" spans="1:20" ht="21" customHeight="1">
      <c r="A35" s="7" t="str">
        <f t="shared" si="0"/>
        <v>3000186</v>
      </c>
      <c r="B35" s="2" t="str">
        <f t="shared" si="3"/>
        <v>3000</v>
      </c>
      <c r="C35" s="8" t="str">
        <f t="shared" si="1"/>
        <v>0PremiumN5</v>
      </c>
      <c r="D35" s="8" t="str">
        <f t="shared" si="2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65"/>
      <c r="N35" s="16">
        <f>VLOOKUP(D35,gacha_300_base!A:B,2,FALSE)</f>
        <v>914</v>
      </c>
      <c r="O35" s="37">
        <f>IFERROR(VLOOKUP($F35,bug_conf_sheet!$A:$H,3,FALSE),VLOOKUP("other",bug_conf_sheet!$A:$H,3,FALSE))</f>
        <v>1</v>
      </c>
      <c r="P35" s="37">
        <f>IFERROR(VLOOKUP($F35,bug_conf_sheet!$A:$H,4,FALSE),VLOOKUP("other",bug_conf_sheet!$A:$H,4,FALSE))</f>
        <v>0</v>
      </c>
      <c r="Q35" s="37">
        <f>IFERROR(VLOOKUP($F35,bug_conf_sheet!$A:$H,5,FALSE),VLOOKUP("other",bug_conf_sheet!$A:$H,5,FALSE))</f>
        <v>0</v>
      </c>
      <c r="R35" s="37">
        <f>IFERROR(VLOOKUP($F35,bug_conf_sheet!$A:$H,6,FALSE),VLOOKUP("other",bug_conf_sheet!$A:$H,6,FALSE))</f>
        <v>0</v>
      </c>
      <c r="S35" s="37">
        <f>IFERROR(VLOOKUP($F35,bug_conf_sheet!$A:$H,7,FALSE),VLOOKUP("other",bug_conf_sheet!$A:$H,7,FALSE))</f>
        <v>0</v>
      </c>
      <c r="T35" s="37">
        <f>IFERROR(VLOOKUP($F35,bug_conf_sheet!$A:$H,8,FALSE),VLOOKUP("other",bug_conf_sheet!$A:$H,8,FALSE))</f>
        <v>1</v>
      </c>
    </row>
    <row r="36" spans="1:20" ht="21" customHeight="1">
      <c r="A36" s="7" t="str">
        <f t="shared" si="0"/>
        <v>3000188</v>
      </c>
      <c r="B36" s="2" t="str">
        <f t="shared" si="3"/>
        <v>3000</v>
      </c>
      <c r="C36" s="8" t="str">
        <f t="shared" si="1"/>
        <v>0PremiumN4</v>
      </c>
      <c r="D36" s="8" t="str">
        <f t="shared" si="2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65"/>
      <c r="N36" s="16">
        <f>VLOOKUP(D36,gacha_300_base!A:B,2,FALSE)</f>
        <v>14570</v>
      </c>
      <c r="O36" s="37">
        <f>IFERROR(VLOOKUP($F36,bug_conf_sheet!$A:$H,3,FALSE),VLOOKUP("other",bug_conf_sheet!$A:$H,3,FALSE))</f>
        <v>1</v>
      </c>
      <c r="P36" s="37">
        <f>IFERROR(VLOOKUP($F36,bug_conf_sheet!$A:$H,4,FALSE),VLOOKUP("other",bug_conf_sheet!$A:$H,4,FALSE))</f>
        <v>0</v>
      </c>
      <c r="Q36" s="37">
        <f>IFERROR(VLOOKUP($F36,bug_conf_sheet!$A:$H,5,FALSE),VLOOKUP("other",bug_conf_sheet!$A:$H,5,FALSE))</f>
        <v>0</v>
      </c>
      <c r="R36" s="37">
        <f>IFERROR(VLOOKUP($F36,bug_conf_sheet!$A:$H,6,FALSE),VLOOKUP("other",bug_conf_sheet!$A:$H,6,FALSE))</f>
        <v>0</v>
      </c>
      <c r="S36" s="37">
        <f>IFERROR(VLOOKUP($F36,bug_conf_sheet!$A:$H,7,FALSE),VLOOKUP("other",bug_conf_sheet!$A:$H,7,FALSE))</f>
        <v>0</v>
      </c>
      <c r="T36" s="37">
        <f>IFERROR(VLOOKUP($F36,bug_conf_sheet!$A:$H,8,FALSE),VLOOKUP("other",bug_conf_sheet!$A:$H,8,FALSE))</f>
        <v>1</v>
      </c>
    </row>
    <row r="37" spans="1:20" ht="21" customHeight="1">
      <c r="A37" s="7" t="str">
        <f t="shared" si="0"/>
        <v>3000189</v>
      </c>
      <c r="B37" s="2" t="str">
        <f t="shared" si="3"/>
        <v>3000</v>
      </c>
      <c r="C37" s="8" t="str">
        <f t="shared" ref="C37:C79" si="4">E37&amp;H37&amp;I37</f>
        <v>0PremiumN5</v>
      </c>
      <c r="D37" s="8" t="str">
        <f t="shared" si="2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65"/>
      <c r="N37" s="16">
        <f>VLOOKUP(D37,gacha_300_base!A:B,2,FALSE)</f>
        <v>914</v>
      </c>
      <c r="O37" s="37">
        <f>IFERROR(VLOOKUP($F37,bug_conf_sheet!$A:$H,3,FALSE),VLOOKUP("other",bug_conf_sheet!$A:$H,3,FALSE))</f>
        <v>1</v>
      </c>
      <c r="P37" s="37">
        <f>IFERROR(VLOOKUP($F37,bug_conf_sheet!$A:$H,4,FALSE),VLOOKUP("other",bug_conf_sheet!$A:$H,4,FALSE))</f>
        <v>0</v>
      </c>
      <c r="Q37" s="37">
        <f>IFERROR(VLOOKUP($F37,bug_conf_sheet!$A:$H,5,FALSE),VLOOKUP("other",bug_conf_sheet!$A:$H,5,FALSE))</f>
        <v>0</v>
      </c>
      <c r="R37" s="37">
        <f>IFERROR(VLOOKUP($F37,bug_conf_sheet!$A:$H,6,FALSE),VLOOKUP("other",bug_conf_sheet!$A:$H,6,FALSE))</f>
        <v>0</v>
      </c>
      <c r="S37" s="37">
        <f>IFERROR(VLOOKUP($F37,bug_conf_sheet!$A:$H,7,FALSE),VLOOKUP("other",bug_conf_sheet!$A:$H,7,FALSE))</f>
        <v>0</v>
      </c>
      <c r="T37" s="37">
        <f>IFERROR(VLOOKUP($F37,bug_conf_sheet!$A:$H,8,FALSE),VLOOKUP("other",bug_conf_sheet!$A:$H,8,FALSE))</f>
        <v>1</v>
      </c>
    </row>
    <row r="38" spans="1:20" ht="21" customHeight="1">
      <c r="A38" s="7" t="str">
        <f t="shared" si="0"/>
        <v>3000191</v>
      </c>
      <c r="B38" s="2" t="str">
        <f t="shared" si="3"/>
        <v>3000</v>
      </c>
      <c r="C38" s="8" t="str">
        <f t="shared" si="4"/>
        <v>0PremiumN4</v>
      </c>
      <c r="D38" s="8" t="str">
        <f t="shared" si="2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65"/>
      <c r="N38" s="16">
        <f>VLOOKUP(D38,gacha_300_base!A:B,2,FALSE)</f>
        <v>14570</v>
      </c>
      <c r="O38" s="37">
        <f>IFERROR(VLOOKUP($F38,bug_conf_sheet!$A:$H,3,FALSE),VLOOKUP("other",bug_conf_sheet!$A:$H,3,FALSE))</f>
        <v>1</v>
      </c>
      <c r="P38" s="37">
        <f>IFERROR(VLOOKUP($F38,bug_conf_sheet!$A:$H,4,FALSE),VLOOKUP("other",bug_conf_sheet!$A:$H,4,FALSE))</f>
        <v>0</v>
      </c>
      <c r="Q38" s="37">
        <f>IFERROR(VLOOKUP($F38,bug_conf_sheet!$A:$H,5,FALSE),VLOOKUP("other",bug_conf_sheet!$A:$H,5,FALSE))</f>
        <v>0</v>
      </c>
      <c r="R38" s="37">
        <f>IFERROR(VLOOKUP($F38,bug_conf_sheet!$A:$H,6,FALSE),VLOOKUP("other",bug_conf_sheet!$A:$H,6,FALSE))</f>
        <v>0</v>
      </c>
      <c r="S38" s="37">
        <f>IFERROR(VLOOKUP($F38,bug_conf_sheet!$A:$H,7,FALSE),VLOOKUP("other",bug_conf_sheet!$A:$H,7,FALSE))</f>
        <v>0</v>
      </c>
      <c r="T38" s="37">
        <f>IFERROR(VLOOKUP($F38,bug_conf_sheet!$A:$H,8,FALSE),VLOOKUP("other",bug_conf_sheet!$A:$H,8,FALSE))</f>
        <v>1</v>
      </c>
    </row>
    <row r="39" spans="1:20" ht="21" customHeight="1">
      <c r="A39" s="7" t="str">
        <f t="shared" si="0"/>
        <v>3000192</v>
      </c>
      <c r="B39" s="2" t="str">
        <f t="shared" si="3"/>
        <v>3000</v>
      </c>
      <c r="C39" s="8" t="str">
        <f t="shared" si="4"/>
        <v>0PremiumN5</v>
      </c>
      <c r="D39" s="8" t="str">
        <f t="shared" si="2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65"/>
      <c r="N39" s="16">
        <f>VLOOKUP(D39,gacha_300_base!A:B,2,FALSE)</f>
        <v>914</v>
      </c>
      <c r="O39" s="37">
        <f>IFERROR(VLOOKUP($F39,bug_conf_sheet!$A:$H,3,FALSE),VLOOKUP("other",bug_conf_sheet!$A:$H,3,FALSE))</f>
        <v>1</v>
      </c>
      <c r="P39" s="37">
        <f>IFERROR(VLOOKUP($F39,bug_conf_sheet!$A:$H,4,FALSE),VLOOKUP("other",bug_conf_sheet!$A:$H,4,FALSE))</f>
        <v>0</v>
      </c>
      <c r="Q39" s="37">
        <f>IFERROR(VLOOKUP($F39,bug_conf_sheet!$A:$H,5,FALSE),VLOOKUP("other",bug_conf_sheet!$A:$H,5,FALSE))</f>
        <v>0</v>
      </c>
      <c r="R39" s="37">
        <f>IFERROR(VLOOKUP($F39,bug_conf_sheet!$A:$H,6,FALSE),VLOOKUP("other",bug_conf_sheet!$A:$H,6,FALSE))</f>
        <v>0</v>
      </c>
      <c r="S39" s="37">
        <f>IFERROR(VLOOKUP($F39,bug_conf_sheet!$A:$H,7,FALSE),VLOOKUP("other",bug_conf_sheet!$A:$H,7,FALSE))</f>
        <v>0</v>
      </c>
      <c r="T39" s="37">
        <f>IFERROR(VLOOKUP($F39,bug_conf_sheet!$A:$H,8,FALSE),VLOOKUP("other",bug_conf_sheet!$A:$H,8,FALSE))</f>
        <v>1</v>
      </c>
    </row>
    <row r="40" spans="1:20" ht="21" customHeight="1">
      <c r="A40" s="7" t="str">
        <f t="shared" si="0"/>
        <v>3000194</v>
      </c>
      <c r="B40" s="2" t="str">
        <f t="shared" si="3"/>
        <v>3000</v>
      </c>
      <c r="C40" s="8" t="str">
        <f t="shared" si="4"/>
        <v>0PremiumN4</v>
      </c>
      <c r="D40" s="8" t="str">
        <f t="shared" si="2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65"/>
      <c r="N40" s="16">
        <f>VLOOKUP(D40,gacha_300_base!A:B,2,FALSE)</f>
        <v>14570</v>
      </c>
      <c r="O40" s="37">
        <f>IFERROR(VLOOKUP($F40,bug_conf_sheet!$A:$H,3,FALSE),VLOOKUP("other",bug_conf_sheet!$A:$H,3,FALSE))</f>
        <v>1</v>
      </c>
      <c r="P40" s="37">
        <f>IFERROR(VLOOKUP($F40,bug_conf_sheet!$A:$H,4,FALSE),VLOOKUP("other",bug_conf_sheet!$A:$H,4,FALSE))</f>
        <v>0</v>
      </c>
      <c r="Q40" s="37">
        <f>IFERROR(VLOOKUP($F40,bug_conf_sheet!$A:$H,5,FALSE),VLOOKUP("other",bug_conf_sheet!$A:$H,5,FALSE))</f>
        <v>0</v>
      </c>
      <c r="R40" s="37">
        <f>IFERROR(VLOOKUP($F40,bug_conf_sheet!$A:$H,6,FALSE),VLOOKUP("other",bug_conf_sheet!$A:$H,6,FALSE))</f>
        <v>0</v>
      </c>
      <c r="S40" s="37">
        <f>IFERROR(VLOOKUP($F40,bug_conf_sheet!$A:$H,7,FALSE),VLOOKUP("other",bug_conf_sheet!$A:$H,7,FALSE))</f>
        <v>0</v>
      </c>
      <c r="T40" s="37">
        <f>IFERROR(VLOOKUP($F40,bug_conf_sheet!$A:$H,8,FALSE),VLOOKUP("other",bug_conf_sheet!$A:$H,8,FALSE))</f>
        <v>1</v>
      </c>
    </row>
    <row r="41" spans="1:20" ht="21" customHeight="1">
      <c r="A41" s="7" t="str">
        <f t="shared" si="0"/>
        <v>3000195</v>
      </c>
      <c r="B41" s="2" t="str">
        <f t="shared" si="3"/>
        <v>3000</v>
      </c>
      <c r="C41" s="8" t="str">
        <f t="shared" si="4"/>
        <v>0PremiumN5</v>
      </c>
      <c r="D41" s="8" t="str">
        <f t="shared" si="2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65"/>
      <c r="N41" s="16">
        <f>VLOOKUP(D41,gacha_300_base!A:B,2,FALSE)</f>
        <v>914</v>
      </c>
      <c r="O41" s="37">
        <f>IFERROR(VLOOKUP($F41,bug_conf_sheet!$A:$H,3,FALSE),VLOOKUP("other",bug_conf_sheet!$A:$H,3,FALSE))</f>
        <v>1</v>
      </c>
      <c r="P41" s="37">
        <f>IFERROR(VLOOKUP($F41,bug_conf_sheet!$A:$H,4,FALSE),VLOOKUP("other",bug_conf_sheet!$A:$H,4,FALSE))</f>
        <v>0</v>
      </c>
      <c r="Q41" s="37">
        <f>IFERROR(VLOOKUP($F41,bug_conf_sheet!$A:$H,5,FALSE),VLOOKUP("other",bug_conf_sheet!$A:$H,5,FALSE))</f>
        <v>0</v>
      </c>
      <c r="R41" s="37">
        <f>IFERROR(VLOOKUP($F41,bug_conf_sheet!$A:$H,6,FALSE),VLOOKUP("other",bug_conf_sheet!$A:$H,6,FALSE))</f>
        <v>0</v>
      </c>
      <c r="S41" s="37">
        <f>IFERROR(VLOOKUP($F41,bug_conf_sheet!$A:$H,7,FALSE),VLOOKUP("other",bug_conf_sheet!$A:$H,7,FALSE))</f>
        <v>0</v>
      </c>
      <c r="T41" s="37">
        <f>IFERROR(VLOOKUP($F41,bug_conf_sheet!$A:$H,8,FALSE),VLOOKUP("other",bug_conf_sheet!$A:$H,8,FALSE))</f>
        <v>1</v>
      </c>
    </row>
    <row r="42" spans="1:20" ht="21" customHeight="1">
      <c r="A42" s="7" t="str">
        <f t="shared" si="0"/>
        <v>3000197</v>
      </c>
      <c r="B42" s="2" t="str">
        <f t="shared" si="3"/>
        <v>3000</v>
      </c>
      <c r="C42" s="8" t="str">
        <f t="shared" si="4"/>
        <v>0PremiumN4</v>
      </c>
      <c r="D42" s="8" t="str">
        <f t="shared" si="2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65"/>
      <c r="N42" s="16">
        <f>VLOOKUP(D42,gacha_300_base!A:B,2,FALSE)</f>
        <v>14570</v>
      </c>
      <c r="O42" s="37">
        <f>IFERROR(VLOOKUP($F42,bug_conf_sheet!$A:$H,3,FALSE),VLOOKUP("other",bug_conf_sheet!$A:$H,3,FALSE))</f>
        <v>1</v>
      </c>
      <c r="P42" s="37">
        <f>IFERROR(VLOOKUP($F42,bug_conf_sheet!$A:$H,4,FALSE),VLOOKUP("other",bug_conf_sheet!$A:$H,4,FALSE))</f>
        <v>0</v>
      </c>
      <c r="Q42" s="37">
        <f>IFERROR(VLOOKUP($F42,bug_conf_sheet!$A:$H,5,FALSE),VLOOKUP("other",bug_conf_sheet!$A:$H,5,FALSE))</f>
        <v>0</v>
      </c>
      <c r="R42" s="37">
        <f>IFERROR(VLOOKUP($F42,bug_conf_sheet!$A:$H,6,FALSE),VLOOKUP("other",bug_conf_sheet!$A:$H,6,FALSE))</f>
        <v>0</v>
      </c>
      <c r="S42" s="37">
        <f>IFERROR(VLOOKUP($F42,bug_conf_sheet!$A:$H,7,FALSE),VLOOKUP("other",bug_conf_sheet!$A:$H,7,FALSE))</f>
        <v>0</v>
      </c>
      <c r="T42" s="37">
        <f>IFERROR(VLOOKUP($F42,bug_conf_sheet!$A:$H,8,FALSE),VLOOKUP("other",bug_conf_sheet!$A:$H,8,FALSE))</f>
        <v>1</v>
      </c>
    </row>
    <row r="43" spans="1:20" ht="21" customHeight="1">
      <c r="A43" s="7" t="str">
        <f t="shared" si="0"/>
        <v>3000198</v>
      </c>
      <c r="B43" s="2" t="str">
        <f t="shared" si="3"/>
        <v>3000</v>
      </c>
      <c r="C43" s="8" t="str">
        <f t="shared" si="4"/>
        <v>0PremiumN5</v>
      </c>
      <c r="D43" s="8" t="str">
        <f t="shared" si="2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65"/>
      <c r="N43" s="16">
        <f>VLOOKUP(D43,gacha_300_base!A:B,2,FALSE)</f>
        <v>914</v>
      </c>
      <c r="O43" s="37">
        <f>IFERROR(VLOOKUP($F43,bug_conf_sheet!$A:$H,3,FALSE),VLOOKUP("other",bug_conf_sheet!$A:$H,3,FALSE))</f>
        <v>1</v>
      </c>
      <c r="P43" s="37">
        <f>IFERROR(VLOOKUP($F43,bug_conf_sheet!$A:$H,4,FALSE),VLOOKUP("other",bug_conf_sheet!$A:$H,4,FALSE))</f>
        <v>0</v>
      </c>
      <c r="Q43" s="37">
        <f>IFERROR(VLOOKUP($F43,bug_conf_sheet!$A:$H,5,FALSE),VLOOKUP("other",bug_conf_sheet!$A:$H,5,FALSE))</f>
        <v>0</v>
      </c>
      <c r="R43" s="37">
        <f>IFERROR(VLOOKUP($F43,bug_conf_sheet!$A:$H,6,FALSE),VLOOKUP("other",bug_conf_sheet!$A:$H,6,FALSE))</f>
        <v>0</v>
      </c>
      <c r="S43" s="37">
        <f>IFERROR(VLOOKUP($F43,bug_conf_sheet!$A:$H,7,FALSE),VLOOKUP("other",bug_conf_sheet!$A:$H,7,FALSE))</f>
        <v>0</v>
      </c>
      <c r="T43" s="37">
        <f>IFERROR(VLOOKUP($F43,bug_conf_sheet!$A:$H,8,FALSE),VLOOKUP("other",bug_conf_sheet!$A:$H,8,FALSE))</f>
        <v>1</v>
      </c>
    </row>
    <row r="44" spans="1:20" ht="21" customHeight="1">
      <c r="A44" s="7" t="str">
        <f t="shared" si="0"/>
        <v>3000200</v>
      </c>
      <c r="B44" s="2" t="str">
        <f t="shared" si="3"/>
        <v>3000</v>
      </c>
      <c r="C44" s="8" t="str">
        <f t="shared" si="4"/>
        <v>0PremiumN4</v>
      </c>
      <c r="D44" s="8" t="str">
        <f t="shared" si="2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65"/>
      <c r="N44" s="16">
        <f>VLOOKUP(D44,gacha_300_base!A:B,2,FALSE)</f>
        <v>14570</v>
      </c>
      <c r="O44" s="37">
        <f>IFERROR(VLOOKUP($F44,bug_conf_sheet!$A:$H,3,FALSE),VLOOKUP("other",bug_conf_sheet!$A:$H,3,FALSE))</f>
        <v>1</v>
      </c>
      <c r="P44" s="37">
        <f>IFERROR(VLOOKUP($F44,bug_conf_sheet!$A:$H,4,FALSE),VLOOKUP("other",bug_conf_sheet!$A:$H,4,FALSE))</f>
        <v>0</v>
      </c>
      <c r="Q44" s="37">
        <f>IFERROR(VLOOKUP($F44,bug_conf_sheet!$A:$H,5,FALSE),VLOOKUP("other",bug_conf_sheet!$A:$H,5,FALSE))</f>
        <v>0</v>
      </c>
      <c r="R44" s="37">
        <f>IFERROR(VLOOKUP($F44,bug_conf_sheet!$A:$H,6,FALSE),VLOOKUP("other",bug_conf_sheet!$A:$H,6,FALSE))</f>
        <v>0</v>
      </c>
      <c r="S44" s="37">
        <f>IFERROR(VLOOKUP($F44,bug_conf_sheet!$A:$H,7,FALSE),VLOOKUP("other",bug_conf_sheet!$A:$H,7,FALSE))</f>
        <v>0</v>
      </c>
      <c r="T44" s="37">
        <f>IFERROR(VLOOKUP($F44,bug_conf_sheet!$A:$H,8,FALSE),VLOOKUP("other",bug_conf_sheet!$A:$H,8,FALSE))</f>
        <v>1</v>
      </c>
    </row>
    <row r="45" spans="1:20" ht="21" customHeight="1">
      <c r="A45" s="7" t="str">
        <f t="shared" si="0"/>
        <v>3000201</v>
      </c>
      <c r="B45" s="2" t="str">
        <f t="shared" si="3"/>
        <v>3000</v>
      </c>
      <c r="C45" s="8" t="str">
        <f t="shared" si="4"/>
        <v>0PremiumN5</v>
      </c>
      <c r="D45" s="8" t="str">
        <f t="shared" si="2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65"/>
      <c r="N45" s="16">
        <f>VLOOKUP(D45,gacha_300_base!A:B,2,FALSE)</f>
        <v>914</v>
      </c>
      <c r="O45" s="37">
        <f>IFERROR(VLOOKUP($F45,bug_conf_sheet!$A:$H,3,FALSE),VLOOKUP("other",bug_conf_sheet!$A:$H,3,FALSE))</f>
        <v>1</v>
      </c>
      <c r="P45" s="37">
        <f>IFERROR(VLOOKUP($F45,bug_conf_sheet!$A:$H,4,FALSE),VLOOKUP("other",bug_conf_sheet!$A:$H,4,FALSE))</f>
        <v>0</v>
      </c>
      <c r="Q45" s="37">
        <f>IFERROR(VLOOKUP($F45,bug_conf_sheet!$A:$H,5,FALSE),VLOOKUP("other",bug_conf_sheet!$A:$H,5,FALSE))</f>
        <v>0</v>
      </c>
      <c r="R45" s="37">
        <f>IFERROR(VLOOKUP($F45,bug_conf_sheet!$A:$H,6,FALSE),VLOOKUP("other",bug_conf_sheet!$A:$H,6,FALSE))</f>
        <v>0</v>
      </c>
      <c r="S45" s="37">
        <f>IFERROR(VLOOKUP($F45,bug_conf_sheet!$A:$H,7,FALSE),VLOOKUP("other",bug_conf_sheet!$A:$H,7,FALSE))</f>
        <v>0</v>
      </c>
      <c r="T45" s="37">
        <f>IFERROR(VLOOKUP($F45,bug_conf_sheet!$A:$H,8,FALSE),VLOOKUP("other",bug_conf_sheet!$A:$H,8,FALSE))</f>
        <v>1</v>
      </c>
    </row>
    <row r="46" spans="1:20" ht="21" customHeight="1">
      <c r="A46" s="7" t="str">
        <f t="shared" si="0"/>
        <v>3000203</v>
      </c>
      <c r="B46" s="2" t="str">
        <f t="shared" si="3"/>
        <v>3000</v>
      </c>
      <c r="C46" s="8" t="str">
        <f t="shared" si="4"/>
        <v>0PremiumN4</v>
      </c>
      <c r="D46" s="8" t="str">
        <f t="shared" si="2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65"/>
      <c r="N46" s="16">
        <f>VLOOKUP(D46,gacha_300_base!A:B,2,FALSE)</f>
        <v>14570</v>
      </c>
      <c r="O46" s="37">
        <f>IFERROR(VLOOKUP($F46,bug_conf_sheet!$A:$H,3,FALSE),VLOOKUP("other",bug_conf_sheet!$A:$H,3,FALSE))</f>
        <v>1</v>
      </c>
      <c r="P46" s="37">
        <f>IFERROR(VLOOKUP($F46,bug_conf_sheet!$A:$H,4,FALSE),VLOOKUP("other",bug_conf_sheet!$A:$H,4,FALSE))</f>
        <v>0</v>
      </c>
      <c r="Q46" s="37">
        <f>IFERROR(VLOOKUP($F46,bug_conf_sheet!$A:$H,5,FALSE),VLOOKUP("other",bug_conf_sheet!$A:$H,5,FALSE))</f>
        <v>0</v>
      </c>
      <c r="R46" s="37">
        <f>IFERROR(VLOOKUP($F46,bug_conf_sheet!$A:$H,6,FALSE),VLOOKUP("other",bug_conf_sheet!$A:$H,6,FALSE))</f>
        <v>0</v>
      </c>
      <c r="S46" s="37">
        <f>IFERROR(VLOOKUP($F46,bug_conf_sheet!$A:$H,7,FALSE),VLOOKUP("other",bug_conf_sheet!$A:$H,7,FALSE))</f>
        <v>0</v>
      </c>
      <c r="T46" s="37">
        <f>IFERROR(VLOOKUP($F46,bug_conf_sheet!$A:$H,8,FALSE),VLOOKUP("other",bug_conf_sheet!$A:$H,8,FALSE))</f>
        <v>1</v>
      </c>
    </row>
    <row r="47" spans="1:20" ht="21" customHeight="1">
      <c r="A47" s="7" t="str">
        <f t="shared" si="0"/>
        <v>3000204</v>
      </c>
      <c r="B47" s="2" t="str">
        <f t="shared" si="3"/>
        <v>3000</v>
      </c>
      <c r="C47" s="8" t="str">
        <f t="shared" si="4"/>
        <v>0PremiumN5</v>
      </c>
      <c r="D47" s="8" t="str">
        <f t="shared" si="2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65"/>
      <c r="N47" s="16">
        <f>VLOOKUP(D47,gacha_300_base!A:B,2,FALSE)</f>
        <v>914</v>
      </c>
      <c r="O47" s="37">
        <f>IFERROR(VLOOKUP($F47,bug_conf_sheet!$A:$H,3,FALSE),VLOOKUP("other",bug_conf_sheet!$A:$H,3,FALSE))</f>
        <v>1</v>
      </c>
      <c r="P47" s="37">
        <f>IFERROR(VLOOKUP($F47,bug_conf_sheet!$A:$H,4,FALSE),VLOOKUP("other",bug_conf_sheet!$A:$H,4,FALSE))</f>
        <v>0</v>
      </c>
      <c r="Q47" s="37">
        <f>IFERROR(VLOOKUP($F47,bug_conf_sheet!$A:$H,5,FALSE),VLOOKUP("other",bug_conf_sheet!$A:$H,5,FALSE))</f>
        <v>0</v>
      </c>
      <c r="R47" s="37">
        <f>IFERROR(VLOOKUP($F47,bug_conf_sheet!$A:$H,6,FALSE),VLOOKUP("other",bug_conf_sheet!$A:$H,6,FALSE))</f>
        <v>0</v>
      </c>
      <c r="S47" s="37">
        <f>IFERROR(VLOOKUP($F47,bug_conf_sheet!$A:$H,7,FALSE),VLOOKUP("other",bug_conf_sheet!$A:$H,7,FALSE))</f>
        <v>0</v>
      </c>
      <c r="T47" s="37">
        <f>IFERROR(VLOOKUP($F47,bug_conf_sheet!$A:$H,8,FALSE),VLOOKUP("other",bug_conf_sheet!$A:$H,8,FALSE))</f>
        <v>1</v>
      </c>
    </row>
    <row r="48" spans="1:20" ht="21" customHeight="1">
      <c r="A48" s="7" t="str">
        <f t="shared" si="0"/>
        <v>3000206</v>
      </c>
      <c r="B48" s="2" t="str">
        <f t="shared" si="3"/>
        <v>3000</v>
      </c>
      <c r="C48" s="8" t="str">
        <f t="shared" si="4"/>
        <v>0PremiumN4</v>
      </c>
      <c r="D48" s="8" t="str">
        <f t="shared" si="2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65"/>
      <c r="N48" s="16">
        <f>VLOOKUP(D48,gacha_300_base!A:B,2,FALSE)</f>
        <v>14570</v>
      </c>
      <c r="O48" s="37">
        <f>IFERROR(VLOOKUP($F48,bug_conf_sheet!$A:$H,3,FALSE),VLOOKUP("other",bug_conf_sheet!$A:$H,3,FALSE))</f>
        <v>1</v>
      </c>
      <c r="P48" s="37">
        <f>IFERROR(VLOOKUP($F48,bug_conf_sheet!$A:$H,4,FALSE),VLOOKUP("other",bug_conf_sheet!$A:$H,4,FALSE))</f>
        <v>0</v>
      </c>
      <c r="Q48" s="37">
        <f>IFERROR(VLOOKUP($F48,bug_conf_sheet!$A:$H,5,FALSE),VLOOKUP("other",bug_conf_sheet!$A:$H,5,FALSE))</f>
        <v>0</v>
      </c>
      <c r="R48" s="37">
        <f>IFERROR(VLOOKUP($F48,bug_conf_sheet!$A:$H,6,FALSE),VLOOKUP("other",bug_conf_sheet!$A:$H,6,FALSE))</f>
        <v>0</v>
      </c>
      <c r="S48" s="37">
        <f>IFERROR(VLOOKUP($F48,bug_conf_sheet!$A:$H,7,FALSE),VLOOKUP("other",bug_conf_sheet!$A:$H,7,FALSE))</f>
        <v>0</v>
      </c>
      <c r="T48" s="37">
        <f>IFERROR(VLOOKUP($F48,bug_conf_sheet!$A:$H,8,FALSE),VLOOKUP("other",bug_conf_sheet!$A:$H,8,FALSE))</f>
        <v>1</v>
      </c>
    </row>
    <row r="49" spans="1:20" ht="21" customHeight="1">
      <c r="A49" s="7" t="str">
        <f t="shared" si="0"/>
        <v>3000207</v>
      </c>
      <c r="B49" s="2" t="str">
        <f t="shared" si="3"/>
        <v>3000</v>
      </c>
      <c r="C49" s="8" t="str">
        <f t="shared" si="4"/>
        <v>0PremiumN5</v>
      </c>
      <c r="D49" s="8" t="str">
        <f t="shared" si="2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65"/>
      <c r="N49" s="16">
        <f>VLOOKUP(D49,gacha_300_base!A:B,2,FALSE)</f>
        <v>914</v>
      </c>
      <c r="O49" s="37">
        <f>IFERROR(VLOOKUP($F49,bug_conf_sheet!$A:$H,3,FALSE),VLOOKUP("other",bug_conf_sheet!$A:$H,3,FALSE))</f>
        <v>1</v>
      </c>
      <c r="P49" s="37">
        <f>IFERROR(VLOOKUP($F49,bug_conf_sheet!$A:$H,4,FALSE),VLOOKUP("other",bug_conf_sheet!$A:$H,4,FALSE))</f>
        <v>0</v>
      </c>
      <c r="Q49" s="37">
        <f>IFERROR(VLOOKUP($F49,bug_conf_sheet!$A:$H,5,FALSE),VLOOKUP("other",bug_conf_sheet!$A:$H,5,FALSE))</f>
        <v>0</v>
      </c>
      <c r="R49" s="37">
        <f>IFERROR(VLOOKUP($F49,bug_conf_sheet!$A:$H,6,FALSE),VLOOKUP("other",bug_conf_sheet!$A:$H,6,FALSE))</f>
        <v>0</v>
      </c>
      <c r="S49" s="37">
        <f>IFERROR(VLOOKUP($F49,bug_conf_sheet!$A:$H,7,FALSE),VLOOKUP("other",bug_conf_sheet!$A:$H,7,FALSE))</f>
        <v>0</v>
      </c>
      <c r="T49" s="37">
        <f>IFERROR(VLOOKUP($F49,bug_conf_sheet!$A:$H,8,FALSE),VLOOKUP("other",bug_conf_sheet!$A:$H,8,FALSE))</f>
        <v>1</v>
      </c>
    </row>
    <row r="50" spans="1:20" ht="21" customHeight="1">
      <c r="A50" s="7" t="str">
        <f t="shared" si="0"/>
        <v>3000209</v>
      </c>
      <c r="B50" s="2" t="str">
        <f t="shared" si="3"/>
        <v>3000</v>
      </c>
      <c r="C50" s="8" t="str">
        <f t="shared" si="4"/>
        <v>0PremiumN4</v>
      </c>
      <c r="D50" s="8" t="str">
        <f t="shared" si="2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65"/>
      <c r="N50" s="16">
        <f>VLOOKUP(D50,gacha_300_base!A:B,2,FALSE)</f>
        <v>14570</v>
      </c>
      <c r="O50" s="37">
        <f>IFERROR(VLOOKUP($F50,bug_conf_sheet!$A:$H,3,FALSE),VLOOKUP("other",bug_conf_sheet!$A:$H,3,FALSE))</f>
        <v>1</v>
      </c>
      <c r="P50" s="37">
        <f>IFERROR(VLOOKUP($F50,bug_conf_sheet!$A:$H,4,FALSE),VLOOKUP("other",bug_conf_sheet!$A:$H,4,FALSE))</f>
        <v>0</v>
      </c>
      <c r="Q50" s="37">
        <f>IFERROR(VLOOKUP($F50,bug_conf_sheet!$A:$H,5,FALSE),VLOOKUP("other",bug_conf_sheet!$A:$H,5,FALSE))</f>
        <v>0</v>
      </c>
      <c r="R50" s="37">
        <f>IFERROR(VLOOKUP($F50,bug_conf_sheet!$A:$H,6,FALSE),VLOOKUP("other",bug_conf_sheet!$A:$H,6,FALSE))</f>
        <v>0</v>
      </c>
      <c r="S50" s="37">
        <f>IFERROR(VLOOKUP($F50,bug_conf_sheet!$A:$H,7,FALSE),VLOOKUP("other",bug_conf_sheet!$A:$H,7,FALSE))</f>
        <v>0</v>
      </c>
      <c r="T50" s="37">
        <f>IFERROR(VLOOKUP($F50,bug_conf_sheet!$A:$H,8,FALSE),VLOOKUP("other",bug_conf_sheet!$A:$H,8,FALSE))</f>
        <v>1</v>
      </c>
    </row>
    <row r="51" spans="1:20" ht="21" customHeight="1">
      <c r="A51" s="7" t="str">
        <f t="shared" si="0"/>
        <v>3000210</v>
      </c>
      <c r="B51" s="2" t="str">
        <f t="shared" si="3"/>
        <v>3000</v>
      </c>
      <c r="C51" s="8" t="str">
        <f t="shared" si="4"/>
        <v>0PremiumN5</v>
      </c>
      <c r="D51" s="8" t="str">
        <f t="shared" si="2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65"/>
      <c r="N51" s="16">
        <f>VLOOKUP(D51,gacha_300_base!A:B,2,FALSE)</f>
        <v>914</v>
      </c>
      <c r="O51" s="37">
        <f>IFERROR(VLOOKUP($F51,bug_conf_sheet!$A:$H,3,FALSE),VLOOKUP("other",bug_conf_sheet!$A:$H,3,FALSE))</f>
        <v>1</v>
      </c>
      <c r="P51" s="37">
        <f>IFERROR(VLOOKUP($F51,bug_conf_sheet!$A:$H,4,FALSE),VLOOKUP("other",bug_conf_sheet!$A:$H,4,FALSE))</f>
        <v>0</v>
      </c>
      <c r="Q51" s="37">
        <f>IFERROR(VLOOKUP($F51,bug_conf_sheet!$A:$H,5,FALSE),VLOOKUP("other",bug_conf_sheet!$A:$H,5,FALSE))</f>
        <v>0</v>
      </c>
      <c r="R51" s="37">
        <f>IFERROR(VLOOKUP($F51,bug_conf_sheet!$A:$H,6,FALSE),VLOOKUP("other",bug_conf_sheet!$A:$H,6,FALSE))</f>
        <v>0</v>
      </c>
      <c r="S51" s="37">
        <f>IFERROR(VLOOKUP($F51,bug_conf_sheet!$A:$H,7,FALSE),VLOOKUP("other",bug_conf_sheet!$A:$H,7,FALSE))</f>
        <v>0</v>
      </c>
      <c r="T51" s="37">
        <f>IFERROR(VLOOKUP($F51,bug_conf_sheet!$A:$H,8,FALSE),VLOOKUP("other",bug_conf_sheet!$A:$H,8,FALSE))</f>
        <v>1</v>
      </c>
    </row>
    <row r="52" spans="1:20" ht="21" customHeight="1">
      <c r="A52" s="7" t="str">
        <f t="shared" si="0"/>
        <v>3000212</v>
      </c>
      <c r="B52" s="2" t="str">
        <f t="shared" si="3"/>
        <v>3000</v>
      </c>
      <c r="C52" s="8" t="str">
        <f t="shared" si="4"/>
        <v>0PremiumN4</v>
      </c>
      <c r="D52" s="8" t="str">
        <f t="shared" si="2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65"/>
      <c r="N52" s="16">
        <f>VLOOKUP(D52,gacha_300_base!A:B,2,FALSE)</f>
        <v>14570</v>
      </c>
      <c r="O52" s="37">
        <f>IFERROR(VLOOKUP($F52,bug_conf_sheet!$A:$H,3,FALSE),VLOOKUP("other",bug_conf_sheet!$A:$H,3,FALSE))</f>
        <v>1</v>
      </c>
      <c r="P52" s="37">
        <f>IFERROR(VLOOKUP($F52,bug_conf_sheet!$A:$H,4,FALSE),VLOOKUP("other",bug_conf_sheet!$A:$H,4,FALSE))</f>
        <v>0</v>
      </c>
      <c r="Q52" s="37">
        <f>IFERROR(VLOOKUP($F52,bug_conf_sheet!$A:$H,5,FALSE),VLOOKUP("other",bug_conf_sheet!$A:$H,5,FALSE))</f>
        <v>0</v>
      </c>
      <c r="R52" s="37">
        <f>IFERROR(VLOOKUP($F52,bug_conf_sheet!$A:$H,6,FALSE),VLOOKUP("other",bug_conf_sheet!$A:$H,6,FALSE))</f>
        <v>0</v>
      </c>
      <c r="S52" s="37">
        <f>IFERROR(VLOOKUP($F52,bug_conf_sheet!$A:$H,7,FALSE),VLOOKUP("other",bug_conf_sheet!$A:$H,7,FALSE))</f>
        <v>0</v>
      </c>
      <c r="T52" s="37">
        <f>IFERROR(VLOOKUP($F52,bug_conf_sheet!$A:$H,8,FALSE),VLOOKUP("other",bug_conf_sheet!$A:$H,8,FALSE))</f>
        <v>1</v>
      </c>
    </row>
    <row r="53" spans="1:20" ht="21" customHeight="1">
      <c r="A53" s="7" t="str">
        <f t="shared" si="0"/>
        <v>3000213</v>
      </c>
      <c r="B53" s="2" t="str">
        <f t="shared" si="3"/>
        <v>3000</v>
      </c>
      <c r="C53" s="8" t="str">
        <f t="shared" si="4"/>
        <v>0PremiumN5</v>
      </c>
      <c r="D53" s="8" t="str">
        <f t="shared" si="2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65"/>
      <c r="N53" s="16">
        <f>VLOOKUP(D53,gacha_300_base!A:B,2,FALSE)</f>
        <v>914</v>
      </c>
      <c r="O53" s="37">
        <f>IFERROR(VLOOKUP($F53,bug_conf_sheet!$A:$H,3,FALSE),VLOOKUP("other",bug_conf_sheet!$A:$H,3,FALSE))</f>
        <v>1</v>
      </c>
      <c r="P53" s="37">
        <f>IFERROR(VLOOKUP($F53,bug_conf_sheet!$A:$H,4,FALSE),VLOOKUP("other",bug_conf_sheet!$A:$H,4,FALSE))</f>
        <v>0</v>
      </c>
      <c r="Q53" s="37">
        <f>IFERROR(VLOOKUP($F53,bug_conf_sheet!$A:$H,5,FALSE),VLOOKUP("other",bug_conf_sheet!$A:$H,5,FALSE))</f>
        <v>0</v>
      </c>
      <c r="R53" s="37">
        <f>IFERROR(VLOOKUP($F53,bug_conf_sheet!$A:$H,6,FALSE),VLOOKUP("other",bug_conf_sheet!$A:$H,6,FALSE))</f>
        <v>0</v>
      </c>
      <c r="S53" s="37">
        <f>IFERROR(VLOOKUP($F53,bug_conf_sheet!$A:$H,7,FALSE),VLOOKUP("other",bug_conf_sheet!$A:$H,7,FALSE))</f>
        <v>0</v>
      </c>
      <c r="T53" s="37">
        <f>IFERROR(VLOOKUP($F53,bug_conf_sheet!$A:$H,8,FALSE),VLOOKUP("other",bug_conf_sheet!$A:$H,8,FALSE))</f>
        <v>1</v>
      </c>
    </row>
    <row r="54" spans="1:20" ht="21" customHeight="1">
      <c r="A54" s="7" t="str">
        <f t="shared" si="0"/>
        <v>3000215</v>
      </c>
      <c r="B54" s="2" t="str">
        <f t="shared" si="3"/>
        <v>3000</v>
      </c>
      <c r="C54" s="8" t="str">
        <f t="shared" si="4"/>
        <v>0PremiumN4</v>
      </c>
      <c r="D54" s="8" t="str">
        <f t="shared" si="2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65"/>
      <c r="N54" s="16">
        <f>VLOOKUP(D54,gacha_300_base!A:B,2,FALSE)</f>
        <v>14570</v>
      </c>
      <c r="O54" s="37">
        <f>IFERROR(VLOOKUP($F54,bug_conf_sheet!$A:$H,3,FALSE),VLOOKUP("other",bug_conf_sheet!$A:$H,3,FALSE))</f>
        <v>1</v>
      </c>
      <c r="P54" s="37">
        <f>IFERROR(VLOOKUP($F54,bug_conf_sheet!$A:$H,4,FALSE),VLOOKUP("other",bug_conf_sheet!$A:$H,4,FALSE))</f>
        <v>0</v>
      </c>
      <c r="Q54" s="37">
        <f>IFERROR(VLOOKUP($F54,bug_conf_sheet!$A:$H,5,FALSE),VLOOKUP("other",bug_conf_sheet!$A:$H,5,FALSE))</f>
        <v>0</v>
      </c>
      <c r="R54" s="37">
        <f>IFERROR(VLOOKUP($F54,bug_conf_sheet!$A:$H,6,FALSE),VLOOKUP("other",bug_conf_sheet!$A:$H,6,FALSE))</f>
        <v>0</v>
      </c>
      <c r="S54" s="37">
        <f>IFERROR(VLOOKUP($F54,bug_conf_sheet!$A:$H,7,FALSE),VLOOKUP("other",bug_conf_sheet!$A:$H,7,FALSE))</f>
        <v>0</v>
      </c>
      <c r="T54" s="37">
        <f>IFERROR(VLOOKUP($F54,bug_conf_sheet!$A:$H,8,FALSE),VLOOKUP("other",bug_conf_sheet!$A:$H,8,FALSE))</f>
        <v>1</v>
      </c>
    </row>
    <row r="55" spans="1:20" ht="21" customHeight="1">
      <c r="A55" s="7" t="str">
        <f t="shared" si="0"/>
        <v>3000216</v>
      </c>
      <c r="B55" s="2" t="str">
        <f t="shared" si="3"/>
        <v>3000</v>
      </c>
      <c r="C55" s="8" t="str">
        <f t="shared" si="4"/>
        <v>0PremiumN5</v>
      </c>
      <c r="D55" s="8" t="str">
        <f t="shared" si="2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65"/>
      <c r="N55" s="16">
        <f>VLOOKUP(D55,gacha_300_base!A:B,2,FALSE)</f>
        <v>914</v>
      </c>
      <c r="O55" s="37">
        <f>IFERROR(VLOOKUP($F55,bug_conf_sheet!$A:$H,3,FALSE),VLOOKUP("other",bug_conf_sheet!$A:$H,3,FALSE))</f>
        <v>1</v>
      </c>
      <c r="P55" s="37">
        <f>IFERROR(VLOOKUP($F55,bug_conf_sheet!$A:$H,4,FALSE),VLOOKUP("other",bug_conf_sheet!$A:$H,4,FALSE))</f>
        <v>0</v>
      </c>
      <c r="Q55" s="37">
        <f>IFERROR(VLOOKUP($F55,bug_conf_sheet!$A:$H,5,FALSE),VLOOKUP("other",bug_conf_sheet!$A:$H,5,FALSE))</f>
        <v>0</v>
      </c>
      <c r="R55" s="37">
        <f>IFERROR(VLOOKUP($F55,bug_conf_sheet!$A:$H,6,FALSE),VLOOKUP("other",bug_conf_sheet!$A:$H,6,FALSE))</f>
        <v>0</v>
      </c>
      <c r="S55" s="37">
        <f>IFERROR(VLOOKUP($F55,bug_conf_sheet!$A:$H,7,FALSE),VLOOKUP("other",bug_conf_sheet!$A:$H,7,FALSE))</f>
        <v>0</v>
      </c>
      <c r="T55" s="37">
        <f>IFERROR(VLOOKUP($F55,bug_conf_sheet!$A:$H,8,FALSE),VLOOKUP("other",bug_conf_sheet!$A:$H,8,FALSE))</f>
        <v>1</v>
      </c>
    </row>
    <row r="56" spans="1:20" ht="21" customHeight="1">
      <c r="A56" s="7" t="str">
        <f t="shared" si="0"/>
        <v>3000218</v>
      </c>
      <c r="B56" s="2" t="str">
        <f t="shared" si="3"/>
        <v>3000</v>
      </c>
      <c r="C56" s="8" t="str">
        <f t="shared" si="4"/>
        <v>0PremiumN4</v>
      </c>
      <c r="D56" s="8" t="str">
        <f t="shared" si="2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65"/>
      <c r="N56" s="16">
        <f>VLOOKUP(D56,gacha_300_base!A:B,2,FALSE)</f>
        <v>14570</v>
      </c>
      <c r="O56" s="37">
        <f>IFERROR(VLOOKUP($F56,bug_conf_sheet!$A:$H,3,FALSE),VLOOKUP("other",bug_conf_sheet!$A:$H,3,FALSE))</f>
        <v>1</v>
      </c>
      <c r="P56" s="37">
        <f>IFERROR(VLOOKUP($F56,bug_conf_sheet!$A:$H,4,FALSE),VLOOKUP("other",bug_conf_sheet!$A:$H,4,FALSE))</f>
        <v>0</v>
      </c>
      <c r="Q56" s="37">
        <f>IFERROR(VLOOKUP($F56,bug_conf_sheet!$A:$H,5,FALSE),VLOOKUP("other",bug_conf_sheet!$A:$H,5,FALSE))</f>
        <v>0</v>
      </c>
      <c r="R56" s="37">
        <f>IFERROR(VLOOKUP($F56,bug_conf_sheet!$A:$H,6,FALSE),VLOOKUP("other",bug_conf_sheet!$A:$H,6,FALSE))</f>
        <v>0</v>
      </c>
      <c r="S56" s="37">
        <f>IFERROR(VLOOKUP($F56,bug_conf_sheet!$A:$H,7,FALSE),VLOOKUP("other",bug_conf_sheet!$A:$H,7,FALSE))</f>
        <v>0</v>
      </c>
      <c r="T56" s="37">
        <f>IFERROR(VLOOKUP($F56,bug_conf_sheet!$A:$H,8,FALSE),VLOOKUP("other",bug_conf_sheet!$A:$H,8,FALSE))</f>
        <v>1</v>
      </c>
    </row>
    <row r="57" spans="1:20" ht="21" customHeight="1">
      <c r="A57" s="7" t="str">
        <f t="shared" si="0"/>
        <v>3000219</v>
      </c>
      <c r="B57" s="2" t="str">
        <f t="shared" si="3"/>
        <v>3000</v>
      </c>
      <c r="C57" s="8" t="str">
        <f t="shared" si="4"/>
        <v>0PremiumN5</v>
      </c>
      <c r="D57" s="8" t="str">
        <f t="shared" si="2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65"/>
      <c r="N57" s="16">
        <f>VLOOKUP(D57,gacha_300_base!A:B,2,FALSE)</f>
        <v>914</v>
      </c>
      <c r="O57" s="37">
        <f>IFERROR(VLOOKUP($F57,bug_conf_sheet!$A:$H,3,FALSE),VLOOKUP("other",bug_conf_sheet!$A:$H,3,FALSE))</f>
        <v>1</v>
      </c>
      <c r="P57" s="37">
        <f>IFERROR(VLOOKUP($F57,bug_conf_sheet!$A:$H,4,FALSE),VLOOKUP("other",bug_conf_sheet!$A:$H,4,FALSE))</f>
        <v>0</v>
      </c>
      <c r="Q57" s="37">
        <f>IFERROR(VLOOKUP($F57,bug_conf_sheet!$A:$H,5,FALSE),VLOOKUP("other",bug_conf_sheet!$A:$H,5,FALSE))</f>
        <v>0</v>
      </c>
      <c r="R57" s="37">
        <f>IFERROR(VLOOKUP($F57,bug_conf_sheet!$A:$H,6,FALSE),VLOOKUP("other",bug_conf_sheet!$A:$H,6,FALSE))</f>
        <v>0</v>
      </c>
      <c r="S57" s="37">
        <f>IFERROR(VLOOKUP($F57,bug_conf_sheet!$A:$H,7,FALSE),VLOOKUP("other",bug_conf_sheet!$A:$H,7,FALSE))</f>
        <v>0</v>
      </c>
      <c r="T57" s="37">
        <f>IFERROR(VLOOKUP($F57,bug_conf_sheet!$A:$H,8,FALSE),VLOOKUP("other",bug_conf_sheet!$A:$H,8,FALSE))</f>
        <v>1</v>
      </c>
    </row>
    <row r="58" spans="1:20" ht="21" customHeight="1">
      <c r="A58" s="7" t="str">
        <f t="shared" si="0"/>
        <v>3000221</v>
      </c>
      <c r="B58" s="2" t="str">
        <f t="shared" si="3"/>
        <v>3000</v>
      </c>
      <c r="C58" s="8" t="str">
        <f t="shared" si="4"/>
        <v>0PremiumN4</v>
      </c>
      <c r="D58" s="8" t="str">
        <f t="shared" si="2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65"/>
      <c r="N58" s="16">
        <f>VLOOKUP(D58,gacha_300_base!A:B,2,FALSE)</f>
        <v>14570</v>
      </c>
      <c r="O58" s="37">
        <f>IFERROR(VLOOKUP($F58,bug_conf_sheet!$A:$H,3,FALSE),VLOOKUP("other",bug_conf_sheet!$A:$H,3,FALSE))</f>
        <v>1</v>
      </c>
      <c r="P58" s="37">
        <f>IFERROR(VLOOKUP($F58,bug_conf_sheet!$A:$H,4,FALSE),VLOOKUP("other",bug_conf_sheet!$A:$H,4,FALSE))</f>
        <v>0</v>
      </c>
      <c r="Q58" s="37">
        <f>IFERROR(VLOOKUP($F58,bug_conf_sheet!$A:$H,5,FALSE),VLOOKUP("other",bug_conf_sheet!$A:$H,5,FALSE))</f>
        <v>0</v>
      </c>
      <c r="R58" s="37">
        <f>IFERROR(VLOOKUP($F58,bug_conf_sheet!$A:$H,6,FALSE),VLOOKUP("other",bug_conf_sheet!$A:$H,6,FALSE))</f>
        <v>0</v>
      </c>
      <c r="S58" s="37">
        <f>IFERROR(VLOOKUP($F58,bug_conf_sheet!$A:$H,7,FALSE),VLOOKUP("other",bug_conf_sheet!$A:$H,7,FALSE))</f>
        <v>0</v>
      </c>
      <c r="T58" s="37">
        <f>IFERROR(VLOOKUP($F58,bug_conf_sheet!$A:$H,8,FALSE),VLOOKUP("other",bug_conf_sheet!$A:$H,8,FALSE))</f>
        <v>1</v>
      </c>
    </row>
    <row r="59" spans="1:20" ht="21" customHeight="1">
      <c r="A59" s="7" t="str">
        <f t="shared" si="0"/>
        <v>3000222</v>
      </c>
      <c r="B59" s="2" t="str">
        <f t="shared" si="3"/>
        <v>3000</v>
      </c>
      <c r="C59" s="8" t="str">
        <f t="shared" si="4"/>
        <v>0PremiumN5</v>
      </c>
      <c r="D59" s="8" t="str">
        <f t="shared" si="2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65"/>
      <c r="N59" s="16">
        <f>VLOOKUP(D59,gacha_300_base!A:B,2,FALSE)</f>
        <v>914</v>
      </c>
      <c r="O59" s="37">
        <f>IFERROR(VLOOKUP($F59,bug_conf_sheet!$A:$H,3,FALSE),VLOOKUP("other",bug_conf_sheet!$A:$H,3,FALSE))</f>
        <v>1</v>
      </c>
      <c r="P59" s="37">
        <f>IFERROR(VLOOKUP($F59,bug_conf_sheet!$A:$H,4,FALSE),VLOOKUP("other",bug_conf_sheet!$A:$H,4,FALSE))</f>
        <v>0</v>
      </c>
      <c r="Q59" s="37">
        <f>IFERROR(VLOOKUP($F59,bug_conf_sheet!$A:$H,5,FALSE),VLOOKUP("other",bug_conf_sheet!$A:$H,5,FALSE))</f>
        <v>0</v>
      </c>
      <c r="R59" s="37">
        <f>IFERROR(VLOOKUP($F59,bug_conf_sheet!$A:$H,6,FALSE),VLOOKUP("other",bug_conf_sheet!$A:$H,6,FALSE))</f>
        <v>0</v>
      </c>
      <c r="S59" s="37">
        <f>IFERROR(VLOOKUP($F59,bug_conf_sheet!$A:$H,7,FALSE),VLOOKUP("other",bug_conf_sheet!$A:$H,7,FALSE))</f>
        <v>0</v>
      </c>
      <c r="T59" s="37">
        <f>IFERROR(VLOOKUP($F59,bug_conf_sheet!$A:$H,8,FALSE),VLOOKUP("other",bug_conf_sheet!$A:$H,8,FALSE))</f>
        <v>1</v>
      </c>
    </row>
    <row r="60" spans="1:20" ht="21" customHeight="1">
      <c r="A60" s="7" t="str">
        <f t="shared" si="0"/>
        <v>3000224</v>
      </c>
      <c r="B60" s="2" t="str">
        <f t="shared" si="3"/>
        <v>3000</v>
      </c>
      <c r="C60" s="8" t="str">
        <f t="shared" si="4"/>
        <v>0PremiumN4</v>
      </c>
      <c r="D60" s="8" t="str">
        <f t="shared" si="2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65"/>
      <c r="N60" s="16">
        <f>VLOOKUP(D60,gacha_300_base!A:B,2,FALSE)</f>
        <v>14570</v>
      </c>
      <c r="O60" s="37">
        <f>IFERROR(VLOOKUP($F60,bug_conf_sheet!$A:$H,3,FALSE),VLOOKUP("other",bug_conf_sheet!$A:$H,3,FALSE))</f>
        <v>1</v>
      </c>
      <c r="P60" s="37">
        <f>IFERROR(VLOOKUP($F60,bug_conf_sheet!$A:$H,4,FALSE),VLOOKUP("other",bug_conf_sheet!$A:$H,4,FALSE))</f>
        <v>0</v>
      </c>
      <c r="Q60" s="37">
        <f>IFERROR(VLOOKUP($F60,bug_conf_sheet!$A:$H,5,FALSE),VLOOKUP("other",bug_conf_sheet!$A:$H,5,FALSE))</f>
        <v>0</v>
      </c>
      <c r="R60" s="37">
        <f>IFERROR(VLOOKUP($F60,bug_conf_sheet!$A:$H,6,FALSE),VLOOKUP("other",bug_conf_sheet!$A:$H,6,FALSE))</f>
        <v>0</v>
      </c>
      <c r="S60" s="37">
        <f>IFERROR(VLOOKUP($F60,bug_conf_sheet!$A:$H,7,FALSE),VLOOKUP("other",bug_conf_sheet!$A:$H,7,FALSE))</f>
        <v>0</v>
      </c>
      <c r="T60" s="37">
        <f>IFERROR(VLOOKUP($F60,bug_conf_sheet!$A:$H,8,FALSE),VLOOKUP("other",bug_conf_sheet!$A:$H,8,FALSE))</f>
        <v>1</v>
      </c>
    </row>
    <row r="61" spans="1:20" ht="21" customHeight="1">
      <c r="A61" s="7" t="str">
        <f t="shared" si="0"/>
        <v>3000225</v>
      </c>
      <c r="B61" s="2" t="str">
        <f t="shared" si="3"/>
        <v>3000</v>
      </c>
      <c r="C61" s="8" t="str">
        <f t="shared" si="4"/>
        <v>0PremiumN5</v>
      </c>
      <c r="D61" s="8" t="str">
        <f t="shared" si="2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65"/>
      <c r="N61" s="16">
        <f>VLOOKUP(D61,gacha_300_base!A:B,2,FALSE)</f>
        <v>914</v>
      </c>
      <c r="O61" s="37">
        <f>IFERROR(VLOOKUP($F61,bug_conf_sheet!$A:$H,3,FALSE),VLOOKUP("other",bug_conf_sheet!$A:$H,3,FALSE))</f>
        <v>1</v>
      </c>
      <c r="P61" s="37">
        <f>IFERROR(VLOOKUP($F61,bug_conf_sheet!$A:$H,4,FALSE),VLOOKUP("other",bug_conf_sheet!$A:$H,4,FALSE))</f>
        <v>0</v>
      </c>
      <c r="Q61" s="37">
        <f>IFERROR(VLOOKUP($F61,bug_conf_sheet!$A:$H,5,FALSE),VLOOKUP("other",bug_conf_sheet!$A:$H,5,FALSE))</f>
        <v>0</v>
      </c>
      <c r="R61" s="37">
        <f>IFERROR(VLOOKUP($F61,bug_conf_sheet!$A:$H,6,FALSE),VLOOKUP("other",bug_conf_sheet!$A:$H,6,FALSE))</f>
        <v>0</v>
      </c>
      <c r="S61" s="37">
        <f>IFERROR(VLOOKUP($F61,bug_conf_sheet!$A:$H,7,FALSE),VLOOKUP("other",bug_conf_sheet!$A:$H,7,FALSE))</f>
        <v>0</v>
      </c>
      <c r="T61" s="37">
        <f>IFERROR(VLOOKUP($F61,bug_conf_sheet!$A:$H,8,FALSE),VLOOKUP("other",bug_conf_sheet!$A:$H,8,FALSE))</f>
        <v>1</v>
      </c>
    </row>
    <row r="62" spans="1:20" ht="21" customHeight="1">
      <c r="A62" s="7" t="str">
        <f t="shared" si="0"/>
        <v>3000227</v>
      </c>
      <c r="B62" s="2" t="str">
        <f t="shared" si="3"/>
        <v>3000</v>
      </c>
      <c r="C62" s="8" t="str">
        <f t="shared" si="4"/>
        <v>0PremiumS4</v>
      </c>
      <c r="D62" s="8" t="str">
        <f t="shared" si="2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65"/>
      <c r="N62" s="16">
        <f>VLOOKUP(D62,gacha_300_base!A:B,2,FALSE)</f>
        <v>14570</v>
      </c>
      <c r="O62" s="37">
        <f>IFERROR(VLOOKUP($F62,bug_conf_sheet!$A:$H,3,FALSE),VLOOKUP("other",bug_conf_sheet!$A:$H,3,FALSE))</f>
        <v>1</v>
      </c>
      <c r="P62" s="37">
        <f>IFERROR(VLOOKUP($F62,bug_conf_sheet!$A:$H,4,FALSE),VLOOKUP("other",bug_conf_sheet!$A:$H,4,FALSE))</f>
        <v>0</v>
      </c>
      <c r="Q62" s="37">
        <f>IFERROR(VLOOKUP($F62,bug_conf_sheet!$A:$H,5,FALSE),VLOOKUP("other",bug_conf_sheet!$A:$H,5,FALSE))</f>
        <v>0</v>
      </c>
      <c r="R62" s="37">
        <f>IFERROR(VLOOKUP($F62,bug_conf_sheet!$A:$H,6,FALSE),VLOOKUP("other",bug_conf_sheet!$A:$H,6,FALSE))</f>
        <v>0</v>
      </c>
      <c r="S62" s="37">
        <f>IFERROR(VLOOKUP($F62,bug_conf_sheet!$A:$H,7,FALSE),VLOOKUP("other",bug_conf_sheet!$A:$H,7,FALSE))</f>
        <v>0</v>
      </c>
      <c r="T62" s="37">
        <f>IFERROR(VLOOKUP($F62,bug_conf_sheet!$A:$H,8,FALSE),VLOOKUP("other",bug_conf_sheet!$A:$H,8,FALSE))</f>
        <v>1</v>
      </c>
    </row>
    <row r="63" spans="1:20" ht="21" customHeight="1">
      <c r="A63" s="7" t="str">
        <f t="shared" si="0"/>
        <v>3000228</v>
      </c>
      <c r="B63" s="2" t="str">
        <f t="shared" si="3"/>
        <v>3000</v>
      </c>
      <c r="C63" s="8" t="str">
        <f t="shared" si="4"/>
        <v>0PremiumS5</v>
      </c>
      <c r="D63" s="8" t="str">
        <f t="shared" si="2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65"/>
      <c r="N63" s="16">
        <f>VLOOKUP(D63,gacha_300_base!A:B,2,FALSE)</f>
        <v>914</v>
      </c>
      <c r="O63" s="37">
        <f>IFERROR(VLOOKUP($F63,bug_conf_sheet!$A:$H,3,FALSE),VLOOKUP("other",bug_conf_sheet!$A:$H,3,FALSE))</f>
        <v>1</v>
      </c>
      <c r="P63" s="37">
        <f>IFERROR(VLOOKUP($F63,bug_conf_sheet!$A:$H,4,FALSE),VLOOKUP("other",bug_conf_sheet!$A:$H,4,FALSE))</f>
        <v>0</v>
      </c>
      <c r="Q63" s="37">
        <f>IFERROR(VLOOKUP($F63,bug_conf_sheet!$A:$H,5,FALSE),VLOOKUP("other",bug_conf_sheet!$A:$H,5,FALSE))</f>
        <v>0</v>
      </c>
      <c r="R63" s="37">
        <f>IFERROR(VLOOKUP($F63,bug_conf_sheet!$A:$H,6,FALSE),VLOOKUP("other",bug_conf_sheet!$A:$H,6,FALSE))</f>
        <v>0</v>
      </c>
      <c r="S63" s="37">
        <f>IFERROR(VLOOKUP($F63,bug_conf_sheet!$A:$H,7,FALSE),VLOOKUP("other",bug_conf_sheet!$A:$H,7,FALSE))</f>
        <v>0</v>
      </c>
      <c r="T63" s="37">
        <f>IFERROR(VLOOKUP($F63,bug_conf_sheet!$A:$H,8,FALSE),VLOOKUP("other",bug_conf_sheet!$A:$H,8,FALSE))</f>
        <v>1</v>
      </c>
    </row>
    <row r="64" spans="1:20" ht="21" customHeight="1">
      <c r="A64" s="7" t="str">
        <f t="shared" si="0"/>
        <v>3000230</v>
      </c>
      <c r="B64" s="2" t="str">
        <f t="shared" si="3"/>
        <v>3000</v>
      </c>
      <c r="C64" s="8" t="str">
        <f t="shared" si="4"/>
        <v>0PremiumS4</v>
      </c>
      <c r="D64" s="8" t="str">
        <f t="shared" si="2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65"/>
      <c r="N64" s="16">
        <f>VLOOKUP(D64,gacha_300_base!A:B,2,FALSE)</f>
        <v>14570</v>
      </c>
      <c r="O64" s="37">
        <f>IFERROR(VLOOKUP($F64,bug_conf_sheet!$A:$H,3,FALSE),VLOOKUP("other",bug_conf_sheet!$A:$H,3,FALSE))</f>
        <v>1</v>
      </c>
      <c r="P64" s="37">
        <f>IFERROR(VLOOKUP($F64,bug_conf_sheet!$A:$H,4,FALSE),VLOOKUP("other",bug_conf_sheet!$A:$H,4,FALSE))</f>
        <v>0</v>
      </c>
      <c r="Q64" s="37">
        <f>IFERROR(VLOOKUP($F64,bug_conf_sheet!$A:$H,5,FALSE),VLOOKUP("other",bug_conf_sheet!$A:$H,5,FALSE))</f>
        <v>0</v>
      </c>
      <c r="R64" s="37">
        <f>IFERROR(VLOOKUP($F64,bug_conf_sheet!$A:$H,6,FALSE),VLOOKUP("other",bug_conf_sheet!$A:$H,6,FALSE))</f>
        <v>0</v>
      </c>
      <c r="S64" s="37">
        <f>IFERROR(VLOOKUP($F64,bug_conf_sheet!$A:$H,7,FALSE),VLOOKUP("other",bug_conf_sheet!$A:$H,7,FALSE))</f>
        <v>0</v>
      </c>
      <c r="T64" s="37">
        <f>IFERROR(VLOOKUP($F64,bug_conf_sheet!$A:$H,8,FALSE),VLOOKUP("other",bug_conf_sheet!$A:$H,8,FALSE))</f>
        <v>1</v>
      </c>
    </row>
    <row r="65" spans="1:20" ht="21" customHeight="1">
      <c r="A65" s="7" t="str">
        <f t="shared" ref="A65:A128" si="5">B65&amp;F65</f>
        <v>3000231</v>
      </c>
      <c r="B65" s="2" t="str">
        <f t="shared" si="3"/>
        <v>3000</v>
      </c>
      <c r="C65" s="8" t="str">
        <f t="shared" si="4"/>
        <v>0PremiumS5</v>
      </c>
      <c r="D65" s="8" t="str">
        <f t="shared" si="2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65"/>
      <c r="N65" s="16">
        <f>VLOOKUP(D65,gacha_300_base!A:B,2,FALSE)</f>
        <v>914</v>
      </c>
      <c r="O65" s="37">
        <f>IFERROR(VLOOKUP($F65,bug_conf_sheet!$A:$H,3,FALSE),VLOOKUP("other",bug_conf_sheet!$A:$H,3,FALSE))</f>
        <v>1</v>
      </c>
      <c r="P65" s="37">
        <f>IFERROR(VLOOKUP($F65,bug_conf_sheet!$A:$H,4,FALSE),VLOOKUP("other",bug_conf_sheet!$A:$H,4,FALSE))</f>
        <v>0</v>
      </c>
      <c r="Q65" s="37">
        <f>IFERROR(VLOOKUP($F65,bug_conf_sheet!$A:$H,5,FALSE),VLOOKUP("other",bug_conf_sheet!$A:$H,5,FALSE))</f>
        <v>0</v>
      </c>
      <c r="R65" s="37">
        <f>IFERROR(VLOOKUP($F65,bug_conf_sheet!$A:$H,6,FALSE),VLOOKUP("other",bug_conf_sheet!$A:$H,6,FALSE))</f>
        <v>0</v>
      </c>
      <c r="S65" s="37">
        <f>IFERROR(VLOOKUP($F65,bug_conf_sheet!$A:$H,7,FALSE),VLOOKUP("other",bug_conf_sheet!$A:$H,7,FALSE))</f>
        <v>0</v>
      </c>
      <c r="T65" s="37">
        <f>IFERROR(VLOOKUP($F65,bug_conf_sheet!$A:$H,8,FALSE),VLOOKUP("other",bug_conf_sheet!$A:$H,8,FALSE))</f>
        <v>1</v>
      </c>
    </row>
    <row r="66" spans="1:20" ht="21" customHeight="1">
      <c r="A66" s="7" t="str">
        <f t="shared" si="5"/>
        <v>3000233</v>
      </c>
      <c r="B66" s="2" t="str">
        <f t="shared" si="3"/>
        <v>3000</v>
      </c>
      <c r="C66" s="8" t="str">
        <f t="shared" si="4"/>
        <v>0PremiumS4</v>
      </c>
      <c r="D66" s="8" t="str">
        <f t="shared" ref="D66:D129" si="6">E66&amp;H66&amp;I66</f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65"/>
      <c r="N66" s="16">
        <f>VLOOKUP(D66,gacha_300_base!A:B,2,FALSE)</f>
        <v>14570</v>
      </c>
      <c r="O66" s="37">
        <f>IFERROR(VLOOKUP($F66,bug_conf_sheet!$A:$H,3,FALSE),VLOOKUP("other",bug_conf_sheet!$A:$H,3,FALSE))</f>
        <v>1</v>
      </c>
      <c r="P66" s="37">
        <f>IFERROR(VLOOKUP($F66,bug_conf_sheet!$A:$H,4,FALSE),VLOOKUP("other",bug_conf_sheet!$A:$H,4,FALSE))</f>
        <v>0</v>
      </c>
      <c r="Q66" s="37">
        <f>IFERROR(VLOOKUP($F66,bug_conf_sheet!$A:$H,5,FALSE),VLOOKUP("other",bug_conf_sheet!$A:$H,5,FALSE))</f>
        <v>0</v>
      </c>
      <c r="R66" s="37">
        <f>IFERROR(VLOOKUP($F66,bug_conf_sheet!$A:$H,6,FALSE),VLOOKUP("other",bug_conf_sheet!$A:$H,6,FALSE))</f>
        <v>0</v>
      </c>
      <c r="S66" s="37">
        <f>IFERROR(VLOOKUP($F66,bug_conf_sheet!$A:$H,7,FALSE),VLOOKUP("other",bug_conf_sheet!$A:$H,7,FALSE))</f>
        <v>0</v>
      </c>
      <c r="T66" s="37">
        <f>IFERROR(VLOOKUP($F66,bug_conf_sheet!$A:$H,8,FALSE),VLOOKUP("other",bug_conf_sheet!$A:$H,8,FALSE))</f>
        <v>1</v>
      </c>
    </row>
    <row r="67" spans="1:20" ht="21" customHeight="1">
      <c r="A67" s="7" t="str">
        <f t="shared" si="5"/>
        <v>3000234</v>
      </c>
      <c r="B67" s="2" t="str">
        <f t="shared" ref="B67:B130" si="7">300&amp;E67</f>
        <v>3000</v>
      </c>
      <c r="C67" s="8" t="str">
        <f t="shared" si="4"/>
        <v>0PremiumS5</v>
      </c>
      <c r="D67" s="8" t="str">
        <f t="shared" si="6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65"/>
      <c r="N67" s="16">
        <f>VLOOKUP(D67,gacha_300_base!A:B,2,FALSE)</f>
        <v>914</v>
      </c>
      <c r="O67" s="37">
        <f>IFERROR(VLOOKUP($F67,bug_conf_sheet!$A:$H,3,FALSE),VLOOKUP("other",bug_conf_sheet!$A:$H,3,FALSE))</f>
        <v>1</v>
      </c>
      <c r="P67" s="37">
        <f>IFERROR(VLOOKUP($F67,bug_conf_sheet!$A:$H,4,FALSE),VLOOKUP("other",bug_conf_sheet!$A:$H,4,FALSE))</f>
        <v>0</v>
      </c>
      <c r="Q67" s="37">
        <f>IFERROR(VLOOKUP($F67,bug_conf_sheet!$A:$H,5,FALSE),VLOOKUP("other",bug_conf_sheet!$A:$H,5,FALSE))</f>
        <v>0</v>
      </c>
      <c r="R67" s="37">
        <f>IFERROR(VLOOKUP($F67,bug_conf_sheet!$A:$H,6,FALSE),VLOOKUP("other",bug_conf_sheet!$A:$H,6,FALSE))</f>
        <v>0</v>
      </c>
      <c r="S67" s="37">
        <f>IFERROR(VLOOKUP($F67,bug_conf_sheet!$A:$H,7,FALSE),VLOOKUP("other",bug_conf_sheet!$A:$H,7,FALSE))</f>
        <v>0</v>
      </c>
      <c r="T67" s="37">
        <f>IFERROR(VLOOKUP($F67,bug_conf_sheet!$A:$H,8,FALSE),VLOOKUP("other",bug_conf_sheet!$A:$H,8,FALSE))</f>
        <v>1</v>
      </c>
    </row>
    <row r="68" spans="1:20" ht="21" customHeight="1">
      <c r="A68" s="7" t="str">
        <f t="shared" si="5"/>
        <v>3000236</v>
      </c>
      <c r="B68" s="2" t="str">
        <f t="shared" si="7"/>
        <v>3000</v>
      </c>
      <c r="C68" s="8" t="str">
        <f t="shared" si="4"/>
        <v>0PremiumS4</v>
      </c>
      <c r="D68" s="8" t="str">
        <f t="shared" si="6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65"/>
      <c r="N68" s="16">
        <f>VLOOKUP(D68,gacha_300_base!A:B,2,FALSE)</f>
        <v>14570</v>
      </c>
      <c r="O68" s="37">
        <f>IFERROR(VLOOKUP($F68,bug_conf_sheet!$A:$H,3,FALSE),VLOOKUP("other",bug_conf_sheet!$A:$H,3,FALSE))</f>
        <v>1</v>
      </c>
      <c r="P68" s="37">
        <f>IFERROR(VLOOKUP($F68,bug_conf_sheet!$A:$H,4,FALSE),VLOOKUP("other",bug_conf_sheet!$A:$H,4,FALSE))</f>
        <v>0</v>
      </c>
      <c r="Q68" s="37">
        <f>IFERROR(VLOOKUP($F68,bug_conf_sheet!$A:$H,5,FALSE),VLOOKUP("other",bug_conf_sheet!$A:$H,5,FALSE))</f>
        <v>0</v>
      </c>
      <c r="R68" s="37">
        <f>IFERROR(VLOOKUP($F68,bug_conf_sheet!$A:$H,6,FALSE),VLOOKUP("other",bug_conf_sheet!$A:$H,6,FALSE))</f>
        <v>0</v>
      </c>
      <c r="S68" s="37">
        <f>IFERROR(VLOOKUP($F68,bug_conf_sheet!$A:$H,7,FALSE),VLOOKUP("other",bug_conf_sheet!$A:$H,7,FALSE))</f>
        <v>0</v>
      </c>
      <c r="T68" s="37">
        <f>IFERROR(VLOOKUP($F68,bug_conf_sheet!$A:$H,8,FALSE),VLOOKUP("other",bug_conf_sheet!$A:$H,8,FALSE))</f>
        <v>1</v>
      </c>
    </row>
    <row r="69" spans="1:20" ht="21" customHeight="1">
      <c r="A69" s="7" t="str">
        <f t="shared" si="5"/>
        <v>3000237</v>
      </c>
      <c r="B69" s="2" t="str">
        <f t="shared" si="7"/>
        <v>3000</v>
      </c>
      <c r="C69" s="8" t="str">
        <f t="shared" si="4"/>
        <v>0PremiumS5</v>
      </c>
      <c r="D69" s="8" t="str">
        <f t="shared" si="6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65"/>
      <c r="N69" s="16">
        <f>VLOOKUP(D69,gacha_300_base!A:B,2,FALSE)</f>
        <v>914</v>
      </c>
      <c r="O69" s="37">
        <f>IFERROR(VLOOKUP($F69,bug_conf_sheet!$A:$H,3,FALSE),VLOOKUP("other",bug_conf_sheet!$A:$H,3,FALSE))</f>
        <v>1</v>
      </c>
      <c r="P69" s="37">
        <f>IFERROR(VLOOKUP($F69,bug_conf_sheet!$A:$H,4,FALSE),VLOOKUP("other",bug_conf_sheet!$A:$H,4,FALSE))</f>
        <v>0</v>
      </c>
      <c r="Q69" s="37">
        <f>IFERROR(VLOOKUP($F69,bug_conf_sheet!$A:$H,5,FALSE),VLOOKUP("other",bug_conf_sheet!$A:$H,5,FALSE))</f>
        <v>0</v>
      </c>
      <c r="R69" s="37">
        <f>IFERROR(VLOOKUP($F69,bug_conf_sheet!$A:$H,6,FALSE),VLOOKUP("other",bug_conf_sheet!$A:$H,6,FALSE))</f>
        <v>0</v>
      </c>
      <c r="S69" s="37">
        <f>IFERROR(VLOOKUP($F69,bug_conf_sheet!$A:$H,7,FALSE),VLOOKUP("other",bug_conf_sheet!$A:$H,7,FALSE))</f>
        <v>0</v>
      </c>
      <c r="T69" s="37">
        <f>IFERROR(VLOOKUP($F69,bug_conf_sheet!$A:$H,8,FALSE),VLOOKUP("other",bug_conf_sheet!$A:$H,8,FALSE))</f>
        <v>1</v>
      </c>
    </row>
    <row r="70" spans="1:20" ht="21" customHeight="1">
      <c r="A70" s="7" t="str">
        <f t="shared" si="5"/>
        <v>3000239</v>
      </c>
      <c r="B70" s="2" t="str">
        <f t="shared" si="7"/>
        <v>3000</v>
      </c>
      <c r="C70" s="8" t="str">
        <f t="shared" si="4"/>
        <v>0PremiumS4</v>
      </c>
      <c r="D70" s="8" t="str">
        <f t="shared" si="6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65"/>
      <c r="N70" s="16">
        <f>VLOOKUP(D70,gacha_300_base!A:B,2,FALSE)</f>
        <v>14570</v>
      </c>
      <c r="O70" s="37">
        <f>IFERROR(VLOOKUP($F70,bug_conf_sheet!$A:$H,3,FALSE),VLOOKUP("other",bug_conf_sheet!$A:$H,3,FALSE))</f>
        <v>1</v>
      </c>
      <c r="P70" s="37">
        <f>IFERROR(VLOOKUP($F70,bug_conf_sheet!$A:$H,4,FALSE),VLOOKUP("other",bug_conf_sheet!$A:$H,4,FALSE))</f>
        <v>0</v>
      </c>
      <c r="Q70" s="37">
        <f>IFERROR(VLOOKUP($F70,bug_conf_sheet!$A:$H,5,FALSE),VLOOKUP("other",bug_conf_sheet!$A:$H,5,FALSE))</f>
        <v>0</v>
      </c>
      <c r="R70" s="37">
        <f>IFERROR(VLOOKUP($F70,bug_conf_sheet!$A:$H,6,FALSE),VLOOKUP("other",bug_conf_sheet!$A:$H,6,FALSE))</f>
        <v>0</v>
      </c>
      <c r="S70" s="37">
        <f>IFERROR(VLOOKUP($F70,bug_conf_sheet!$A:$H,7,FALSE),VLOOKUP("other",bug_conf_sheet!$A:$H,7,FALSE))</f>
        <v>0</v>
      </c>
      <c r="T70" s="37">
        <f>IFERROR(VLOOKUP($F70,bug_conf_sheet!$A:$H,8,FALSE),VLOOKUP("other",bug_conf_sheet!$A:$H,8,FALSE))</f>
        <v>1</v>
      </c>
    </row>
    <row r="71" spans="1:20" ht="21" customHeight="1">
      <c r="A71" s="7" t="str">
        <f t="shared" si="5"/>
        <v>3000240</v>
      </c>
      <c r="B71" s="2" t="str">
        <f t="shared" si="7"/>
        <v>3000</v>
      </c>
      <c r="C71" s="8" t="str">
        <f t="shared" si="4"/>
        <v>0PremiumS5</v>
      </c>
      <c r="D71" s="8" t="str">
        <f t="shared" si="6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65"/>
      <c r="N71" s="16">
        <f>VLOOKUP(D71,gacha_300_base!A:B,2,FALSE)</f>
        <v>914</v>
      </c>
      <c r="O71" s="37">
        <f>IFERROR(VLOOKUP($F71,bug_conf_sheet!$A:$H,3,FALSE),VLOOKUP("other",bug_conf_sheet!$A:$H,3,FALSE))</f>
        <v>1</v>
      </c>
      <c r="P71" s="37">
        <f>IFERROR(VLOOKUP($F71,bug_conf_sheet!$A:$H,4,FALSE),VLOOKUP("other",bug_conf_sheet!$A:$H,4,FALSE))</f>
        <v>0</v>
      </c>
      <c r="Q71" s="37">
        <f>IFERROR(VLOOKUP($F71,bug_conf_sheet!$A:$H,5,FALSE),VLOOKUP("other",bug_conf_sheet!$A:$H,5,FALSE))</f>
        <v>0</v>
      </c>
      <c r="R71" s="37">
        <f>IFERROR(VLOOKUP($F71,bug_conf_sheet!$A:$H,6,FALSE),VLOOKUP("other",bug_conf_sheet!$A:$H,6,FALSE))</f>
        <v>0</v>
      </c>
      <c r="S71" s="37">
        <f>IFERROR(VLOOKUP($F71,bug_conf_sheet!$A:$H,7,FALSE),VLOOKUP("other",bug_conf_sheet!$A:$H,7,FALSE))</f>
        <v>0</v>
      </c>
      <c r="T71" s="37">
        <f>IFERROR(VLOOKUP($F71,bug_conf_sheet!$A:$H,8,FALSE),VLOOKUP("other",bug_conf_sheet!$A:$H,8,FALSE))</f>
        <v>1</v>
      </c>
    </row>
    <row r="72" spans="1:20" ht="21" customHeight="1">
      <c r="A72" s="7" t="str">
        <f t="shared" si="5"/>
        <v>3000242</v>
      </c>
      <c r="B72" s="2" t="str">
        <f t="shared" si="7"/>
        <v>3000</v>
      </c>
      <c r="C72" s="8" t="str">
        <f t="shared" si="4"/>
        <v>0PremiumS4</v>
      </c>
      <c r="D72" s="8" t="str">
        <f t="shared" si="6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65"/>
      <c r="N72" s="16">
        <f>VLOOKUP(D72,gacha_300_base!A:B,2,FALSE)</f>
        <v>14570</v>
      </c>
      <c r="O72" s="37">
        <f>IFERROR(VLOOKUP($F72,bug_conf_sheet!$A:$H,3,FALSE),VLOOKUP("other",bug_conf_sheet!$A:$H,3,FALSE))</f>
        <v>1</v>
      </c>
      <c r="P72" s="37">
        <f>IFERROR(VLOOKUP($F72,bug_conf_sheet!$A:$H,4,FALSE),VLOOKUP("other",bug_conf_sheet!$A:$H,4,FALSE))</f>
        <v>0</v>
      </c>
      <c r="Q72" s="37">
        <f>IFERROR(VLOOKUP($F72,bug_conf_sheet!$A:$H,5,FALSE),VLOOKUP("other",bug_conf_sheet!$A:$H,5,FALSE))</f>
        <v>0</v>
      </c>
      <c r="R72" s="37">
        <f>IFERROR(VLOOKUP($F72,bug_conf_sheet!$A:$H,6,FALSE),VLOOKUP("other",bug_conf_sheet!$A:$H,6,FALSE))</f>
        <v>0</v>
      </c>
      <c r="S72" s="37">
        <f>IFERROR(VLOOKUP($F72,bug_conf_sheet!$A:$H,7,FALSE),VLOOKUP("other",bug_conf_sheet!$A:$H,7,FALSE))</f>
        <v>0</v>
      </c>
      <c r="T72" s="37">
        <f>IFERROR(VLOOKUP($F72,bug_conf_sheet!$A:$H,8,FALSE),VLOOKUP("other",bug_conf_sheet!$A:$H,8,FALSE))</f>
        <v>1</v>
      </c>
    </row>
    <row r="73" spans="1:20" ht="21" customHeight="1">
      <c r="A73" s="7" t="str">
        <f t="shared" si="5"/>
        <v>3000243</v>
      </c>
      <c r="B73" s="2" t="str">
        <f t="shared" si="7"/>
        <v>3000</v>
      </c>
      <c r="C73" s="8" t="str">
        <f t="shared" si="4"/>
        <v>0PremiumS5</v>
      </c>
      <c r="D73" s="8" t="str">
        <f t="shared" si="6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65"/>
      <c r="N73" s="16">
        <f>VLOOKUP(D73,gacha_300_base!A:B,2,FALSE)</f>
        <v>914</v>
      </c>
      <c r="O73" s="37">
        <f>IFERROR(VLOOKUP($F73,bug_conf_sheet!$A:$H,3,FALSE),VLOOKUP("other",bug_conf_sheet!$A:$H,3,FALSE))</f>
        <v>1</v>
      </c>
      <c r="P73" s="37">
        <f>IFERROR(VLOOKUP($F73,bug_conf_sheet!$A:$H,4,FALSE),VLOOKUP("other",bug_conf_sheet!$A:$H,4,FALSE))</f>
        <v>0</v>
      </c>
      <c r="Q73" s="37">
        <f>IFERROR(VLOOKUP($F73,bug_conf_sheet!$A:$H,5,FALSE),VLOOKUP("other",bug_conf_sheet!$A:$H,5,FALSE))</f>
        <v>0</v>
      </c>
      <c r="R73" s="37">
        <f>IFERROR(VLOOKUP($F73,bug_conf_sheet!$A:$H,6,FALSE),VLOOKUP("other",bug_conf_sheet!$A:$H,6,FALSE))</f>
        <v>0</v>
      </c>
      <c r="S73" s="37">
        <f>IFERROR(VLOOKUP($F73,bug_conf_sheet!$A:$H,7,FALSE),VLOOKUP("other",bug_conf_sheet!$A:$H,7,FALSE))</f>
        <v>0</v>
      </c>
      <c r="T73" s="37">
        <f>IFERROR(VLOOKUP($F73,bug_conf_sheet!$A:$H,8,FALSE),VLOOKUP("other",bug_conf_sheet!$A:$H,8,FALSE))</f>
        <v>1</v>
      </c>
    </row>
    <row r="74" spans="1:20" ht="21" customHeight="1">
      <c r="A74" s="7" t="str">
        <f t="shared" si="5"/>
        <v>3000245</v>
      </c>
      <c r="B74" s="2" t="str">
        <f t="shared" si="7"/>
        <v>3000</v>
      </c>
      <c r="C74" s="8" t="str">
        <f t="shared" si="4"/>
        <v>0PremiumS4</v>
      </c>
      <c r="D74" s="8" t="str">
        <f t="shared" si="6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65"/>
      <c r="N74" s="16">
        <f>VLOOKUP(D74,gacha_300_base!A:B,2,FALSE)</f>
        <v>14570</v>
      </c>
      <c r="O74" s="37">
        <f>IFERROR(VLOOKUP($F74,bug_conf_sheet!$A:$H,3,FALSE),VLOOKUP("other",bug_conf_sheet!$A:$H,3,FALSE))</f>
        <v>1</v>
      </c>
      <c r="P74" s="37">
        <f>IFERROR(VLOOKUP($F74,bug_conf_sheet!$A:$H,4,FALSE),VLOOKUP("other",bug_conf_sheet!$A:$H,4,FALSE))</f>
        <v>0</v>
      </c>
      <c r="Q74" s="37">
        <f>IFERROR(VLOOKUP($F74,bug_conf_sheet!$A:$H,5,FALSE),VLOOKUP("other",bug_conf_sheet!$A:$H,5,FALSE))</f>
        <v>0</v>
      </c>
      <c r="R74" s="37">
        <f>IFERROR(VLOOKUP($F74,bug_conf_sheet!$A:$H,6,FALSE),VLOOKUP("other",bug_conf_sheet!$A:$H,6,FALSE))</f>
        <v>0</v>
      </c>
      <c r="S74" s="37">
        <f>IFERROR(VLOOKUP($F74,bug_conf_sheet!$A:$H,7,FALSE),VLOOKUP("other",bug_conf_sheet!$A:$H,7,FALSE))</f>
        <v>0</v>
      </c>
      <c r="T74" s="37">
        <f>IFERROR(VLOOKUP($F74,bug_conf_sheet!$A:$H,8,FALSE),VLOOKUP("other",bug_conf_sheet!$A:$H,8,FALSE))</f>
        <v>1</v>
      </c>
    </row>
    <row r="75" spans="1:20" ht="21" customHeight="1">
      <c r="A75" s="7" t="str">
        <f t="shared" si="5"/>
        <v>3000246</v>
      </c>
      <c r="B75" s="2" t="str">
        <f t="shared" si="7"/>
        <v>3000</v>
      </c>
      <c r="C75" s="8" t="str">
        <f t="shared" si="4"/>
        <v>0PremiumS5</v>
      </c>
      <c r="D75" s="8" t="str">
        <f t="shared" si="6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65"/>
      <c r="N75" s="16">
        <f>VLOOKUP(D75,gacha_300_base!A:B,2,FALSE)</f>
        <v>914</v>
      </c>
      <c r="O75" s="37">
        <f>IFERROR(VLOOKUP($F75,bug_conf_sheet!$A:$H,3,FALSE),VLOOKUP("other",bug_conf_sheet!$A:$H,3,FALSE))</f>
        <v>1</v>
      </c>
      <c r="P75" s="37">
        <f>IFERROR(VLOOKUP($F75,bug_conf_sheet!$A:$H,4,FALSE),VLOOKUP("other",bug_conf_sheet!$A:$H,4,FALSE))</f>
        <v>0</v>
      </c>
      <c r="Q75" s="37">
        <f>IFERROR(VLOOKUP($F75,bug_conf_sheet!$A:$H,5,FALSE),VLOOKUP("other",bug_conf_sheet!$A:$H,5,FALSE))</f>
        <v>0</v>
      </c>
      <c r="R75" s="37">
        <f>IFERROR(VLOOKUP($F75,bug_conf_sheet!$A:$H,6,FALSE),VLOOKUP("other",bug_conf_sheet!$A:$H,6,FALSE))</f>
        <v>0</v>
      </c>
      <c r="S75" s="37">
        <f>IFERROR(VLOOKUP($F75,bug_conf_sheet!$A:$H,7,FALSE),VLOOKUP("other",bug_conf_sheet!$A:$H,7,FALSE))</f>
        <v>0</v>
      </c>
      <c r="T75" s="37">
        <f>IFERROR(VLOOKUP($F75,bug_conf_sheet!$A:$H,8,FALSE),VLOOKUP("other",bug_conf_sheet!$A:$H,8,FALSE))</f>
        <v>1</v>
      </c>
    </row>
    <row r="76" spans="1:20" ht="21" customHeight="1">
      <c r="A76" s="7" t="str">
        <f t="shared" si="5"/>
        <v>3000248</v>
      </c>
      <c r="B76" s="2" t="str">
        <f t="shared" si="7"/>
        <v>3000</v>
      </c>
      <c r="C76" s="8" t="str">
        <f t="shared" si="4"/>
        <v>0PremiumS4</v>
      </c>
      <c r="D76" s="8" t="str">
        <f t="shared" si="6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65"/>
      <c r="N76" s="16">
        <f>VLOOKUP(D76,gacha_300_base!A:B,2,FALSE)</f>
        <v>14570</v>
      </c>
      <c r="O76" s="37">
        <f>IFERROR(VLOOKUP($F76,bug_conf_sheet!$A:$H,3,FALSE),VLOOKUP("other",bug_conf_sheet!$A:$H,3,FALSE))</f>
        <v>1</v>
      </c>
      <c r="P76" s="37">
        <f>IFERROR(VLOOKUP($F76,bug_conf_sheet!$A:$H,4,FALSE),VLOOKUP("other",bug_conf_sheet!$A:$H,4,FALSE))</f>
        <v>0</v>
      </c>
      <c r="Q76" s="37">
        <f>IFERROR(VLOOKUP($F76,bug_conf_sheet!$A:$H,5,FALSE),VLOOKUP("other",bug_conf_sheet!$A:$H,5,FALSE))</f>
        <v>0</v>
      </c>
      <c r="R76" s="37">
        <f>IFERROR(VLOOKUP($F76,bug_conf_sheet!$A:$H,6,FALSE),VLOOKUP("other",bug_conf_sheet!$A:$H,6,FALSE))</f>
        <v>0</v>
      </c>
      <c r="S76" s="37">
        <f>IFERROR(VLOOKUP($F76,bug_conf_sheet!$A:$H,7,FALSE),VLOOKUP("other",bug_conf_sheet!$A:$H,7,FALSE))</f>
        <v>0</v>
      </c>
      <c r="T76" s="37">
        <f>IFERROR(VLOOKUP($F76,bug_conf_sheet!$A:$H,8,FALSE),VLOOKUP("other",bug_conf_sheet!$A:$H,8,FALSE))</f>
        <v>1</v>
      </c>
    </row>
    <row r="77" spans="1:20" ht="21" customHeight="1">
      <c r="A77" s="7" t="str">
        <f t="shared" si="5"/>
        <v>3000249</v>
      </c>
      <c r="B77" s="2" t="str">
        <f t="shared" si="7"/>
        <v>3000</v>
      </c>
      <c r="C77" s="8" t="str">
        <f t="shared" si="4"/>
        <v>0PremiumS5</v>
      </c>
      <c r="D77" s="8" t="str">
        <f t="shared" si="6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65"/>
      <c r="N77" s="16">
        <f>VLOOKUP(D77,gacha_300_base!A:B,2,FALSE)</f>
        <v>914</v>
      </c>
      <c r="O77" s="37">
        <f>IFERROR(VLOOKUP($F77,bug_conf_sheet!$A:$H,3,FALSE),VLOOKUP("other",bug_conf_sheet!$A:$H,3,FALSE))</f>
        <v>1</v>
      </c>
      <c r="P77" s="37">
        <f>IFERROR(VLOOKUP($F77,bug_conf_sheet!$A:$H,4,FALSE),VLOOKUP("other",bug_conf_sheet!$A:$H,4,FALSE))</f>
        <v>0</v>
      </c>
      <c r="Q77" s="37">
        <f>IFERROR(VLOOKUP($F77,bug_conf_sheet!$A:$H,5,FALSE),VLOOKUP("other",bug_conf_sheet!$A:$H,5,FALSE))</f>
        <v>0</v>
      </c>
      <c r="R77" s="37">
        <f>IFERROR(VLOOKUP($F77,bug_conf_sheet!$A:$H,6,FALSE),VLOOKUP("other",bug_conf_sheet!$A:$H,6,FALSE))</f>
        <v>0</v>
      </c>
      <c r="S77" s="37">
        <f>IFERROR(VLOOKUP($F77,bug_conf_sheet!$A:$H,7,FALSE),VLOOKUP("other",bug_conf_sheet!$A:$H,7,FALSE))</f>
        <v>0</v>
      </c>
      <c r="T77" s="37">
        <f>IFERROR(VLOOKUP($F77,bug_conf_sheet!$A:$H,8,FALSE),VLOOKUP("other",bug_conf_sheet!$A:$H,8,FALSE))</f>
        <v>1</v>
      </c>
    </row>
    <row r="78" spans="1:20" ht="21" customHeight="1">
      <c r="A78" s="7" t="str">
        <f t="shared" si="5"/>
        <v>3000251</v>
      </c>
      <c r="B78" s="2" t="str">
        <f t="shared" si="7"/>
        <v>3000</v>
      </c>
      <c r="C78" s="8" t="str">
        <f t="shared" si="4"/>
        <v>0PremiumS4</v>
      </c>
      <c r="D78" s="8" t="str">
        <f t="shared" si="6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65"/>
      <c r="N78" s="16">
        <f>VLOOKUP(D78,gacha_300_base!A:B,2,FALSE)</f>
        <v>14570</v>
      </c>
      <c r="O78" s="37">
        <f>IFERROR(VLOOKUP($F78,bug_conf_sheet!$A:$H,3,FALSE),VLOOKUP("other",bug_conf_sheet!$A:$H,3,FALSE))</f>
        <v>1</v>
      </c>
      <c r="P78" s="37">
        <f>IFERROR(VLOOKUP($F78,bug_conf_sheet!$A:$H,4,FALSE),VLOOKUP("other",bug_conf_sheet!$A:$H,4,FALSE))</f>
        <v>0</v>
      </c>
      <c r="Q78" s="37">
        <f>IFERROR(VLOOKUP($F78,bug_conf_sheet!$A:$H,5,FALSE),VLOOKUP("other",bug_conf_sheet!$A:$H,5,FALSE))</f>
        <v>0</v>
      </c>
      <c r="R78" s="37">
        <f>IFERROR(VLOOKUP($F78,bug_conf_sheet!$A:$H,6,FALSE),VLOOKUP("other",bug_conf_sheet!$A:$H,6,FALSE))</f>
        <v>0</v>
      </c>
      <c r="S78" s="37">
        <f>IFERROR(VLOOKUP($F78,bug_conf_sheet!$A:$H,7,FALSE),VLOOKUP("other",bug_conf_sheet!$A:$H,7,FALSE))</f>
        <v>0</v>
      </c>
      <c r="T78" s="37">
        <f>IFERROR(VLOOKUP($F78,bug_conf_sheet!$A:$H,8,FALSE),VLOOKUP("other",bug_conf_sheet!$A:$H,8,FALSE))</f>
        <v>1</v>
      </c>
    </row>
    <row r="79" spans="1:20" ht="21" customHeight="1">
      <c r="A79" s="7" t="str">
        <f t="shared" si="5"/>
        <v>3000252</v>
      </c>
      <c r="B79" s="2" t="str">
        <f t="shared" si="7"/>
        <v>3000</v>
      </c>
      <c r="C79" s="8" t="str">
        <f t="shared" si="4"/>
        <v>0PremiumS5</v>
      </c>
      <c r="D79" s="8" t="str">
        <f t="shared" si="6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65"/>
      <c r="N79" s="16">
        <f>VLOOKUP(D79,gacha_300_base!A:B,2,FALSE)</f>
        <v>914</v>
      </c>
      <c r="O79" s="37">
        <f>IFERROR(VLOOKUP($F79,bug_conf_sheet!$A:$H,3,FALSE),VLOOKUP("other",bug_conf_sheet!$A:$H,3,FALSE))</f>
        <v>1</v>
      </c>
      <c r="P79" s="37">
        <f>IFERROR(VLOOKUP($F79,bug_conf_sheet!$A:$H,4,FALSE),VLOOKUP("other",bug_conf_sheet!$A:$H,4,FALSE))</f>
        <v>0</v>
      </c>
      <c r="Q79" s="37">
        <f>IFERROR(VLOOKUP($F79,bug_conf_sheet!$A:$H,5,FALSE),VLOOKUP("other",bug_conf_sheet!$A:$H,5,FALSE))</f>
        <v>0</v>
      </c>
      <c r="R79" s="37">
        <f>IFERROR(VLOOKUP($F79,bug_conf_sheet!$A:$H,6,FALSE),VLOOKUP("other",bug_conf_sheet!$A:$H,6,FALSE))</f>
        <v>0</v>
      </c>
      <c r="S79" s="37">
        <f>IFERROR(VLOOKUP($F79,bug_conf_sheet!$A:$H,7,FALSE),VLOOKUP("other",bug_conf_sheet!$A:$H,7,FALSE))</f>
        <v>0</v>
      </c>
      <c r="T79" s="37">
        <f>IFERROR(VLOOKUP($F79,bug_conf_sheet!$A:$H,8,FALSE),VLOOKUP("other",bug_conf_sheet!$A:$H,8,FALSE))</f>
        <v>1</v>
      </c>
    </row>
    <row r="80" spans="1:20" ht="21" customHeight="1">
      <c r="A80" s="7" t="str">
        <f t="shared" si="5"/>
        <v>3000254</v>
      </c>
      <c r="B80" s="2" t="str">
        <f t="shared" si="7"/>
        <v>3000</v>
      </c>
      <c r="C80" s="8" t="str">
        <f t="shared" ref="C80:C131" si="8">E80&amp;H80&amp;I80</f>
        <v>0PremiumS4</v>
      </c>
      <c r="D80" s="8" t="str">
        <f t="shared" si="6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65"/>
      <c r="N80" s="16">
        <f>VLOOKUP(D80,gacha_300_base!A:B,2,FALSE)</f>
        <v>14570</v>
      </c>
      <c r="O80" s="37">
        <f>IFERROR(VLOOKUP($F80,bug_conf_sheet!$A:$H,3,FALSE),VLOOKUP("other",bug_conf_sheet!$A:$H,3,FALSE))</f>
        <v>1</v>
      </c>
      <c r="P80" s="37">
        <f>IFERROR(VLOOKUP($F80,bug_conf_sheet!$A:$H,4,FALSE),VLOOKUP("other",bug_conf_sheet!$A:$H,4,FALSE))</f>
        <v>0</v>
      </c>
      <c r="Q80" s="37">
        <f>IFERROR(VLOOKUP($F80,bug_conf_sheet!$A:$H,5,FALSE),VLOOKUP("other",bug_conf_sheet!$A:$H,5,FALSE))</f>
        <v>0</v>
      </c>
      <c r="R80" s="37">
        <f>IFERROR(VLOOKUP($F80,bug_conf_sheet!$A:$H,6,FALSE),VLOOKUP("other",bug_conf_sheet!$A:$H,6,FALSE))</f>
        <v>0</v>
      </c>
      <c r="S80" s="37">
        <f>IFERROR(VLOOKUP($F80,bug_conf_sheet!$A:$H,7,FALSE),VLOOKUP("other",bug_conf_sheet!$A:$H,7,FALSE))</f>
        <v>0</v>
      </c>
      <c r="T80" s="37">
        <f>IFERROR(VLOOKUP($F80,bug_conf_sheet!$A:$H,8,FALSE),VLOOKUP("other",bug_conf_sheet!$A:$H,8,FALSE))</f>
        <v>1</v>
      </c>
    </row>
    <row r="81" spans="1:20" ht="21" customHeight="1">
      <c r="A81" s="7" t="str">
        <f t="shared" si="5"/>
        <v>3000255</v>
      </c>
      <c r="B81" s="2" t="str">
        <f t="shared" si="7"/>
        <v>3000</v>
      </c>
      <c r="C81" s="8" t="str">
        <f t="shared" si="8"/>
        <v>0PremiumS5</v>
      </c>
      <c r="D81" s="8" t="str">
        <f t="shared" si="6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65"/>
      <c r="N81" s="16">
        <f>VLOOKUP(D81,gacha_300_base!A:B,2,FALSE)</f>
        <v>914</v>
      </c>
      <c r="O81" s="37">
        <f>IFERROR(VLOOKUP($F81,bug_conf_sheet!$A:$H,3,FALSE),VLOOKUP("other",bug_conf_sheet!$A:$H,3,FALSE))</f>
        <v>1</v>
      </c>
      <c r="P81" s="37">
        <f>IFERROR(VLOOKUP($F81,bug_conf_sheet!$A:$H,4,FALSE),VLOOKUP("other",bug_conf_sheet!$A:$H,4,FALSE))</f>
        <v>0</v>
      </c>
      <c r="Q81" s="37">
        <f>IFERROR(VLOOKUP($F81,bug_conf_sheet!$A:$H,5,FALSE),VLOOKUP("other",bug_conf_sheet!$A:$H,5,FALSE))</f>
        <v>0</v>
      </c>
      <c r="R81" s="37">
        <f>IFERROR(VLOOKUP($F81,bug_conf_sheet!$A:$H,6,FALSE),VLOOKUP("other",bug_conf_sheet!$A:$H,6,FALSE))</f>
        <v>0</v>
      </c>
      <c r="S81" s="37">
        <f>IFERROR(VLOOKUP($F81,bug_conf_sheet!$A:$H,7,FALSE),VLOOKUP("other",bug_conf_sheet!$A:$H,7,FALSE))</f>
        <v>0</v>
      </c>
      <c r="T81" s="37">
        <f>IFERROR(VLOOKUP($F81,bug_conf_sheet!$A:$H,8,FALSE),VLOOKUP("other",bug_conf_sheet!$A:$H,8,FALSE))</f>
        <v>1</v>
      </c>
    </row>
    <row r="82" spans="1:20" ht="21" customHeight="1">
      <c r="A82" s="7" t="str">
        <f t="shared" si="5"/>
        <v>3000257</v>
      </c>
      <c r="B82" s="2" t="str">
        <f t="shared" si="7"/>
        <v>3000</v>
      </c>
      <c r="C82" s="8" t="str">
        <f t="shared" si="8"/>
        <v>0PremiumS4</v>
      </c>
      <c r="D82" s="8" t="str">
        <f t="shared" si="6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65"/>
      <c r="N82" s="16">
        <f>VLOOKUP(D82,gacha_300_base!A:B,2,FALSE)</f>
        <v>14570</v>
      </c>
      <c r="O82" s="37">
        <f>IFERROR(VLOOKUP($F82,bug_conf_sheet!$A:$H,3,FALSE),VLOOKUP("other",bug_conf_sheet!$A:$H,3,FALSE))</f>
        <v>1</v>
      </c>
      <c r="P82" s="37">
        <f>IFERROR(VLOOKUP($F82,bug_conf_sheet!$A:$H,4,FALSE),VLOOKUP("other",bug_conf_sheet!$A:$H,4,FALSE))</f>
        <v>0</v>
      </c>
      <c r="Q82" s="37">
        <f>IFERROR(VLOOKUP($F82,bug_conf_sheet!$A:$H,5,FALSE),VLOOKUP("other",bug_conf_sheet!$A:$H,5,FALSE))</f>
        <v>0</v>
      </c>
      <c r="R82" s="37">
        <f>IFERROR(VLOOKUP($F82,bug_conf_sheet!$A:$H,6,FALSE),VLOOKUP("other",bug_conf_sheet!$A:$H,6,FALSE))</f>
        <v>0</v>
      </c>
      <c r="S82" s="37">
        <f>IFERROR(VLOOKUP($F82,bug_conf_sheet!$A:$H,7,FALSE),VLOOKUP("other",bug_conf_sheet!$A:$H,7,FALSE))</f>
        <v>0</v>
      </c>
      <c r="T82" s="37">
        <f>IFERROR(VLOOKUP($F82,bug_conf_sheet!$A:$H,8,FALSE),VLOOKUP("other",bug_conf_sheet!$A:$H,8,FALSE))</f>
        <v>1</v>
      </c>
    </row>
    <row r="83" spans="1:20" ht="21" customHeight="1">
      <c r="A83" s="7" t="str">
        <f t="shared" si="5"/>
        <v>3000258</v>
      </c>
      <c r="B83" s="2" t="str">
        <f t="shared" si="7"/>
        <v>3000</v>
      </c>
      <c r="C83" s="8" t="str">
        <f t="shared" si="8"/>
        <v>0PremiumS5</v>
      </c>
      <c r="D83" s="8" t="str">
        <f t="shared" si="6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65"/>
      <c r="N83" s="16">
        <f>VLOOKUP(D83,gacha_300_base!A:B,2,FALSE)</f>
        <v>914</v>
      </c>
      <c r="O83" s="37">
        <f>IFERROR(VLOOKUP($F83,bug_conf_sheet!$A:$H,3,FALSE),VLOOKUP("other",bug_conf_sheet!$A:$H,3,FALSE))</f>
        <v>1</v>
      </c>
      <c r="P83" s="37">
        <f>IFERROR(VLOOKUP($F83,bug_conf_sheet!$A:$H,4,FALSE),VLOOKUP("other",bug_conf_sheet!$A:$H,4,FALSE))</f>
        <v>0</v>
      </c>
      <c r="Q83" s="37">
        <f>IFERROR(VLOOKUP($F83,bug_conf_sheet!$A:$H,5,FALSE),VLOOKUP("other",bug_conf_sheet!$A:$H,5,FALSE))</f>
        <v>0</v>
      </c>
      <c r="R83" s="37">
        <f>IFERROR(VLOOKUP($F83,bug_conf_sheet!$A:$H,6,FALSE),VLOOKUP("other",bug_conf_sheet!$A:$H,6,FALSE))</f>
        <v>0</v>
      </c>
      <c r="S83" s="37">
        <f>IFERROR(VLOOKUP($F83,bug_conf_sheet!$A:$H,7,FALSE),VLOOKUP("other",bug_conf_sheet!$A:$H,7,FALSE))</f>
        <v>0</v>
      </c>
      <c r="T83" s="37">
        <f>IFERROR(VLOOKUP($F83,bug_conf_sheet!$A:$H,8,FALSE),VLOOKUP("other",bug_conf_sheet!$A:$H,8,FALSE))</f>
        <v>1</v>
      </c>
    </row>
    <row r="84" spans="1:20" ht="21" customHeight="1">
      <c r="A84" s="7" t="str">
        <f t="shared" si="5"/>
        <v>3000260</v>
      </c>
      <c r="B84" s="2" t="str">
        <f t="shared" si="7"/>
        <v>3000</v>
      </c>
      <c r="C84" s="8" t="str">
        <f t="shared" si="8"/>
        <v>0PremiumS4</v>
      </c>
      <c r="D84" s="8" t="str">
        <f t="shared" si="6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65"/>
      <c r="N84" s="16">
        <f>VLOOKUP(D84,gacha_300_base!A:B,2,FALSE)</f>
        <v>14570</v>
      </c>
      <c r="O84" s="37">
        <f>IFERROR(VLOOKUP($F84,bug_conf_sheet!$A:$H,3,FALSE),VLOOKUP("other",bug_conf_sheet!$A:$H,3,FALSE))</f>
        <v>1</v>
      </c>
      <c r="P84" s="37">
        <f>IFERROR(VLOOKUP($F84,bug_conf_sheet!$A:$H,4,FALSE),VLOOKUP("other",bug_conf_sheet!$A:$H,4,FALSE))</f>
        <v>0</v>
      </c>
      <c r="Q84" s="37">
        <f>IFERROR(VLOOKUP($F84,bug_conf_sheet!$A:$H,5,FALSE),VLOOKUP("other",bug_conf_sheet!$A:$H,5,FALSE))</f>
        <v>0</v>
      </c>
      <c r="R84" s="37">
        <f>IFERROR(VLOOKUP($F84,bug_conf_sheet!$A:$H,6,FALSE),VLOOKUP("other",bug_conf_sheet!$A:$H,6,FALSE))</f>
        <v>0</v>
      </c>
      <c r="S84" s="37">
        <f>IFERROR(VLOOKUP($F84,bug_conf_sheet!$A:$H,7,FALSE),VLOOKUP("other",bug_conf_sheet!$A:$H,7,FALSE))</f>
        <v>0</v>
      </c>
      <c r="T84" s="37">
        <f>IFERROR(VLOOKUP($F84,bug_conf_sheet!$A:$H,8,FALSE),VLOOKUP("other",bug_conf_sheet!$A:$H,8,FALSE))</f>
        <v>1</v>
      </c>
    </row>
    <row r="85" spans="1:20" ht="21" customHeight="1">
      <c r="A85" s="7" t="str">
        <f t="shared" si="5"/>
        <v>3000261</v>
      </c>
      <c r="B85" s="2" t="str">
        <f t="shared" si="7"/>
        <v>3000</v>
      </c>
      <c r="C85" s="8" t="str">
        <f t="shared" si="8"/>
        <v>0PremiumS5</v>
      </c>
      <c r="D85" s="8" t="str">
        <f t="shared" si="6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65"/>
      <c r="N85" s="16">
        <f>VLOOKUP(D85,gacha_300_base!A:B,2,FALSE)</f>
        <v>914</v>
      </c>
      <c r="O85" s="37">
        <f>IFERROR(VLOOKUP($F85,bug_conf_sheet!$A:$H,3,FALSE),VLOOKUP("other",bug_conf_sheet!$A:$H,3,FALSE))</f>
        <v>1</v>
      </c>
      <c r="P85" s="37">
        <f>IFERROR(VLOOKUP($F85,bug_conf_sheet!$A:$H,4,FALSE),VLOOKUP("other",bug_conf_sheet!$A:$H,4,FALSE))</f>
        <v>0</v>
      </c>
      <c r="Q85" s="37">
        <f>IFERROR(VLOOKUP($F85,bug_conf_sheet!$A:$H,5,FALSE),VLOOKUP("other",bug_conf_sheet!$A:$H,5,FALSE))</f>
        <v>0</v>
      </c>
      <c r="R85" s="37">
        <f>IFERROR(VLOOKUP($F85,bug_conf_sheet!$A:$H,6,FALSE),VLOOKUP("other",bug_conf_sheet!$A:$H,6,FALSE))</f>
        <v>0</v>
      </c>
      <c r="S85" s="37">
        <f>IFERROR(VLOOKUP($F85,bug_conf_sheet!$A:$H,7,FALSE),VLOOKUP("other",bug_conf_sheet!$A:$H,7,FALSE))</f>
        <v>0</v>
      </c>
      <c r="T85" s="37">
        <f>IFERROR(VLOOKUP($F85,bug_conf_sheet!$A:$H,8,FALSE),VLOOKUP("other",bug_conf_sheet!$A:$H,8,FALSE))</f>
        <v>1</v>
      </c>
    </row>
    <row r="86" spans="1:20" ht="21" customHeight="1">
      <c r="A86" s="7" t="str">
        <f t="shared" si="5"/>
        <v>3000320</v>
      </c>
      <c r="B86" s="2" t="str">
        <f t="shared" si="7"/>
        <v>3000</v>
      </c>
      <c r="C86" s="8" t="str">
        <f t="shared" si="8"/>
        <v>0PremiumSS4</v>
      </c>
      <c r="D86" s="8" t="str">
        <f t="shared" si="6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65"/>
      <c r="N86" s="16">
        <f>VLOOKUP(D86,gacha_300_base!A:B,2,FALSE)</f>
        <v>1568</v>
      </c>
      <c r="O86" s="37">
        <f>IFERROR(VLOOKUP($F86,bug_conf_sheet!$A:$H,3,FALSE),VLOOKUP("other",bug_conf_sheet!$A:$H,3,FALSE))</f>
        <v>1</v>
      </c>
      <c r="P86" s="37">
        <f>IFERROR(VLOOKUP($F86,bug_conf_sheet!$A:$H,4,FALSE),VLOOKUP("other",bug_conf_sheet!$A:$H,4,FALSE))</f>
        <v>0</v>
      </c>
      <c r="Q86" s="37">
        <f>IFERROR(VLOOKUP($F86,bug_conf_sheet!$A:$H,5,FALSE),VLOOKUP("other",bug_conf_sheet!$A:$H,5,FALSE))</f>
        <v>0</v>
      </c>
      <c r="R86" s="37">
        <f>IFERROR(VLOOKUP($F86,bug_conf_sheet!$A:$H,6,FALSE),VLOOKUP("other",bug_conf_sheet!$A:$H,6,FALSE))</f>
        <v>0</v>
      </c>
      <c r="S86" s="37">
        <f>IFERROR(VLOOKUP($F86,bug_conf_sheet!$A:$H,7,FALSE),VLOOKUP("other",bug_conf_sheet!$A:$H,7,FALSE))</f>
        <v>0</v>
      </c>
      <c r="T86" s="37">
        <f>IFERROR(VLOOKUP($F86,bug_conf_sheet!$A:$H,8,FALSE),VLOOKUP("other",bug_conf_sheet!$A:$H,8,FALSE))</f>
        <v>1</v>
      </c>
    </row>
    <row r="87" spans="1:20" ht="21" customHeight="1">
      <c r="A87" s="7" t="str">
        <f t="shared" si="5"/>
        <v>3000321</v>
      </c>
      <c r="B87" s="2" t="str">
        <f t="shared" si="7"/>
        <v>3000</v>
      </c>
      <c r="C87" s="8" t="str">
        <f t="shared" si="8"/>
        <v>0PremiumSS5</v>
      </c>
      <c r="D87" s="8" t="str">
        <f t="shared" si="6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65"/>
      <c r="N87" s="16">
        <f>VLOOKUP(D87,gacha_300_base!A:B,2,FALSE)</f>
        <v>98</v>
      </c>
      <c r="O87" s="37">
        <f>IFERROR(VLOOKUP($F87,bug_conf_sheet!$A:$H,3,FALSE),VLOOKUP("other",bug_conf_sheet!$A:$H,3,FALSE))</f>
        <v>1</v>
      </c>
      <c r="P87" s="37">
        <f>IFERROR(VLOOKUP($F87,bug_conf_sheet!$A:$H,4,FALSE),VLOOKUP("other",bug_conf_sheet!$A:$H,4,FALSE))</f>
        <v>0</v>
      </c>
      <c r="Q87" s="37">
        <f>IFERROR(VLOOKUP($F87,bug_conf_sheet!$A:$H,5,FALSE),VLOOKUP("other",bug_conf_sheet!$A:$H,5,FALSE))</f>
        <v>0</v>
      </c>
      <c r="R87" s="37">
        <f>IFERROR(VLOOKUP($F87,bug_conf_sheet!$A:$H,6,FALSE),VLOOKUP("other",bug_conf_sheet!$A:$H,6,FALSE))</f>
        <v>0</v>
      </c>
      <c r="S87" s="37">
        <f>IFERROR(VLOOKUP($F87,bug_conf_sheet!$A:$H,7,FALSE),VLOOKUP("other",bug_conf_sheet!$A:$H,7,FALSE))</f>
        <v>0</v>
      </c>
      <c r="T87" s="37">
        <f>IFERROR(VLOOKUP($F87,bug_conf_sheet!$A:$H,8,FALSE),VLOOKUP("other",bug_conf_sheet!$A:$H,8,FALSE))</f>
        <v>1</v>
      </c>
    </row>
    <row r="88" spans="1:20" ht="21" customHeight="1">
      <c r="A88" s="7" t="str">
        <f t="shared" si="5"/>
        <v>3000322</v>
      </c>
      <c r="B88" s="2" t="str">
        <f t="shared" si="7"/>
        <v>3000</v>
      </c>
      <c r="C88" s="8" t="str">
        <f t="shared" si="8"/>
        <v>0PremiumSS4</v>
      </c>
      <c r="D88" s="8" t="str">
        <f t="shared" si="6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65"/>
      <c r="N88" s="16">
        <f>VLOOKUP(D88,gacha_300_base!A:B,2,FALSE)</f>
        <v>1568</v>
      </c>
      <c r="O88" s="37">
        <f>IFERROR(VLOOKUP($F88,bug_conf_sheet!$A:$H,3,FALSE),VLOOKUP("other",bug_conf_sheet!$A:$H,3,FALSE))</f>
        <v>1</v>
      </c>
      <c r="P88" s="37">
        <f>IFERROR(VLOOKUP($F88,bug_conf_sheet!$A:$H,4,FALSE),VLOOKUP("other",bug_conf_sheet!$A:$H,4,FALSE))</f>
        <v>0</v>
      </c>
      <c r="Q88" s="37">
        <f>IFERROR(VLOOKUP($F88,bug_conf_sheet!$A:$H,5,FALSE),VLOOKUP("other",bug_conf_sheet!$A:$H,5,FALSE))</f>
        <v>0</v>
      </c>
      <c r="R88" s="37">
        <f>IFERROR(VLOOKUP($F88,bug_conf_sheet!$A:$H,6,FALSE),VLOOKUP("other",bug_conf_sheet!$A:$H,6,FALSE))</f>
        <v>0</v>
      </c>
      <c r="S88" s="37">
        <f>IFERROR(VLOOKUP($F88,bug_conf_sheet!$A:$H,7,FALSE),VLOOKUP("other",bug_conf_sheet!$A:$H,7,FALSE))</f>
        <v>0</v>
      </c>
      <c r="T88" s="37">
        <f>IFERROR(VLOOKUP($F88,bug_conf_sheet!$A:$H,8,FALSE),VLOOKUP("other",bug_conf_sheet!$A:$H,8,FALSE))</f>
        <v>1</v>
      </c>
    </row>
    <row r="89" spans="1:20" ht="21" customHeight="1">
      <c r="A89" s="7" t="str">
        <f t="shared" si="5"/>
        <v>3000323</v>
      </c>
      <c r="B89" s="2" t="str">
        <f t="shared" si="7"/>
        <v>3000</v>
      </c>
      <c r="C89" s="8" t="str">
        <f t="shared" si="8"/>
        <v>0PremiumSS5</v>
      </c>
      <c r="D89" s="8" t="str">
        <f t="shared" si="6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65"/>
      <c r="N89" s="16">
        <f>VLOOKUP(D89,gacha_300_base!A:B,2,FALSE)</f>
        <v>98</v>
      </c>
      <c r="O89" s="37">
        <f>IFERROR(VLOOKUP($F89,bug_conf_sheet!$A:$H,3,FALSE),VLOOKUP("other",bug_conf_sheet!$A:$H,3,FALSE))</f>
        <v>1</v>
      </c>
      <c r="P89" s="37">
        <f>IFERROR(VLOOKUP($F89,bug_conf_sheet!$A:$H,4,FALSE),VLOOKUP("other",bug_conf_sheet!$A:$H,4,FALSE))</f>
        <v>0</v>
      </c>
      <c r="Q89" s="37">
        <f>IFERROR(VLOOKUP($F89,bug_conf_sheet!$A:$H,5,FALSE),VLOOKUP("other",bug_conf_sheet!$A:$H,5,FALSE))</f>
        <v>0</v>
      </c>
      <c r="R89" s="37">
        <f>IFERROR(VLOOKUP($F89,bug_conf_sheet!$A:$H,6,FALSE),VLOOKUP("other",bug_conf_sheet!$A:$H,6,FALSE))</f>
        <v>0</v>
      </c>
      <c r="S89" s="37">
        <f>IFERROR(VLOOKUP($F89,bug_conf_sheet!$A:$H,7,FALSE),VLOOKUP("other",bug_conf_sheet!$A:$H,7,FALSE))</f>
        <v>0</v>
      </c>
      <c r="T89" s="37">
        <f>IFERROR(VLOOKUP($F89,bug_conf_sheet!$A:$H,8,FALSE),VLOOKUP("other",bug_conf_sheet!$A:$H,8,FALSE))</f>
        <v>1</v>
      </c>
    </row>
    <row r="90" spans="1:20" ht="21" customHeight="1">
      <c r="A90" s="7" t="str">
        <f t="shared" si="5"/>
        <v>3000324</v>
      </c>
      <c r="B90" s="2" t="str">
        <f t="shared" si="7"/>
        <v>3000</v>
      </c>
      <c r="C90" s="8" t="str">
        <f t="shared" si="8"/>
        <v>0PremiumSS4</v>
      </c>
      <c r="D90" s="8" t="str">
        <f t="shared" si="6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65"/>
      <c r="N90" s="16">
        <f>VLOOKUP(D90,gacha_300_base!A:B,2,FALSE)</f>
        <v>1568</v>
      </c>
      <c r="O90" s="37">
        <f>IFERROR(VLOOKUP($F90,bug_conf_sheet!$A:$H,3,FALSE),VLOOKUP("other",bug_conf_sheet!$A:$H,3,FALSE))</f>
        <v>1</v>
      </c>
      <c r="P90" s="37">
        <f>IFERROR(VLOOKUP($F90,bug_conf_sheet!$A:$H,4,FALSE),VLOOKUP("other",bug_conf_sheet!$A:$H,4,FALSE))</f>
        <v>0</v>
      </c>
      <c r="Q90" s="37">
        <f>IFERROR(VLOOKUP($F90,bug_conf_sheet!$A:$H,5,FALSE),VLOOKUP("other",bug_conf_sheet!$A:$H,5,FALSE))</f>
        <v>0</v>
      </c>
      <c r="R90" s="37">
        <f>IFERROR(VLOOKUP($F90,bug_conf_sheet!$A:$H,6,FALSE),VLOOKUP("other",bug_conf_sheet!$A:$H,6,FALSE))</f>
        <v>0</v>
      </c>
      <c r="S90" s="37">
        <f>IFERROR(VLOOKUP($F90,bug_conf_sheet!$A:$H,7,FALSE),VLOOKUP("other",bug_conf_sheet!$A:$H,7,FALSE))</f>
        <v>0</v>
      </c>
      <c r="T90" s="37">
        <f>IFERROR(VLOOKUP($F90,bug_conf_sheet!$A:$H,8,FALSE),VLOOKUP("other",bug_conf_sheet!$A:$H,8,FALSE))</f>
        <v>1</v>
      </c>
    </row>
    <row r="91" spans="1:20" ht="21" customHeight="1">
      <c r="A91" s="7" t="str">
        <f t="shared" si="5"/>
        <v>3000325</v>
      </c>
      <c r="B91" s="2" t="str">
        <f t="shared" si="7"/>
        <v>3000</v>
      </c>
      <c r="C91" s="8" t="str">
        <f t="shared" si="8"/>
        <v>0PremiumSS5</v>
      </c>
      <c r="D91" s="8" t="str">
        <f t="shared" si="6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65"/>
      <c r="N91" s="16">
        <f>VLOOKUP(D91,gacha_300_base!A:B,2,FALSE)</f>
        <v>98</v>
      </c>
      <c r="O91" s="37">
        <f>IFERROR(VLOOKUP($F91,bug_conf_sheet!$A:$H,3,FALSE),VLOOKUP("other",bug_conf_sheet!$A:$H,3,FALSE))</f>
        <v>1</v>
      </c>
      <c r="P91" s="37">
        <f>IFERROR(VLOOKUP($F91,bug_conf_sheet!$A:$H,4,FALSE),VLOOKUP("other",bug_conf_sheet!$A:$H,4,FALSE))</f>
        <v>0</v>
      </c>
      <c r="Q91" s="37">
        <f>IFERROR(VLOOKUP($F91,bug_conf_sheet!$A:$H,5,FALSE),VLOOKUP("other",bug_conf_sheet!$A:$H,5,FALSE))</f>
        <v>0</v>
      </c>
      <c r="R91" s="37">
        <f>IFERROR(VLOOKUP($F91,bug_conf_sheet!$A:$H,6,FALSE),VLOOKUP("other",bug_conf_sheet!$A:$H,6,FALSE))</f>
        <v>0</v>
      </c>
      <c r="S91" s="37">
        <f>IFERROR(VLOOKUP($F91,bug_conf_sheet!$A:$H,7,FALSE),VLOOKUP("other",bug_conf_sheet!$A:$H,7,FALSE))</f>
        <v>0</v>
      </c>
      <c r="T91" s="37">
        <f>IFERROR(VLOOKUP($F91,bug_conf_sheet!$A:$H,8,FALSE),VLOOKUP("other",bug_conf_sheet!$A:$H,8,FALSE))</f>
        <v>1</v>
      </c>
    </row>
    <row r="92" spans="1:20" ht="21" customHeight="1">
      <c r="A92" s="7" t="str">
        <f t="shared" si="5"/>
        <v>3000326</v>
      </c>
      <c r="B92" s="2" t="str">
        <f t="shared" si="7"/>
        <v>3000</v>
      </c>
      <c r="C92" s="8" t="str">
        <f t="shared" si="8"/>
        <v>0PremiumSS4</v>
      </c>
      <c r="D92" s="8" t="str">
        <f t="shared" si="6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65"/>
      <c r="N92" s="16">
        <f>VLOOKUP(D92,gacha_300_base!A:B,2,FALSE)</f>
        <v>1568</v>
      </c>
      <c r="O92" s="37">
        <f>IFERROR(VLOOKUP($F92,bug_conf_sheet!$A:$H,3,FALSE),VLOOKUP("other",bug_conf_sheet!$A:$H,3,FALSE))</f>
        <v>1</v>
      </c>
      <c r="P92" s="37">
        <f>IFERROR(VLOOKUP($F92,bug_conf_sheet!$A:$H,4,FALSE),VLOOKUP("other",bug_conf_sheet!$A:$H,4,FALSE))</f>
        <v>0</v>
      </c>
      <c r="Q92" s="37">
        <f>IFERROR(VLOOKUP($F92,bug_conf_sheet!$A:$H,5,FALSE),VLOOKUP("other",bug_conf_sheet!$A:$H,5,FALSE))</f>
        <v>0</v>
      </c>
      <c r="R92" s="37">
        <f>IFERROR(VLOOKUP($F92,bug_conf_sheet!$A:$H,6,FALSE),VLOOKUP("other",bug_conf_sheet!$A:$H,6,FALSE))</f>
        <v>0</v>
      </c>
      <c r="S92" s="37">
        <f>IFERROR(VLOOKUP($F92,bug_conf_sheet!$A:$H,7,FALSE),VLOOKUP("other",bug_conf_sheet!$A:$H,7,FALSE))</f>
        <v>0</v>
      </c>
      <c r="T92" s="37">
        <f>IFERROR(VLOOKUP($F92,bug_conf_sheet!$A:$H,8,FALSE),VLOOKUP("other",bug_conf_sheet!$A:$H,8,FALSE))</f>
        <v>1</v>
      </c>
    </row>
    <row r="93" spans="1:20" ht="21" customHeight="1">
      <c r="A93" s="7" t="str">
        <f t="shared" si="5"/>
        <v>3000327</v>
      </c>
      <c r="B93" s="2" t="str">
        <f t="shared" si="7"/>
        <v>3000</v>
      </c>
      <c r="C93" s="8" t="str">
        <f t="shared" si="8"/>
        <v>0PremiumSS5</v>
      </c>
      <c r="D93" s="8" t="str">
        <f t="shared" si="6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65"/>
      <c r="N93" s="16">
        <f>VLOOKUP(D93,gacha_300_base!A:B,2,FALSE)</f>
        <v>98</v>
      </c>
      <c r="O93" s="37">
        <f>IFERROR(VLOOKUP($F93,bug_conf_sheet!$A:$H,3,FALSE),VLOOKUP("other",bug_conf_sheet!$A:$H,3,FALSE))</f>
        <v>1</v>
      </c>
      <c r="P93" s="37">
        <f>IFERROR(VLOOKUP($F93,bug_conf_sheet!$A:$H,4,FALSE),VLOOKUP("other",bug_conf_sheet!$A:$H,4,FALSE))</f>
        <v>0</v>
      </c>
      <c r="Q93" s="37">
        <f>IFERROR(VLOOKUP($F93,bug_conf_sheet!$A:$H,5,FALSE),VLOOKUP("other",bug_conf_sheet!$A:$H,5,FALSE))</f>
        <v>0</v>
      </c>
      <c r="R93" s="37">
        <f>IFERROR(VLOOKUP($F93,bug_conf_sheet!$A:$H,6,FALSE),VLOOKUP("other",bug_conf_sheet!$A:$H,6,FALSE))</f>
        <v>0</v>
      </c>
      <c r="S93" s="37">
        <f>IFERROR(VLOOKUP($F93,bug_conf_sheet!$A:$H,7,FALSE),VLOOKUP("other",bug_conf_sheet!$A:$H,7,FALSE))</f>
        <v>0</v>
      </c>
      <c r="T93" s="37">
        <f>IFERROR(VLOOKUP($F93,bug_conf_sheet!$A:$H,8,FALSE),VLOOKUP("other",bug_conf_sheet!$A:$H,8,FALSE))</f>
        <v>1</v>
      </c>
    </row>
    <row r="94" spans="1:20" ht="21" customHeight="1">
      <c r="A94" s="7" t="str">
        <f t="shared" si="5"/>
        <v>3000381</v>
      </c>
      <c r="B94" s="2" t="str">
        <f t="shared" si="7"/>
        <v>3000</v>
      </c>
      <c r="C94" s="8" t="str">
        <f t="shared" si="8"/>
        <v>0PremiumS4</v>
      </c>
      <c r="D94" s="8" t="str">
        <f t="shared" si="6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65"/>
      <c r="N94" s="16">
        <f>VLOOKUP(D94,gacha_300_base!A:B,2,FALSE)</f>
        <v>14570</v>
      </c>
      <c r="O94" s="37">
        <f>IFERROR(VLOOKUP($F94,bug_conf_sheet!$A:$H,3,FALSE),VLOOKUP("other",bug_conf_sheet!$A:$H,3,FALSE))</f>
        <v>1</v>
      </c>
      <c r="P94" s="37">
        <f>IFERROR(VLOOKUP($F94,bug_conf_sheet!$A:$H,4,FALSE),VLOOKUP("other",bug_conf_sheet!$A:$H,4,FALSE))</f>
        <v>0</v>
      </c>
      <c r="Q94" s="37">
        <f>IFERROR(VLOOKUP($F94,bug_conf_sheet!$A:$H,5,FALSE),VLOOKUP("other",bug_conf_sheet!$A:$H,5,FALSE))</f>
        <v>0</v>
      </c>
      <c r="R94" s="37">
        <f>IFERROR(VLOOKUP($F94,bug_conf_sheet!$A:$H,6,FALSE),VLOOKUP("other",bug_conf_sheet!$A:$H,6,FALSE))</f>
        <v>0</v>
      </c>
      <c r="S94" s="37">
        <f>IFERROR(VLOOKUP($F94,bug_conf_sheet!$A:$H,7,FALSE),VLOOKUP("other",bug_conf_sheet!$A:$H,7,FALSE))</f>
        <v>0</v>
      </c>
      <c r="T94" s="37">
        <f>IFERROR(VLOOKUP($F94,bug_conf_sheet!$A:$H,8,FALSE),VLOOKUP("other",bug_conf_sheet!$A:$H,8,FALSE))</f>
        <v>1</v>
      </c>
    </row>
    <row r="95" spans="1:20" ht="21" customHeight="1">
      <c r="A95" s="7" t="str">
        <f t="shared" si="5"/>
        <v>3000382</v>
      </c>
      <c r="B95" s="2" t="str">
        <f t="shared" si="7"/>
        <v>3000</v>
      </c>
      <c r="C95" s="8" t="str">
        <f t="shared" si="8"/>
        <v>0PremiumS5</v>
      </c>
      <c r="D95" s="8" t="str">
        <f t="shared" si="6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65"/>
      <c r="N95" s="16">
        <f>VLOOKUP(D95,gacha_300_base!A:B,2,FALSE)</f>
        <v>914</v>
      </c>
      <c r="O95" s="37">
        <f>IFERROR(VLOOKUP($F95,bug_conf_sheet!$A:$H,3,FALSE),VLOOKUP("other",bug_conf_sheet!$A:$H,3,FALSE))</f>
        <v>1</v>
      </c>
      <c r="P95" s="37">
        <f>IFERROR(VLOOKUP($F95,bug_conf_sheet!$A:$H,4,FALSE),VLOOKUP("other",bug_conf_sheet!$A:$H,4,FALSE))</f>
        <v>0</v>
      </c>
      <c r="Q95" s="37">
        <f>IFERROR(VLOOKUP($F95,bug_conf_sheet!$A:$H,5,FALSE),VLOOKUP("other",bug_conf_sheet!$A:$H,5,FALSE))</f>
        <v>0</v>
      </c>
      <c r="R95" s="37">
        <f>IFERROR(VLOOKUP($F95,bug_conf_sheet!$A:$H,6,FALSE),VLOOKUP("other",bug_conf_sheet!$A:$H,6,FALSE))</f>
        <v>0</v>
      </c>
      <c r="S95" s="37">
        <f>IFERROR(VLOOKUP($F95,bug_conf_sheet!$A:$H,7,FALSE),VLOOKUP("other",bug_conf_sheet!$A:$H,7,FALSE))</f>
        <v>0</v>
      </c>
      <c r="T95" s="37">
        <f>IFERROR(VLOOKUP($F95,bug_conf_sheet!$A:$H,8,FALSE),VLOOKUP("other",bug_conf_sheet!$A:$H,8,FALSE))</f>
        <v>1</v>
      </c>
    </row>
    <row r="96" spans="1:20" ht="21" customHeight="1">
      <c r="A96" s="7" t="str">
        <f t="shared" si="5"/>
        <v>3000383</v>
      </c>
      <c r="B96" s="2" t="str">
        <f t="shared" si="7"/>
        <v>3000</v>
      </c>
      <c r="C96" s="8" t="str">
        <f t="shared" si="8"/>
        <v>0PremiumSS4</v>
      </c>
      <c r="D96" s="8" t="str">
        <f t="shared" si="6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65"/>
      <c r="N96" s="16">
        <f>VLOOKUP(D96,gacha_300_base!A:B,2,FALSE)</f>
        <v>1568</v>
      </c>
      <c r="O96" s="37">
        <f>IFERROR(VLOOKUP($F96,bug_conf_sheet!$A:$H,3,FALSE),VLOOKUP("other",bug_conf_sheet!$A:$H,3,FALSE))</f>
        <v>1</v>
      </c>
      <c r="P96" s="37">
        <f>IFERROR(VLOOKUP($F96,bug_conf_sheet!$A:$H,4,FALSE),VLOOKUP("other",bug_conf_sheet!$A:$H,4,FALSE))</f>
        <v>0</v>
      </c>
      <c r="Q96" s="37">
        <f>IFERROR(VLOOKUP($F96,bug_conf_sheet!$A:$H,5,FALSE),VLOOKUP("other",bug_conf_sheet!$A:$H,5,FALSE))</f>
        <v>0</v>
      </c>
      <c r="R96" s="37">
        <f>IFERROR(VLOOKUP($F96,bug_conf_sheet!$A:$H,6,FALSE),VLOOKUP("other",bug_conf_sheet!$A:$H,6,FALSE))</f>
        <v>0</v>
      </c>
      <c r="S96" s="37">
        <f>IFERROR(VLOOKUP($F96,bug_conf_sheet!$A:$H,7,FALSE),VLOOKUP("other",bug_conf_sheet!$A:$H,7,FALSE))</f>
        <v>0</v>
      </c>
      <c r="T96" s="37">
        <f>IFERROR(VLOOKUP($F96,bug_conf_sheet!$A:$H,8,FALSE),VLOOKUP("other",bug_conf_sheet!$A:$H,8,FALSE))</f>
        <v>1</v>
      </c>
    </row>
    <row r="97" spans="1:20" ht="21" customHeight="1">
      <c r="A97" s="7" t="str">
        <f t="shared" si="5"/>
        <v>3000384</v>
      </c>
      <c r="B97" s="2" t="str">
        <f t="shared" si="7"/>
        <v>3000</v>
      </c>
      <c r="C97" s="8" t="str">
        <f t="shared" si="8"/>
        <v>0PremiumSS5</v>
      </c>
      <c r="D97" s="8" t="str">
        <f t="shared" si="6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65"/>
      <c r="N97" s="16">
        <f>VLOOKUP(D97,gacha_300_base!A:B,2,FALSE)</f>
        <v>98</v>
      </c>
      <c r="O97" s="37">
        <f>IFERROR(VLOOKUP($F97,bug_conf_sheet!$A:$H,3,FALSE),VLOOKUP("other",bug_conf_sheet!$A:$H,3,FALSE))</f>
        <v>1</v>
      </c>
      <c r="P97" s="37">
        <f>IFERROR(VLOOKUP($F97,bug_conf_sheet!$A:$H,4,FALSE),VLOOKUP("other",bug_conf_sheet!$A:$H,4,FALSE))</f>
        <v>0</v>
      </c>
      <c r="Q97" s="37">
        <f>IFERROR(VLOOKUP($F97,bug_conf_sheet!$A:$H,5,FALSE),VLOOKUP("other",bug_conf_sheet!$A:$H,5,FALSE))</f>
        <v>0</v>
      </c>
      <c r="R97" s="37">
        <f>IFERROR(VLOOKUP($F97,bug_conf_sheet!$A:$H,6,FALSE),VLOOKUP("other",bug_conf_sheet!$A:$H,6,FALSE))</f>
        <v>0</v>
      </c>
      <c r="S97" s="37">
        <f>IFERROR(VLOOKUP($F97,bug_conf_sheet!$A:$H,7,FALSE),VLOOKUP("other",bug_conf_sheet!$A:$H,7,FALSE))</f>
        <v>0</v>
      </c>
      <c r="T97" s="37">
        <f>IFERROR(VLOOKUP($F97,bug_conf_sheet!$A:$H,8,FALSE),VLOOKUP("other",bug_conf_sheet!$A:$H,8,FALSE))</f>
        <v>1</v>
      </c>
    </row>
    <row r="98" spans="1:20" ht="21" customHeight="1">
      <c r="A98" s="7" t="str">
        <f t="shared" si="5"/>
        <v>3000385</v>
      </c>
      <c r="B98" s="2" t="str">
        <f t="shared" si="7"/>
        <v>3000</v>
      </c>
      <c r="C98" s="8" t="str">
        <f t="shared" si="8"/>
        <v>0PremiumSS4</v>
      </c>
      <c r="D98" s="8" t="str">
        <f t="shared" si="6"/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65"/>
      <c r="N98" s="16">
        <f>VLOOKUP(D98,gacha_300_base!A:B,2,FALSE)</f>
        <v>1568</v>
      </c>
      <c r="O98" s="37">
        <f>IFERROR(VLOOKUP($F98,bug_conf_sheet!$A:$H,3,FALSE),VLOOKUP("other",bug_conf_sheet!$A:$H,3,FALSE))</f>
        <v>1</v>
      </c>
      <c r="P98" s="37">
        <f>IFERROR(VLOOKUP($F98,bug_conf_sheet!$A:$H,4,FALSE),VLOOKUP("other",bug_conf_sheet!$A:$H,4,FALSE))</f>
        <v>0</v>
      </c>
      <c r="Q98" s="37">
        <f>IFERROR(VLOOKUP($F98,bug_conf_sheet!$A:$H,5,FALSE),VLOOKUP("other",bug_conf_sheet!$A:$H,5,FALSE))</f>
        <v>0</v>
      </c>
      <c r="R98" s="37">
        <f>IFERROR(VLOOKUP($F98,bug_conf_sheet!$A:$H,6,FALSE),VLOOKUP("other",bug_conf_sheet!$A:$H,6,FALSE))</f>
        <v>0</v>
      </c>
      <c r="S98" s="37">
        <f>IFERROR(VLOOKUP($F98,bug_conf_sheet!$A:$H,7,FALSE),VLOOKUP("other",bug_conf_sheet!$A:$H,7,FALSE))</f>
        <v>0</v>
      </c>
      <c r="T98" s="37">
        <f>IFERROR(VLOOKUP($F98,bug_conf_sheet!$A:$H,8,FALSE),VLOOKUP("other",bug_conf_sheet!$A:$H,8,FALSE))</f>
        <v>1</v>
      </c>
    </row>
    <row r="99" spans="1:20" ht="21" customHeight="1">
      <c r="A99" s="7" t="str">
        <f t="shared" si="5"/>
        <v>3000386</v>
      </c>
      <c r="B99" s="2" t="str">
        <f t="shared" si="7"/>
        <v>3000</v>
      </c>
      <c r="C99" s="8" t="str">
        <f t="shared" si="8"/>
        <v>0PremiumSS5</v>
      </c>
      <c r="D99" s="8" t="str">
        <f t="shared" si="6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65"/>
      <c r="N99" s="16">
        <f>VLOOKUP(D99,gacha_300_base!A:B,2,FALSE)</f>
        <v>98</v>
      </c>
      <c r="O99" s="37">
        <f>IFERROR(VLOOKUP($F99,bug_conf_sheet!$A:$H,3,FALSE),VLOOKUP("other",bug_conf_sheet!$A:$H,3,FALSE))</f>
        <v>1</v>
      </c>
      <c r="P99" s="37">
        <f>IFERROR(VLOOKUP($F99,bug_conf_sheet!$A:$H,4,FALSE),VLOOKUP("other",bug_conf_sheet!$A:$H,4,FALSE))</f>
        <v>0</v>
      </c>
      <c r="Q99" s="37">
        <f>IFERROR(VLOOKUP($F99,bug_conf_sheet!$A:$H,5,FALSE),VLOOKUP("other",bug_conf_sheet!$A:$H,5,FALSE))</f>
        <v>0</v>
      </c>
      <c r="R99" s="37">
        <f>IFERROR(VLOOKUP($F99,bug_conf_sheet!$A:$H,6,FALSE),VLOOKUP("other",bug_conf_sheet!$A:$H,6,FALSE))</f>
        <v>0</v>
      </c>
      <c r="S99" s="37">
        <f>IFERROR(VLOOKUP($F99,bug_conf_sheet!$A:$H,7,FALSE),VLOOKUP("other",bug_conf_sheet!$A:$H,7,FALSE))</f>
        <v>0</v>
      </c>
      <c r="T99" s="37">
        <f>IFERROR(VLOOKUP($F99,bug_conf_sheet!$A:$H,8,FALSE),VLOOKUP("other",bug_conf_sheet!$A:$H,8,FALSE))</f>
        <v>1</v>
      </c>
    </row>
    <row r="100" spans="1:20" ht="21" customHeight="1">
      <c r="A100" s="7" t="str">
        <f t="shared" si="5"/>
        <v>3000388</v>
      </c>
      <c r="B100" s="2" t="str">
        <f t="shared" si="7"/>
        <v>3000</v>
      </c>
      <c r="C100" s="8" t="str">
        <f t="shared" si="8"/>
        <v>0PremiumS4</v>
      </c>
      <c r="D100" s="8" t="str">
        <f t="shared" si="6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65"/>
      <c r="N100" s="16">
        <f>VLOOKUP(D100,gacha_300_base!A:B,2,FALSE)</f>
        <v>14570</v>
      </c>
      <c r="O100" s="37">
        <f>IFERROR(VLOOKUP($F100,bug_conf_sheet!$A:$H,3,FALSE),VLOOKUP("other",bug_conf_sheet!$A:$H,3,FALSE))</f>
        <v>1</v>
      </c>
      <c r="P100" s="37">
        <f>IFERROR(VLOOKUP($F100,bug_conf_sheet!$A:$H,4,FALSE),VLOOKUP("other",bug_conf_sheet!$A:$H,4,FALSE))</f>
        <v>0</v>
      </c>
      <c r="Q100" s="37">
        <f>IFERROR(VLOOKUP($F100,bug_conf_sheet!$A:$H,5,FALSE),VLOOKUP("other",bug_conf_sheet!$A:$H,5,FALSE))</f>
        <v>0</v>
      </c>
      <c r="R100" s="37">
        <f>IFERROR(VLOOKUP($F100,bug_conf_sheet!$A:$H,6,FALSE),VLOOKUP("other",bug_conf_sheet!$A:$H,6,FALSE))</f>
        <v>0</v>
      </c>
      <c r="S100" s="37">
        <f>IFERROR(VLOOKUP($F100,bug_conf_sheet!$A:$H,7,FALSE),VLOOKUP("other",bug_conf_sheet!$A:$H,7,FALSE))</f>
        <v>0</v>
      </c>
      <c r="T100" s="37">
        <f>IFERROR(VLOOKUP($F100,bug_conf_sheet!$A:$H,8,FALSE),VLOOKUP("other",bug_conf_sheet!$A:$H,8,FALSE))</f>
        <v>1</v>
      </c>
    </row>
    <row r="101" spans="1:20" ht="21" customHeight="1">
      <c r="A101" s="7" t="str">
        <f t="shared" si="5"/>
        <v>3000389</v>
      </c>
      <c r="B101" s="2" t="str">
        <f t="shared" si="7"/>
        <v>3000</v>
      </c>
      <c r="C101" s="8" t="str">
        <f t="shared" si="8"/>
        <v>0PremiumS5</v>
      </c>
      <c r="D101" s="8" t="str">
        <f t="shared" si="6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65"/>
      <c r="N101" s="16">
        <f>VLOOKUP(D101,gacha_300_base!A:B,2,FALSE)</f>
        <v>914</v>
      </c>
      <c r="O101" s="37">
        <f>IFERROR(VLOOKUP($F101,bug_conf_sheet!$A:$H,3,FALSE),VLOOKUP("other",bug_conf_sheet!$A:$H,3,FALSE))</f>
        <v>1</v>
      </c>
      <c r="P101" s="37">
        <f>IFERROR(VLOOKUP($F101,bug_conf_sheet!$A:$H,4,FALSE),VLOOKUP("other",bug_conf_sheet!$A:$H,4,FALSE))</f>
        <v>0</v>
      </c>
      <c r="Q101" s="37">
        <f>IFERROR(VLOOKUP($F101,bug_conf_sheet!$A:$H,5,FALSE),VLOOKUP("other",bug_conf_sheet!$A:$H,5,FALSE))</f>
        <v>0</v>
      </c>
      <c r="R101" s="37">
        <f>IFERROR(VLOOKUP($F101,bug_conf_sheet!$A:$H,6,FALSE),VLOOKUP("other",bug_conf_sheet!$A:$H,6,FALSE))</f>
        <v>0</v>
      </c>
      <c r="S101" s="37">
        <f>IFERROR(VLOOKUP($F101,bug_conf_sheet!$A:$H,7,FALSE),VLOOKUP("other",bug_conf_sheet!$A:$H,7,FALSE))</f>
        <v>0</v>
      </c>
      <c r="T101" s="37">
        <f>IFERROR(VLOOKUP($F101,bug_conf_sheet!$A:$H,8,FALSE),VLOOKUP("other",bug_conf_sheet!$A:$H,8,FALSE))</f>
        <v>1</v>
      </c>
    </row>
    <row r="102" spans="1:20" ht="21" customHeight="1">
      <c r="A102" s="7" t="str">
        <f t="shared" si="5"/>
        <v>3000390</v>
      </c>
      <c r="B102" s="2" t="str">
        <f t="shared" si="7"/>
        <v>3000</v>
      </c>
      <c r="C102" s="8" t="str">
        <f t="shared" si="8"/>
        <v>0PremiumSS4</v>
      </c>
      <c r="D102" s="8" t="str">
        <f t="shared" si="6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65"/>
      <c r="N102" s="16">
        <f>VLOOKUP(D102,gacha_300_base!A:B,2,FALSE)</f>
        <v>1568</v>
      </c>
      <c r="O102" s="37">
        <f>IFERROR(VLOOKUP($F102,bug_conf_sheet!$A:$H,3,FALSE),VLOOKUP("other",bug_conf_sheet!$A:$H,3,FALSE))</f>
        <v>1</v>
      </c>
      <c r="P102" s="37">
        <f>IFERROR(VLOOKUP($F102,bug_conf_sheet!$A:$H,4,FALSE),VLOOKUP("other",bug_conf_sheet!$A:$H,4,FALSE))</f>
        <v>0</v>
      </c>
      <c r="Q102" s="37">
        <f>IFERROR(VLOOKUP($F102,bug_conf_sheet!$A:$H,5,FALSE),VLOOKUP("other",bug_conf_sheet!$A:$H,5,FALSE))</f>
        <v>0</v>
      </c>
      <c r="R102" s="37">
        <f>IFERROR(VLOOKUP($F102,bug_conf_sheet!$A:$H,6,FALSE),VLOOKUP("other",bug_conf_sheet!$A:$H,6,FALSE))</f>
        <v>0</v>
      </c>
      <c r="S102" s="37">
        <f>IFERROR(VLOOKUP($F102,bug_conf_sheet!$A:$H,7,FALSE),VLOOKUP("other",bug_conf_sheet!$A:$H,7,FALSE))</f>
        <v>0</v>
      </c>
      <c r="T102" s="37">
        <f>IFERROR(VLOOKUP($F102,bug_conf_sheet!$A:$H,8,FALSE),VLOOKUP("other",bug_conf_sheet!$A:$H,8,FALSE))</f>
        <v>1</v>
      </c>
    </row>
    <row r="103" spans="1:20" ht="21" customHeight="1">
      <c r="A103" s="7" t="str">
        <f t="shared" si="5"/>
        <v>3000391</v>
      </c>
      <c r="B103" s="2" t="str">
        <f t="shared" si="7"/>
        <v>3000</v>
      </c>
      <c r="C103" s="8" t="str">
        <f t="shared" si="8"/>
        <v>0PremiumSS5</v>
      </c>
      <c r="D103" s="8" t="str">
        <f t="shared" si="6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65"/>
      <c r="N103" s="16">
        <f>VLOOKUP(D103,gacha_300_base!A:B,2,FALSE)</f>
        <v>98</v>
      </c>
      <c r="O103" s="37">
        <f>IFERROR(VLOOKUP($F103,bug_conf_sheet!$A:$H,3,FALSE),VLOOKUP("other",bug_conf_sheet!$A:$H,3,FALSE))</f>
        <v>1</v>
      </c>
      <c r="P103" s="37">
        <f>IFERROR(VLOOKUP($F103,bug_conf_sheet!$A:$H,4,FALSE),VLOOKUP("other",bug_conf_sheet!$A:$H,4,FALSE))</f>
        <v>0</v>
      </c>
      <c r="Q103" s="37">
        <f>IFERROR(VLOOKUP($F103,bug_conf_sheet!$A:$H,5,FALSE),VLOOKUP("other",bug_conf_sheet!$A:$H,5,FALSE))</f>
        <v>0</v>
      </c>
      <c r="R103" s="37">
        <f>IFERROR(VLOOKUP($F103,bug_conf_sheet!$A:$H,6,FALSE),VLOOKUP("other",bug_conf_sheet!$A:$H,6,FALSE))</f>
        <v>0</v>
      </c>
      <c r="S103" s="37">
        <f>IFERROR(VLOOKUP($F103,bug_conf_sheet!$A:$H,7,FALSE),VLOOKUP("other",bug_conf_sheet!$A:$H,7,FALSE))</f>
        <v>0</v>
      </c>
      <c r="T103" s="37">
        <f>IFERROR(VLOOKUP($F103,bug_conf_sheet!$A:$H,8,FALSE),VLOOKUP("other",bug_conf_sheet!$A:$H,8,FALSE))</f>
        <v>1</v>
      </c>
    </row>
    <row r="104" spans="1:20" ht="21" customHeight="1">
      <c r="A104" s="7" t="str">
        <f t="shared" si="5"/>
        <v>3000393</v>
      </c>
      <c r="B104" s="2" t="str">
        <f t="shared" si="7"/>
        <v>3000</v>
      </c>
      <c r="C104" s="8" t="str">
        <f t="shared" si="8"/>
        <v>0PremiumS4</v>
      </c>
      <c r="D104" s="8" t="str">
        <f t="shared" si="6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65"/>
      <c r="N104" s="16">
        <f>VLOOKUP(D104,gacha_300_base!A:B,2,FALSE)</f>
        <v>14570</v>
      </c>
      <c r="O104" s="37">
        <f>IFERROR(VLOOKUP($F104,bug_conf_sheet!$A:$H,3,FALSE),VLOOKUP("other",bug_conf_sheet!$A:$H,3,FALSE))</f>
        <v>1</v>
      </c>
      <c r="P104" s="37">
        <f>IFERROR(VLOOKUP($F104,bug_conf_sheet!$A:$H,4,FALSE),VLOOKUP("other",bug_conf_sheet!$A:$H,4,FALSE))</f>
        <v>0</v>
      </c>
      <c r="Q104" s="37">
        <f>IFERROR(VLOOKUP($F104,bug_conf_sheet!$A:$H,5,FALSE),VLOOKUP("other",bug_conf_sheet!$A:$H,5,FALSE))</f>
        <v>0</v>
      </c>
      <c r="R104" s="37">
        <f>IFERROR(VLOOKUP($F104,bug_conf_sheet!$A:$H,6,FALSE),VLOOKUP("other",bug_conf_sheet!$A:$H,6,FALSE))</f>
        <v>0</v>
      </c>
      <c r="S104" s="37">
        <f>IFERROR(VLOOKUP($F104,bug_conf_sheet!$A:$H,7,FALSE),VLOOKUP("other",bug_conf_sheet!$A:$H,7,FALSE))</f>
        <v>0</v>
      </c>
      <c r="T104" s="37">
        <f>IFERROR(VLOOKUP($F104,bug_conf_sheet!$A:$H,8,FALSE),VLOOKUP("other",bug_conf_sheet!$A:$H,8,FALSE))</f>
        <v>1</v>
      </c>
    </row>
    <row r="105" spans="1:20" ht="21" customHeight="1">
      <c r="A105" s="7" t="str">
        <f t="shared" si="5"/>
        <v>3000394</v>
      </c>
      <c r="B105" s="2" t="str">
        <f t="shared" si="7"/>
        <v>3000</v>
      </c>
      <c r="C105" s="8" t="str">
        <f t="shared" si="8"/>
        <v>0PremiumS5</v>
      </c>
      <c r="D105" s="8" t="str">
        <f t="shared" si="6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65"/>
      <c r="N105" s="16">
        <f>VLOOKUP(D105,gacha_300_base!A:B,2,FALSE)</f>
        <v>914</v>
      </c>
      <c r="O105" s="37">
        <f>IFERROR(VLOOKUP($F105,bug_conf_sheet!$A:$H,3,FALSE),VLOOKUP("other",bug_conf_sheet!$A:$H,3,FALSE))</f>
        <v>1</v>
      </c>
      <c r="P105" s="37">
        <f>IFERROR(VLOOKUP($F105,bug_conf_sheet!$A:$H,4,FALSE),VLOOKUP("other",bug_conf_sheet!$A:$H,4,FALSE))</f>
        <v>0</v>
      </c>
      <c r="Q105" s="37">
        <f>IFERROR(VLOOKUP($F105,bug_conf_sheet!$A:$H,5,FALSE),VLOOKUP("other",bug_conf_sheet!$A:$H,5,FALSE))</f>
        <v>0</v>
      </c>
      <c r="R105" s="37">
        <f>IFERROR(VLOOKUP($F105,bug_conf_sheet!$A:$H,6,FALSE),VLOOKUP("other",bug_conf_sheet!$A:$H,6,FALSE))</f>
        <v>0</v>
      </c>
      <c r="S105" s="37">
        <f>IFERROR(VLOOKUP($F105,bug_conf_sheet!$A:$H,7,FALSE),VLOOKUP("other",bug_conf_sheet!$A:$H,7,FALSE))</f>
        <v>0</v>
      </c>
      <c r="T105" s="37">
        <f>IFERROR(VLOOKUP($F105,bug_conf_sheet!$A:$H,8,FALSE),VLOOKUP("other",bug_conf_sheet!$A:$H,8,FALSE))</f>
        <v>1</v>
      </c>
    </row>
    <row r="106" spans="1:20" ht="21" customHeight="1">
      <c r="A106" s="7" t="str">
        <f t="shared" si="5"/>
        <v>3000396</v>
      </c>
      <c r="B106" s="2" t="str">
        <f t="shared" si="7"/>
        <v>3000</v>
      </c>
      <c r="C106" s="8" t="str">
        <f t="shared" si="8"/>
        <v>0PremiumS4</v>
      </c>
      <c r="D106" s="8" t="str">
        <f t="shared" si="6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65"/>
      <c r="N106" s="16">
        <f>VLOOKUP(D106,gacha_300_base!A:B,2,FALSE)</f>
        <v>14570</v>
      </c>
      <c r="O106" s="37">
        <f>IFERROR(VLOOKUP($F106,bug_conf_sheet!$A:$H,3,FALSE),VLOOKUP("other",bug_conf_sheet!$A:$H,3,FALSE))</f>
        <v>1</v>
      </c>
      <c r="P106" s="37">
        <f>IFERROR(VLOOKUP($F106,bug_conf_sheet!$A:$H,4,FALSE),VLOOKUP("other",bug_conf_sheet!$A:$H,4,FALSE))</f>
        <v>0</v>
      </c>
      <c r="Q106" s="37">
        <f>IFERROR(VLOOKUP($F106,bug_conf_sheet!$A:$H,5,FALSE),VLOOKUP("other",bug_conf_sheet!$A:$H,5,FALSE))</f>
        <v>0</v>
      </c>
      <c r="R106" s="37">
        <f>IFERROR(VLOOKUP($F106,bug_conf_sheet!$A:$H,6,FALSE),VLOOKUP("other",bug_conf_sheet!$A:$H,6,FALSE))</f>
        <v>0</v>
      </c>
      <c r="S106" s="37">
        <f>IFERROR(VLOOKUP($F106,bug_conf_sheet!$A:$H,7,FALSE),VLOOKUP("other",bug_conf_sheet!$A:$H,7,FALSE))</f>
        <v>0</v>
      </c>
      <c r="T106" s="37">
        <f>IFERROR(VLOOKUP($F106,bug_conf_sheet!$A:$H,8,FALSE),VLOOKUP("other",bug_conf_sheet!$A:$H,8,FALSE))</f>
        <v>1</v>
      </c>
    </row>
    <row r="107" spans="1:20" ht="21" customHeight="1">
      <c r="A107" s="7" t="str">
        <f t="shared" si="5"/>
        <v>3000397</v>
      </c>
      <c r="B107" s="2" t="str">
        <f t="shared" si="7"/>
        <v>3000</v>
      </c>
      <c r="C107" s="8" t="str">
        <f t="shared" si="8"/>
        <v>0PremiumS5</v>
      </c>
      <c r="D107" s="8" t="str">
        <f t="shared" si="6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65"/>
      <c r="N107" s="16">
        <f>VLOOKUP(D107,gacha_300_base!A:B,2,FALSE)</f>
        <v>914</v>
      </c>
      <c r="O107" s="37">
        <f>IFERROR(VLOOKUP($F107,bug_conf_sheet!$A:$H,3,FALSE),VLOOKUP("other",bug_conf_sheet!$A:$H,3,FALSE))</f>
        <v>1</v>
      </c>
      <c r="P107" s="37">
        <f>IFERROR(VLOOKUP($F107,bug_conf_sheet!$A:$H,4,FALSE),VLOOKUP("other",bug_conf_sheet!$A:$H,4,FALSE))</f>
        <v>0</v>
      </c>
      <c r="Q107" s="37">
        <f>IFERROR(VLOOKUP($F107,bug_conf_sheet!$A:$H,5,FALSE),VLOOKUP("other",bug_conf_sheet!$A:$H,5,FALSE))</f>
        <v>0</v>
      </c>
      <c r="R107" s="37">
        <f>IFERROR(VLOOKUP($F107,bug_conf_sheet!$A:$H,6,FALSE),VLOOKUP("other",bug_conf_sheet!$A:$H,6,FALSE))</f>
        <v>0</v>
      </c>
      <c r="S107" s="37">
        <f>IFERROR(VLOOKUP($F107,bug_conf_sheet!$A:$H,7,FALSE),VLOOKUP("other",bug_conf_sheet!$A:$H,7,FALSE))</f>
        <v>0</v>
      </c>
      <c r="T107" s="37">
        <f>IFERROR(VLOOKUP($F107,bug_conf_sheet!$A:$H,8,FALSE),VLOOKUP("other",bug_conf_sheet!$A:$H,8,FALSE))</f>
        <v>1</v>
      </c>
    </row>
    <row r="108" spans="1:20" ht="21" customHeight="1">
      <c r="A108" s="7" t="str">
        <f t="shared" si="5"/>
        <v>3000398</v>
      </c>
      <c r="B108" s="2" t="str">
        <f t="shared" si="7"/>
        <v>3000</v>
      </c>
      <c r="C108" s="8" t="str">
        <f t="shared" si="8"/>
        <v>0PremiumSS4</v>
      </c>
      <c r="D108" s="8" t="str">
        <f t="shared" si="6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65"/>
      <c r="N108" s="16">
        <f>VLOOKUP(D108,gacha_300_base!A:B,2,FALSE)</f>
        <v>1568</v>
      </c>
      <c r="O108" s="37">
        <f>IFERROR(VLOOKUP($F108,bug_conf_sheet!$A:$H,3,FALSE),VLOOKUP("other",bug_conf_sheet!$A:$H,3,FALSE))</f>
        <v>1</v>
      </c>
      <c r="P108" s="37">
        <f>IFERROR(VLOOKUP($F108,bug_conf_sheet!$A:$H,4,FALSE),VLOOKUP("other",bug_conf_sheet!$A:$H,4,FALSE))</f>
        <v>0</v>
      </c>
      <c r="Q108" s="37">
        <f>IFERROR(VLOOKUP($F108,bug_conf_sheet!$A:$H,5,FALSE),VLOOKUP("other",bug_conf_sheet!$A:$H,5,FALSE))</f>
        <v>0</v>
      </c>
      <c r="R108" s="37">
        <f>IFERROR(VLOOKUP($F108,bug_conf_sheet!$A:$H,6,FALSE),VLOOKUP("other",bug_conf_sheet!$A:$H,6,FALSE))</f>
        <v>0</v>
      </c>
      <c r="S108" s="37">
        <f>IFERROR(VLOOKUP($F108,bug_conf_sheet!$A:$H,7,FALSE),VLOOKUP("other",bug_conf_sheet!$A:$H,7,FALSE))</f>
        <v>0</v>
      </c>
      <c r="T108" s="37">
        <f>IFERROR(VLOOKUP($F108,bug_conf_sheet!$A:$H,8,FALSE),VLOOKUP("other",bug_conf_sheet!$A:$H,8,FALSE))</f>
        <v>1</v>
      </c>
    </row>
    <row r="109" spans="1:20" ht="21" customHeight="1">
      <c r="A109" s="7" t="str">
        <f t="shared" si="5"/>
        <v>3000399</v>
      </c>
      <c r="B109" s="2" t="str">
        <f t="shared" si="7"/>
        <v>3000</v>
      </c>
      <c r="C109" s="8" t="str">
        <f t="shared" si="8"/>
        <v>0PremiumSS5</v>
      </c>
      <c r="D109" s="8" t="str">
        <f t="shared" si="6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65"/>
      <c r="N109" s="16">
        <f>VLOOKUP(D109,gacha_300_base!A:B,2,FALSE)</f>
        <v>98</v>
      </c>
      <c r="O109" s="37">
        <f>IFERROR(VLOOKUP($F109,bug_conf_sheet!$A:$H,3,FALSE),VLOOKUP("other",bug_conf_sheet!$A:$H,3,FALSE))</f>
        <v>1</v>
      </c>
      <c r="P109" s="37">
        <f>IFERROR(VLOOKUP($F109,bug_conf_sheet!$A:$H,4,FALSE),VLOOKUP("other",bug_conf_sheet!$A:$H,4,FALSE))</f>
        <v>0</v>
      </c>
      <c r="Q109" s="37">
        <f>IFERROR(VLOOKUP($F109,bug_conf_sheet!$A:$H,5,FALSE),VLOOKUP("other",bug_conf_sheet!$A:$H,5,FALSE))</f>
        <v>0</v>
      </c>
      <c r="R109" s="37">
        <f>IFERROR(VLOOKUP($F109,bug_conf_sheet!$A:$H,6,FALSE),VLOOKUP("other",bug_conf_sheet!$A:$H,6,FALSE))</f>
        <v>0</v>
      </c>
      <c r="S109" s="37">
        <f>IFERROR(VLOOKUP($F109,bug_conf_sheet!$A:$H,7,FALSE),VLOOKUP("other",bug_conf_sheet!$A:$H,7,FALSE))</f>
        <v>0</v>
      </c>
      <c r="T109" s="37">
        <f>IFERROR(VLOOKUP($F109,bug_conf_sheet!$A:$H,8,FALSE),VLOOKUP("other",bug_conf_sheet!$A:$H,8,FALSE))</f>
        <v>1</v>
      </c>
    </row>
    <row r="110" spans="1:20" ht="21" customHeight="1">
      <c r="A110" s="7" t="str">
        <f t="shared" si="5"/>
        <v>3000401</v>
      </c>
      <c r="B110" s="2" t="str">
        <f t="shared" si="7"/>
        <v>3000</v>
      </c>
      <c r="C110" s="8" t="str">
        <f t="shared" si="8"/>
        <v>0PremiumS4</v>
      </c>
      <c r="D110" s="8" t="str">
        <f t="shared" si="6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65"/>
      <c r="N110" s="16">
        <f>VLOOKUP(D110,gacha_300_base!A:B,2,FALSE)</f>
        <v>14570</v>
      </c>
      <c r="O110" s="37">
        <f>IFERROR(VLOOKUP($F110,bug_conf_sheet!$A:$H,3,FALSE),VLOOKUP("other",bug_conf_sheet!$A:$H,3,FALSE))</f>
        <v>1</v>
      </c>
      <c r="P110" s="37">
        <f>IFERROR(VLOOKUP($F110,bug_conf_sheet!$A:$H,4,FALSE),VLOOKUP("other",bug_conf_sheet!$A:$H,4,FALSE))</f>
        <v>0</v>
      </c>
      <c r="Q110" s="37">
        <f>IFERROR(VLOOKUP($F110,bug_conf_sheet!$A:$H,5,FALSE),VLOOKUP("other",bug_conf_sheet!$A:$H,5,FALSE))</f>
        <v>0</v>
      </c>
      <c r="R110" s="37">
        <f>IFERROR(VLOOKUP($F110,bug_conf_sheet!$A:$H,6,FALSE),VLOOKUP("other",bug_conf_sheet!$A:$H,6,FALSE))</f>
        <v>0</v>
      </c>
      <c r="S110" s="37">
        <f>IFERROR(VLOOKUP($F110,bug_conf_sheet!$A:$H,7,FALSE),VLOOKUP("other",bug_conf_sheet!$A:$H,7,FALSE))</f>
        <v>0</v>
      </c>
      <c r="T110" s="37">
        <f>IFERROR(VLOOKUP($F110,bug_conf_sheet!$A:$H,8,FALSE),VLOOKUP("other",bug_conf_sheet!$A:$H,8,FALSE))</f>
        <v>1</v>
      </c>
    </row>
    <row r="111" spans="1:20" ht="21" customHeight="1">
      <c r="A111" s="7" t="str">
        <f t="shared" si="5"/>
        <v>3000402</v>
      </c>
      <c r="B111" s="2" t="str">
        <f t="shared" si="7"/>
        <v>3000</v>
      </c>
      <c r="C111" s="8" t="str">
        <f t="shared" si="8"/>
        <v>0PremiumS5</v>
      </c>
      <c r="D111" s="8" t="str">
        <f t="shared" si="6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65"/>
      <c r="N111" s="16">
        <f>VLOOKUP(D111,gacha_300_base!A:B,2,FALSE)</f>
        <v>914</v>
      </c>
      <c r="O111" s="37">
        <f>IFERROR(VLOOKUP($F111,bug_conf_sheet!$A:$H,3,FALSE),VLOOKUP("other",bug_conf_sheet!$A:$H,3,FALSE))</f>
        <v>1</v>
      </c>
      <c r="P111" s="37">
        <f>IFERROR(VLOOKUP($F111,bug_conf_sheet!$A:$H,4,FALSE),VLOOKUP("other",bug_conf_sheet!$A:$H,4,FALSE))</f>
        <v>0</v>
      </c>
      <c r="Q111" s="37">
        <f>IFERROR(VLOOKUP($F111,bug_conf_sheet!$A:$H,5,FALSE),VLOOKUP("other",bug_conf_sheet!$A:$H,5,FALSE))</f>
        <v>0</v>
      </c>
      <c r="R111" s="37">
        <f>IFERROR(VLOOKUP($F111,bug_conf_sheet!$A:$H,6,FALSE),VLOOKUP("other",bug_conf_sheet!$A:$H,6,FALSE))</f>
        <v>0</v>
      </c>
      <c r="S111" s="37">
        <f>IFERROR(VLOOKUP($F111,bug_conf_sheet!$A:$H,7,FALSE),VLOOKUP("other",bug_conf_sheet!$A:$H,7,FALSE))</f>
        <v>0</v>
      </c>
      <c r="T111" s="37">
        <f>IFERROR(VLOOKUP($F111,bug_conf_sheet!$A:$H,8,FALSE),VLOOKUP("other",bug_conf_sheet!$A:$H,8,FALSE))</f>
        <v>1</v>
      </c>
    </row>
    <row r="112" spans="1:20" ht="21" customHeight="1">
      <c r="A112" s="7" t="str">
        <f t="shared" si="5"/>
        <v>3000403</v>
      </c>
      <c r="B112" s="2" t="str">
        <f t="shared" si="7"/>
        <v>3000</v>
      </c>
      <c r="C112" s="8" t="str">
        <f t="shared" si="8"/>
        <v>0PremiumSS4</v>
      </c>
      <c r="D112" s="8" t="str">
        <f t="shared" si="6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65"/>
      <c r="N112" s="16">
        <f>VLOOKUP(D112,gacha_300_base!A:B,2,FALSE)</f>
        <v>1568</v>
      </c>
      <c r="O112" s="37">
        <f>IFERROR(VLOOKUP($F112,bug_conf_sheet!$A:$H,3,FALSE),VLOOKUP("other",bug_conf_sheet!$A:$H,3,FALSE))</f>
        <v>1</v>
      </c>
      <c r="P112" s="37">
        <f>IFERROR(VLOOKUP($F112,bug_conf_sheet!$A:$H,4,FALSE),VLOOKUP("other",bug_conf_sheet!$A:$H,4,FALSE))</f>
        <v>0</v>
      </c>
      <c r="Q112" s="37">
        <f>IFERROR(VLOOKUP($F112,bug_conf_sheet!$A:$H,5,FALSE),VLOOKUP("other",bug_conf_sheet!$A:$H,5,FALSE))</f>
        <v>0</v>
      </c>
      <c r="R112" s="37">
        <f>IFERROR(VLOOKUP($F112,bug_conf_sheet!$A:$H,6,FALSE),VLOOKUP("other",bug_conf_sheet!$A:$H,6,FALSE))</f>
        <v>0</v>
      </c>
      <c r="S112" s="37">
        <f>IFERROR(VLOOKUP($F112,bug_conf_sheet!$A:$H,7,FALSE),VLOOKUP("other",bug_conf_sheet!$A:$H,7,FALSE))</f>
        <v>0</v>
      </c>
      <c r="T112" s="37">
        <f>IFERROR(VLOOKUP($F112,bug_conf_sheet!$A:$H,8,FALSE),VLOOKUP("other",bug_conf_sheet!$A:$H,8,FALSE))</f>
        <v>1</v>
      </c>
    </row>
    <row r="113" spans="1:20" ht="21" customHeight="1">
      <c r="A113" s="7" t="str">
        <f t="shared" si="5"/>
        <v>3000404</v>
      </c>
      <c r="B113" s="2" t="str">
        <f t="shared" si="7"/>
        <v>3000</v>
      </c>
      <c r="C113" s="8" t="str">
        <f t="shared" si="8"/>
        <v>0PremiumSS5</v>
      </c>
      <c r="D113" s="8" t="str">
        <f t="shared" si="6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65"/>
      <c r="N113" s="16">
        <f>VLOOKUP(D113,gacha_300_base!A:B,2,FALSE)</f>
        <v>98</v>
      </c>
      <c r="O113" s="37">
        <f>IFERROR(VLOOKUP($F113,bug_conf_sheet!$A:$H,3,FALSE),VLOOKUP("other",bug_conf_sheet!$A:$H,3,FALSE))</f>
        <v>1</v>
      </c>
      <c r="P113" s="37">
        <f>IFERROR(VLOOKUP($F113,bug_conf_sheet!$A:$H,4,FALSE),VLOOKUP("other",bug_conf_sheet!$A:$H,4,FALSE))</f>
        <v>0</v>
      </c>
      <c r="Q113" s="37">
        <f>IFERROR(VLOOKUP($F113,bug_conf_sheet!$A:$H,5,FALSE),VLOOKUP("other",bug_conf_sheet!$A:$H,5,FALSE))</f>
        <v>0</v>
      </c>
      <c r="R113" s="37">
        <f>IFERROR(VLOOKUP($F113,bug_conf_sheet!$A:$H,6,FALSE),VLOOKUP("other",bug_conf_sheet!$A:$H,6,FALSE))</f>
        <v>0</v>
      </c>
      <c r="S113" s="37">
        <f>IFERROR(VLOOKUP($F113,bug_conf_sheet!$A:$H,7,FALSE),VLOOKUP("other",bug_conf_sheet!$A:$H,7,FALSE))</f>
        <v>0</v>
      </c>
      <c r="T113" s="37">
        <f>IFERROR(VLOOKUP($F113,bug_conf_sheet!$A:$H,8,FALSE),VLOOKUP("other",bug_conf_sheet!$A:$H,8,FALSE))</f>
        <v>1</v>
      </c>
    </row>
    <row r="114" spans="1:20" ht="21" customHeight="1">
      <c r="A114" s="7" t="str">
        <f t="shared" si="5"/>
        <v>3000406</v>
      </c>
      <c r="B114" s="2" t="str">
        <f t="shared" si="7"/>
        <v>3000</v>
      </c>
      <c r="C114" s="8" t="str">
        <f t="shared" si="8"/>
        <v>0PremiumS4</v>
      </c>
      <c r="D114" s="8" t="str">
        <f t="shared" si="6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65"/>
      <c r="N114" s="16">
        <f>VLOOKUP(D114,gacha_300_base!A:B,2,FALSE)</f>
        <v>14570</v>
      </c>
      <c r="O114" s="37">
        <f>IFERROR(VLOOKUP($F114,bug_conf_sheet!$A:$H,3,FALSE),VLOOKUP("other",bug_conf_sheet!$A:$H,3,FALSE))</f>
        <v>1</v>
      </c>
      <c r="P114" s="37">
        <f>IFERROR(VLOOKUP($F114,bug_conf_sheet!$A:$H,4,FALSE),VLOOKUP("other",bug_conf_sheet!$A:$H,4,FALSE))</f>
        <v>0</v>
      </c>
      <c r="Q114" s="37">
        <f>IFERROR(VLOOKUP($F114,bug_conf_sheet!$A:$H,5,FALSE),VLOOKUP("other",bug_conf_sheet!$A:$H,5,FALSE))</f>
        <v>0</v>
      </c>
      <c r="R114" s="37">
        <f>IFERROR(VLOOKUP($F114,bug_conf_sheet!$A:$H,6,FALSE),VLOOKUP("other",bug_conf_sheet!$A:$H,6,FALSE))</f>
        <v>0</v>
      </c>
      <c r="S114" s="37">
        <f>IFERROR(VLOOKUP($F114,bug_conf_sheet!$A:$H,7,FALSE),VLOOKUP("other",bug_conf_sheet!$A:$H,7,FALSE))</f>
        <v>0</v>
      </c>
      <c r="T114" s="37">
        <f>IFERROR(VLOOKUP($F114,bug_conf_sheet!$A:$H,8,FALSE),VLOOKUP("other",bug_conf_sheet!$A:$H,8,FALSE))</f>
        <v>1</v>
      </c>
    </row>
    <row r="115" spans="1:20" ht="21" customHeight="1">
      <c r="A115" s="7" t="str">
        <f t="shared" si="5"/>
        <v>3000407</v>
      </c>
      <c r="B115" s="2" t="str">
        <f t="shared" si="7"/>
        <v>3000</v>
      </c>
      <c r="C115" s="8" t="str">
        <f t="shared" si="8"/>
        <v>0PremiumS5</v>
      </c>
      <c r="D115" s="8" t="str">
        <f t="shared" si="6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65"/>
      <c r="N115" s="16">
        <f>VLOOKUP(D115,gacha_300_base!A:B,2,FALSE)</f>
        <v>914</v>
      </c>
      <c r="O115" s="37">
        <f>IFERROR(VLOOKUP($F115,bug_conf_sheet!$A:$H,3,FALSE),VLOOKUP("other",bug_conf_sheet!$A:$H,3,FALSE))</f>
        <v>1</v>
      </c>
      <c r="P115" s="37">
        <f>IFERROR(VLOOKUP($F115,bug_conf_sheet!$A:$H,4,FALSE),VLOOKUP("other",bug_conf_sheet!$A:$H,4,FALSE))</f>
        <v>0</v>
      </c>
      <c r="Q115" s="37">
        <f>IFERROR(VLOOKUP($F115,bug_conf_sheet!$A:$H,5,FALSE),VLOOKUP("other",bug_conf_sheet!$A:$H,5,FALSE))</f>
        <v>0</v>
      </c>
      <c r="R115" s="37">
        <f>IFERROR(VLOOKUP($F115,bug_conf_sheet!$A:$H,6,FALSE),VLOOKUP("other",bug_conf_sheet!$A:$H,6,FALSE))</f>
        <v>0</v>
      </c>
      <c r="S115" s="37">
        <f>IFERROR(VLOOKUP($F115,bug_conf_sheet!$A:$H,7,FALSE),VLOOKUP("other",bug_conf_sheet!$A:$H,7,FALSE))</f>
        <v>0</v>
      </c>
      <c r="T115" s="37">
        <f>IFERROR(VLOOKUP($F115,bug_conf_sheet!$A:$H,8,FALSE),VLOOKUP("other",bug_conf_sheet!$A:$H,8,FALSE))</f>
        <v>1</v>
      </c>
    </row>
    <row r="116" spans="1:20" ht="21" customHeight="1">
      <c r="A116" s="7" t="str">
        <f t="shared" si="5"/>
        <v>3000408</v>
      </c>
      <c r="B116" s="2" t="str">
        <f t="shared" si="7"/>
        <v>3000</v>
      </c>
      <c r="C116" s="8" t="str">
        <f t="shared" si="8"/>
        <v>0PremiumSS4</v>
      </c>
      <c r="D116" s="8" t="str">
        <f t="shared" si="6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65"/>
      <c r="N116" s="16">
        <f>VLOOKUP(D116,gacha_300_base!A:B,2,FALSE)</f>
        <v>1568</v>
      </c>
      <c r="O116" s="37">
        <f>IFERROR(VLOOKUP($F116,bug_conf_sheet!$A:$H,3,FALSE),VLOOKUP("other",bug_conf_sheet!$A:$H,3,FALSE))</f>
        <v>1</v>
      </c>
      <c r="P116" s="37">
        <f>IFERROR(VLOOKUP($F116,bug_conf_sheet!$A:$H,4,FALSE),VLOOKUP("other",bug_conf_sheet!$A:$H,4,FALSE))</f>
        <v>0</v>
      </c>
      <c r="Q116" s="37">
        <f>IFERROR(VLOOKUP($F116,bug_conf_sheet!$A:$H,5,FALSE),VLOOKUP("other",bug_conf_sheet!$A:$H,5,FALSE))</f>
        <v>0</v>
      </c>
      <c r="R116" s="37">
        <f>IFERROR(VLOOKUP($F116,bug_conf_sheet!$A:$H,6,FALSE),VLOOKUP("other",bug_conf_sheet!$A:$H,6,FALSE))</f>
        <v>0</v>
      </c>
      <c r="S116" s="37">
        <f>IFERROR(VLOOKUP($F116,bug_conf_sheet!$A:$H,7,FALSE),VLOOKUP("other",bug_conf_sheet!$A:$H,7,FALSE))</f>
        <v>0</v>
      </c>
      <c r="T116" s="37">
        <f>IFERROR(VLOOKUP($F116,bug_conf_sheet!$A:$H,8,FALSE),VLOOKUP("other",bug_conf_sheet!$A:$H,8,FALSE))</f>
        <v>1</v>
      </c>
    </row>
    <row r="117" spans="1:20" ht="21" customHeight="1">
      <c r="A117" s="7" t="str">
        <f t="shared" si="5"/>
        <v>3000409</v>
      </c>
      <c r="B117" s="2" t="str">
        <f t="shared" si="7"/>
        <v>3000</v>
      </c>
      <c r="C117" s="8" t="str">
        <f t="shared" si="8"/>
        <v>0PremiumSS5</v>
      </c>
      <c r="D117" s="8" t="str">
        <f t="shared" si="6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65"/>
      <c r="N117" s="16">
        <f>VLOOKUP(D117,gacha_300_base!A:B,2,FALSE)</f>
        <v>98</v>
      </c>
      <c r="O117" s="37">
        <f>IFERROR(VLOOKUP($F117,bug_conf_sheet!$A:$H,3,FALSE),VLOOKUP("other",bug_conf_sheet!$A:$H,3,FALSE))</f>
        <v>1</v>
      </c>
      <c r="P117" s="37">
        <f>IFERROR(VLOOKUP($F117,bug_conf_sheet!$A:$H,4,FALSE),VLOOKUP("other",bug_conf_sheet!$A:$H,4,FALSE))</f>
        <v>0</v>
      </c>
      <c r="Q117" s="37">
        <f>IFERROR(VLOOKUP($F117,bug_conf_sheet!$A:$H,5,FALSE),VLOOKUP("other",bug_conf_sheet!$A:$H,5,FALSE))</f>
        <v>0</v>
      </c>
      <c r="R117" s="37">
        <f>IFERROR(VLOOKUP($F117,bug_conf_sheet!$A:$H,6,FALSE),VLOOKUP("other",bug_conf_sheet!$A:$H,6,FALSE))</f>
        <v>0</v>
      </c>
      <c r="S117" s="37">
        <f>IFERROR(VLOOKUP($F117,bug_conf_sheet!$A:$H,7,FALSE),VLOOKUP("other",bug_conf_sheet!$A:$H,7,FALSE))</f>
        <v>0</v>
      </c>
      <c r="T117" s="37">
        <f>IFERROR(VLOOKUP($F117,bug_conf_sheet!$A:$H,8,FALSE),VLOOKUP("other",bug_conf_sheet!$A:$H,8,FALSE))</f>
        <v>1</v>
      </c>
    </row>
    <row r="118" spans="1:20" ht="21" customHeight="1">
      <c r="A118" s="7" t="str">
        <f t="shared" si="5"/>
        <v>3000434</v>
      </c>
      <c r="B118" s="2" t="str">
        <f t="shared" si="7"/>
        <v>3000</v>
      </c>
      <c r="C118" s="8" t="str">
        <f t="shared" si="8"/>
        <v>0PremiumSS4</v>
      </c>
      <c r="D118" s="8" t="str">
        <f t="shared" si="6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65"/>
      <c r="N118" s="16">
        <f>VLOOKUP(D118,gacha_300_base!A:B,2,FALSE)</f>
        <v>1568</v>
      </c>
      <c r="O118" s="37">
        <f>IFERROR(VLOOKUP($F118,bug_conf_sheet!$A:$H,3,FALSE),VLOOKUP("other",bug_conf_sheet!$A:$H,3,FALSE))</f>
        <v>1</v>
      </c>
      <c r="P118" s="37">
        <f>IFERROR(VLOOKUP($F118,bug_conf_sheet!$A:$H,4,FALSE),VLOOKUP("other",bug_conf_sheet!$A:$H,4,FALSE))</f>
        <v>0</v>
      </c>
      <c r="Q118" s="37">
        <f>IFERROR(VLOOKUP($F118,bug_conf_sheet!$A:$H,5,FALSE),VLOOKUP("other",bug_conf_sheet!$A:$H,5,FALSE))</f>
        <v>0</v>
      </c>
      <c r="R118" s="37">
        <f>IFERROR(VLOOKUP($F118,bug_conf_sheet!$A:$H,6,FALSE),VLOOKUP("other",bug_conf_sheet!$A:$H,6,FALSE))</f>
        <v>0</v>
      </c>
      <c r="S118" s="37">
        <f>IFERROR(VLOOKUP($F118,bug_conf_sheet!$A:$H,7,FALSE),VLOOKUP("other",bug_conf_sheet!$A:$H,7,FALSE))</f>
        <v>0</v>
      </c>
      <c r="T118" s="37">
        <f>IFERROR(VLOOKUP($F118,bug_conf_sheet!$A:$H,8,FALSE),VLOOKUP("other",bug_conf_sheet!$A:$H,8,FALSE))</f>
        <v>1</v>
      </c>
    </row>
    <row r="119" spans="1:20" ht="21" customHeight="1">
      <c r="A119" s="7" t="str">
        <f t="shared" si="5"/>
        <v>3000435</v>
      </c>
      <c r="B119" s="2" t="str">
        <f t="shared" si="7"/>
        <v>3000</v>
      </c>
      <c r="C119" s="8" t="str">
        <f t="shared" si="8"/>
        <v>0PremiumSS5</v>
      </c>
      <c r="D119" s="8" t="str">
        <f t="shared" si="6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65"/>
      <c r="N119" s="16">
        <f>VLOOKUP(D119,gacha_300_base!A:B,2,FALSE)</f>
        <v>98</v>
      </c>
      <c r="O119" s="37">
        <f>IFERROR(VLOOKUP($F119,bug_conf_sheet!$A:$H,3,FALSE),VLOOKUP("other",bug_conf_sheet!$A:$H,3,FALSE))</f>
        <v>1</v>
      </c>
      <c r="P119" s="37">
        <f>IFERROR(VLOOKUP($F119,bug_conf_sheet!$A:$H,4,FALSE),VLOOKUP("other",bug_conf_sheet!$A:$H,4,FALSE))</f>
        <v>0</v>
      </c>
      <c r="Q119" s="37">
        <f>IFERROR(VLOOKUP($F119,bug_conf_sheet!$A:$H,5,FALSE),VLOOKUP("other",bug_conf_sheet!$A:$H,5,FALSE))</f>
        <v>0</v>
      </c>
      <c r="R119" s="37">
        <f>IFERROR(VLOOKUP($F119,bug_conf_sheet!$A:$H,6,FALSE),VLOOKUP("other",bug_conf_sheet!$A:$H,6,FALSE))</f>
        <v>0</v>
      </c>
      <c r="S119" s="37">
        <f>IFERROR(VLOOKUP($F119,bug_conf_sheet!$A:$H,7,FALSE),VLOOKUP("other",bug_conf_sheet!$A:$H,7,FALSE))</f>
        <v>0</v>
      </c>
      <c r="T119" s="37">
        <f>IFERROR(VLOOKUP($F119,bug_conf_sheet!$A:$H,8,FALSE),VLOOKUP("other",bug_conf_sheet!$A:$H,8,FALSE))</f>
        <v>1</v>
      </c>
    </row>
    <row r="120" spans="1:20" ht="21" customHeight="1">
      <c r="A120" s="7" t="str">
        <f t="shared" si="5"/>
        <v>3000437</v>
      </c>
      <c r="B120" s="2" t="str">
        <f t="shared" si="7"/>
        <v>3000</v>
      </c>
      <c r="C120" s="8" t="str">
        <f t="shared" si="8"/>
        <v>0PremiumS4</v>
      </c>
      <c r="D120" s="8" t="str">
        <f t="shared" si="6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65"/>
      <c r="N120" s="16">
        <f>VLOOKUP(D120,gacha_300_base!A:B,2,FALSE)</f>
        <v>14570</v>
      </c>
      <c r="O120" s="37">
        <f>IFERROR(VLOOKUP($F120,bug_conf_sheet!$A:$H,3,FALSE),VLOOKUP("other",bug_conf_sheet!$A:$H,3,FALSE))</f>
        <v>1</v>
      </c>
      <c r="P120" s="37">
        <f>IFERROR(VLOOKUP($F120,bug_conf_sheet!$A:$H,4,FALSE),VLOOKUP("other",bug_conf_sheet!$A:$H,4,FALSE))</f>
        <v>0</v>
      </c>
      <c r="Q120" s="37">
        <f>IFERROR(VLOOKUP($F120,bug_conf_sheet!$A:$H,5,FALSE),VLOOKUP("other",bug_conf_sheet!$A:$H,5,FALSE))</f>
        <v>0</v>
      </c>
      <c r="R120" s="37">
        <f>IFERROR(VLOOKUP($F120,bug_conf_sheet!$A:$H,6,FALSE),VLOOKUP("other",bug_conf_sheet!$A:$H,6,FALSE))</f>
        <v>0</v>
      </c>
      <c r="S120" s="37">
        <f>IFERROR(VLOOKUP($F120,bug_conf_sheet!$A:$H,7,FALSE),VLOOKUP("other",bug_conf_sheet!$A:$H,7,FALSE))</f>
        <v>0</v>
      </c>
      <c r="T120" s="37">
        <f>IFERROR(VLOOKUP($F120,bug_conf_sheet!$A:$H,8,FALSE),VLOOKUP("other",bug_conf_sheet!$A:$H,8,FALSE))</f>
        <v>1</v>
      </c>
    </row>
    <row r="121" spans="1:20" ht="21" customHeight="1">
      <c r="A121" s="7" t="str">
        <f t="shared" si="5"/>
        <v>3000438</v>
      </c>
      <c r="B121" s="2" t="str">
        <f t="shared" si="7"/>
        <v>3000</v>
      </c>
      <c r="C121" s="8" t="str">
        <f t="shared" si="8"/>
        <v>0PremiumS5</v>
      </c>
      <c r="D121" s="8" t="str">
        <f t="shared" si="6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65"/>
      <c r="N121" s="16">
        <f>VLOOKUP(D121,gacha_300_base!A:B,2,FALSE)</f>
        <v>914</v>
      </c>
      <c r="O121" s="37">
        <f>IFERROR(VLOOKUP($F121,bug_conf_sheet!$A:$H,3,FALSE),VLOOKUP("other",bug_conf_sheet!$A:$H,3,FALSE))</f>
        <v>1</v>
      </c>
      <c r="P121" s="37">
        <f>IFERROR(VLOOKUP($F121,bug_conf_sheet!$A:$H,4,FALSE),VLOOKUP("other",bug_conf_sheet!$A:$H,4,FALSE))</f>
        <v>0</v>
      </c>
      <c r="Q121" s="37">
        <f>IFERROR(VLOOKUP($F121,bug_conf_sheet!$A:$H,5,FALSE),VLOOKUP("other",bug_conf_sheet!$A:$H,5,FALSE))</f>
        <v>0</v>
      </c>
      <c r="R121" s="37">
        <f>IFERROR(VLOOKUP($F121,bug_conf_sheet!$A:$H,6,FALSE),VLOOKUP("other",bug_conf_sheet!$A:$H,6,FALSE))</f>
        <v>0</v>
      </c>
      <c r="S121" s="37">
        <f>IFERROR(VLOOKUP($F121,bug_conf_sheet!$A:$H,7,FALSE),VLOOKUP("other",bug_conf_sheet!$A:$H,7,FALSE))</f>
        <v>0</v>
      </c>
      <c r="T121" s="37">
        <f>IFERROR(VLOOKUP($F121,bug_conf_sheet!$A:$H,8,FALSE),VLOOKUP("other",bug_conf_sheet!$A:$H,8,FALSE))</f>
        <v>1</v>
      </c>
    </row>
    <row r="122" spans="1:20" ht="21" customHeight="1">
      <c r="A122" s="7" t="str">
        <f t="shared" si="5"/>
        <v>3000440</v>
      </c>
      <c r="B122" s="2" t="str">
        <f t="shared" si="7"/>
        <v>3000</v>
      </c>
      <c r="C122" s="8" t="str">
        <f t="shared" si="8"/>
        <v>0PremiumS4</v>
      </c>
      <c r="D122" s="8" t="str">
        <f t="shared" si="6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65"/>
      <c r="N122" s="16">
        <f>VLOOKUP(D122,gacha_300_base!A:B,2,FALSE)</f>
        <v>14570</v>
      </c>
      <c r="O122" s="37">
        <f>IFERROR(VLOOKUP($F122,bug_conf_sheet!$A:$H,3,FALSE),VLOOKUP("other",bug_conf_sheet!$A:$H,3,FALSE))</f>
        <v>1</v>
      </c>
      <c r="P122" s="37">
        <f>IFERROR(VLOOKUP($F122,bug_conf_sheet!$A:$H,4,FALSE),VLOOKUP("other",bug_conf_sheet!$A:$H,4,FALSE))</f>
        <v>0</v>
      </c>
      <c r="Q122" s="37">
        <f>IFERROR(VLOOKUP($F122,bug_conf_sheet!$A:$H,5,FALSE),VLOOKUP("other",bug_conf_sheet!$A:$H,5,FALSE))</f>
        <v>0</v>
      </c>
      <c r="R122" s="37">
        <f>IFERROR(VLOOKUP($F122,bug_conf_sheet!$A:$H,6,FALSE),VLOOKUP("other",bug_conf_sheet!$A:$H,6,FALSE))</f>
        <v>0</v>
      </c>
      <c r="S122" s="37">
        <f>IFERROR(VLOOKUP($F122,bug_conf_sheet!$A:$H,7,FALSE),VLOOKUP("other",bug_conf_sheet!$A:$H,7,FALSE))</f>
        <v>0</v>
      </c>
      <c r="T122" s="37">
        <f>IFERROR(VLOOKUP($F122,bug_conf_sheet!$A:$H,8,FALSE),VLOOKUP("other",bug_conf_sheet!$A:$H,8,FALSE))</f>
        <v>1</v>
      </c>
    </row>
    <row r="123" spans="1:20" ht="21" customHeight="1">
      <c r="A123" s="7" t="str">
        <f t="shared" si="5"/>
        <v>3000441</v>
      </c>
      <c r="B123" s="2" t="str">
        <f t="shared" si="7"/>
        <v>3000</v>
      </c>
      <c r="C123" s="8" t="str">
        <f t="shared" si="8"/>
        <v>0PremiumS5</v>
      </c>
      <c r="D123" s="8" t="str">
        <f t="shared" si="6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65"/>
      <c r="N123" s="16">
        <f>VLOOKUP(D123,gacha_300_base!A:B,2,FALSE)</f>
        <v>914</v>
      </c>
      <c r="O123" s="37">
        <f>IFERROR(VLOOKUP($F123,bug_conf_sheet!$A:$H,3,FALSE),VLOOKUP("other",bug_conf_sheet!$A:$H,3,FALSE))</f>
        <v>1</v>
      </c>
      <c r="P123" s="37">
        <f>IFERROR(VLOOKUP($F123,bug_conf_sheet!$A:$H,4,FALSE),VLOOKUP("other",bug_conf_sheet!$A:$H,4,FALSE))</f>
        <v>0</v>
      </c>
      <c r="Q123" s="37">
        <f>IFERROR(VLOOKUP($F123,bug_conf_sheet!$A:$H,5,FALSE),VLOOKUP("other",bug_conf_sheet!$A:$H,5,FALSE))</f>
        <v>0</v>
      </c>
      <c r="R123" s="37">
        <f>IFERROR(VLOOKUP($F123,bug_conf_sheet!$A:$H,6,FALSE),VLOOKUP("other",bug_conf_sheet!$A:$H,6,FALSE))</f>
        <v>0</v>
      </c>
      <c r="S123" s="37">
        <f>IFERROR(VLOOKUP($F123,bug_conf_sheet!$A:$H,7,FALSE),VLOOKUP("other",bug_conf_sheet!$A:$H,7,FALSE))</f>
        <v>0</v>
      </c>
      <c r="T123" s="37">
        <f>IFERROR(VLOOKUP($F123,bug_conf_sheet!$A:$H,8,FALSE),VLOOKUP("other",bug_conf_sheet!$A:$H,8,FALSE))</f>
        <v>1</v>
      </c>
    </row>
    <row r="124" spans="1:20" ht="21" customHeight="1">
      <c r="A124" s="7" t="str">
        <f t="shared" si="5"/>
        <v>3000442</v>
      </c>
      <c r="B124" s="2" t="str">
        <f t="shared" si="7"/>
        <v>3000</v>
      </c>
      <c r="C124" s="8" t="str">
        <f t="shared" si="8"/>
        <v>0PremiumSS4</v>
      </c>
      <c r="D124" s="8" t="str">
        <f t="shared" si="6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65"/>
      <c r="N124" s="16">
        <f>VLOOKUP(D124,gacha_300_base!A:B,2,FALSE)</f>
        <v>1568</v>
      </c>
      <c r="O124" s="37">
        <f>IFERROR(VLOOKUP($F124,bug_conf_sheet!$A:$H,3,FALSE),VLOOKUP("other",bug_conf_sheet!$A:$H,3,FALSE))</f>
        <v>1</v>
      </c>
      <c r="P124" s="37">
        <f>IFERROR(VLOOKUP($F124,bug_conf_sheet!$A:$H,4,FALSE),VLOOKUP("other",bug_conf_sheet!$A:$H,4,FALSE))</f>
        <v>0</v>
      </c>
      <c r="Q124" s="37">
        <f>IFERROR(VLOOKUP($F124,bug_conf_sheet!$A:$H,5,FALSE),VLOOKUP("other",bug_conf_sheet!$A:$H,5,FALSE))</f>
        <v>0</v>
      </c>
      <c r="R124" s="37">
        <f>IFERROR(VLOOKUP($F124,bug_conf_sheet!$A:$H,6,FALSE),VLOOKUP("other",bug_conf_sheet!$A:$H,6,FALSE))</f>
        <v>0</v>
      </c>
      <c r="S124" s="37">
        <f>IFERROR(VLOOKUP($F124,bug_conf_sheet!$A:$H,7,FALSE),VLOOKUP("other",bug_conf_sheet!$A:$H,7,FALSE))</f>
        <v>0</v>
      </c>
      <c r="T124" s="37">
        <f>IFERROR(VLOOKUP($F124,bug_conf_sheet!$A:$H,8,FALSE),VLOOKUP("other",bug_conf_sheet!$A:$H,8,FALSE))</f>
        <v>1</v>
      </c>
    </row>
    <row r="125" spans="1:20" ht="21" customHeight="1">
      <c r="A125" s="7" t="str">
        <f t="shared" si="5"/>
        <v>3000443</v>
      </c>
      <c r="B125" s="2" t="str">
        <f t="shared" si="7"/>
        <v>3000</v>
      </c>
      <c r="C125" s="8" t="str">
        <f t="shared" si="8"/>
        <v>0PremiumSS5</v>
      </c>
      <c r="D125" s="8" t="str">
        <f t="shared" si="6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65"/>
      <c r="N125" s="16">
        <f>VLOOKUP(D125,gacha_300_base!A:B,2,FALSE)</f>
        <v>98</v>
      </c>
      <c r="O125" s="37">
        <f>IFERROR(VLOOKUP($F125,bug_conf_sheet!$A:$H,3,FALSE),VLOOKUP("other",bug_conf_sheet!$A:$H,3,FALSE))</f>
        <v>1</v>
      </c>
      <c r="P125" s="37">
        <f>IFERROR(VLOOKUP($F125,bug_conf_sheet!$A:$H,4,FALSE),VLOOKUP("other",bug_conf_sheet!$A:$H,4,FALSE))</f>
        <v>0</v>
      </c>
      <c r="Q125" s="37">
        <f>IFERROR(VLOOKUP($F125,bug_conf_sheet!$A:$H,5,FALSE),VLOOKUP("other",bug_conf_sheet!$A:$H,5,FALSE))</f>
        <v>0</v>
      </c>
      <c r="R125" s="37">
        <f>IFERROR(VLOOKUP($F125,bug_conf_sheet!$A:$H,6,FALSE),VLOOKUP("other",bug_conf_sheet!$A:$H,6,FALSE))</f>
        <v>0</v>
      </c>
      <c r="S125" s="37">
        <f>IFERROR(VLOOKUP($F125,bug_conf_sheet!$A:$H,7,FALSE),VLOOKUP("other",bug_conf_sheet!$A:$H,7,FALSE))</f>
        <v>0</v>
      </c>
      <c r="T125" s="37">
        <f>IFERROR(VLOOKUP($F125,bug_conf_sheet!$A:$H,8,FALSE),VLOOKUP("other",bug_conf_sheet!$A:$H,8,FALSE))</f>
        <v>1</v>
      </c>
    </row>
    <row r="126" spans="1:20" ht="21" customHeight="1">
      <c r="A126" s="7" t="str">
        <f t="shared" si="5"/>
        <v>3000463</v>
      </c>
      <c r="B126" s="2" t="str">
        <f t="shared" si="7"/>
        <v>3000</v>
      </c>
      <c r="C126" s="8" t="str">
        <f t="shared" si="8"/>
        <v>0PremiumS4</v>
      </c>
      <c r="D126" s="8" t="str">
        <f t="shared" si="6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65"/>
      <c r="N126" s="16">
        <f>VLOOKUP(D126,gacha_300_base!A:B,2,FALSE)</f>
        <v>14570</v>
      </c>
      <c r="O126" s="37">
        <f>IFERROR(VLOOKUP($F126,bug_conf_sheet!$A:$H,3,FALSE),VLOOKUP("other",bug_conf_sheet!$A:$H,3,FALSE))</f>
        <v>1</v>
      </c>
      <c r="P126" s="37">
        <f>IFERROR(VLOOKUP($F126,bug_conf_sheet!$A:$H,4,FALSE),VLOOKUP("other",bug_conf_sheet!$A:$H,4,FALSE))</f>
        <v>0</v>
      </c>
      <c r="Q126" s="37">
        <f>IFERROR(VLOOKUP($F126,bug_conf_sheet!$A:$H,5,FALSE),VLOOKUP("other",bug_conf_sheet!$A:$H,5,FALSE))</f>
        <v>0</v>
      </c>
      <c r="R126" s="37">
        <f>IFERROR(VLOOKUP($F126,bug_conf_sheet!$A:$H,6,FALSE),VLOOKUP("other",bug_conf_sheet!$A:$H,6,FALSE))</f>
        <v>0</v>
      </c>
      <c r="S126" s="37">
        <f>IFERROR(VLOOKUP($F126,bug_conf_sheet!$A:$H,7,FALSE),VLOOKUP("other",bug_conf_sheet!$A:$H,7,FALSE))</f>
        <v>0</v>
      </c>
      <c r="T126" s="37">
        <f>IFERROR(VLOOKUP($F126,bug_conf_sheet!$A:$H,8,FALSE),VLOOKUP("other",bug_conf_sheet!$A:$H,8,FALSE))</f>
        <v>1</v>
      </c>
    </row>
    <row r="127" spans="1:20" ht="21" customHeight="1">
      <c r="A127" s="7" t="str">
        <f t="shared" si="5"/>
        <v>3000464</v>
      </c>
      <c r="B127" s="2" t="str">
        <f t="shared" si="7"/>
        <v>3000</v>
      </c>
      <c r="C127" s="8" t="str">
        <f t="shared" si="8"/>
        <v>0PremiumS5</v>
      </c>
      <c r="D127" s="8" t="str">
        <f t="shared" si="6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65"/>
      <c r="N127" s="16">
        <f>VLOOKUP(D127,gacha_300_base!A:B,2,FALSE)</f>
        <v>914</v>
      </c>
      <c r="O127" s="37">
        <f>IFERROR(VLOOKUP($F127,bug_conf_sheet!$A:$H,3,FALSE),VLOOKUP("other",bug_conf_sheet!$A:$H,3,FALSE))</f>
        <v>1</v>
      </c>
      <c r="P127" s="37">
        <f>IFERROR(VLOOKUP($F127,bug_conf_sheet!$A:$H,4,FALSE),VLOOKUP("other",bug_conf_sheet!$A:$H,4,FALSE))</f>
        <v>0</v>
      </c>
      <c r="Q127" s="37">
        <f>IFERROR(VLOOKUP($F127,bug_conf_sheet!$A:$H,5,FALSE),VLOOKUP("other",bug_conf_sheet!$A:$H,5,FALSE))</f>
        <v>0</v>
      </c>
      <c r="R127" s="37">
        <f>IFERROR(VLOOKUP($F127,bug_conf_sheet!$A:$H,6,FALSE),VLOOKUP("other",bug_conf_sheet!$A:$H,6,FALSE))</f>
        <v>0</v>
      </c>
      <c r="S127" s="37">
        <f>IFERROR(VLOOKUP($F127,bug_conf_sheet!$A:$H,7,FALSE),VLOOKUP("other",bug_conf_sheet!$A:$H,7,FALSE))</f>
        <v>0</v>
      </c>
      <c r="T127" s="37">
        <f>IFERROR(VLOOKUP($F127,bug_conf_sheet!$A:$H,8,FALSE),VLOOKUP("other",bug_conf_sheet!$A:$H,8,FALSE))</f>
        <v>1</v>
      </c>
    </row>
    <row r="128" spans="1:20" ht="21" customHeight="1">
      <c r="A128" s="7" t="str">
        <f t="shared" si="5"/>
        <v>3000465</v>
      </c>
      <c r="B128" s="2" t="str">
        <f t="shared" si="7"/>
        <v>3000</v>
      </c>
      <c r="C128" s="8" t="str">
        <f t="shared" si="8"/>
        <v>0PremiumSS4</v>
      </c>
      <c r="D128" s="8" t="str">
        <f t="shared" si="6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65"/>
      <c r="N128" s="16">
        <f>VLOOKUP(D128,gacha_300_base!A:B,2,FALSE)</f>
        <v>1568</v>
      </c>
      <c r="O128" s="37">
        <f>IFERROR(VLOOKUP($F128,bug_conf_sheet!$A:$H,3,FALSE),VLOOKUP("other",bug_conf_sheet!$A:$H,3,FALSE))</f>
        <v>1</v>
      </c>
      <c r="P128" s="37">
        <f>IFERROR(VLOOKUP($F128,bug_conf_sheet!$A:$H,4,FALSE),VLOOKUP("other",bug_conf_sheet!$A:$H,4,FALSE))</f>
        <v>0</v>
      </c>
      <c r="Q128" s="37">
        <f>IFERROR(VLOOKUP($F128,bug_conf_sheet!$A:$H,5,FALSE),VLOOKUP("other",bug_conf_sheet!$A:$H,5,FALSE))</f>
        <v>0</v>
      </c>
      <c r="R128" s="37">
        <f>IFERROR(VLOOKUP($F128,bug_conf_sheet!$A:$H,6,FALSE),VLOOKUP("other",bug_conf_sheet!$A:$H,6,FALSE))</f>
        <v>0</v>
      </c>
      <c r="S128" s="37">
        <f>IFERROR(VLOOKUP($F128,bug_conf_sheet!$A:$H,7,FALSE),VLOOKUP("other",bug_conf_sheet!$A:$H,7,FALSE))</f>
        <v>0</v>
      </c>
      <c r="T128" s="37">
        <f>IFERROR(VLOOKUP($F128,bug_conf_sheet!$A:$H,8,FALSE),VLOOKUP("other",bug_conf_sheet!$A:$H,8,FALSE))</f>
        <v>1</v>
      </c>
    </row>
    <row r="129" spans="1:20" ht="21" customHeight="1">
      <c r="A129" s="7" t="str">
        <f t="shared" ref="A129:A133" si="9">B129&amp;F129</f>
        <v>3000466</v>
      </c>
      <c r="B129" s="2" t="str">
        <f t="shared" si="7"/>
        <v>3000</v>
      </c>
      <c r="C129" s="8" t="str">
        <f t="shared" si="8"/>
        <v>0PremiumSS5</v>
      </c>
      <c r="D129" s="8" t="str">
        <f t="shared" si="6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65"/>
      <c r="N129" s="16">
        <f>VLOOKUP(D129,gacha_300_base!A:B,2,FALSE)</f>
        <v>98</v>
      </c>
      <c r="O129" s="37">
        <f>IFERROR(VLOOKUP($F129,bug_conf_sheet!$A:$H,3,FALSE),VLOOKUP("other",bug_conf_sheet!$A:$H,3,FALSE))</f>
        <v>1</v>
      </c>
      <c r="P129" s="37">
        <f>IFERROR(VLOOKUP($F129,bug_conf_sheet!$A:$H,4,FALSE),VLOOKUP("other",bug_conf_sheet!$A:$H,4,FALSE))</f>
        <v>0</v>
      </c>
      <c r="Q129" s="37">
        <f>IFERROR(VLOOKUP($F129,bug_conf_sheet!$A:$H,5,FALSE),VLOOKUP("other",bug_conf_sheet!$A:$H,5,FALSE))</f>
        <v>0</v>
      </c>
      <c r="R129" s="37">
        <f>IFERROR(VLOOKUP($F129,bug_conf_sheet!$A:$H,6,FALSE),VLOOKUP("other",bug_conf_sheet!$A:$H,6,FALSE))</f>
        <v>0</v>
      </c>
      <c r="S129" s="37">
        <f>IFERROR(VLOOKUP($F129,bug_conf_sheet!$A:$H,7,FALSE),VLOOKUP("other",bug_conf_sheet!$A:$H,7,FALSE))</f>
        <v>0</v>
      </c>
      <c r="T129" s="37">
        <f>IFERROR(VLOOKUP($F129,bug_conf_sheet!$A:$H,8,FALSE),VLOOKUP("other",bug_conf_sheet!$A:$H,8,FALSE))</f>
        <v>1</v>
      </c>
    </row>
    <row r="130" spans="1:20" ht="21" customHeight="1">
      <c r="A130" s="7" t="str">
        <f t="shared" si="9"/>
        <v>3000467</v>
      </c>
      <c r="B130" s="2" t="str">
        <f t="shared" si="7"/>
        <v>3000</v>
      </c>
      <c r="C130" s="8" t="str">
        <f t="shared" si="8"/>
        <v>0PremiumSS4</v>
      </c>
      <c r="D130" s="8" t="str">
        <f t="shared" ref="D130:D193" si="10">E130&amp;H130&amp;I130</f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65"/>
      <c r="N130" s="16">
        <f>VLOOKUP(D130,gacha_300_base!A:B,2,FALSE)</f>
        <v>1568</v>
      </c>
      <c r="O130" s="37">
        <f>IFERROR(VLOOKUP($F130,bug_conf_sheet!$A:$H,3,FALSE),VLOOKUP("other",bug_conf_sheet!$A:$H,3,FALSE))</f>
        <v>1</v>
      </c>
      <c r="P130" s="37">
        <f>IFERROR(VLOOKUP($F130,bug_conf_sheet!$A:$H,4,FALSE),VLOOKUP("other",bug_conf_sheet!$A:$H,4,FALSE))</f>
        <v>0</v>
      </c>
      <c r="Q130" s="37">
        <f>IFERROR(VLOOKUP($F130,bug_conf_sheet!$A:$H,5,FALSE),VLOOKUP("other",bug_conf_sheet!$A:$H,5,FALSE))</f>
        <v>0</v>
      </c>
      <c r="R130" s="37">
        <f>IFERROR(VLOOKUP($F130,bug_conf_sheet!$A:$H,6,FALSE),VLOOKUP("other",bug_conf_sheet!$A:$H,6,FALSE))</f>
        <v>0</v>
      </c>
      <c r="S130" s="37">
        <f>IFERROR(VLOOKUP($F130,bug_conf_sheet!$A:$H,7,FALSE),VLOOKUP("other",bug_conf_sheet!$A:$H,7,FALSE))</f>
        <v>0</v>
      </c>
      <c r="T130" s="37">
        <f>IFERROR(VLOOKUP($F130,bug_conf_sheet!$A:$H,8,FALSE),VLOOKUP("other",bug_conf_sheet!$A:$H,8,FALSE))</f>
        <v>1</v>
      </c>
    </row>
    <row r="131" spans="1:20" ht="21" customHeight="1">
      <c r="A131" s="7" t="str">
        <f t="shared" si="9"/>
        <v>3000468</v>
      </c>
      <c r="B131" s="2" t="str">
        <f t="shared" ref="B131:B194" si="11">300&amp;E131</f>
        <v>3000</v>
      </c>
      <c r="C131" s="8" t="str">
        <f t="shared" si="8"/>
        <v>0PremiumSS5</v>
      </c>
      <c r="D131" s="8" t="str">
        <f t="shared" si="10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65"/>
      <c r="N131" s="16">
        <f>VLOOKUP(D131,gacha_300_base!A:B,2,FALSE)</f>
        <v>98</v>
      </c>
      <c r="O131" s="37">
        <f>IFERROR(VLOOKUP($F131,bug_conf_sheet!$A:$H,3,FALSE),VLOOKUP("other",bug_conf_sheet!$A:$H,3,FALSE))</f>
        <v>1</v>
      </c>
      <c r="P131" s="37">
        <f>IFERROR(VLOOKUP($F131,bug_conf_sheet!$A:$H,4,FALSE),VLOOKUP("other",bug_conf_sheet!$A:$H,4,FALSE))</f>
        <v>0</v>
      </c>
      <c r="Q131" s="37">
        <f>IFERROR(VLOOKUP($F131,bug_conf_sheet!$A:$H,5,FALSE),VLOOKUP("other",bug_conf_sheet!$A:$H,5,FALSE))</f>
        <v>0</v>
      </c>
      <c r="R131" s="37">
        <f>IFERROR(VLOOKUP($F131,bug_conf_sheet!$A:$H,6,FALSE),VLOOKUP("other",bug_conf_sheet!$A:$H,6,FALSE))</f>
        <v>0</v>
      </c>
      <c r="S131" s="37">
        <f>IFERROR(VLOOKUP($F131,bug_conf_sheet!$A:$H,7,FALSE),VLOOKUP("other",bug_conf_sheet!$A:$H,7,FALSE))</f>
        <v>0</v>
      </c>
      <c r="T131" s="37">
        <f>IFERROR(VLOOKUP($F131,bug_conf_sheet!$A:$H,8,FALSE),VLOOKUP("other",bug_conf_sheet!$A:$H,8,FALSE))</f>
        <v>1</v>
      </c>
    </row>
    <row r="132" spans="1:20" ht="21" customHeight="1">
      <c r="A132" s="7" t="str">
        <f t="shared" si="9"/>
        <v>3000470</v>
      </c>
      <c r="B132" s="2" t="str">
        <f t="shared" si="11"/>
        <v>3000</v>
      </c>
      <c r="C132" s="8" t="str">
        <f t="shared" ref="C132:C133" si="12">E132&amp;H132&amp;I132</f>
        <v>0PremiumS4</v>
      </c>
      <c r="D132" s="8" t="str">
        <f t="shared" si="10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65"/>
      <c r="N132" s="16">
        <f>VLOOKUP(D132,gacha_300_base!A:B,2,FALSE)</f>
        <v>14570</v>
      </c>
      <c r="O132" s="37">
        <f>IFERROR(VLOOKUP($F132,bug_conf_sheet!$A:$H,3,FALSE),VLOOKUP("other",bug_conf_sheet!$A:$H,3,FALSE))</f>
        <v>1</v>
      </c>
      <c r="P132" s="37">
        <f>IFERROR(VLOOKUP($F132,bug_conf_sheet!$A:$H,4,FALSE),VLOOKUP("other",bug_conf_sheet!$A:$H,4,FALSE))</f>
        <v>0</v>
      </c>
      <c r="Q132" s="37">
        <f>IFERROR(VLOOKUP($F132,bug_conf_sheet!$A:$H,5,FALSE),VLOOKUP("other",bug_conf_sheet!$A:$H,5,FALSE))</f>
        <v>0</v>
      </c>
      <c r="R132" s="37">
        <f>IFERROR(VLOOKUP($F132,bug_conf_sheet!$A:$H,6,FALSE),VLOOKUP("other",bug_conf_sheet!$A:$H,6,FALSE))</f>
        <v>0</v>
      </c>
      <c r="S132" s="37">
        <f>IFERROR(VLOOKUP($F132,bug_conf_sheet!$A:$H,7,FALSE),VLOOKUP("other",bug_conf_sheet!$A:$H,7,FALSE))</f>
        <v>0</v>
      </c>
      <c r="T132" s="37">
        <f>IFERROR(VLOOKUP($F132,bug_conf_sheet!$A:$H,8,FALSE),VLOOKUP("other",bug_conf_sheet!$A:$H,8,FALSE))</f>
        <v>1</v>
      </c>
    </row>
    <row r="133" spans="1:20" ht="21" customHeight="1">
      <c r="A133" s="7" t="str">
        <f t="shared" si="9"/>
        <v>3000471</v>
      </c>
      <c r="B133" s="2" t="str">
        <f t="shared" si="11"/>
        <v>3000</v>
      </c>
      <c r="C133" s="8" t="str">
        <f t="shared" si="12"/>
        <v>0PremiumS5</v>
      </c>
      <c r="D133" s="8" t="str">
        <f t="shared" si="10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65"/>
      <c r="N133" s="16">
        <f>VLOOKUP(D133,gacha_300_base!A:B,2,FALSE)</f>
        <v>914</v>
      </c>
      <c r="O133" s="37">
        <f>IFERROR(VLOOKUP($F133,bug_conf_sheet!$A:$H,3,FALSE),VLOOKUP("other",bug_conf_sheet!$A:$H,3,FALSE))</f>
        <v>1</v>
      </c>
      <c r="P133" s="37">
        <f>IFERROR(VLOOKUP($F133,bug_conf_sheet!$A:$H,4,FALSE),VLOOKUP("other",bug_conf_sheet!$A:$H,4,FALSE))</f>
        <v>0</v>
      </c>
      <c r="Q133" s="37">
        <f>IFERROR(VLOOKUP($F133,bug_conf_sheet!$A:$H,5,FALSE),VLOOKUP("other",bug_conf_sheet!$A:$H,5,FALSE))</f>
        <v>0</v>
      </c>
      <c r="R133" s="37">
        <f>IFERROR(VLOOKUP($F133,bug_conf_sheet!$A:$H,6,FALSE),VLOOKUP("other",bug_conf_sheet!$A:$H,6,FALSE))</f>
        <v>0</v>
      </c>
      <c r="S133" s="37">
        <f>IFERROR(VLOOKUP($F133,bug_conf_sheet!$A:$H,7,FALSE),VLOOKUP("other",bug_conf_sheet!$A:$H,7,FALSE))</f>
        <v>0</v>
      </c>
      <c r="T133" s="37">
        <f>IFERROR(VLOOKUP($F133,bug_conf_sheet!$A:$H,8,FALSE),VLOOKUP("other",bug_conf_sheet!$A:$H,8,FALSE))</f>
        <v>1</v>
      </c>
    </row>
    <row r="134" spans="1:20" ht="21" customHeight="1">
      <c r="A134" s="7" t="str">
        <f t="shared" ref="A134:A141" si="13">B134&amp;F134</f>
        <v>3000474</v>
      </c>
      <c r="B134" s="2" t="str">
        <f t="shared" si="11"/>
        <v>3000</v>
      </c>
      <c r="C134" s="8" t="str">
        <f t="shared" ref="C134:C141" si="14">E134&amp;H134&amp;I134</f>
        <v>0PremiumSS4</v>
      </c>
      <c r="D134" s="8" t="str">
        <f t="shared" si="10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65"/>
      <c r="N134" s="16">
        <f>VLOOKUP(D134,gacha_300_base!A:B,2,FALSE)</f>
        <v>1568</v>
      </c>
      <c r="O134" s="37">
        <f>IFERROR(VLOOKUP($F134,bug_conf_sheet!$A:$H,3,FALSE),VLOOKUP("other",bug_conf_sheet!$A:$H,3,FALSE))</f>
        <v>1</v>
      </c>
      <c r="P134" s="37">
        <f>IFERROR(VLOOKUP($F134,bug_conf_sheet!$A:$H,4,FALSE),VLOOKUP("other",bug_conf_sheet!$A:$H,4,FALSE))</f>
        <v>0</v>
      </c>
      <c r="Q134" s="37">
        <f>IFERROR(VLOOKUP($F134,bug_conf_sheet!$A:$H,5,FALSE),VLOOKUP("other",bug_conf_sheet!$A:$H,5,FALSE))</f>
        <v>0</v>
      </c>
      <c r="R134" s="37">
        <f>IFERROR(VLOOKUP($F134,bug_conf_sheet!$A:$H,6,FALSE),VLOOKUP("other",bug_conf_sheet!$A:$H,6,FALSE))</f>
        <v>0</v>
      </c>
      <c r="S134" s="37">
        <f>IFERROR(VLOOKUP($F134,bug_conf_sheet!$A:$H,7,FALSE),VLOOKUP("other",bug_conf_sheet!$A:$H,7,FALSE))</f>
        <v>0</v>
      </c>
      <c r="T134" s="37">
        <f>IFERROR(VLOOKUP($F134,bug_conf_sheet!$A:$H,8,FALSE),VLOOKUP("other",bug_conf_sheet!$A:$H,8,FALSE))</f>
        <v>1</v>
      </c>
    </row>
    <row r="135" spans="1:20" ht="21" customHeight="1">
      <c r="A135" s="7" t="str">
        <f t="shared" si="13"/>
        <v>3000475</v>
      </c>
      <c r="B135" s="2" t="str">
        <f t="shared" si="11"/>
        <v>3000</v>
      </c>
      <c r="C135" s="8" t="str">
        <f t="shared" si="14"/>
        <v>0PremiumSS5</v>
      </c>
      <c r="D135" s="8" t="str">
        <f t="shared" si="10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65"/>
      <c r="N135" s="16">
        <f>VLOOKUP(D135,gacha_300_base!A:B,2,FALSE)</f>
        <v>98</v>
      </c>
      <c r="O135" s="37">
        <f>IFERROR(VLOOKUP($F135,bug_conf_sheet!$A:$H,3,FALSE),VLOOKUP("other",bug_conf_sheet!$A:$H,3,FALSE))</f>
        <v>1</v>
      </c>
      <c r="P135" s="37">
        <f>IFERROR(VLOOKUP($F135,bug_conf_sheet!$A:$H,4,FALSE),VLOOKUP("other",bug_conf_sheet!$A:$H,4,FALSE))</f>
        <v>0</v>
      </c>
      <c r="Q135" s="37">
        <f>IFERROR(VLOOKUP($F135,bug_conf_sheet!$A:$H,5,FALSE),VLOOKUP("other",bug_conf_sheet!$A:$H,5,FALSE))</f>
        <v>0</v>
      </c>
      <c r="R135" s="37">
        <f>IFERROR(VLOOKUP($F135,bug_conf_sheet!$A:$H,6,FALSE),VLOOKUP("other",bug_conf_sheet!$A:$H,6,FALSE))</f>
        <v>0</v>
      </c>
      <c r="S135" s="37">
        <f>IFERROR(VLOOKUP($F135,bug_conf_sheet!$A:$H,7,FALSE),VLOOKUP("other",bug_conf_sheet!$A:$H,7,FALSE))</f>
        <v>0</v>
      </c>
      <c r="T135" s="37">
        <f>IFERROR(VLOOKUP($F135,bug_conf_sheet!$A:$H,8,FALSE),VLOOKUP("other",bug_conf_sheet!$A:$H,8,FALSE))</f>
        <v>1</v>
      </c>
    </row>
    <row r="136" spans="1:20" ht="21" customHeight="1">
      <c r="A136" s="7" t="str">
        <f t="shared" si="13"/>
        <v>3000477</v>
      </c>
      <c r="B136" s="2" t="str">
        <f t="shared" si="11"/>
        <v>3000</v>
      </c>
      <c r="C136" s="8" t="str">
        <f t="shared" si="14"/>
        <v>0PremiumS4</v>
      </c>
      <c r="D136" s="8" t="str">
        <f t="shared" si="10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65"/>
      <c r="N136" s="16">
        <f>VLOOKUP(D136,gacha_300_base!A:B,2,FALSE)</f>
        <v>14570</v>
      </c>
      <c r="O136" s="37">
        <f>IFERROR(VLOOKUP($F136,bug_conf_sheet!$A:$H,3,FALSE),VLOOKUP("other",bug_conf_sheet!$A:$H,3,FALSE))</f>
        <v>1</v>
      </c>
      <c r="P136" s="37">
        <f>IFERROR(VLOOKUP($F136,bug_conf_sheet!$A:$H,4,FALSE),VLOOKUP("other",bug_conf_sheet!$A:$H,4,FALSE))</f>
        <v>0</v>
      </c>
      <c r="Q136" s="37">
        <f>IFERROR(VLOOKUP($F136,bug_conf_sheet!$A:$H,5,FALSE),VLOOKUP("other",bug_conf_sheet!$A:$H,5,FALSE))</f>
        <v>0</v>
      </c>
      <c r="R136" s="37">
        <f>IFERROR(VLOOKUP($F136,bug_conf_sheet!$A:$H,6,FALSE),VLOOKUP("other",bug_conf_sheet!$A:$H,6,FALSE))</f>
        <v>0</v>
      </c>
      <c r="S136" s="37">
        <f>IFERROR(VLOOKUP($F136,bug_conf_sheet!$A:$H,7,FALSE),VLOOKUP("other",bug_conf_sheet!$A:$H,7,FALSE))</f>
        <v>0</v>
      </c>
      <c r="T136" s="37">
        <f>IFERROR(VLOOKUP($F136,bug_conf_sheet!$A:$H,8,FALSE),VLOOKUP("other",bug_conf_sheet!$A:$H,8,FALSE))</f>
        <v>1</v>
      </c>
    </row>
    <row r="137" spans="1:20" ht="21" customHeight="1">
      <c r="A137" s="7" t="str">
        <f t="shared" si="13"/>
        <v>3000478</v>
      </c>
      <c r="B137" s="2" t="str">
        <f t="shared" si="11"/>
        <v>3000</v>
      </c>
      <c r="C137" s="8" t="str">
        <f t="shared" si="14"/>
        <v>0PremiumS5</v>
      </c>
      <c r="D137" s="8" t="str">
        <f t="shared" si="10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65"/>
      <c r="N137" s="16">
        <f>VLOOKUP(D137,gacha_300_base!A:B,2,FALSE)</f>
        <v>914</v>
      </c>
      <c r="O137" s="37">
        <f>IFERROR(VLOOKUP($F137,bug_conf_sheet!$A:$H,3,FALSE),VLOOKUP("other",bug_conf_sheet!$A:$H,3,FALSE))</f>
        <v>1</v>
      </c>
      <c r="P137" s="37">
        <f>IFERROR(VLOOKUP($F137,bug_conf_sheet!$A:$H,4,FALSE),VLOOKUP("other",bug_conf_sheet!$A:$H,4,FALSE))</f>
        <v>0</v>
      </c>
      <c r="Q137" s="37">
        <f>IFERROR(VLOOKUP($F137,bug_conf_sheet!$A:$H,5,FALSE),VLOOKUP("other",bug_conf_sheet!$A:$H,5,FALSE))</f>
        <v>0</v>
      </c>
      <c r="R137" s="37">
        <f>IFERROR(VLOOKUP($F137,bug_conf_sheet!$A:$H,6,FALSE),VLOOKUP("other",bug_conf_sheet!$A:$H,6,FALSE))</f>
        <v>0</v>
      </c>
      <c r="S137" s="37">
        <f>IFERROR(VLOOKUP($F137,bug_conf_sheet!$A:$H,7,FALSE),VLOOKUP("other",bug_conf_sheet!$A:$H,7,FALSE))</f>
        <v>0</v>
      </c>
      <c r="T137" s="37">
        <f>IFERROR(VLOOKUP($F137,bug_conf_sheet!$A:$H,8,FALSE),VLOOKUP("other",bug_conf_sheet!$A:$H,8,FALSE))</f>
        <v>1</v>
      </c>
    </row>
    <row r="138" spans="1:20" ht="21" customHeight="1">
      <c r="A138" s="7" t="str">
        <f t="shared" si="13"/>
        <v>3000479</v>
      </c>
      <c r="B138" s="2" t="str">
        <f t="shared" si="11"/>
        <v>3000</v>
      </c>
      <c r="C138" s="8" t="str">
        <f t="shared" si="14"/>
        <v>0PremiumSS4</v>
      </c>
      <c r="D138" s="8" t="str">
        <f t="shared" si="10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65"/>
      <c r="N138" s="16">
        <f>VLOOKUP(D138,gacha_300_base!A:B,2,FALSE)</f>
        <v>1568</v>
      </c>
      <c r="O138" s="37">
        <f>IFERROR(VLOOKUP($F138,bug_conf_sheet!$A:$H,3,FALSE),VLOOKUP("other",bug_conf_sheet!$A:$H,3,FALSE))</f>
        <v>1</v>
      </c>
      <c r="P138" s="37">
        <f>IFERROR(VLOOKUP($F138,bug_conf_sheet!$A:$H,4,FALSE),VLOOKUP("other",bug_conf_sheet!$A:$H,4,FALSE))</f>
        <v>0</v>
      </c>
      <c r="Q138" s="37">
        <f>IFERROR(VLOOKUP($F138,bug_conf_sheet!$A:$H,5,FALSE),VLOOKUP("other",bug_conf_sheet!$A:$H,5,FALSE))</f>
        <v>0</v>
      </c>
      <c r="R138" s="37">
        <f>IFERROR(VLOOKUP($F138,bug_conf_sheet!$A:$H,6,FALSE),VLOOKUP("other",bug_conf_sheet!$A:$H,6,FALSE))</f>
        <v>0</v>
      </c>
      <c r="S138" s="37">
        <f>IFERROR(VLOOKUP($F138,bug_conf_sheet!$A:$H,7,FALSE),VLOOKUP("other",bug_conf_sheet!$A:$H,7,FALSE))</f>
        <v>0</v>
      </c>
      <c r="T138" s="37">
        <f>IFERROR(VLOOKUP($F138,bug_conf_sheet!$A:$H,8,FALSE),VLOOKUP("other",bug_conf_sheet!$A:$H,8,FALSE))</f>
        <v>1</v>
      </c>
    </row>
    <row r="139" spans="1:20" ht="21" customHeight="1">
      <c r="A139" s="7" t="str">
        <f t="shared" si="13"/>
        <v>3000480</v>
      </c>
      <c r="B139" s="2" t="str">
        <f t="shared" si="11"/>
        <v>3000</v>
      </c>
      <c r="C139" s="8" t="str">
        <f t="shared" si="14"/>
        <v>0PremiumSS5</v>
      </c>
      <c r="D139" s="8" t="str">
        <f t="shared" si="10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65"/>
      <c r="N139" s="16">
        <f>VLOOKUP(D139,gacha_300_base!A:B,2,FALSE)</f>
        <v>98</v>
      </c>
      <c r="O139" s="37">
        <f>IFERROR(VLOOKUP($F139,bug_conf_sheet!$A:$H,3,FALSE),VLOOKUP("other",bug_conf_sheet!$A:$H,3,FALSE))</f>
        <v>1</v>
      </c>
      <c r="P139" s="37">
        <f>IFERROR(VLOOKUP($F139,bug_conf_sheet!$A:$H,4,FALSE),VLOOKUP("other",bug_conf_sheet!$A:$H,4,FALSE))</f>
        <v>0</v>
      </c>
      <c r="Q139" s="37">
        <f>IFERROR(VLOOKUP($F139,bug_conf_sheet!$A:$H,5,FALSE),VLOOKUP("other",bug_conf_sheet!$A:$H,5,FALSE))</f>
        <v>0</v>
      </c>
      <c r="R139" s="37">
        <f>IFERROR(VLOOKUP($F139,bug_conf_sheet!$A:$H,6,FALSE),VLOOKUP("other",bug_conf_sheet!$A:$H,6,FALSE))</f>
        <v>0</v>
      </c>
      <c r="S139" s="37">
        <f>IFERROR(VLOOKUP($F139,bug_conf_sheet!$A:$H,7,FALSE),VLOOKUP("other",bug_conf_sheet!$A:$H,7,FALSE))</f>
        <v>0</v>
      </c>
      <c r="T139" s="37">
        <f>IFERROR(VLOOKUP($F139,bug_conf_sheet!$A:$H,8,FALSE),VLOOKUP("other",bug_conf_sheet!$A:$H,8,FALSE))</f>
        <v>1</v>
      </c>
    </row>
    <row r="140" spans="1:20" ht="21" customHeight="1">
      <c r="A140" s="7" t="str">
        <f t="shared" si="13"/>
        <v>3000482</v>
      </c>
      <c r="B140" s="2" t="str">
        <f t="shared" si="11"/>
        <v>3000</v>
      </c>
      <c r="C140" s="8" t="str">
        <f t="shared" si="14"/>
        <v>0PremiumS4</v>
      </c>
      <c r="D140" s="8" t="str">
        <f t="shared" si="10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65"/>
      <c r="N140" s="16">
        <f>VLOOKUP(D140,gacha_300_base!A:B,2,FALSE)</f>
        <v>14570</v>
      </c>
      <c r="O140" s="37">
        <f>IFERROR(VLOOKUP($F140,bug_conf_sheet!$A:$H,3,FALSE),VLOOKUP("other",bug_conf_sheet!$A:$H,3,FALSE))</f>
        <v>1</v>
      </c>
      <c r="P140" s="37">
        <f>IFERROR(VLOOKUP($F140,bug_conf_sheet!$A:$H,4,FALSE),VLOOKUP("other",bug_conf_sheet!$A:$H,4,FALSE))</f>
        <v>0</v>
      </c>
      <c r="Q140" s="37">
        <f>IFERROR(VLOOKUP($F140,bug_conf_sheet!$A:$H,5,FALSE),VLOOKUP("other",bug_conf_sheet!$A:$H,5,FALSE))</f>
        <v>0</v>
      </c>
      <c r="R140" s="37">
        <f>IFERROR(VLOOKUP($F140,bug_conf_sheet!$A:$H,6,FALSE),VLOOKUP("other",bug_conf_sheet!$A:$H,6,FALSE))</f>
        <v>0</v>
      </c>
      <c r="S140" s="37">
        <f>IFERROR(VLOOKUP($F140,bug_conf_sheet!$A:$H,7,FALSE),VLOOKUP("other",bug_conf_sheet!$A:$H,7,FALSE))</f>
        <v>0</v>
      </c>
      <c r="T140" s="37">
        <f>IFERROR(VLOOKUP($F140,bug_conf_sheet!$A:$H,8,FALSE),VLOOKUP("other",bug_conf_sheet!$A:$H,8,FALSE))</f>
        <v>1</v>
      </c>
    </row>
    <row r="141" spans="1:20" ht="21" customHeight="1">
      <c r="A141" s="7" t="str">
        <f t="shared" si="13"/>
        <v>3000483</v>
      </c>
      <c r="B141" s="2" t="str">
        <f t="shared" si="11"/>
        <v>3000</v>
      </c>
      <c r="C141" s="8" t="str">
        <f t="shared" si="14"/>
        <v>0PremiumS5</v>
      </c>
      <c r="D141" s="8" t="str">
        <f t="shared" si="10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65"/>
      <c r="N141" s="16">
        <f>VLOOKUP(D141,gacha_300_base!A:B,2,FALSE)</f>
        <v>914</v>
      </c>
      <c r="O141" s="37">
        <f>IFERROR(VLOOKUP($F141,bug_conf_sheet!$A:$H,3,FALSE),VLOOKUP("other",bug_conf_sheet!$A:$H,3,FALSE))</f>
        <v>1</v>
      </c>
      <c r="P141" s="37">
        <f>IFERROR(VLOOKUP($F141,bug_conf_sheet!$A:$H,4,FALSE),VLOOKUP("other",bug_conf_sheet!$A:$H,4,FALSE))</f>
        <v>0</v>
      </c>
      <c r="Q141" s="37">
        <f>IFERROR(VLOOKUP($F141,bug_conf_sheet!$A:$H,5,FALSE),VLOOKUP("other",bug_conf_sheet!$A:$H,5,FALSE))</f>
        <v>0</v>
      </c>
      <c r="R141" s="37">
        <f>IFERROR(VLOOKUP($F141,bug_conf_sheet!$A:$H,6,FALSE),VLOOKUP("other",bug_conf_sheet!$A:$H,6,FALSE))</f>
        <v>0</v>
      </c>
      <c r="S141" s="37">
        <f>IFERROR(VLOOKUP($F141,bug_conf_sheet!$A:$H,7,FALSE),VLOOKUP("other",bug_conf_sheet!$A:$H,7,FALSE))</f>
        <v>0</v>
      </c>
      <c r="T141" s="37">
        <f>IFERROR(VLOOKUP($F141,bug_conf_sheet!$A:$H,8,FALSE),VLOOKUP("other",bug_conf_sheet!$A:$H,8,FALSE))</f>
        <v>1</v>
      </c>
    </row>
    <row r="142" spans="1:20" ht="21" customHeight="1">
      <c r="A142" s="7" t="str">
        <f t="shared" ref="A142:A173" si="15">B142&amp;F142</f>
        <v>3000492</v>
      </c>
      <c r="B142" s="2" t="str">
        <f t="shared" si="11"/>
        <v>3000</v>
      </c>
      <c r="C142" s="8" t="str">
        <f t="shared" ref="C142:C173" si="16">E142&amp;H142&amp;I142</f>
        <v>0PremiumSS4</v>
      </c>
      <c r="D142" s="8" t="str">
        <f t="shared" si="10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65"/>
      <c r="N142" s="16">
        <f>VLOOKUP(D142,gacha_300_base!A:B,2,FALSE)</f>
        <v>1568</v>
      </c>
      <c r="O142" s="37">
        <f>IFERROR(VLOOKUP($F142,bug_conf_sheet!$A:$H,3,FALSE),VLOOKUP("other",bug_conf_sheet!$A:$H,3,FALSE))</f>
        <v>1</v>
      </c>
      <c r="P142" s="37">
        <f>IFERROR(VLOOKUP($F142,bug_conf_sheet!$A:$H,4,FALSE),VLOOKUP("other",bug_conf_sheet!$A:$H,4,FALSE))</f>
        <v>0</v>
      </c>
      <c r="Q142" s="37">
        <f>IFERROR(VLOOKUP($F142,bug_conf_sheet!$A:$H,5,FALSE),VLOOKUP("other",bug_conf_sheet!$A:$H,5,FALSE))</f>
        <v>0</v>
      </c>
      <c r="R142" s="37">
        <f>IFERROR(VLOOKUP($F142,bug_conf_sheet!$A:$H,6,FALSE),VLOOKUP("other",bug_conf_sheet!$A:$H,6,FALSE))</f>
        <v>0</v>
      </c>
      <c r="S142" s="37">
        <f>IFERROR(VLOOKUP($F142,bug_conf_sheet!$A:$H,7,FALSE),VLOOKUP("other",bug_conf_sheet!$A:$H,7,FALSE))</f>
        <v>0</v>
      </c>
      <c r="T142" s="37">
        <f>IFERROR(VLOOKUP($F142,bug_conf_sheet!$A:$H,8,FALSE),VLOOKUP("other",bug_conf_sheet!$A:$H,8,FALSE))</f>
        <v>1</v>
      </c>
    </row>
    <row r="143" spans="1:20" ht="21" customHeight="1">
      <c r="A143" s="7" t="str">
        <f t="shared" si="15"/>
        <v>3000493</v>
      </c>
      <c r="B143" s="2" t="str">
        <f t="shared" si="11"/>
        <v>3000</v>
      </c>
      <c r="C143" s="8" t="str">
        <f t="shared" si="16"/>
        <v>0PremiumSS5</v>
      </c>
      <c r="D143" s="8" t="str">
        <f t="shared" si="10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65"/>
      <c r="N143" s="16">
        <f>VLOOKUP(D143,gacha_300_base!A:B,2,FALSE)</f>
        <v>98</v>
      </c>
      <c r="O143" s="37">
        <f>IFERROR(VLOOKUP($F143,bug_conf_sheet!$A:$H,3,FALSE),VLOOKUP("other",bug_conf_sheet!$A:$H,3,FALSE))</f>
        <v>1</v>
      </c>
      <c r="P143" s="37">
        <f>IFERROR(VLOOKUP($F143,bug_conf_sheet!$A:$H,4,FALSE),VLOOKUP("other",bug_conf_sheet!$A:$H,4,FALSE))</f>
        <v>0</v>
      </c>
      <c r="Q143" s="37">
        <f>IFERROR(VLOOKUP($F143,bug_conf_sheet!$A:$H,5,FALSE),VLOOKUP("other",bug_conf_sheet!$A:$H,5,FALSE))</f>
        <v>0</v>
      </c>
      <c r="R143" s="37">
        <f>IFERROR(VLOOKUP($F143,bug_conf_sheet!$A:$H,6,FALSE),VLOOKUP("other",bug_conf_sheet!$A:$H,6,FALSE))</f>
        <v>0</v>
      </c>
      <c r="S143" s="37">
        <f>IFERROR(VLOOKUP($F143,bug_conf_sheet!$A:$H,7,FALSE),VLOOKUP("other",bug_conf_sheet!$A:$H,7,FALSE))</f>
        <v>0</v>
      </c>
      <c r="T143" s="37">
        <f>IFERROR(VLOOKUP($F143,bug_conf_sheet!$A:$H,8,FALSE),VLOOKUP("other",bug_conf_sheet!$A:$H,8,FALSE))</f>
        <v>1</v>
      </c>
    </row>
    <row r="144" spans="1:20" ht="21" customHeight="1">
      <c r="A144" s="7" t="str">
        <f t="shared" si="15"/>
        <v>3000494</v>
      </c>
      <c r="B144" s="2" t="str">
        <f t="shared" si="11"/>
        <v>3000</v>
      </c>
      <c r="C144" s="8" t="str">
        <f t="shared" si="16"/>
        <v>0PremiumSS4</v>
      </c>
      <c r="D144" s="8" t="str">
        <f t="shared" si="10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65"/>
      <c r="N144" s="16">
        <f>VLOOKUP(D144,gacha_300_base!A:B,2,FALSE)</f>
        <v>1568</v>
      </c>
      <c r="O144" s="37">
        <f>IFERROR(VLOOKUP($F144,bug_conf_sheet!$A:$H,3,FALSE),VLOOKUP("other",bug_conf_sheet!$A:$H,3,FALSE))</f>
        <v>1</v>
      </c>
      <c r="P144" s="37">
        <f>IFERROR(VLOOKUP($F144,bug_conf_sheet!$A:$H,4,FALSE),VLOOKUP("other",bug_conf_sheet!$A:$H,4,FALSE))</f>
        <v>0</v>
      </c>
      <c r="Q144" s="37">
        <f>IFERROR(VLOOKUP($F144,bug_conf_sheet!$A:$H,5,FALSE),VLOOKUP("other",bug_conf_sheet!$A:$H,5,FALSE))</f>
        <v>0</v>
      </c>
      <c r="R144" s="37">
        <f>IFERROR(VLOOKUP($F144,bug_conf_sheet!$A:$H,6,FALSE),VLOOKUP("other",bug_conf_sheet!$A:$H,6,FALSE))</f>
        <v>0</v>
      </c>
      <c r="S144" s="37">
        <f>IFERROR(VLOOKUP($F144,bug_conf_sheet!$A:$H,7,FALSE),VLOOKUP("other",bug_conf_sheet!$A:$H,7,FALSE))</f>
        <v>0</v>
      </c>
      <c r="T144" s="37">
        <f>IFERROR(VLOOKUP($F144,bug_conf_sheet!$A:$H,8,FALSE),VLOOKUP("other",bug_conf_sheet!$A:$H,8,FALSE))</f>
        <v>1</v>
      </c>
    </row>
    <row r="145" spans="1:20" ht="21" customHeight="1">
      <c r="A145" s="7" t="str">
        <f t="shared" si="15"/>
        <v>3000495</v>
      </c>
      <c r="B145" s="2" t="str">
        <f t="shared" si="11"/>
        <v>3000</v>
      </c>
      <c r="C145" s="8" t="str">
        <f t="shared" si="16"/>
        <v>0PremiumSS5</v>
      </c>
      <c r="D145" s="8" t="str">
        <f t="shared" si="10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65"/>
      <c r="N145" s="16">
        <f>VLOOKUP(D145,gacha_300_base!A:B,2,FALSE)</f>
        <v>98</v>
      </c>
      <c r="O145" s="37">
        <f>IFERROR(VLOOKUP($F145,bug_conf_sheet!$A:$H,3,FALSE),VLOOKUP("other",bug_conf_sheet!$A:$H,3,FALSE))</f>
        <v>1</v>
      </c>
      <c r="P145" s="37">
        <f>IFERROR(VLOOKUP($F145,bug_conf_sheet!$A:$H,4,FALSE),VLOOKUP("other",bug_conf_sheet!$A:$H,4,FALSE))</f>
        <v>0</v>
      </c>
      <c r="Q145" s="37">
        <f>IFERROR(VLOOKUP($F145,bug_conf_sheet!$A:$H,5,FALSE),VLOOKUP("other",bug_conf_sheet!$A:$H,5,FALSE))</f>
        <v>0</v>
      </c>
      <c r="R145" s="37">
        <f>IFERROR(VLOOKUP($F145,bug_conf_sheet!$A:$H,6,FALSE),VLOOKUP("other",bug_conf_sheet!$A:$H,6,FALSE))</f>
        <v>0</v>
      </c>
      <c r="S145" s="37">
        <f>IFERROR(VLOOKUP($F145,bug_conf_sheet!$A:$H,7,FALSE),VLOOKUP("other",bug_conf_sheet!$A:$H,7,FALSE))</f>
        <v>0</v>
      </c>
      <c r="T145" s="37">
        <f>IFERROR(VLOOKUP($F145,bug_conf_sheet!$A:$H,8,FALSE),VLOOKUP("other",bug_conf_sheet!$A:$H,8,FALSE))</f>
        <v>1</v>
      </c>
    </row>
    <row r="146" spans="1:20" ht="21" customHeight="1">
      <c r="A146" s="7" t="str">
        <f t="shared" si="15"/>
        <v>3000497</v>
      </c>
      <c r="B146" s="2" t="str">
        <f t="shared" si="11"/>
        <v>3000</v>
      </c>
      <c r="C146" s="8" t="str">
        <f t="shared" si="16"/>
        <v>0PremiumS4</v>
      </c>
      <c r="D146" s="8" t="str">
        <f t="shared" si="10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65"/>
      <c r="N146" s="16">
        <f>VLOOKUP(D146,gacha_300_base!A:B,2,FALSE)</f>
        <v>14570</v>
      </c>
      <c r="O146" s="37">
        <f>IFERROR(VLOOKUP($F146,bug_conf_sheet!$A:$H,3,FALSE),VLOOKUP("other",bug_conf_sheet!$A:$H,3,FALSE))</f>
        <v>1</v>
      </c>
      <c r="P146" s="37">
        <f>IFERROR(VLOOKUP($F146,bug_conf_sheet!$A:$H,4,FALSE),VLOOKUP("other",bug_conf_sheet!$A:$H,4,FALSE))</f>
        <v>0</v>
      </c>
      <c r="Q146" s="37">
        <f>IFERROR(VLOOKUP($F146,bug_conf_sheet!$A:$H,5,FALSE),VLOOKUP("other",bug_conf_sheet!$A:$H,5,FALSE))</f>
        <v>0</v>
      </c>
      <c r="R146" s="37">
        <f>IFERROR(VLOOKUP($F146,bug_conf_sheet!$A:$H,6,FALSE),VLOOKUP("other",bug_conf_sheet!$A:$H,6,FALSE))</f>
        <v>0</v>
      </c>
      <c r="S146" s="37">
        <f>IFERROR(VLOOKUP($F146,bug_conf_sheet!$A:$H,7,FALSE),VLOOKUP("other",bug_conf_sheet!$A:$H,7,FALSE))</f>
        <v>0</v>
      </c>
      <c r="T146" s="37">
        <f>IFERROR(VLOOKUP($F146,bug_conf_sheet!$A:$H,8,FALSE),VLOOKUP("other",bug_conf_sheet!$A:$H,8,FALSE))</f>
        <v>1</v>
      </c>
    </row>
    <row r="147" spans="1:20" ht="21" customHeight="1">
      <c r="A147" s="7" t="str">
        <f t="shared" si="15"/>
        <v>3000498</v>
      </c>
      <c r="B147" s="2" t="str">
        <f t="shared" si="11"/>
        <v>3000</v>
      </c>
      <c r="C147" s="8" t="str">
        <f t="shared" si="16"/>
        <v>0PremiumS5</v>
      </c>
      <c r="D147" s="8" t="str">
        <f t="shared" si="10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65"/>
      <c r="N147" s="16">
        <f>VLOOKUP(D147,gacha_300_base!A:B,2,FALSE)</f>
        <v>914</v>
      </c>
      <c r="O147" s="37">
        <f>IFERROR(VLOOKUP($F147,bug_conf_sheet!$A:$H,3,FALSE),VLOOKUP("other",bug_conf_sheet!$A:$H,3,FALSE))</f>
        <v>1</v>
      </c>
      <c r="P147" s="37">
        <f>IFERROR(VLOOKUP($F147,bug_conf_sheet!$A:$H,4,FALSE),VLOOKUP("other",bug_conf_sheet!$A:$H,4,FALSE))</f>
        <v>0</v>
      </c>
      <c r="Q147" s="37">
        <f>IFERROR(VLOOKUP($F147,bug_conf_sheet!$A:$H,5,FALSE),VLOOKUP("other",bug_conf_sheet!$A:$H,5,FALSE))</f>
        <v>0</v>
      </c>
      <c r="R147" s="37">
        <f>IFERROR(VLOOKUP($F147,bug_conf_sheet!$A:$H,6,FALSE),VLOOKUP("other",bug_conf_sheet!$A:$H,6,FALSE))</f>
        <v>0</v>
      </c>
      <c r="S147" s="37">
        <f>IFERROR(VLOOKUP($F147,bug_conf_sheet!$A:$H,7,FALSE),VLOOKUP("other",bug_conf_sheet!$A:$H,7,FALSE))</f>
        <v>0</v>
      </c>
      <c r="T147" s="37">
        <f>IFERROR(VLOOKUP($F147,bug_conf_sheet!$A:$H,8,FALSE),VLOOKUP("other",bug_conf_sheet!$A:$H,8,FALSE))</f>
        <v>1</v>
      </c>
    </row>
    <row r="148" spans="1:20" ht="21" customHeight="1">
      <c r="A148" s="7" t="str">
        <f t="shared" si="15"/>
        <v>3000499</v>
      </c>
      <c r="B148" s="2" t="str">
        <f t="shared" si="11"/>
        <v>3000</v>
      </c>
      <c r="C148" s="8" t="str">
        <f t="shared" si="16"/>
        <v>0PremiumSS4</v>
      </c>
      <c r="D148" s="8" t="str">
        <f t="shared" si="10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65"/>
      <c r="N148" s="16">
        <f>VLOOKUP(D148,gacha_300_base!A:B,2,FALSE)</f>
        <v>1568</v>
      </c>
      <c r="O148" s="37">
        <f>IFERROR(VLOOKUP($F148,bug_conf_sheet!$A:$H,3,FALSE),VLOOKUP("other",bug_conf_sheet!$A:$H,3,FALSE))</f>
        <v>1</v>
      </c>
      <c r="P148" s="37">
        <f>IFERROR(VLOOKUP($F148,bug_conf_sheet!$A:$H,4,FALSE),VLOOKUP("other",bug_conf_sheet!$A:$H,4,FALSE))</f>
        <v>0</v>
      </c>
      <c r="Q148" s="37">
        <f>IFERROR(VLOOKUP($F148,bug_conf_sheet!$A:$H,5,FALSE),VLOOKUP("other",bug_conf_sheet!$A:$H,5,FALSE))</f>
        <v>0</v>
      </c>
      <c r="R148" s="37">
        <f>IFERROR(VLOOKUP($F148,bug_conf_sheet!$A:$H,6,FALSE),VLOOKUP("other",bug_conf_sheet!$A:$H,6,FALSE))</f>
        <v>0</v>
      </c>
      <c r="S148" s="37">
        <f>IFERROR(VLOOKUP($F148,bug_conf_sheet!$A:$H,7,FALSE),VLOOKUP("other",bug_conf_sheet!$A:$H,7,FALSE))</f>
        <v>0</v>
      </c>
      <c r="T148" s="37">
        <f>IFERROR(VLOOKUP($F148,bug_conf_sheet!$A:$H,8,FALSE),VLOOKUP("other",bug_conf_sheet!$A:$H,8,FALSE))</f>
        <v>1</v>
      </c>
    </row>
    <row r="149" spans="1:20" ht="21" customHeight="1">
      <c r="A149" s="7" t="str">
        <f t="shared" si="15"/>
        <v>3000500</v>
      </c>
      <c r="B149" s="2" t="str">
        <f t="shared" si="11"/>
        <v>3000</v>
      </c>
      <c r="C149" s="8" t="str">
        <f t="shared" si="16"/>
        <v>0PremiumSS5</v>
      </c>
      <c r="D149" s="8" t="str">
        <f t="shared" si="10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65"/>
      <c r="N149" s="16">
        <f>VLOOKUP(D149,gacha_300_base!A:B,2,FALSE)</f>
        <v>98</v>
      </c>
      <c r="O149" s="37">
        <f>IFERROR(VLOOKUP($F149,bug_conf_sheet!$A:$H,3,FALSE),VLOOKUP("other",bug_conf_sheet!$A:$H,3,FALSE))</f>
        <v>1</v>
      </c>
      <c r="P149" s="37">
        <f>IFERROR(VLOOKUP($F149,bug_conf_sheet!$A:$H,4,FALSE),VLOOKUP("other",bug_conf_sheet!$A:$H,4,FALSE))</f>
        <v>0</v>
      </c>
      <c r="Q149" s="37">
        <f>IFERROR(VLOOKUP($F149,bug_conf_sheet!$A:$H,5,FALSE),VLOOKUP("other",bug_conf_sheet!$A:$H,5,FALSE))</f>
        <v>0</v>
      </c>
      <c r="R149" s="37">
        <f>IFERROR(VLOOKUP($F149,bug_conf_sheet!$A:$H,6,FALSE),VLOOKUP("other",bug_conf_sheet!$A:$H,6,FALSE))</f>
        <v>0</v>
      </c>
      <c r="S149" s="37">
        <f>IFERROR(VLOOKUP($F149,bug_conf_sheet!$A:$H,7,FALSE),VLOOKUP("other",bug_conf_sheet!$A:$H,7,FALSE))</f>
        <v>0</v>
      </c>
      <c r="T149" s="37">
        <f>IFERROR(VLOOKUP($F149,bug_conf_sheet!$A:$H,8,FALSE),VLOOKUP("other",bug_conf_sheet!$A:$H,8,FALSE))</f>
        <v>1</v>
      </c>
    </row>
    <row r="150" spans="1:20" ht="21" customHeight="1">
      <c r="A150" s="7" t="str">
        <f t="shared" si="15"/>
        <v>3000586</v>
      </c>
      <c r="B150" s="2" t="str">
        <f t="shared" si="11"/>
        <v>3000</v>
      </c>
      <c r="C150" s="8" t="str">
        <f t="shared" si="16"/>
        <v>0PremiumSS4</v>
      </c>
      <c r="D150" s="8" t="str">
        <f t="shared" si="10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65"/>
      <c r="N150" s="16">
        <f>VLOOKUP(D150,gacha_300_base!A:B,2,FALSE)</f>
        <v>1568</v>
      </c>
      <c r="O150" s="37">
        <f>IFERROR(VLOOKUP($F150,bug_conf_sheet!$A:$H,3,FALSE),VLOOKUP("other",bug_conf_sheet!$A:$H,3,FALSE))</f>
        <v>1</v>
      </c>
      <c r="P150" s="37">
        <f>IFERROR(VLOOKUP($F150,bug_conf_sheet!$A:$H,4,FALSE),VLOOKUP("other",bug_conf_sheet!$A:$H,4,FALSE))</f>
        <v>0</v>
      </c>
      <c r="Q150" s="37">
        <f>IFERROR(VLOOKUP($F150,bug_conf_sheet!$A:$H,5,FALSE),VLOOKUP("other",bug_conf_sheet!$A:$H,5,FALSE))</f>
        <v>0</v>
      </c>
      <c r="R150" s="37">
        <f>IFERROR(VLOOKUP($F150,bug_conf_sheet!$A:$H,6,FALSE),VLOOKUP("other",bug_conf_sheet!$A:$H,6,FALSE))</f>
        <v>0</v>
      </c>
      <c r="S150" s="37">
        <f>IFERROR(VLOOKUP($F150,bug_conf_sheet!$A:$H,7,FALSE),VLOOKUP("other",bug_conf_sheet!$A:$H,7,FALSE))</f>
        <v>0</v>
      </c>
      <c r="T150" s="37">
        <f>IFERROR(VLOOKUP($F150,bug_conf_sheet!$A:$H,8,FALSE),VLOOKUP("other",bug_conf_sheet!$A:$H,8,FALSE))</f>
        <v>1</v>
      </c>
    </row>
    <row r="151" spans="1:20" ht="21" customHeight="1">
      <c r="A151" s="7" t="str">
        <f t="shared" si="15"/>
        <v>3000587</v>
      </c>
      <c r="B151" s="2" t="str">
        <f t="shared" si="11"/>
        <v>3000</v>
      </c>
      <c r="C151" s="8" t="str">
        <f t="shared" si="16"/>
        <v>0PremiumSS5</v>
      </c>
      <c r="D151" s="8" t="str">
        <f t="shared" si="10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65"/>
      <c r="N151" s="16">
        <f>VLOOKUP(D151,gacha_300_base!A:B,2,FALSE)</f>
        <v>98</v>
      </c>
      <c r="O151" s="37">
        <f>IFERROR(VLOOKUP($F151,bug_conf_sheet!$A:$H,3,FALSE),VLOOKUP("other",bug_conf_sheet!$A:$H,3,FALSE))</f>
        <v>1</v>
      </c>
      <c r="P151" s="37">
        <f>IFERROR(VLOOKUP($F151,bug_conf_sheet!$A:$H,4,FALSE),VLOOKUP("other",bug_conf_sheet!$A:$H,4,FALSE))</f>
        <v>0</v>
      </c>
      <c r="Q151" s="37">
        <f>IFERROR(VLOOKUP($F151,bug_conf_sheet!$A:$H,5,FALSE),VLOOKUP("other",bug_conf_sheet!$A:$H,5,FALSE))</f>
        <v>0</v>
      </c>
      <c r="R151" s="37">
        <f>IFERROR(VLOOKUP($F151,bug_conf_sheet!$A:$H,6,FALSE),VLOOKUP("other",bug_conf_sheet!$A:$H,6,FALSE))</f>
        <v>0</v>
      </c>
      <c r="S151" s="37">
        <f>IFERROR(VLOOKUP($F151,bug_conf_sheet!$A:$H,7,FALSE),VLOOKUP("other",bug_conf_sheet!$A:$H,7,FALSE))</f>
        <v>0</v>
      </c>
      <c r="T151" s="37">
        <f>IFERROR(VLOOKUP($F151,bug_conf_sheet!$A:$H,8,FALSE),VLOOKUP("other",bug_conf_sheet!$A:$H,8,FALSE))</f>
        <v>1</v>
      </c>
    </row>
    <row r="152" spans="1:20" ht="21" customHeight="1">
      <c r="A152" s="7" t="str">
        <f t="shared" si="15"/>
        <v>3000589</v>
      </c>
      <c r="B152" s="2" t="str">
        <f t="shared" si="11"/>
        <v>3000</v>
      </c>
      <c r="C152" s="8" t="str">
        <f t="shared" si="16"/>
        <v>0PremiumS4</v>
      </c>
      <c r="D152" s="8" t="str">
        <f t="shared" si="10"/>
        <v>0PremiumS4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65"/>
      <c r="N152" s="16">
        <f>VLOOKUP(D152,gacha_300_base!A:B,2,FALSE)</f>
        <v>14570</v>
      </c>
      <c r="O152" s="37">
        <f>IFERROR(VLOOKUP($F152,bug_conf_sheet!$A:$H,3,FALSE),VLOOKUP("other",bug_conf_sheet!$A:$H,3,FALSE))</f>
        <v>1</v>
      </c>
      <c r="P152" s="37">
        <f>IFERROR(VLOOKUP($F152,bug_conf_sheet!$A:$H,4,FALSE),VLOOKUP("other",bug_conf_sheet!$A:$H,4,FALSE))</f>
        <v>0</v>
      </c>
      <c r="Q152" s="37">
        <f>IFERROR(VLOOKUP($F152,bug_conf_sheet!$A:$H,5,FALSE),VLOOKUP("other",bug_conf_sheet!$A:$H,5,FALSE))</f>
        <v>0</v>
      </c>
      <c r="R152" s="37">
        <f>IFERROR(VLOOKUP($F152,bug_conf_sheet!$A:$H,6,FALSE),VLOOKUP("other",bug_conf_sheet!$A:$H,6,FALSE))</f>
        <v>0</v>
      </c>
      <c r="S152" s="37">
        <f>IFERROR(VLOOKUP($F152,bug_conf_sheet!$A:$H,7,FALSE),VLOOKUP("other",bug_conf_sheet!$A:$H,7,FALSE))</f>
        <v>0</v>
      </c>
      <c r="T152" s="37">
        <f>IFERROR(VLOOKUP($F152,bug_conf_sheet!$A:$H,8,FALSE),VLOOKUP("other",bug_conf_sheet!$A:$H,8,FALSE))</f>
        <v>1</v>
      </c>
    </row>
    <row r="153" spans="1:20" ht="21" customHeight="1">
      <c r="A153" s="7" t="str">
        <f t="shared" si="15"/>
        <v>3000590</v>
      </c>
      <c r="B153" s="2" t="str">
        <f t="shared" si="11"/>
        <v>3000</v>
      </c>
      <c r="C153" s="8" t="str">
        <f t="shared" si="16"/>
        <v>0PremiumS5</v>
      </c>
      <c r="D153" s="8" t="str">
        <f t="shared" si="10"/>
        <v>0PremiumS5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65"/>
      <c r="N153" s="16">
        <f>VLOOKUP(D153,gacha_300_base!A:B,2,FALSE)</f>
        <v>914</v>
      </c>
      <c r="O153" s="37">
        <f>IFERROR(VLOOKUP($F153,bug_conf_sheet!$A:$H,3,FALSE),VLOOKUP("other",bug_conf_sheet!$A:$H,3,FALSE))</f>
        <v>1</v>
      </c>
      <c r="P153" s="37">
        <f>IFERROR(VLOOKUP($F153,bug_conf_sheet!$A:$H,4,FALSE),VLOOKUP("other",bug_conf_sheet!$A:$H,4,FALSE))</f>
        <v>0</v>
      </c>
      <c r="Q153" s="37">
        <f>IFERROR(VLOOKUP($F153,bug_conf_sheet!$A:$H,5,FALSE),VLOOKUP("other",bug_conf_sheet!$A:$H,5,FALSE))</f>
        <v>0</v>
      </c>
      <c r="R153" s="37">
        <f>IFERROR(VLOOKUP($F153,bug_conf_sheet!$A:$H,6,FALSE),VLOOKUP("other",bug_conf_sheet!$A:$H,6,FALSE))</f>
        <v>0</v>
      </c>
      <c r="S153" s="37">
        <f>IFERROR(VLOOKUP($F153,bug_conf_sheet!$A:$H,7,FALSE),VLOOKUP("other",bug_conf_sheet!$A:$H,7,FALSE))</f>
        <v>0</v>
      </c>
      <c r="T153" s="37">
        <f>IFERROR(VLOOKUP($F153,bug_conf_sheet!$A:$H,8,FALSE),VLOOKUP("other",bug_conf_sheet!$A:$H,8,FALSE))</f>
        <v>1</v>
      </c>
    </row>
    <row r="154" spans="1:20" ht="21" customHeight="1">
      <c r="A154" s="7" t="str">
        <f t="shared" si="15"/>
        <v>3000592</v>
      </c>
      <c r="B154" s="2" t="str">
        <f t="shared" si="11"/>
        <v>3000</v>
      </c>
      <c r="C154" s="8" t="str">
        <f t="shared" si="16"/>
        <v>0PremiumS4</v>
      </c>
      <c r="D154" s="8" t="str">
        <f t="shared" si="10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65"/>
      <c r="N154" s="16">
        <f>VLOOKUP(D154,gacha_300_base!A:B,2,FALSE)</f>
        <v>14570</v>
      </c>
      <c r="O154" s="37">
        <f>IFERROR(VLOOKUP($F154,bug_conf_sheet!$A:$H,3,FALSE),VLOOKUP("other",bug_conf_sheet!$A:$H,3,FALSE))</f>
        <v>1</v>
      </c>
      <c r="P154" s="37">
        <f>IFERROR(VLOOKUP($F154,bug_conf_sheet!$A:$H,4,FALSE),VLOOKUP("other",bug_conf_sheet!$A:$H,4,FALSE))</f>
        <v>0</v>
      </c>
      <c r="Q154" s="37">
        <f>IFERROR(VLOOKUP($F154,bug_conf_sheet!$A:$H,5,FALSE),VLOOKUP("other",bug_conf_sheet!$A:$H,5,FALSE))</f>
        <v>0</v>
      </c>
      <c r="R154" s="37">
        <f>IFERROR(VLOOKUP($F154,bug_conf_sheet!$A:$H,6,FALSE),VLOOKUP("other",bug_conf_sheet!$A:$H,6,FALSE))</f>
        <v>0</v>
      </c>
      <c r="S154" s="37">
        <f>IFERROR(VLOOKUP($F154,bug_conf_sheet!$A:$H,7,FALSE),VLOOKUP("other",bug_conf_sheet!$A:$H,7,FALSE))</f>
        <v>0</v>
      </c>
      <c r="T154" s="37">
        <f>IFERROR(VLOOKUP($F154,bug_conf_sheet!$A:$H,8,FALSE),VLOOKUP("other",bug_conf_sheet!$A:$H,8,FALSE))</f>
        <v>1</v>
      </c>
    </row>
    <row r="155" spans="1:20" ht="21" customHeight="1">
      <c r="A155" s="7" t="str">
        <f t="shared" si="15"/>
        <v>3000593</v>
      </c>
      <c r="B155" s="2" t="str">
        <f t="shared" si="11"/>
        <v>3000</v>
      </c>
      <c r="C155" s="8" t="str">
        <f t="shared" si="16"/>
        <v>0PremiumS5</v>
      </c>
      <c r="D155" s="8" t="str">
        <f t="shared" si="10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65"/>
      <c r="N155" s="16">
        <f>VLOOKUP(D155,gacha_300_base!A:B,2,FALSE)</f>
        <v>914</v>
      </c>
      <c r="O155" s="37">
        <f>IFERROR(VLOOKUP($F155,bug_conf_sheet!$A:$H,3,FALSE),VLOOKUP("other",bug_conf_sheet!$A:$H,3,FALSE))</f>
        <v>1</v>
      </c>
      <c r="P155" s="37">
        <f>IFERROR(VLOOKUP($F155,bug_conf_sheet!$A:$H,4,FALSE),VLOOKUP("other",bug_conf_sheet!$A:$H,4,FALSE))</f>
        <v>0</v>
      </c>
      <c r="Q155" s="37">
        <f>IFERROR(VLOOKUP($F155,bug_conf_sheet!$A:$H,5,FALSE),VLOOKUP("other",bug_conf_sheet!$A:$H,5,FALSE))</f>
        <v>0</v>
      </c>
      <c r="R155" s="37">
        <f>IFERROR(VLOOKUP($F155,bug_conf_sheet!$A:$H,6,FALSE),VLOOKUP("other",bug_conf_sheet!$A:$H,6,FALSE))</f>
        <v>0</v>
      </c>
      <c r="S155" s="37">
        <f>IFERROR(VLOOKUP($F155,bug_conf_sheet!$A:$H,7,FALSE),VLOOKUP("other",bug_conf_sheet!$A:$H,7,FALSE))</f>
        <v>0</v>
      </c>
      <c r="T155" s="37">
        <f>IFERROR(VLOOKUP($F155,bug_conf_sheet!$A:$H,8,FALSE),VLOOKUP("other",bug_conf_sheet!$A:$H,8,FALSE))</f>
        <v>1</v>
      </c>
    </row>
    <row r="156" spans="1:20" ht="21" customHeight="1">
      <c r="A156" s="7" t="str">
        <f t="shared" si="15"/>
        <v>3000594</v>
      </c>
      <c r="B156" s="2" t="str">
        <f t="shared" si="11"/>
        <v>3000</v>
      </c>
      <c r="C156" s="8" t="str">
        <f t="shared" si="16"/>
        <v>0PremiumSS4</v>
      </c>
      <c r="D156" s="8" t="str">
        <f t="shared" si="10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65"/>
      <c r="N156" s="16">
        <f>VLOOKUP(D156,gacha_300_base!A:B,2,FALSE)</f>
        <v>1568</v>
      </c>
      <c r="O156" s="37">
        <f>IFERROR(VLOOKUP($F156,bug_conf_sheet!$A:$H,3,FALSE),VLOOKUP("other",bug_conf_sheet!$A:$H,3,FALSE))</f>
        <v>1</v>
      </c>
      <c r="P156" s="37">
        <f>IFERROR(VLOOKUP($F156,bug_conf_sheet!$A:$H,4,FALSE),VLOOKUP("other",bug_conf_sheet!$A:$H,4,FALSE))</f>
        <v>0</v>
      </c>
      <c r="Q156" s="37">
        <f>IFERROR(VLOOKUP($F156,bug_conf_sheet!$A:$H,5,FALSE),VLOOKUP("other",bug_conf_sheet!$A:$H,5,FALSE))</f>
        <v>0</v>
      </c>
      <c r="R156" s="37">
        <f>IFERROR(VLOOKUP($F156,bug_conf_sheet!$A:$H,6,FALSE),VLOOKUP("other",bug_conf_sheet!$A:$H,6,FALSE))</f>
        <v>0</v>
      </c>
      <c r="S156" s="37">
        <f>IFERROR(VLOOKUP($F156,bug_conf_sheet!$A:$H,7,FALSE),VLOOKUP("other",bug_conf_sheet!$A:$H,7,FALSE))</f>
        <v>0</v>
      </c>
      <c r="T156" s="37">
        <f>IFERROR(VLOOKUP($F156,bug_conf_sheet!$A:$H,8,FALSE),VLOOKUP("other",bug_conf_sheet!$A:$H,8,FALSE))</f>
        <v>1</v>
      </c>
    </row>
    <row r="157" spans="1:20" ht="21" customHeight="1">
      <c r="A157" s="7" t="str">
        <f t="shared" si="15"/>
        <v>3000595</v>
      </c>
      <c r="B157" s="2" t="str">
        <f t="shared" si="11"/>
        <v>3000</v>
      </c>
      <c r="C157" s="8" t="str">
        <f t="shared" si="16"/>
        <v>0PremiumSS5</v>
      </c>
      <c r="D157" s="8" t="str">
        <f t="shared" si="10"/>
        <v>0PremiumSS5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65"/>
      <c r="N157" s="16">
        <f>VLOOKUP(D157,gacha_300_base!A:B,2,FALSE)</f>
        <v>98</v>
      </c>
      <c r="O157" s="37">
        <f>IFERROR(VLOOKUP($F157,bug_conf_sheet!$A:$H,3,FALSE),VLOOKUP("other",bug_conf_sheet!$A:$H,3,FALSE))</f>
        <v>1</v>
      </c>
      <c r="P157" s="37">
        <f>IFERROR(VLOOKUP($F157,bug_conf_sheet!$A:$H,4,FALSE),VLOOKUP("other",bug_conf_sheet!$A:$H,4,FALSE))</f>
        <v>0</v>
      </c>
      <c r="Q157" s="37">
        <f>IFERROR(VLOOKUP($F157,bug_conf_sheet!$A:$H,5,FALSE),VLOOKUP("other",bug_conf_sheet!$A:$H,5,FALSE))</f>
        <v>0</v>
      </c>
      <c r="R157" s="37">
        <f>IFERROR(VLOOKUP($F157,bug_conf_sheet!$A:$H,6,FALSE),VLOOKUP("other",bug_conf_sheet!$A:$H,6,FALSE))</f>
        <v>0</v>
      </c>
      <c r="S157" s="37">
        <f>IFERROR(VLOOKUP($F157,bug_conf_sheet!$A:$H,7,FALSE),VLOOKUP("other",bug_conf_sheet!$A:$H,7,FALSE))</f>
        <v>0</v>
      </c>
      <c r="T157" s="37">
        <f>IFERROR(VLOOKUP($F157,bug_conf_sheet!$A:$H,8,FALSE),VLOOKUP("other",bug_conf_sheet!$A:$H,8,FALSE))</f>
        <v>1</v>
      </c>
    </row>
    <row r="158" spans="1:20" ht="21" customHeight="1">
      <c r="A158" s="7" t="str">
        <f t="shared" si="15"/>
        <v>3000597</v>
      </c>
      <c r="B158" s="2" t="str">
        <f t="shared" si="11"/>
        <v>3000</v>
      </c>
      <c r="C158" s="8" t="str">
        <f t="shared" si="16"/>
        <v>0PremiumS4</v>
      </c>
      <c r="D158" s="8" t="str">
        <f t="shared" si="10"/>
        <v>0PremiumS4</v>
      </c>
      <c r="E158" s="10">
        <v>0</v>
      </c>
      <c r="F158" s="6">
        <v>597</v>
      </c>
      <c r="G158" s="8" t="str">
        <f>VLOOKUP(F158,[1]characters!$A:$C,3,FALSE)</f>
        <v>灼熱の魂 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65"/>
      <c r="N158" s="16">
        <f>VLOOKUP(D158,gacha_300_base!A:B,2,FALSE)</f>
        <v>14570</v>
      </c>
      <c r="O158" s="37">
        <f>IFERROR(VLOOKUP($F158,bug_conf_sheet!$A:$H,3,FALSE),VLOOKUP("other",bug_conf_sheet!$A:$H,3,FALSE))</f>
        <v>1</v>
      </c>
      <c r="P158" s="37">
        <f>IFERROR(VLOOKUP($F158,bug_conf_sheet!$A:$H,4,FALSE),VLOOKUP("other",bug_conf_sheet!$A:$H,4,FALSE))</f>
        <v>0</v>
      </c>
      <c r="Q158" s="37">
        <f>IFERROR(VLOOKUP($F158,bug_conf_sheet!$A:$H,5,FALSE),VLOOKUP("other",bug_conf_sheet!$A:$H,5,FALSE))</f>
        <v>0</v>
      </c>
      <c r="R158" s="37">
        <f>IFERROR(VLOOKUP($F158,bug_conf_sheet!$A:$H,6,FALSE),VLOOKUP("other",bug_conf_sheet!$A:$H,6,FALSE))</f>
        <v>0</v>
      </c>
      <c r="S158" s="37">
        <f>IFERROR(VLOOKUP($F158,bug_conf_sheet!$A:$H,7,FALSE),VLOOKUP("other",bug_conf_sheet!$A:$H,7,FALSE))</f>
        <v>0</v>
      </c>
      <c r="T158" s="37">
        <f>IFERROR(VLOOKUP($F158,bug_conf_sheet!$A:$H,8,FALSE),VLOOKUP("other",bug_conf_sheet!$A:$H,8,FALSE))</f>
        <v>1</v>
      </c>
    </row>
    <row r="159" spans="1:20" ht="21" customHeight="1">
      <c r="A159" s="7" t="str">
        <f t="shared" si="15"/>
        <v>3000598</v>
      </c>
      <c r="B159" s="2" t="str">
        <f t="shared" si="11"/>
        <v>3000</v>
      </c>
      <c r="C159" s="8" t="str">
        <f t="shared" si="16"/>
        <v>0PremiumS5</v>
      </c>
      <c r="D159" s="8" t="str">
        <f t="shared" si="10"/>
        <v>0PremiumS5</v>
      </c>
      <c r="E159" s="10">
        <v>0</v>
      </c>
      <c r="F159" s="6">
        <v>598</v>
      </c>
      <c r="G159" s="8" t="str">
        <f>VLOOKUP(F159,[1]characters!$A:$C,3,FALSE)</f>
        <v>焼燃の情熱 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65"/>
      <c r="N159" s="16">
        <f>VLOOKUP(D159,gacha_300_base!A:B,2,FALSE)</f>
        <v>914</v>
      </c>
      <c r="O159" s="37">
        <f>IFERROR(VLOOKUP($F159,bug_conf_sheet!$A:$H,3,FALSE),VLOOKUP("other",bug_conf_sheet!$A:$H,3,FALSE))</f>
        <v>1</v>
      </c>
      <c r="P159" s="37">
        <f>IFERROR(VLOOKUP($F159,bug_conf_sheet!$A:$H,4,FALSE),VLOOKUP("other",bug_conf_sheet!$A:$H,4,FALSE))</f>
        <v>0</v>
      </c>
      <c r="Q159" s="37">
        <f>IFERROR(VLOOKUP($F159,bug_conf_sheet!$A:$H,5,FALSE),VLOOKUP("other",bug_conf_sheet!$A:$H,5,FALSE))</f>
        <v>0</v>
      </c>
      <c r="R159" s="37">
        <f>IFERROR(VLOOKUP($F159,bug_conf_sheet!$A:$H,6,FALSE),VLOOKUP("other",bug_conf_sheet!$A:$H,6,FALSE))</f>
        <v>0</v>
      </c>
      <c r="S159" s="37">
        <f>IFERROR(VLOOKUP($F159,bug_conf_sheet!$A:$H,7,FALSE),VLOOKUP("other",bug_conf_sheet!$A:$H,7,FALSE))</f>
        <v>0</v>
      </c>
      <c r="T159" s="37">
        <f>IFERROR(VLOOKUP($F159,bug_conf_sheet!$A:$H,8,FALSE),VLOOKUP("other",bug_conf_sheet!$A:$H,8,FALSE))</f>
        <v>1</v>
      </c>
    </row>
    <row r="160" spans="1:20" ht="21" customHeight="1">
      <c r="A160" s="7" t="str">
        <f t="shared" si="15"/>
        <v>3000600</v>
      </c>
      <c r="B160" s="2" t="str">
        <f t="shared" si="11"/>
        <v>3000</v>
      </c>
      <c r="C160" s="8" t="str">
        <f t="shared" si="16"/>
        <v>0PremiumS4</v>
      </c>
      <c r="D160" s="8" t="str">
        <f t="shared" si="10"/>
        <v>0PremiumS4</v>
      </c>
      <c r="E160" s="10">
        <v>0</v>
      </c>
      <c r="F160" s="6">
        <v>600</v>
      </c>
      <c r="G160" s="8" t="str">
        <f>VLOOKUP(F160,[1]characters!$A:$C,3,FALSE)</f>
        <v>界下に潜む蛇 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65"/>
      <c r="N160" s="16">
        <f>VLOOKUP(D160,gacha_300_base!A:B,2,FALSE)</f>
        <v>14570</v>
      </c>
      <c r="O160" s="37">
        <f>IFERROR(VLOOKUP($F160,bug_conf_sheet!$A:$H,3,FALSE),VLOOKUP("other",bug_conf_sheet!$A:$H,3,FALSE))</f>
        <v>1</v>
      </c>
      <c r="P160" s="37">
        <f>IFERROR(VLOOKUP($F160,bug_conf_sheet!$A:$H,4,FALSE),VLOOKUP("other",bug_conf_sheet!$A:$H,4,FALSE))</f>
        <v>0</v>
      </c>
      <c r="Q160" s="37">
        <f>IFERROR(VLOOKUP($F160,bug_conf_sheet!$A:$H,5,FALSE),VLOOKUP("other",bug_conf_sheet!$A:$H,5,FALSE))</f>
        <v>0</v>
      </c>
      <c r="R160" s="37">
        <f>IFERROR(VLOOKUP($F160,bug_conf_sheet!$A:$H,6,FALSE),VLOOKUP("other",bug_conf_sheet!$A:$H,6,FALSE))</f>
        <v>0</v>
      </c>
      <c r="S160" s="37">
        <f>IFERROR(VLOOKUP($F160,bug_conf_sheet!$A:$H,7,FALSE),VLOOKUP("other",bug_conf_sheet!$A:$H,7,FALSE))</f>
        <v>0</v>
      </c>
      <c r="T160" s="37">
        <f>IFERROR(VLOOKUP($F160,bug_conf_sheet!$A:$H,8,FALSE),VLOOKUP("other",bug_conf_sheet!$A:$H,8,FALSE))</f>
        <v>1</v>
      </c>
    </row>
    <row r="161" spans="1:20" ht="21" customHeight="1">
      <c r="A161" s="7" t="str">
        <f t="shared" si="15"/>
        <v>3000601</v>
      </c>
      <c r="B161" s="2" t="str">
        <f t="shared" si="11"/>
        <v>3000</v>
      </c>
      <c r="C161" s="8" t="str">
        <f t="shared" si="16"/>
        <v>0PremiumS5</v>
      </c>
      <c r="D161" s="8" t="str">
        <f t="shared" si="10"/>
        <v>0PremiumS5</v>
      </c>
      <c r="E161" s="10">
        <v>0</v>
      </c>
      <c r="F161" s="6">
        <v>601</v>
      </c>
      <c r="G161" s="8" t="str">
        <f>VLOOKUP(F161,[1]characters!$A:$C,3,FALSE)</f>
        <v>界根蝕む悪食 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65"/>
      <c r="N161" s="16">
        <f>VLOOKUP(D161,gacha_300_base!A:B,2,FALSE)</f>
        <v>914</v>
      </c>
      <c r="O161" s="37">
        <f>IFERROR(VLOOKUP($F161,bug_conf_sheet!$A:$H,3,FALSE),VLOOKUP("other",bug_conf_sheet!$A:$H,3,FALSE))</f>
        <v>1</v>
      </c>
      <c r="P161" s="37">
        <f>IFERROR(VLOOKUP($F161,bug_conf_sheet!$A:$H,4,FALSE),VLOOKUP("other",bug_conf_sheet!$A:$H,4,FALSE))</f>
        <v>0</v>
      </c>
      <c r="Q161" s="37">
        <f>IFERROR(VLOOKUP($F161,bug_conf_sheet!$A:$H,5,FALSE),VLOOKUP("other",bug_conf_sheet!$A:$H,5,FALSE))</f>
        <v>0</v>
      </c>
      <c r="R161" s="37">
        <f>IFERROR(VLOOKUP($F161,bug_conf_sheet!$A:$H,6,FALSE),VLOOKUP("other",bug_conf_sheet!$A:$H,6,FALSE))</f>
        <v>0</v>
      </c>
      <c r="S161" s="37">
        <f>IFERROR(VLOOKUP($F161,bug_conf_sheet!$A:$H,7,FALSE),VLOOKUP("other",bug_conf_sheet!$A:$H,7,FALSE))</f>
        <v>0</v>
      </c>
      <c r="T161" s="37">
        <f>IFERROR(VLOOKUP($F161,bug_conf_sheet!$A:$H,8,FALSE),VLOOKUP("other",bug_conf_sheet!$A:$H,8,FALSE))</f>
        <v>1</v>
      </c>
    </row>
    <row r="162" spans="1:20" ht="21" customHeight="1">
      <c r="A162" s="7" t="str">
        <f t="shared" si="15"/>
        <v>3000602</v>
      </c>
      <c r="B162" s="2" t="str">
        <f t="shared" si="11"/>
        <v>3000</v>
      </c>
      <c r="C162" s="8" t="str">
        <f t="shared" si="16"/>
        <v>0PremiumSS4</v>
      </c>
      <c r="D162" s="8" t="str">
        <f t="shared" si="10"/>
        <v>0PremiumSS4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65"/>
      <c r="N162" s="16">
        <f>VLOOKUP(D162,gacha_300_base!A:B,2,FALSE)</f>
        <v>1568</v>
      </c>
      <c r="O162" s="37">
        <f>IFERROR(VLOOKUP($F162,bug_conf_sheet!$A:$H,3,FALSE),VLOOKUP("other",bug_conf_sheet!$A:$H,3,FALSE))</f>
        <v>1</v>
      </c>
      <c r="P162" s="37">
        <f>IFERROR(VLOOKUP($F162,bug_conf_sheet!$A:$H,4,FALSE),VLOOKUP("other",bug_conf_sheet!$A:$H,4,FALSE))</f>
        <v>0</v>
      </c>
      <c r="Q162" s="37">
        <f>IFERROR(VLOOKUP($F162,bug_conf_sheet!$A:$H,5,FALSE),VLOOKUP("other",bug_conf_sheet!$A:$H,5,FALSE))</f>
        <v>0</v>
      </c>
      <c r="R162" s="37">
        <f>IFERROR(VLOOKUP($F162,bug_conf_sheet!$A:$H,6,FALSE),VLOOKUP("other",bug_conf_sheet!$A:$H,6,FALSE))</f>
        <v>0</v>
      </c>
      <c r="S162" s="37">
        <f>IFERROR(VLOOKUP($F162,bug_conf_sheet!$A:$H,7,FALSE),VLOOKUP("other",bug_conf_sheet!$A:$H,7,FALSE))</f>
        <v>0</v>
      </c>
      <c r="T162" s="37">
        <f>IFERROR(VLOOKUP($F162,bug_conf_sheet!$A:$H,8,FALSE),VLOOKUP("other",bug_conf_sheet!$A:$H,8,FALSE))</f>
        <v>1</v>
      </c>
    </row>
    <row r="163" spans="1:20" ht="21" customHeight="1">
      <c r="A163" s="7" t="str">
        <f t="shared" si="15"/>
        <v>3000603</v>
      </c>
      <c r="B163" s="2" t="str">
        <f t="shared" si="11"/>
        <v>3000</v>
      </c>
      <c r="C163" s="8" t="str">
        <f t="shared" si="16"/>
        <v>0PremiumSS5</v>
      </c>
      <c r="D163" s="8" t="str">
        <f t="shared" si="10"/>
        <v>0PremiumSS5</v>
      </c>
      <c r="E163" s="10">
        <v>0</v>
      </c>
      <c r="F163" s="6">
        <v>603</v>
      </c>
      <c r="G163" s="8" t="str">
        <f>VLOOKUP(F163,[1]characters!$A:$C,3,FALSE)</f>
        <v>掌愛の豊穣女神 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65"/>
      <c r="N163" s="16">
        <f>VLOOKUP(D163,gacha_300_base!A:B,2,FALSE)</f>
        <v>98</v>
      </c>
      <c r="O163" s="37">
        <f>IFERROR(VLOOKUP($F163,bug_conf_sheet!$A:$H,3,FALSE),VLOOKUP("other",bug_conf_sheet!$A:$H,3,FALSE))</f>
        <v>1</v>
      </c>
      <c r="P163" s="37">
        <f>IFERROR(VLOOKUP($F163,bug_conf_sheet!$A:$H,4,FALSE),VLOOKUP("other",bug_conf_sheet!$A:$H,4,FALSE))</f>
        <v>0</v>
      </c>
      <c r="Q163" s="37">
        <f>IFERROR(VLOOKUP($F163,bug_conf_sheet!$A:$H,5,FALSE),VLOOKUP("other",bug_conf_sheet!$A:$H,5,FALSE))</f>
        <v>0</v>
      </c>
      <c r="R163" s="37">
        <f>IFERROR(VLOOKUP($F163,bug_conf_sheet!$A:$H,6,FALSE),VLOOKUP("other",bug_conf_sheet!$A:$H,6,FALSE))</f>
        <v>0</v>
      </c>
      <c r="S163" s="37">
        <f>IFERROR(VLOOKUP($F163,bug_conf_sheet!$A:$H,7,FALSE),VLOOKUP("other",bug_conf_sheet!$A:$H,7,FALSE))</f>
        <v>0</v>
      </c>
      <c r="T163" s="37">
        <f>IFERROR(VLOOKUP($F163,bug_conf_sheet!$A:$H,8,FALSE),VLOOKUP("other",bug_conf_sheet!$A:$H,8,FALSE))</f>
        <v>1</v>
      </c>
    </row>
    <row r="164" spans="1:20" ht="21" customHeight="1">
      <c r="A164" s="7" t="str">
        <f t="shared" si="15"/>
        <v>3000605</v>
      </c>
      <c r="B164" s="2" t="str">
        <f t="shared" si="11"/>
        <v>3000</v>
      </c>
      <c r="C164" s="8" t="str">
        <f t="shared" si="16"/>
        <v>0PremiumS4</v>
      </c>
      <c r="D164" s="8" t="str">
        <f t="shared" si="10"/>
        <v>0PremiumS4</v>
      </c>
      <c r="E164" s="10">
        <v>0</v>
      </c>
      <c r="F164" s="6">
        <v>605</v>
      </c>
      <c r="G164" s="8" t="str">
        <f>VLOOKUP(F164,[1]characters!$A:$C,3,FALSE)</f>
        <v>祝福される光耀 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65"/>
      <c r="N164" s="16">
        <f>VLOOKUP(D164,gacha_300_base!A:B,2,FALSE)</f>
        <v>14570</v>
      </c>
      <c r="O164" s="37">
        <f>IFERROR(VLOOKUP($F164,bug_conf_sheet!$A:$H,3,FALSE),VLOOKUP("other",bug_conf_sheet!$A:$H,3,FALSE))</f>
        <v>1</v>
      </c>
      <c r="P164" s="37">
        <f>IFERROR(VLOOKUP($F164,bug_conf_sheet!$A:$H,4,FALSE),VLOOKUP("other",bug_conf_sheet!$A:$H,4,FALSE))</f>
        <v>0</v>
      </c>
      <c r="Q164" s="37">
        <f>IFERROR(VLOOKUP($F164,bug_conf_sheet!$A:$H,5,FALSE),VLOOKUP("other",bug_conf_sheet!$A:$H,5,FALSE))</f>
        <v>0</v>
      </c>
      <c r="R164" s="37">
        <f>IFERROR(VLOOKUP($F164,bug_conf_sheet!$A:$H,6,FALSE),VLOOKUP("other",bug_conf_sheet!$A:$H,6,FALSE))</f>
        <v>0</v>
      </c>
      <c r="S164" s="37">
        <f>IFERROR(VLOOKUP($F164,bug_conf_sheet!$A:$H,7,FALSE),VLOOKUP("other",bug_conf_sheet!$A:$H,7,FALSE))</f>
        <v>0</v>
      </c>
      <c r="T164" s="37">
        <f>IFERROR(VLOOKUP($F164,bug_conf_sheet!$A:$H,8,FALSE),VLOOKUP("other",bug_conf_sheet!$A:$H,8,FALSE))</f>
        <v>1</v>
      </c>
    </row>
    <row r="165" spans="1:20" ht="21" customHeight="1">
      <c r="A165" s="7" t="str">
        <f t="shared" si="15"/>
        <v>3000606</v>
      </c>
      <c r="B165" s="2" t="str">
        <f t="shared" si="11"/>
        <v>3000</v>
      </c>
      <c r="C165" s="8" t="str">
        <f t="shared" si="16"/>
        <v>0PremiumS5</v>
      </c>
      <c r="D165" s="8" t="str">
        <f t="shared" si="10"/>
        <v>0PremiumS5</v>
      </c>
      <c r="E165" s="10">
        <v>0</v>
      </c>
      <c r="F165" s="6">
        <v>606</v>
      </c>
      <c r="G165" s="8" t="str">
        <f>VLOOKUP(F165,[1]characters!$A:$C,3,FALSE)</f>
        <v>冀望の光芒 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65"/>
      <c r="N165" s="16">
        <f>VLOOKUP(D165,gacha_300_base!A:B,2,FALSE)</f>
        <v>914</v>
      </c>
      <c r="O165" s="37">
        <f>IFERROR(VLOOKUP($F165,bug_conf_sheet!$A:$H,3,FALSE),VLOOKUP("other",bug_conf_sheet!$A:$H,3,FALSE))</f>
        <v>1</v>
      </c>
      <c r="P165" s="37">
        <f>IFERROR(VLOOKUP($F165,bug_conf_sheet!$A:$H,4,FALSE),VLOOKUP("other",bug_conf_sheet!$A:$H,4,FALSE))</f>
        <v>0</v>
      </c>
      <c r="Q165" s="37">
        <f>IFERROR(VLOOKUP($F165,bug_conf_sheet!$A:$H,5,FALSE),VLOOKUP("other",bug_conf_sheet!$A:$H,5,FALSE))</f>
        <v>0</v>
      </c>
      <c r="R165" s="37">
        <f>IFERROR(VLOOKUP($F165,bug_conf_sheet!$A:$H,6,FALSE),VLOOKUP("other",bug_conf_sheet!$A:$H,6,FALSE))</f>
        <v>0</v>
      </c>
      <c r="S165" s="37">
        <f>IFERROR(VLOOKUP($F165,bug_conf_sheet!$A:$H,7,FALSE),VLOOKUP("other",bug_conf_sheet!$A:$H,7,FALSE))</f>
        <v>0</v>
      </c>
      <c r="T165" s="37">
        <f>IFERROR(VLOOKUP($F165,bug_conf_sheet!$A:$H,8,FALSE),VLOOKUP("other",bug_conf_sheet!$A:$H,8,FALSE))</f>
        <v>1</v>
      </c>
    </row>
    <row r="166" spans="1:20" ht="21" customHeight="1">
      <c r="A166" s="7" t="str">
        <f t="shared" si="15"/>
        <v>3000658</v>
      </c>
      <c r="B166" s="2" t="str">
        <f t="shared" si="11"/>
        <v>3000</v>
      </c>
      <c r="C166" s="8" t="str">
        <f t="shared" si="16"/>
        <v>0PremiumSS4</v>
      </c>
      <c r="D166" s="8" t="str">
        <f t="shared" si="10"/>
        <v>0PremiumSS4</v>
      </c>
      <c r="E166" s="10">
        <v>0</v>
      </c>
      <c r="F166" s="6">
        <v>658</v>
      </c>
      <c r="G166" s="8" t="str">
        <f>VLOOKUP(F166,[1]characters!$A:$C,3,FALSE)</f>
        <v>猫又 クルミ</v>
      </c>
      <c r="H166" s="8" t="str">
        <f>VLOOKUP(F166,[1]characters!$A:$J,10,FALSE)</f>
        <v>PremiumSS</v>
      </c>
      <c r="I166" s="8">
        <f>VLOOKUP(F166,[1]characters!$A:$I,9,FALSE)</f>
        <v>4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65"/>
      <c r="N166" s="16">
        <f>VLOOKUP(D166,gacha_300_base!A:B,2,FALSE)</f>
        <v>1568</v>
      </c>
      <c r="O166" s="37">
        <f>IFERROR(VLOOKUP($F166,bug_conf_sheet!$A:$H,3,FALSE),VLOOKUP("other",bug_conf_sheet!$A:$H,3,FALSE))</f>
        <v>1</v>
      </c>
      <c r="P166" s="37">
        <f>IFERROR(VLOOKUP($F166,bug_conf_sheet!$A:$H,4,FALSE),VLOOKUP("other",bug_conf_sheet!$A:$H,4,FALSE))</f>
        <v>0</v>
      </c>
      <c r="Q166" s="37">
        <f>IFERROR(VLOOKUP($F166,bug_conf_sheet!$A:$H,5,FALSE),VLOOKUP("other",bug_conf_sheet!$A:$H,5,FALSE))</f>
        <v>0</v>
      </c>
      <c r="R166" s="37">
        <f>IFERROR(VLOOKUP($F166,bug_conf_sheet!$A:$H,6,FALSE),VLOOKUP("other",bug_conf_sheet!$A:$H,6,FALSE))</f>
        <v>0</v>
      </c>
      <c r="S166" s="37">
        <f>IFERROR(VLOOKUP($F166,bug_conf_sheet!$A:$H,7,FALSE),VLOOKUP("other",bug_conf_sheet!$A:$H,7,FALSE))</f>
        <v>0</v>
      </c>
      <c r="T166" s="37">
        <f>IFERROR(VLOOKUP($F166,bug_conf_sheet!$A:$H,8,FALSE),VLOOKUP("other",bug_conf_sheet!$A:$H,8,FALSE))</f>
        <v>1</v>
      </c>
    </row>
    <row r="167" spans="1:20" ht="21" customHeight="1">
      <c r="A167" s="7" t="str">
        <f t="shared" si="15"/>
        <v>3000659</v>
      </c>
      <c r="B167" s="2" t="str">
        <f t="shared" si="11"/>
        <v>3000</v>
      </c>
      <c r="C167" s="8" t="str">
        <f t="shared" si="16"/>
        <v>0PremiumSS5</v>
      </c>
      <c r="D167" s="8" t="str">
        <f t="shared" si="10"/>
        <v>0PremiumSS5</v>
      </c>
      <c r="E167" s="10">
        <v>0</v>
      </c>
      <c r="F167" s="6">
        <v>659</v>
      </c>
      <c r="G167" s="8" t="str">
        <f>VLOOKUP(F167,[1]characters!$A:$C,3,FALSE)</f>
        <v>跳梁する化猫 クルミ</v>
      </c>
      <c r="H167" s="8" t="str">
        <f>VLOOKUP(F167,[1]characters!$A:$J,10,FALSE)</f>
        <v>PremiumSS</v>
      </c>
      <c r="I167" s="8">
        <f>VLOOKUP(F167,[1]characters!$A:$I,9,FALSE)</f>
        <v>5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65"/>
      <c r="N167" s="16">
        <f>VLOOKUP(D167,gacha_300_base!A:B,2,FALSE)</f>
        <v>98</v>
      </c>
      <c r="O167" s="37">
        <f>IFERROR(VLOOKUP($F167,bug_conf_sheet!$A:$H,3,FALSE),VLOOKUP("other",bug_conf_sheet!$A:$H,3,FALSE))</f>
        <v>1</v>
      </c>
      <c r="P167" s="37">
        <f>IFERROR(VLOOKUP($F167,bug_conf_sheet!$A:$H,4,FALSE),VLOOKUP("other",bug_conf_sheet!$A:$H,4,FALSE))</f>
        <v>0</v>
      </c>
      <c r="Q167" s="37">
        <f>IFERROR(VLOOKUP($F167,bug_conf_sheet!$A:$H,5,FALSE),VLOOKUP("other",bug_conf_sheet!$A:$H,5,FALSE))</f>
        <v>0</v>
      </c>
      <c r="R167" s="37">
        <f>IFERROR(VLOOKUP($F167,bug_conf_sheet!$A:$H,6,FALSE),VLOOKUP("other",bug_conf_sheet!$A:$H,6,FALSE))</f>
        <v>0</v>
      </c>
      <c r="S167" s="37">
        <f>IFERROR(VLOOKUP($F167,bug_conf_sheet!$A:$H,7,FALSE),VLOOKUP("other",bug_conf_sheet!$A:$H,7,FALSE))</f>
        <v>0</v>
      </c>
      <c r="T167" s="37">
        <f>IFERROR(VLOOKUP($F167,bug_conf_sheet!$A:$H,8,FALSE),VLOOKUP("other",bug_conf_sheet!$A:$H,8,FALSE))</f>
        <v>1</v>
      </c>
    </row>
    <row r="168" spans="1:20" ht="21" customHeight="1">
      <c r="A168" s="7" t="str">
        <f t="shared" si="15"/>
        <v>3000660</v>
      </c>
      <c r="B168" s="2" t="str">
        <f t="shared" si="11"/>
        <v>3000</v>
      </c>
      <c r="C168" s="8" t="str">
        <f t="shared" si="16"/>
        <v>0PremiumSS4</v>
      </c>
      <c r="D168" s="8" t="str">
        <f t="shared" si="10"/>
        <v>0PremiumSS4</v>
      </c>
      <c r="E168" s="10">
        <v>0</v>
      </c>
      <c r="F168" s="6">
        <v>660</v>
      </c>
      <c r="G168" s="8" t="str">
        <f>VLOOKUP(F168,[1]characters!$A:$C,3,FALSE)</f>
        <v>烏天狗 フウガ</v>
      </c>
      <c r="H168" s="8" t="str">
        <f>VLOOKUP(F168,[1]characters!$A:$J,10,FALSE)</f>
        <v>PremiumSS</v>
      </c>
      <c r="I168" s="8">
        <f>VLOOKUP(F168,[1]characters!$A:$I,9,FALSE)</f>
        <v>4</v>
      </c>
      <c r="J168" s="8" t="str">
        <f>VLOOKUP(F168,[1]characters!$A:$H,8,FALSE)</f>
        <v>green</v>
      </c>
      <c r="K168" s="8" t="str">
        <f>VLOOKUP(F168,[1]characters!$A:$K,11,FALSE)</f>
        <v>balance</v>
      </c>
      <c r="L168" s="8" t="str">
        <f>VLOOKUP(F168,[1]characters!$A:$M,13,FALSE)</f>
        <v>animal</v>
      </c>
      <c r="M168" s="65"/>
      <c r="N168" s="16">
        <f>VLOOKUP(D168,gacha_300_base!A:B,2,FALSE)</f>
        <v>1568</v>
      </c>
      <c r="O168" s="37">
        <f>IFERROR(VLOOKUP($F168,bug_conf_sheet!$A:$H,3,FALSE),VLOOKUP("other",bug_conf_sheet!$A:$H,3,FALSE))</f>
        <v>1</v>
      </c>
      <c r="P168" s="37">
        <f>IFERROR(VLOOKUP($F168,bug_conf_sheet!$A:$H,4,FALSE),VLOOKUP("other",bug_conf_sheet!$A:$H,4,FALSE))</f>
        <v>0</v>
      </c>
      <c r="Q168" s="37">
        <f>IFERROR(VLOOKUP($F168,bug_conf_sheet!$A:$H,5,FALSE),VLOOKUP("other",bug_conf_sheet!$A:$H,5,FALSE))</f>
        <v>0</v>
      </c>
      <c r="R168" s="37">
        <f>IFERROR(VLOOKUP($F168,bug_conf_sheet!$A:$H,6,FALSE),VLOOKUP("other",bug_conf_sheet!$A:$H,6,FALSE))</f>
        <v>0</v>
      </c>
      <c r="S168" s="37">
        <f>IFERROR(VLOOKUP($F168,bug_conf_sheet!$A:$H,7,FALSE),VLOOKUP("other",bug_conf_sheet!$A:$H,7,FALSE))</f>
        <v>0</v>
      </c>
      <c r="T168" s="37">
        <f>IFERROR(VLOOKUP($F168,bug_conf_sheet!$A:$H,8,FALSE),VLOOKUP("other",bug_conf_sheet!$A:$H,8,FALSE))</f>
        <v>1</v>
      </c>
    </row>
    <row r="169" spans="1:20" ht="21" customHeight="1">
      <c r="A169" s="7" t="str">
        <f t="shared" si="15"/>
        <v>3000661</v>
      </c>
      <c r="B169" s="2" t="str">
        <f t="shared" si="11"/>
        <v>3000</v>
      </c>
      <c r="C169" s="8" t="str">
        <f t="shared" si="16"/>
        <v>0PremiumSS5</v>
      </c>
      <c r="D169" s="8" t="str">
        <f t="shared" si="10"/>
        <v>0PremiumSS5</v>
      </c>
      <c r="E169" s="10">
        <v>0</v>
      </c>
      <c r="F169" s="6">
        <v>661</v>
      </c>
      <c r="G169" s="8" t="str">
        <f>VLOOKUP(F169,[1]characters!$A:$C,3,FALSE)</f>
        <v>疾風の天狗礫 フウガ</v>
      </c>
      <c r="H169" s="8" t="str">
        <f>VLOOKUP(F169,[1]characters!$A:$J,10,FALSE)</f>
        <v>PremiumSS</v>
      </c>
      <c r="I169" s="8">
        <f>VLOOKUP(F169,[1]characters!$A:$I,9,FALSE)</f>
        <v>5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65"/>
      <c r="N169" s="16">
        <f>VLOOKUP(D169,gacha_300_base!A:B,2,FALSE)</f>
        <v>98</v>
      </c>
      <c r="O169" s="37">
        <f>IFERROR(VLOOKUP($F169,bug_conf_sheet!$A:$H,3,FALSE),VLOOKUP("other",bug_conf_sheet!$A:$H,3,FALSE))</f>
        <v>1</v>
      </c>
      <c r="P169" s="37">
        <f>IFERROR(VLOOKUP($F169,bug_conf_sheet!$A:$H,4,FALSE),VLOOKUP("other",bug_conf_sheet!$A:$H,4,FALSE))</f>
        <v>0</v>
      </c>
      <c r="Q169" s="37">
        <f>IFERROR(VLOOKUP($F169,bug_conf_sheet!$A:$H,5,FALSE),VLOOKUP("other",bug_conf_sheet!$A:$H,5,FALSE))</f>
        <v>0</v>
      </c>
      <c r="R169" s="37">
        <f>IFERROR(VLOOKUP($F169,bug_conf_sheet!$A:$H,6,FALSE),VLOOKUP("other",bug_conf_sheet!$A:$H,6,FALSE))</f>
        <v>0</v>
      </c>
      <c r="S169" s="37">
        <f>IFERROR(VLOOKUP($F169,bug_conf_sheet!$A:$H,7,FALSE),VLOOKUP("other",bug_conf_sheet!$A:$H,7,FALSE))</f>
        <v>0</v>
      </c>
      <c r="T169" s="37">
        <f>IFERROR(VLOOKUP($F169,bug_conf_sheet!$A:$H,8,FALSE),VLOOKUP("other",bug_conf_sheet!$A:$H,8,FALSE))</f>
        <v>1</v>
      </c>
    </row>
    <row r="170" spans="1:20" ht="21" customHeight="1">
      <c r="A170" s="7" t="str">
        <f t="shared" si="15"/>
        <v>3000663</v>
      </c>
      <c r="B170" s="2" t="str">
        <f t="shared" si="11"/>
        <v>3000</v>
      </c>
      <c r="C170" s="8" t="str">
        <f t="shared" si="16"/>
        <v>0PremiumS4</v>
      </c>
      <c r="D170" s="8" t="str">
        <f t="shared" si="10"/>
        <v>0PremiumS4</v>
      </c>
      <c r="E170" s="10">
        <v>0</v>
      </c>
      <c r="F170" s="6">
        <v>663</v>
      </c>
      <c r="G170" s="8" t="str">
        <f>VLOOKUP(F170,[1]characters!$A:$C,3,FALSE)</f>
        <v>都揺らす地響き ダイダラ</v>
      </c>
      <c r="H170" s="8" t="str">
        <f>VLOOKUP(F170,[1]characters!$A:$J,10,FALSE)</f>
        <v>PremiumS</v>
      </c>
      <c r="I170" s="8">
        <f>VLOOKUP(F170,[1]characters!$A:$I,9,FALSE)</f>
        <v>4</v>
      </c>
      <c r="J170" s="8" t="str">
        <f>VLOOKUP(F170,[1]characters!$A:$H,8,FALSE)</f>
        <v>blue</v>
      </c>
      <c r="K170" s="8" t="str">
        <f>VLOOKUP(F170,[1]characters!$A:$K,11,FALSE)</f>
        <v>hp</v>
      </c>
      <c r="L170" s="8" t="str">
        <f>VLOOKUP(F170,[1]characters!$A:$M,13,FALSE)</f>
        <v>unknown</v>
      </c>
      <c r="M170" s="65"/>
      <c r="N170" s="16">
        <f>VLOOKUP(D170,gacha_300_base!A:B,2,FALSE)</f>
        <v>14570</v>
      </c>
      <c r="O170" s="37">
        <f>IFERROR(VLOOKUP($F170,bug_conf_sheet!$A:$H,3,FALSE),VLOOKUP("other",bug_conf_sheet!$A:$H,3,FALSE))</f>
        <v>1</v>
      </c>
      <c r="P170" s="37">
        <f>IFERROR(VLOOKUP($F170,bug_conf_sheet!$A:$H,4,FALSE),VLOOKUP("other",bug_conf_sheet!$A:$H,4,FALSE))</f>
        <v>0</v>
      </c>
      <c r="Q170" s="37">
        <f>IFERROR(VLOOKUP($F170,bug_conf_sheet!$A:$H,5,FALSE),VLOOKUP("other",bug_conf_sheet!$A:$H,5,FALSE))</f>
        <v>0</v>
      </c>
      <c r="R170" s="37">
        <f>IFERROR(VLOOKUP($F170,bug_conf_sheet!$A:$H,6,FALSE),VLOOKUP("other",bug_conf_sheet!$A:$H,6,FALSE))</f>
        <v>0</v>
      </c>
      <c r="S170" s="37">
        <f>IFERROR(VLOOKUP($F170,bug_conf_sheet!$A:$H,7,FALSE),VLOOKUP("other",bug_conf_sheet!$A:$H,7,FALSE))</f>
        <v>0</v>
      </c>
      <c r="T170" s="37">
        <f>IFERROR(VLOOKUP($F170,bug_conf_sheet!$A:$H,8,FALSE),VLOOKUP("other",bug_conf_sheet!$A:$H,8,FALSE))</f>
        <v>1</v>
      </c>
    </row>
    <row r="171" spans="1:20" ht="21" customHeight="1">
      <c r="A171" s="7" t="str">
        <f t="shared" si="15"/>
        <v>3000664</v>
      </c>
      <c r="B171" s="2" t="str">
        <f t="shared" si="11"/>
        <v>3000</v>
      </c>
      <c r="C171" s="8" t="str">
        <f t="shared" si="16"/>
        <v>0PremiumS5</v>
      </c>
      <c r="D171" s="8" t="str">
        <f t="shared" si="10"/>
        <v>0PremiumS5</v>
      </c>
      <c r="E171" s="10">
        <v>0</v>
      </c>
      <c r="F171" s="6">
        <v>664</v>
      </c>
      <c r="G171" s="8" t="str">
        <f>VLOOKUP(F171,[1]characters!$A:$C,3,FALSE)</f>
        <v>山掴み国造り ダイダラ</v>
      </c>
      <c r="H171" s="8" t="str">
        <f>VLOOKUP(F171,[1]characters!$A:$J,10,FALSE)</f>
        <v>PremiumS</v>
      </c>
      <c r="I171" s="8">
        <f>VLOOKUP(F171,[1]characters!$A:$I,9,FALSE)</f>
        <v>5</v>
      </c>
      <c r="J171" s="8" t="str">
        <f>VLOOKUP(F171,[1]characters!$A:$H,8,FALSE)</f>
        <v>blue</v>
      </c>
      <c r="K171" s="8" t="str">
        <f>VLOOKUP(F171,[1]characters!$A:$K,11,FALSE)</f>
        <v>hp</v>
      </c>
      <c r="L171" s="8" t="str">
        <f>VLOOKUP(F171,[1]characters!$A:$M,13,FALSE)</f>
        <v>unknown</v>
      </c>
      <c r="M171" s="65"/>
      <c r="N171" s="16">
        <f>VLOOKUP(D171,gacha_300_base!A:B,2,FALSE)</f>
        <v>914</v>
      </c>
      <c r="O171" s="37">
        <f>IFERROR(VLOOKUP($F171,bug_conf_sheet!$A:$H,3,FALSE),VLOOKUP("other",bug_conf_sheet!$A:$H,3,FALSE))</f>
        <v>1</v>
      </c>
      <c r="P171" s="37">
        <f>IFERROR(VLOOKUP($F171,bug_conf_sheet!$A:$H,4,FALSE),VLOOKUP("other",bug_conf_sheet!$A:$H,4,FALSE))</f>
        <v>0</v>
      </c>
      <c r="Q171" s="37">
        <f>IFERROR(VLOOKUP($F171,bug_conf_sheet!$A:$H,5,FALSE),VLOOKUP("other",bug_conf_sheet!$A:$H,5,FALSE))</f>
        <v>0</v>
      </c>
      <c r="R171" s="37">
        <f>IFERROR(VLOOKUP($F171,bug_conf_sheet!$A:$H,6,FALSE),VLOOKUP("other",bug_conf_sheet!$A:$H,6,FALSE))</f>
        <v>0</v>
      </c>
      <c r="S171" s="37">
        <f>IFERROR(VLOOKUP($F171,bug_conf_sheet!$A:$H,7,FALSE),VLOOKUP("other",bug_conf_sheet!$A:$H,7,FALSE))</f>
        <v>0</v>
      </c>
      <c r="T171" s="37">
        <f>IFERROR(VLOOKUP($F171,bug_conf_sheet!$A:$H,8,FALSE),VLOOKUP("other",bug_conf_sheet!$A:$H,8,FALSE))</f>
        <v>1</v>
      </c>
    </row>
    <row r="172" spans="1:20" ht="21" customHeight="1">
      <c r="A172" s="7" t="str">
        <f t="shared" si="15"/>
        <v>3000666</v>
      </c>
      <c r="B172" s="2" t="str">
        <f t="shared" si="11"/>
        <v>3000</v>
      </c>
      <c r="C172" s="8" t="str">
        <f t="shared" si="16"/>
        <v>0PremiumS4</v>
      </c>
      <c r="D172" s="8" t="str">
        <f t="shared" si="10"/>
        <v>0PremiumS4</v>
      </c>
      <c r="E172" s="10">
        <v>0</v>
      </c>
      <c r="F172" s="6">
        <v>666</v>
      </c>
      <c r="G172" s="8" t="str">
        <f>VLOOKUP(F172,[1]characters!$A:$C,3,FALSE)</f>
        <v>拡散する幸福 テマリ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yellow</v>
      </c>
      <c r="K172" s="8" t="str">
        <f>VLOOKUP(F172,[1]characters!$A:$K,11,FALSE)</f>
        <v>balance</v>
      </c>
      <c r="L172" s="8" t="str">
        <f>VLOOKUP(F172,[1]characters!$A:$M,13,FALSE)</f>
        <v>unknown</v>
      </c>
      <c r="M172" s="65"/>
      <c r="N172" s="16">
        <f>VLOOKUP(D172,gacha_300_base!A:B,2,FALSE)</f>
        <v>14570</v>
      </c>
      <c r="O172" s="37">
        <f>IFERROR(VLOOKUP($F172,bug_conf_sheet!$A:$H,3,FALSE),VLOOKUP("other",bug_conf_sheet!$A:$H,3,FALSE))</f>
        <v>1</v>
      </c>
      <c r="P172" s="37">
        <f>IFERROR(VLOOKUP($F172,bug_conf_sheet!$A:$H,4,FALSE),VLOOKUP("other",bug_conf_sheet!$A:$H,4,FALSE))</f>
        <v>0</v>
      </c>
      <c r="Q172" s="37">
        <f>IFERROR(VLOOKUP($F172,bug_conf_sheet!$A:$H,5,FALSE),VLOOKUP("other",bug_conf_sheet!$A:$H,5,FALSE))</f>
        <v>0</v>
      </c>
      <c r="R172" s="37">
        <f>IFERROR(VLOOKUP($F172,bug_conf_sheet!$A:$H,6,FALSE),VLOOKUP("other",bug_conf_sheet!$A:$H,6,FALSE))</f>
        <v>0</v>
      </c>
      <c r="S172" s="37">
        <f>IFERROR(VLOOKUP($F172,bug_conf_sheet!$A:$H,7,FALSE),VLOOKUP("other",bug_conf_sheet!$A:$H,7,FALSE))</f>
        <v>0</v>
      </c>
      <c r="T172" s="37">
        <f>IFERROR(VLOOKUP($F172,bug_conf_sheet!$A:$H,8,FALSE),VLOOKUP("other",bug_conf_sheet!$A:$H,8,FALSE))</f>
        <v>1</v>
      </c>
    </row>
    <row r="173" spans="1:20" ht="21" customHeight="1">
      <c r="A173" s="7" t="str">
        <f t="shared" si="15"/>
        <v>3000667</v>
      </c>
      <c r="B173" s="2" t="str">
        <f t="shared" si="11"/>
        <v>3000</v>
      </c>
      <c r="C173" s="8" t="str">
        <f t="shared" si="16"/>
        <v>0PremiumS5</v>
      </c>
      <c r="D173" s="8" t="str">
        <f t="shared" si="10"/>
        <v>0PremiumS5</v>
      </c>
      <c r="E173" s="10">
        <v>0</v>
      </c>
      <c r="F173" s="6">
        <v>667</v>
      </c>
      <c r="G173" s="8" t="str">
        <f>VLOOKUP(F173,[1]characters!$A:$C,3,FALSE)</f>
        <v>最幸運の妖童 テマリ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yellow</v>
      </c>
      <c r="K173" s="8" t="str">
        <f>VLOOKUP(F173,[1]characters!$A:$K,11,FALSE)</f>
        <v>balance</v>
      </c>
      <c r="L173" s="8" t="str">
        <f>VLOOKUP(F173,[1]characters!$A:$M,13,FALSE)</f>
        <v>unknown</v>
      </c>
      <c r="M173" s="65"/>
      <c r="N173" s="16">
        <f>VLOOKUP(D173,gacha_300_base!A:B,2,FALSE)</f>
        <v>914</v>
      </c>
      <c r="O173" s="37">
        <f>IFERROR(VLOOKUP($F173,bug_conf_sheet!$A:$H,3,FALSE),VLOOKUP("other",bug_conf_sheet!$A:$H,3,FALSE))</f>
        <v>1</v>
      </c>
      <c r="P173" s="37">
        <f>IFERROR(VLOOKUP($F173,bug_conf_sheet!$A:$H,4,FALSE),VLOOKUP("other",bug_conf_sheet!$A:$H,4,FALSE))</f>
        <v>0</v>
      </c>
      <c r="Q173" s="37">
        <f>IFERROR(VLOOKUP($F173,bug_conf_sheet!$A:$H,5,FALSE),VLOOKUP("other",bug_conf_sheet!$A:$H,5,FALSE))</f>
        <v>0</v>
      </c>
      <c r="R173" s="37">
        <f>IFERROR(VLOOKUP($F173,bug_conf_sheet!$A:$H,6,FALSE),VLOOKUP("other",bug_conf_sheet!$A:$H,6,FALSE))</f>
        <v>0</v>
      </c>
      <c r="S173" s="37">
        <f>IFERROR(VLOOKUP($F173,bug_conf_sheet!$A:$H,7,FALSE),VLOOKUP("other",bug_conf_sheet!$A:$H,7,FALSE))</f>
        <v>0</v>
      </c>
      <c r="T173" s="37">
        <f>IFERROR(VLOOKUP($F173,bug_conf_sheet!$A:$H,8,FALSE),VLOOKUP("other",bug_conf_sheet!$A:$H,8,FALSE))</f>
        <v>1</v>
      </c>
    </row>
    <row r="174" spans="1:20" ht="21" customHeight="1">
      <c r="A174" s="7" t="str">
        <f>B174&amp;F174</f>
        <v>3001126</v>
      </c>
      <c r="B174" s="2" t="str">
        <f t="shared" si="11"/>
        <v>3001</v>
      </c>
      <c r="C174" s="8" t="str">
        <f t="shared" ref="C174:C237" si="17">E174&amp;H174&amp;I174</f>
        <v>1PremiumW3</v>
      </c>
      <c r="D174" s="8" t="str">
        <f t="shared" si="10"/>
        <v>1PremiumW3</v>
      </c>
      <c r="E174" s="10">
        <v>1</v>
      </c>
      <c r="F174" s="6">
        <v>126</v>
      </c>
      <c r="G174" s="8" t="str">
        <f>VLOOKUP(F174,[1]characters!$A:$C,3,FALSE)</f>
        <v>骨器使い ユノ</v>
      </c>
      <c r="H174" s="8" t="str">
        <f>VLOOKUP(F174,[1]characters!$A:$J,10,FALSE)</f>
        <v>PremiumW</v>
      </c>
      <c r="I174" s="8">
        <f>VLOOKUP(F174,[1]characters!$A:$I,9,FALSE)</f>
        <v>3</v>
      </c>
      <c r="J174" s="8" t="str">
        <f>VLOOKUP(F174,[1]characters!$A:$H,8,FALSE)</f>
        <v>red</v>
      </c>
      <c r="K174" s="8" t="str">
        <f>VLOOKUP(F174,[1]characters!$A:$K,11,FALSE)</f>
        <v>attack</v>
      </c>
      <c r="L174" s="8" t="str">
        <f>VLOOKUP(F174,[1]characters!$A:$M,13,FALSE)</f>
        <v>human</v>
      </c>
      <c r="M174" s="65"/>
      <c r="N174" s="16">
        <f>VLOOKUP(D174,gacha_300_base!A:B,2,FALSE)</f>
        <v>7445</v>
      </c>
      <c r="O174" s="37">
        <f>IFERROR(VLOOKUP($F174,bug_conf_sheet!$A:$H,3,FALSE),VLOOKUP("other",bug_conf_sheet!$A:$H,3,FALSE))</f>
        <v>1</v>
      </c>
      <c r="P174" s="37">
        <f>IFERROR(VLOOKUP($F174,bug_conf_sheet!$A:$H,4,FALSE),VLOOKUP("other",bug_conf_sheet!$A:$H,4,FALSE))</f>
        <v>0</v>
      </c>
      <c r="Q174" s="37">
        <f>IFERROR(VLOOKUP($F174,bug_conf_sheet!$A:$H,5,FALSE),VLOOKUP("other",bug_conf_sheet!$A:$H,5,FALSE))</f>
        <v>0</v>
      </c>
      <c r="R174" s="37">
        <f>IFERROR(VLOOKUP($F174,bug_conf_sheet!$A:$H,6,FALSE),VLOOKUP("other",bug_conf_sheet!$A:$H,6,FALSE))</f>
        <v>0</v>
      </c>
      <c r="S174" s="37">
        <f>IFERROR(VLOOKUP($F174,bug_conf_sheet!$A:$H,7,FALSE),VLOOKUP("other",bug_conf_sheet!$A:$H,7,FALSE))</f>
        <v>0</v>
      </c>
      <c r="T174" s="37">
        <f>IFERROR(VLOOKUP($F174,bug_conf_sheet!$A:$H,8,FALSE),VLOOKUP("other",bug_conf_sheet!$A:$H,8,FALSE))</f>
        <v>1</v>
      </c>
    </row>
    <row r="175" spans="1:20" ht="21" customHeight="1">
      <c r="A175" s="7" t="str">
        <f t="shared" ref="A175:A238" si="18">B175&amp;F175</f>
        <v>3001127</v>
      </c>
      <c r="B175" s="2" t="str">
        <f t="shared" si="11"/>
        <v>3001</v>
      </c>
      <c r="C175" s="8" t="str">
        <f t="shared" si="17"/>
        <v>1PremiumW4</v>
      </c>
      <c r="D175" s="8" t="str">
        <f t="shared" si="10"/>
        <v>1PremiumW4</v>
      </c>
      <c r="E175" s="10">
        <v>1</v>
      </c>
      <c r="F175" s="6">
        <v>127</v>
      </c>
      <c r="G175" s="8" t="str">
        <f>VLOOKUP(F175,[1]characters!$A:$C,3,FALSE)</f>
        <v>狂喜の賢者 ユノ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red</v>
      </c>
      <c r="K175" s="8" t="str">
        <f>VLOOKUP(F175,[1]characters!$A:$K,11,FALSE)</f>
        <v>attack</v>
      </c>
      <c r="L175" s="8" t="str">
        <f>VLOOKUP(F175,[1]characters!$A:$M,13,FALSE)</f>
        <v>human</v>
      </c>
      <c r="M175" s="65"/>
      <c r="N175" s="16">
        <f>VLOOKUP(D175,gacha_300_base!A:B,2,FALSE)</f>
        <v>2351</v>
      </c>
      <c r="O175" s="37">
        <f>IFERROR(VLOOKUP($F175,bug_conf_sheet!$A:$H,3,FALSE),VLOOKUP("other",bug_conf_sheet!$A:$H,3,FALSE))</f>
        <v>1</v>
      </c>
      <c r="P175" s="37">
        <f>IFERROR(VLOOKUP($F175,bug_conf_sheet!$A:$H,4,FALSE),VLOOKUP("other",bug_conf_sheet!$A:$H,4,FALSE))</f>
        <v>0</v>
      </c>
      <c r="Q175" s="37">
        <f>IFERROR(VLOOKUP($F175,bug_conf_sheet!$A:$H,5,FALSE),VLOOKUP("other",bug_conf_sheet!$A:$H,5,FALSE))</f>
        <v>0</v>
      </c>
      <c r="R175" s="37">
        <f>IFERROR(VLOOKUP($F175,bug_conf_sheet!$A:$H,6,FALSE),VLOOKUP("other",bug_conf_sheet!$A:$H,6,FALSE))</f>
        <v>0</v>
      </c>
      <c r="S175" s="37">
        <f>IFERROR(VLOOKUP($F175,bug_conf_sheet!$A:$H,7,FALSE),VLOOKUP("other",bug_conf_sheet!$A:$H,7,FALSE))</f>
        <v>0</v>
      </c>
      <c r="T175" s="37">
        <f>IFERROR(VLOOKUP($F175,bug_conf_sheet!$A:$H,8,FALSE),VLOOKUP("other",bug_conf_sheet!$A:$H,8,FALSE))</f>
        <v>1</v>
      </c>
    </row>
    <row r="176" spans="1:20" ht="21" customHeight="1">
      <c r="A176" s="7" t="str">
        <f t="shared" si="18"/>
        <v>3001128</v>
      </c>
      <c r="B176" s="2" t="str">
        <f t="shared" si="11"/>
        <v>3001</v>
      </c>
      <c r="C176" s="8" t="str">
        <f t="shared" si="17"/>
        <v>1PremiumW3</v>
      </c>
      <c r="D176" s="8" t="str">
        <f t="shared" si="10"/>
        <v>1PremiumW3</v>
      </c>
      <c r="E176" s="10">
        <v>1</v>
      </c>
      <c r="F176" s="6">
        <v>128</v>
      </c>
      <c r="G176" s="8" t="str">
        <f>VLOOKUP(F176,[1]characters!$A:$C,3,FALSE)</f>
        <v>野生児 アマラ</v>
      </c>
      <c r="H176" s="8" t="str">
        <f>VLOOKUP(F176,[1]characters!$A:$J,10,FALSE)</f>
        <v>PremiumW</v>
      </c>
      <c r="I176" s="8">
        <f>VLOOKUP(F176,[1]characters!$A:$I,9,FALSE)</f>
        <v>3</v>
      </c>
      <c r="J176" s="8" t="str">
        <f>VLOOKUP(F176,[1]characters!$A:$H,8,FALSE)</f>
        <v>green</v>
      </c>
      <c r="K176" s="8" t="str">
        <f>VLOOKUP(F176,[1]characters!$A:$K,11,FALSE)</f>
        <v>attack</v>
      </c>
      <c r="L176" s="8" t="str">
        <f>VLOOKUP(F176,[1]characters!$A:$M,13,FALSE)</f>
        <v>human</v>
      </c>
      <c r="M176" s="65"/>
      <c r="N176" s="16">
        <f>VLOOKUP(D176,gacha_300_base!A:B,2,FALSE)</f>
        <v>7445</v>
      </c>
      <c r="O176" s="37">
        <f>IFERROR(VLOOKUP($F176,bug_conf_sheet!$A:$H,3,FALSE),VLOOKUP("other",bug_conf_sheet!$A:$H,3,FALSE))</f>
        <v>1</v>
      </c>
      <c r="P176" s="37">
        <f>IFERROR(VLOOKUP($F176,bug_conf_sheet!$A:$H,4,FALSE),VLOOKUP("other",bug_conf_sheet!$A:$H,4,FALSE))</f>
        <v>0</v>
      </c>
      <c r="Q176" s="37">
        <f>IFERROR(VLOOKUP($F176,bug_conf_sheet!$A:$H,5,FALSE),VLOOKUP("other",bug_conf_sheet!$A:$H,5,FALSE))</f>
        <v>0</v>
      </c>
      <c r="R176" s="37">
        <f>IFERROR(VLOOKUP($F176,bug_conf_sheet!$A:$H,6,FALSE),VLOOKUP("other",bug_conf_sheet!$A:$H,6,FALSE))</f>
        <v>0</v>
      </c>
      <c r="S176" s="37">
        <f>IFERROR(VLOOKUP($F176,bug_conf_sheet!$A:$H,7,FALSE),VLOOKUP("other",bug_conf_sheet!$A:$H,7,FALSE))</f>
        <v>0</v>
      </c>
      <c r="T176" s="37">
        <f>IFERROR(VLOOKUP($F176,bug_conf_sheet!$A:$H,8,FALSE),VLOOKUP("other",bug_conf_sheet!$A:$H,8,FALSE))</f>
        <v>1</v>
      </c>
    </row>
    <row r="177" spans="1:20" ht="21" customHeight="1">
      <c r="A177" s="7" t="str">
        <f t="shared" si="18"/>
        <v>3001129</v>
      </c>
      <c r="B177" s="2" t="str">
        <f t="shared" si="11"/>
        <v>3001</v>
      </c>
      <c r="C177" s="8" t="str">
        <f t="shared" si="17"/>
        <v>1PremiumW4</v>
      </c>
      <c r="D177" s="8" t="str">
        <f t="shared" si="10"/>
        <v>1PremiumW4</v>
      </c>
      <c r="E177" s="10">
        <v>1</v>
      </c>
      <c r="F177" s="6">
        <v>129</v>
      </c>
      <c r="G177" s="8" t="str">
        <f>VLOOKUP(F177,[1]characters!$A:$C,3,FALSE)</f>
        <v>孤高の狼憑き アマラ</v>
      </c>
      <c r="H177" s="8" t="str">
        <f>VLOOKUP(F177,[1]characters!$A:$J,10,FALSE)</f>
        <v>PremiumW</v>
      </c>
      <c r="I177" s="8">
        <f>VLOOKUP(F177,[1]characters!$A:$I,9,FALSE)</f>
        <v>4</v>
      </c>
      <c r="J177" s="8" t="str">
        <f>VLOOKUP(F177,[1]characters!$A:$H,8,FALSE)</f>
        <v>green</v>
      </c>
      <c r="K177" s="8" t="str">
        <f>VLOOKUP(F177,[1]characters!$A:$K,11,FALSE)</f>
        <v>attack</v>
      </c>
      <c r="L177" s="8" t="str">
        <f>VLOOKUP(F177,[1]characters!$A:$M,13,FALSE)</f>
        <v>human</v>
      </c>
      <c r="M177" s="65"/>
      <c r="N177" s="16">
        <f>VLOOKUP(D177,gacha_300_base!A:B,2,FALSE)</f>
        <v>2351</v>
      </c>
      <c r="O177" s="37">
        <f>IFERROR(VLOOKUP($F177,bug_conf_sheet!$A:$H,3,FALSE),VLOOKUP("other",bug_conf_sheet!$A:$H,3,FALSE))</f>
        <v>1</v>
      </c>
      <c r="P177" s="37">
        <f>IFERROR(VLOOKUP($F177,bug_conf_sheet!$A:$H,4,FALSE),VLOOKUP("other",bug_conf_sheet!$A:$H,4,FALSE))</f>
        <v>0</v>
      </c>
      <c r="Q177" s="37">
        <f>IFERROR(VLOOKUP($F177,bug_conf_sheet!$A:$H,5,FALSE),VLOOKUP("other",bug_conf_sheet!$A:$H,5,FALSE))</f>
        <v>0</v>
      </c>
      <c r="R177" s="37">
        <f>IFERROR(VLOOKUP($F177,bug_conf_sheet!$A:$H,6,FALSE),VLOOKUP("other",bug_conf_sheet!$A:$H,6,FALSE))</f>
        <v>0</v>
      </c>
      <c r="S177" s="37">
        <f>IFERROR(VLOOKUP($F177,bug_conf_sheet!$A:$H,7,FALSE),VLOOKUP("other",bug_conf_sheet!$A:$H,7,FALSE))</f>
        <v>0</v>
      </c>
      <c r="T177" s="37">
        <f>IFERROR(VLOOKUP($F177,bug_conf_sheet!$A:$H,8,FALSE),VLOOKUP("other",bug_conf_sheet!$A:$H,8,FALSE))</f>
        <v>1</v>
      </c>
    </row>
    <row r="178" spans="1:20" ht="21" customHeight="1">
      <c r="A178" s="7" t="str">
        <f t="shared" si="18"/>
        <v>3001130</v>
      </c>
      <c r="B178" s="2" t="str">
        <f t="shared" si="11"/>
        <v>3001</v>
      </c>
      <c r="C178" s="8" t="str">
        <f t="shared" si="17"/>
        <v>1PremiumW3</v>
      </c>
      <c r="D178" s="8" t="str">
        <f t="shared" si="10"/>
        <v>1PremiumW3</v>
      </c>
      <c r="E178" s="10">
        <v>1</v>
      </c>
      <c r="F178" s="6">
        <v>130</v>
      </c>
      <c r="G178" s="8" t="str">
        <f>VLOOKUP(F178,[1]characters!$A:$C,3,FALSE)</f>
        <v>狼男 ローレンス</v>
      </c>
      <c r="H178" s="8" t="str">
        <f>VLOOKUP(F178,[1]characters!$A:$J,10,FALSE)</f>
        <v>PremiumW</v>
      </c>
      <c r="I178" s="8">
        <f>VLOOKUP(F178,[1]characters!$A:$I,9,FALSE)</f>
        <v>3</v>
      </c>
      <c r="J178" s="8" t="str">
        <f>VLOOKUP(F178,[1]characters!$A:$H,8,FALSE)</f>
        <v>blue</v>
      </c>
      <c r="K178" s="8" t="str">
        <f>VLOOKUP(F178,[1]characters!$A:$K,11,FALSE)</f>
        <v>attack</v>
      </c>
      <c r="L178" s="8" t="str">
        <f>VLOOKUP(F178,[1]characters!$A:$M,13,FALSE)</f>
        <v>animal</v>
      </c>
      <c r="M178" s="65"/>
      <c r="N178" s="16">
        <f>VLOOKUP(D178,gacha_300_base!A:B,2,FALSE)</f>
        <v>7445</v>
      </c>
      <c r="O178" s="37">
        <f>IFERROR(VLOOKUP($F178,bug_conf_sheet!$A:$H,3,FALSE),VLOOKUP("other",bug_conf_sheet!$A:$H,3,FALSE))</f>
        <v>1</v>
      </c>
      <c r="P178" s="37">
        <f>IFERROR(VLOOKUP($F178,bug_conf_sheet!$A:$H,4,FALSE),VLOOKUP("other",bug_conf_sheet!$A:$H,4,FALSE))</f>
        <v>0</v>
      </c>
      <c r="Q178" s="37">
        <f>IFERROR(VLOOKUP($F178,bug_conf_sheet!$A:$H,5,FALSE),VLOOKUP("other",bug_conf_sheet!$A:$H,5,FALSE))</f>
        <v>0</v>
      </c>
      <c r="R178" s="37">
        <f>IFERROR(VLOOKUP($F178,bug_conf_sheet!$A:$H,6,FALSE),VLOOKUP("other",bug_conf_sheet!$A:$H,6,FALSE))</f>
        <v>0</v>
      </c>
      <c r="S178" s="37">
        <f>IFERROR(VLOOKUP($F178,bug_conf_sheet!$A:$H,7,FALSE),VLOOKUP("other",bug_conf_sheet!$A:$H,7,FALSE))</f>
        <v>0</v>
      </c>
      <c r="T178" s="37">
        <f>IFERROR(VLOOKUP($F178,bug_conf_sheet!$A:$H,8,FALSE),VLOOKUP("other",bug_conf_sheet!$A:$H,8,FALSE))</f>
        <v>1</v>
      </c>
    </row>
    <row r="179" spans="1:20" ht="21" customHeight="1">
      <c r="A179" s="7" t="str">
        <f t="shared" si="18"/>
        <v>3001131</v>
      </c>
      <c r="B179" s="2" t="str">
        <f t="shared" si="11"/>
        <v>3001</v>
      </c>
      <c r="C179" s="8" t="str">
        <f t="shared" si="17"/>
        <v>1PremiumW4</v>
      </c>
      <c r="D179" s="8" t="str">
        <f t="shared" si="10"/>
        <v>1PremiumW4</v>
      </c>
      <c r="E179" s="10">
        <v>1</v>
      </c>
      <c r="F179" s="6">
        <v>131</v>
      </c>
      <c r="G179" s="8" t="str">
        <f>VLOOKUP(F179,[1]characters!$A:$C,3,FALSE)</f>
        <v>月下の人狼 ローレンス</v>
      </c>
      <c r="H179" s="8" t="str">
        <f>VLOOKUP(F179,[1]characters!$A:$J,10,FALSE)</f>
        <v>PremiumW</v>
      </c>
      <c r="I179" s="8">
        <f>VLOOKUP(F179,[1]characters!$A:$I,9,FALSE)</f>
        <v>4</v>
      </c>
      <c r="J179" s="8" t="str">
        <f>VLOOKUP(F179,[1]characters!$A:$H,8,FALSE)</f>
        <v>blue</v>
      </c>
      <c r="K179" s="8" t="str">
        <f>VLOOKUP(F179,[1]characters!$A:$K,11,FALSE)</f>
        <v>attack</v>
      </c>
      <c r="L179" s="8" t="str">
        <f>VLOOKUP(F179,[1]characters!$A:$M,13,FALSE)</f>
        <v>animal</v>
      </c>
      <c r="M179" s="65"/>
      <c r="N179" s="16">
        <f>VLOOKUP(D179,gacha_300_base!A:B,2,FALSE)</f>
        <v>2351</v>
      </c>
      <c r="O179" s="37">
        <f>IFERROR(VLOOKUP($F179,bug_conf_sheet!$A:$H,3,FALSE),VLOOKUP("other",bug_conf_sheet!$A:$H,3,FALSE))</f>
        <v>1</v>
      </c>
      <c r="P179" s="37">
        <f>IFERROR(VLOOKUP($F179,bug_conf_sheet!$A:$H,4,FALSE),VLOOKUP("other",bug_conf_sheet!$A:$H,4,FALSE))</f>
        <v>0</v>
      </c>
      <c r="Q179" s="37">
        <f>IFERROR(VLOOKUP($F179,bug_conf_sheet!$A:$H,5,FALSE),VLOOKUP("other",bug_conf_sheet!$A:$H,5,FALSE))</f>
        <v>0</v>
      </c>
      <c r="R179" s="37">
        <f>IFERROR(VLOOKUP($F179,bug_conf_sheet!$A:$H,6,FALSE),VLOOKUP("other",bug_conf_sheet!$A:$H,6,FALSE))</f>
        <v>0</v>
      </c>
      <c r="S179" s="37">
        <f>IFERROR(VLOOKUP($F179,bug_conf_sheet!$A:$H,7,FALSE),VLOOKUP("other",bug_conf_sheet!$A:$H,7,FALSE))</f>
        <v>0</v>
      </c>
      <c r="T179" s="37">
        <f>IFERROR(VLOOKUP($F179,bug_conf_sheet!$A:$H,8,FALSE),VLOOKUP("other",bug_conf_sheet!$A:$H,8,FALSE))</f>
        <v>1</v>
      </c>
    </row>
    <row r="180" spans="1:20" ht="21" customHeight="1">
      <c r="A180" s="7" t="str">
        <f t="shared" si="18"/>
        <v>3001132</v>
      </c>
      <c r="B180" s="2" t="str">
        <f t="shared" si="11"/>
        <v>3001</v>
      </c>
      <c r="C180" s="8" t="str">
        <f t="shared" si="17"/>
        <v>1PremiumW3</v>
      </c>
      <c r="D180" s="8" t="str">
        <f t="shared" si="10"/>
        <v>1PremiumW3</v>
      </c>
      <c r="E180" s="10">
        <v>1</v>
      </c>
      <c r="F180" s="6">
        <v>132</v>
      </c>
      <c r="G180" s="8" t="str">
        <f>VLOOKUP(F180,[1]characters!$A:$C,3,FALSE)</f>
        <v>鳥人ハヤト</v>
      </c>
      <c r="H180" s="8" t="str">
        <f>VLOOKUP(F180,[1]characters!$A:$J,10,FALSE)</f>
        <v>PremiumW</v>
      </c>
      <c r="I180" s="8">
        <f>VLOOKUP(F180,[1]characters!$A:$I,9,FALSE)</f>
        <v>3</v>
      </c>
      <c r="J180" s="8" t="str">
        <f>VLOOKUP(F180,[1]characters!$A:$H,8,FALSE)</f>
        <v>yellow</v>
      </c>
      <c r="K180" s="8" t="str">
        <f>VLOOKUP(F180,[1]characters!$A:$K,11,FALSE)</f>
        <v>attack</v>
      </c>
      <c r="L180" s="8" t="str">
        <f>VLOOKUP(F180,[1]characters!$A:$M,13,FALSE)</f>
        <v>human</v>
      </c>
      <c r="M180" s="65"/>
      <c r="N180" s="16">
        <f>VLOOKUP(D180,gacha_300_base!A:B,2,FALSE)</f>
        <v>7445</v>
      </c>
      <c r="O180" s="37">
        <f>IFERROR(VLOOKUP($F180,bug_conf_sheet!$A:$H,3,FALSE),VLOOKUP("other",bug_conf_sheet!$A:$H,3,FALSE))</f>
        <v>1</v>
      </c>
      <c r="P180" s="37">
        <f>IFERROR(VLOOKUP($F180,bug_conf_sheet!$A:$H,4,FALSE),VLOOKUP("other",bug_conf_sheet!$A:$H,4,FALSE))</f>
        <v>0</v>
      </c>
      <c r="Q180" s="37">
        <f>IFERROR(VLOOKUP($F180,bug_conf_sheet!$A:$H,5,FALSE),VLOOKUP("other",bug_conf_sheet!$A:$H,5,FALSE))</f>
        <v>0</v>
      </c>
      <c r="R180" s="37">
        <f>IFERROR(VLOOKUP($F180,bug_conf_sheet!$A:$H,6,FALSE),VLOOKUP("other",bug_conf_sheet!$A:$H,6,FALSE))</f>
        <v>0</v>
      </c>
      <c r="S180" s="37">
        <f>IFERROR(VLOOKUP($F180,bug_conf_sheet!$A:$H,7,FALSE),VLOOKUP("other",bug_conf_sheet!$A:$H,7,FALSE))</f>
        <v>0</v>
      </c>
      <c r="T180" s="37">
        <f>IFERROR(VLOOKUP($F180,bug_conf_sheet!$A:$H,8,FALSE),VLOOKUP("other",bug_conf_sheet!$A:$H,8,FALSE))</f>
        <v>1</v>
      </c>
    </row>
    <row r="181" spans="1:20" ht="21" customHeight="1">
      <c r="A181" s="7" t="str">
        <f t="shared" si="18"/>
        <v>3001133</v>
      </c>
      <c r="B181" s="2" t="str">
        <f t="shared" si="11"/>
        <v>3001</v>
      </c>
      <c r="C181" s="8" t="str">
        <f t="shared" si="17"/>
        <v>1PremiumW4</v>
      </c>
      <c r="D181" s="8" t="str">
        <f t="shared" si="10"/>
        <v>1PremiumW4</v>
      </c>
      <c r="E181" s="10">
        <v>1</v>
      </c>
      <c r="F181" s="6">
        <v>133</v>
      </c>
      <c r="G181" s="8" t="str">
        <f>VLOOKUP(F181,[1]characters!$A:$C,3,FALSE)</f>
        <v>迅雷の刀剣 ハヤト</v>
      </c>
      <c r="H181" s="8" t="str">
        <f>VLOOKUP(F181,[1]characters!$A:$J,10,FALSE)</f>
        <v>PremiumW</v>
      </c>
      <c r="I181" s="8">
        <f>VLOOKUP(F181,[1]characters!$A:$I,9,FALSE)</f>
        <v>4</v>
      </c>
      <c r="J181" s="8" t="str">
        <f>VLOOKUP(F181,[1]characters!$A:$H,8,FALSE)</f>
        <v>yellow</v>
      </c>
      <c r="K181" s="8" t="str">
        <f>VLOOKUP(F181,[1]characters!$A:$K,11,FALSE)</f>
        <v>attack</v>
      </c>
      <c r="L181" s="8" t="str">
        <f>VLOOKUP(F181,[1]characters!$A:$M,13,FALSE)</f>
        <v>human</v>
      </c>
      <c r="M181" s="65"/>
      <c r="N181" s="16">
        <f>VLOOKUP(D181,gacha_300_base!A:B,2,FALSE)</f>
        <v>2351</v>
      </c>
      <c r="O181" s="37">
        <f>IFERROR(VLOOKUP($F181,bug_conf_sheet!$A:$H,3,FALSE),VLOOKUP("other",bug_conf_sheet!$A:$H,3,FALSE))</f>
        <v>1</v>
      </c>
      <c r="P181" s="37">
        <f>IFERROR(VLOOKUP($F181,bug_conf_sheet!$A:$H,4,FALSE),VLOOKUP("other",bug_conf_sheet!$A:$H,4,FALSE))</f>
        <v>0</v>
      </c>
      <c r="Q181" s="37">
        <f>IFERROR(VLOOKUP($F181,bug_conf_sheet!$A:$H,5,FALSE),VLOOKUP("other",bug_conf_sheet!$A:$H,5,FALSE))</f>
        <v>0</v>
      </c>
      <c r="R181" s="37">
        <f>IFERROR(VLOOKUP($F181,bug_conf_sheet!$A:$H,6,FALSE),VLOOKUP("other",bug_conf_sheet!$A:$H,6,FALSE))</f>
        <v>0</v>
      </c>
      <c r="S181" s="37">
        <f>IFERROR(VLOOKUP($F181,bug_conf_sheet!$A:$H,7,FALSE),VLOOKUP("other",bug_conf_sheet!$A:$H,7,FALSE))</f>
        <v>0</v>
      </c>
      <c r="T181" s="37">
        <f>IFERROR(VLOOKUP($F181,bug_conf_sheet!$A:$H,8,FALSE),VLOOKUP("other",bug_conf_sheet!$A:$H,8,FALSE))</f>
        <v>1</v>
      </c>
    </row>
    <row r="182" spans="1:20" ht="21" customHeight="1">
      <c r="A182" s="7" t="str">
        <f t="shared" si="18"/>
        <v>3001134</v>
      </c>
      <c r="B182" s="2" t="str">
        <f t="shared" si="11"/>
        <v>3001</v>
      </c>
      <c r="C182" s="8" t="str">
        <f t="shared" si="17"/>
        <v>1PremiumW3</v>
      </c>
      <c r="D182" s="8" t="str">
        <f t="shared" si="10"/>
        <v>1PremiumW3</v>
      </c>
      <c r="E182" s="10">
        <v>1</v>
      </c>
      <c r="F182" s="6">
        <v>134</v>
      </c>
      <c r="G182" s="8" t="str">
        <f>VLOOKUP(F182,[1]characters!$A:$C,3,FALSE)</f>
        <v>妖炎の夕霧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red</v>
      </c>
      <c r="K182" s="8" t="str">
        <f>VLOOKUP(F182,[1]characters!$A:$K,11,FALSE)</f>
        <v>balance</v>
      </c>
      <c r="L182" s="8" t="str">
        <f>VLOOKUP(F182,[1]characters!$A:$M,13,FALSE)</f>
        <v>human</v>
      </c>
      <c r="M182" s="65"/>
      <c r="N182" s="16">
        <f>VLOOKUP(D182,gacha_300_base!A:B,2,FALSE)</f>
        <v>7445</v>
      </c>
      <c r="O182" s="37">
        <f>IFERROR(VLOOKUP($F182,bug_conf_sheet!$A:$H,3,FALSE),VLOOKUP("other",bug_conf_sheet!$A:$H,3,FALSE))</f>
        <v>1</v>
      </c>
      <c r="P182" s="37">
        <f>IFERROR(VLOOKUP($F182,bug_conf_sheet!$A:$H,4,FALSE),VLOOKUP("other",bug_conf_sheet!$A:$H,4,FALSE))</f>
        <v>0</v>
      </c>
      <c r="Q182" s="37">
        <f>IFERROR(VLOOKUP($F182,bug_conf_sheet!$A:$H,5,FALSE),VLOOKUP("other",bug_conf_sheet!$A:$H,5,FALSE))</f>
        <v>0</v>
      </c>
      <c r="R182" s="37">
        <f>IFERROR(VLOOKUP($F182,bug_conf_sheet!$A:$H,6,FALSE),VLOOKUP("other",bug_conf_sheet!$A:$H,6,FALSE))</f>
        <v>0</v>
      </c>
      <c r="S182" s="37">
        <f>IFERROR(VLOOKUP($F182,bug_conf_sheet!$A:$H,7,FALSE),VLOOKUP("other",bug_conf_sheet!$A:$H,7,FALSE))</f>
        <v>0</v>
      </c>
      <c r="T182" s="37">
        <f>IFERROR(VLOOKUP($F182,bug_conf_sheet!$A:$H,8,FALSE),VLOOKUP("other",bug_conf_sheet!$A:$H,8,FALSE))</f>
        <v>1</v>
      </c>
    </row>
    <row r="183" spans="1:20" ht="21" customHeight="1">
      <c r="A183" s="7" t="str">
        <f t="shared" si="18"/>
        <v>3001135</v>
      </c>
      <c r="B183" s="2" t="str">
        <f t="shared" si="11"/>
        <v>3001</v>
      </c>
      <c r="C183" s="8" t="str">
        <f t="shared" si="17"/>
        <v>1PremiumW4</v>
      </c>
      <c r="D183" s="8" t="str">
        <f t="shared" si="10"/>
        <v>1PremiumW4</v>
      </c>
      <c r="E183" s="10">
        <v>1</v>
      </c>
      <c r="F183" s="6">
        <v>135</v>
      </c>
      <c r="G183" s="8" t="str">
        <f>VLOOKUP(F183,[1]characters!$A:$C,3,FALSE)</f>
        <v>京の炎華夕霧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red</v>
      </c>
      <c r="K183" s="8" t="str">
        <f>VLOOKUP(F183,[1]characters!$A:$K,11,FALSE)</f>
        <v>balance</v>
      </c>
      <c r="L183" s="8" t="str">
        <f>VLOOKUP(F183,[1]characters!$A:$M,13,FALSE)</f>
        <v>human</v>
      </c>
      <c r="M183" s="65"/>
      <c r="N183" s="16">
        <f>VLOOKUP(D183,gacha_300_base!A:B,2,FALSE)</f>
        <v>2351</v>
      </c>
      <c r="O183" s="37">
        <f>IFERROR(VLOOKUP($F183,bug_conf_sheet!$A:$H,3,FALSE),VLOOKUP("other",bug_conf_sheet!$A:$H,3,FALSE))</f>
        <v>1</v>
      </c>
      <c r="P183" s="37">
        <f>IFERROR(VLOOKUP($F183,bug_conf_sheet!$A:$H,4,FALSE),VLOOKUP("other",bug_conf_sheet!$A:$H,4,FALSE))</f>
        <v>0</v>
      </c>
      <c r="Q183" s="37">
        <f>IFERROR(VLOOKUP($F183,bug_conf_sheet!$A:$H,5,FALSE),VLOOKUP("other",bug_conf_sheet!$A:$H,5,FALSE))</f>
        <v>0</v>
      </c>
      <c r="R183" s="37">
        <f>IFERROR(VLOOKUP($F183,bug_conf_sheet!$A:$H,6,FALSE),VLOOKUP("other",bug_conf_sheet!$A:$H,6,FALSE))</f>
        <v>0</v>
      </c>
      <c r="S183" s="37">
        <f>IFERROR(VLOOKUP($F183,bug_conf_sheet!$A:$H,7,FALSE),VLOOKUP("other",bug_conf_sheet!$A:$H,7,FALSE))</f>
        <v>0</v>
      </c>
      <c r="T183" s="37">
        <f>IFERROR(VLOOKUP($F183,bug_conf_sheet!$A:$H,8,FALSE),VLOOKUP("other",bug_conf_sheet!$A:$H,8,FALSE))</f>
        <v>1</v>
      </c>
    </row>
    <row r="184" spans="1:20" ht="21" customHeight="1">
      <c r="A184" s="7" t="str">
        <f t="shared" si="18"/>
        <v>3001136</v>
      </c>
      <c r="B184" s="2" t="str">
        <f t="shared" si="11"/>
        <v>3001</v>
      </c>
      <c r="C184" s="8" t="str">
        <f t="shared" si="17"/>
        <v>1PremiumW3</v>
      </c>
      <c r="D184" s="8" t="str">
        <f t="shared" si="10"/>
        <v>1PremiumW3</v>
      </c>
      <c r="E184" s="10">
        <v>1</v>
      </c>
      <c r="F184" s="9">
        <v>136</v>
      </c>
      <c r="G184" s="8" t="str">
        <f>VLOOKUP(F184,[1]characters!$A:$C,3,FALSE)</f>
        <v>お針子チハヤ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green</v>
      </c>
      <c r="K184" s="8" t="str">
        <f>VLOOKUP(F184,[1]characters!$A:$K,11,FALSE)</f>
        <v>balance</v>
      </c>
      <c r="L184" s="8" t="str">
        <f>VLOOKUP(F184,[1]characters!$A:$M,13,FALSE)</f>
        <v>human</v>
      </c>
      <c r="M184" s="65"/>
      <c r="N184" s="16">
        <f>VLOOKUP(D184,gacha_300_base!A:B,2,FALSE)</f>
        <v>7445</v>
      </c>
      <c r="O184" s="37">
        <f>IFERROR(VLOOKUP($F184,bug_conf_sheet!$A:$H,3,FALSE),VLOOKUP("other",bug_conf_sheet!$A:$H,3,FALSE))</f>
        <v>1</v>
      </c>
      <c r="P184" s="37">
        <f>IFERROR(VLOOKUP($F184,bug_conf_sheet!$A:$H,4,FALSE),VLOOKUP("other",bug_conf_sheet!$A:$H,4,FALSE))</f>
        <v>0</v>
      </c>
      <c r="Q184" s="37">
        <f>IFERROR(VLOOKUP($F184,bug_conf_sheet!$A:$H,5,FALSE),VLOOKUP("other",bug_conf_sheet!$A:$H,5,FALSE))</f>
        <v>0</v>
      </c>
      <c r="R184" s="37">
        <f>IFERROR(VLOOKUP($F184,bug_conf_sheet!$A:$H,6,FALSE),VLOOKUP("other",bug_conf_sheet!$A:$H,6,FALSE))</f>
        <v>0</v>
      </c>
      <c r="S184" s="37">
        <f>IFERROR(VLOOKUP($F184,bug_conf_sheet!$A:$H,7,FALSE),VLOOKUP("other",bug_conf_sheet!$A:$H,7,FALSE))</f>
        <v>0</v>
      </c>
      <c r="T184" s="37">
        <f>IFERROR(VLOOKUP($F184,bug_conf_sheet!$A:$H,8,FALSE),VLOOKUP("other",bug_conf_sheet!$A:$H,8,FALSE))</f>
        <v>1</v>
      </c>
    </row>
    <row r="185" spans="1:20" ht="21" customHeight="1">
      <c r="A185" s="7" t="str">
        <f t="shared" si="18"/>
        <v>3001137</v>
      </c>
      <c r="B185" s="2" t="str">
        <f t="shared" si="11"/>
        <v>3001</v>
      </c>
      <c r="C185" s="8" t="str">
        <f t="shared" si="17"/>
        <v>1PremiumW4</v>
      </c>
      <c r="D185" s="8" t="str">
        <f t="shared" si="10"/>
        <v>1PremiumW4</v>
      </c>
      <c r="E185" s="10">
        <v>1</v>
      </c>
      <c r="F185" s="9">
        <v>137</v>
      </c>
      <c r="G185" s="8" t="str">
        <f>VLOOKUP(F185,[1]characters!$A:$C,3,FALSE)</f>
        <v>清福の仕立屋 チハヤ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green</v>
      </c>
      <c r="K185" s="8" t="str">
        <f>VLOOKUP(F185,[1]characters!$A:$K,11,FALSE)</f>
        <v>balance</v>
      </c>
      <c r="L185" s="8" t="str">
        <f>VLOOKUP(F185,[1]characters!$A:$M,13,FALSE)</f>
        <v>human</v>
      </c>
      <c r="M185" s="65"/>
      <c r="N185" s="16">
        <f>VLOOKUP(D185,gacha_300_base!A:B,2,FALSE)</f>
        <v>2351</v>
      </c>
      <c r="O185" s="37">
        <f>IFERROR(VLOOKUP($F185,bug_conf_sheet!$A:$H,3,FALSE),VLOOKUP("other",bug_conf_sheet!$A:$H,3,FALSE))</f>
        <v>1</v>
      </c>
      <c r="P185" s="37">
        <f>IFERROR(VLOOKUP($F185,bug_conf_sheet!$A:$H,4,FALSE),VLOOKUP("other",bug_conf_sheet!$A:$H,4,FALSE))</f>
        <v>0</v>
      </c>
      <c r="Q185" s="37">
        <f>IFERROR(VLOOKUP($F185,bug_conf_sheet!$A:$H,5,FALSE),VLOOKUP("other",bug_conf_sheet!$A:$H,5,FALSE))</f>
        <v>0</v>
      </c>
      <c r="R185" s="37">
        <f>IFERROR(VLOOKUP($F185,bug_conf_sheet!$A:$H,6,FALSE),VLOOKUP("other",bug_conf_sheet!$A:$H,6,FALSE))</f>
        <v>0</v>
      </c>
      <c r="S185" s="37">
        <f>IFERROR(VLOOKUP($F185,bug_conf_sheet!$A:$H,7,FALSE),VLOOKUP("other",bug_conf_sheet!$A:$H,7,FALSE))</f>
        <v>0</v>
      </c>
      <c r="T185" s="37">
        <f>IFERROR(VLOOKUP($F185,bug_conf_sheet!$A:$H,8,FALSE),VLOOKUP("other",bug_conf_sheet!$A:$H,8,FALSE))</f>
        <v>1</v>
      </c>
    </row>
    <row r="186" spans="1:20" ht="21" customHeight="1">
      <c r="A186" s="7" t="str">
        <f t="shared" si="18"/>
        <v>3001138</v>
      </c>
      <c r="B186" s="2" t="str">
        <f t="shared" si="11"/>
        <v>3001</v>
      </c>
      <c r="C186" s="8" t="str">
        <f t="shared" si="17"/>
        <v>1PremiumW3</v>
      </c>
      <c r="D186" s="8" t="str">
        <f t="shared" si="10"/>
        <v>1PremiumW3</v>
      </c>
      <c r="E186" s="10">
        <v>1</v>
      </c>
      <c r="F186" s="6">
        <v>138</v>
      </c>
      <c r="G186" s="8" t="str">
        <f>VLOOKUP(F186,[1]characters!$A:$C,3,FALSE)</f>
        <v>蒼薙のトモエ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blue</v>
      </c>
      <c r="K186" s="8" t="str">
        <f>VLOOKUP(F186,[1]characters!$A:$K,11,FALSE)</f>
        <v>balance</v>
      </c>
      <c r="L186" s="8" t="str">
        <f>VLOOKUP(F186,[1]characters!$A:$M,13,FALSE)</f>
        <v>human</v>
      </c>
      <c r="M186" s="65"/>
      <c r="N186" s="16">
        <f>VLOOKUP(D186,gacha_300_base!A:B,2,FALSE)</f>
        <v>7445</v>
      </c>
      <c r="O186" s="37">
        <f>IFERROR(VLOOKUP($F186,bug_conf_sheet!$A:$H,3,FALSE),VLOOKUP("other",bug_conf_sheet!$A:$H,3,FALSE))</f>
        <v>1</v>
      </c>
      <c r="P186" s="37">
        <f>IFERROR(VLOOKUP($F186,bug_conf_sheet!$A:$H,4,FALSE),VLOOKUP("other",bug_conf_sheet!$A:$H,4,FALSE))</f>
        <v>0</v>
      </c>
      <c r="Q186" s="37">
        <f>IFERROR(VLOOKUP($F186,bug_conf_sheet!$A:$H,5,FALSE),VLOOKUP("other",bug_conf_sheet!$A:$H,5,FALSE))</f>
        <v>0</v>
      </c>
      <c r="R186" s="37">
        <f>IFERROR(VLOOKUP($F186,bug_conf_sheet!$A:$H,6,FALSE),VLOOKUP("other",bug_conf_sheet!$A:$H,6,FALSE))</f>
        <v>0</v>
      </c>
      <c r="S186" s="37">
        <f>IFERROR(VLOOKUP($F186,bug_conf_sheet!$A:$H,7,FALSE),VLOOKUP("other",bug_conf_sheet!$A:$H,7,FALSE))</f>
        <v>0</v>
      </c>
      <c r="T186" s="37">
        <f>IFERROR(VLOOKUP($F186,bug_conf_sheet!$A:$H,8,FALSE),VLOOKUP("other",bug_conf_sheet!$A:$H,8,FALSE))</f>
        <v>1</v>
      </c>
    </row>
    <row r="187" spans="1:20" ht="21" customHeight="1">
      <c r="A187" s="7" t="str">
        <f t="shared" si="18"/>
        <v>3001139</v>
      </c>
      <c r="B187" s="2" t="str">
        <f t="shared" si="11"/>
        <v>3001</v>
      </c>
      <c r="C187" s="8" t="str">
        <f t="shared" si="17"/>
        <v>1PremiumW4</v>
      </c>
      <c r="D187" s="8" t="str">
        <f t="shared" si="10"/>
        <v>1PremiumW4</v>
      </c>
      <c r="E187" s="10">
        <v>1</v>
      </c>
      <c r="F187" s="6">
        <v>139</v>
      </c>
      <c r="G187" s="8" t="str">
        <f>VLOOKUP(F187,[1]characters!$A:$C,3,FALSE)</f>
        <v>蒼昇刃姫 トモエ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balance</v>
      </c>
      <c r="L187" s="8" t="str">
        <f>VLOOKUP(F187,[1]characters!$A:$M,13,FALSE)</f>
        <v>human</v>
      </c>
      <c r="M187" s="65"/>
      <c r="N187" s="16">
        <f>VLOOKUP(D187,gacha_300_base!A:B,2,FALSE)</f>
        <v>2351</v>
      </c>
      <c r="O187" s="37">
        <f>IFERROR(VLOOKUP($F187,bug_conf_sheet!$A:$H,3,FALSE),VLOOKUP("other",bug_conf_sheet!$A:$H,3,FALSE))</f>
        <v>1</v>
      </c>
      <c r="P187" s="37">
        <f>IFERROR(VLOOKUP($F187,bug_conf_sheet!$A:$H,4,FALSE),VLOOKUP("other",bug_conf_sheet!$A:$H,4,FALSE))</f>
        <v>0</v>
      </c>
      <c r="Q187" s="37">
        <f>IFERROR(VLOOKUP($F187,bug_conf_sheet!$A:$H,5,FALSE),VLOOKUP("other",bug_conf_sheet!$A:$H,5,FALSE))</f>
        <v>0</v>
      </c>
      <c r="R187" s="37">
        <f>IFERROR(VLOOKUP($F187,bug_conf_sheet!$A:$H,6,FALSE),VLOOKUP("other",bug_conf_sheet!$A:$H,6,FALSE))</f>
        <v>0</v>
      </c>
      <c r="S187" s="37">
        <f>IFERROR(VLOOKUP($F187,bug_conf_sheet!$A:$H,7,FALSE),VLOOKUP("other",bug_conf_sheet!$A:$H,7,FALSE))</f>
        <v>0</v>
      </c>
      <c r="T187" s="37">
        <f>IFERROR(VLOOKUP($F187,bug_conf_sheet!$A:$H,8,FALSE),VLOOKUP("other",bug_conf_sheet!$A:$H,8,FALSE))</f>
        <v>1</v>
      </c>
    </row>
    <row r="188" spans="1:20" ht="21" customHeight="1">
      <c r="A188" s="7" t="str">
        <f t="shared" si="18"/>
        <v>3001140</v>
      </c>
      <c r="B188" s="2" t="str">
        <f t="shared" si="11"/>
        <v>3001</v>
      </c>
      <c r="C188" s="8" t="str">
        <f t="shared" si="17"/>
        <v>1PremiumW3</v>
      </c>
      <c r="D188" s="8" t="str">
        <f t="shared" si="10"/>
        <v>1PremiumW3</v>
      </c>
      <c r="E188" s="10">
        <v>1</v>
      </c>
      <c r="F188" s="12">
        <v>140</v>
      </c>
      <c r="G188" s="8" t="str">
        <f>VLOOKUP(F188,[1]characters!$A:$C,3,FALSE)</f>
        <v>秋祭のタマモ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yellow</v>
      </c>
      <c r="K188" s="8" t="str">
        <f>VLOOKUP(F188,[1]characters!$A:$K,11,FALSE)</f>
        <v>balance</v>
      </c>
      <c r="L188" s="8" t="str">
        <f>VLOOKUP(F188,[1]characters!$A:$M,13,FALSE)</f>
        <v>animal</v>
      </c>
      <c r="M188" s="65"/>
      <c r="N188" s="16">
        <f>VLOOKUP(D188,gacha_300_base!A:B,2,FALSE)</f>
        <v>7445</v>
      </c>
      <c r="O188" s="37">
        <f>IFERROR(VLOOKUP($F188,bug_conf_sheet!$A:$H,3,FALSE),VLOOKUP("other",bug_conf_sheet!$A:$H,3,FALSE))</f>
        <v>1</v>
      </c>
      <c r="P188" s="37">
        <f>IFERROR(VLOOKUP($F188,bug_conf_sheet!$A:$H,4,FALSE),VLOOKUP("other",bug_conf_sheet!$A:$H,4,FALSE))</f>
        <v>0</v>
      </c>
      <c r="Q188" s="37">
        <f>IFERROR(VLOOKUP($F188,bug_conf_sheet!$A:$H,5,FALSE),VLOOKUP("other",bug_conf_sheet!$A:$H,5,FALSE))</f>
        <v>0</v>
      </c>
      <c r="R188" s="37">
        <f>IFERROR(VLOOKUP($F188,bug_conf_sheet!$A:$H,6,FALSE),VLOOKUP("other",bug_conf_sheet!$A:$H,6,FALSE))</f>
        <v>0</v>
      </c>
      <c r="S188" s="37">
        <f>IFERROR(VLOOKUP($F188,bug_conf_sheet!$A:$H,7,FALSE),VLOOKUP("other",bug_conf_sheet!$A:$H,7,FALSE))</f>
        <v>0</v>
      </c>
      <c r="T188" s="37">
        <f>IFERROR(VLOOKUP($F188,bug_conf_sheet!$A:$H,8,FALSE),VLOOKUP("other",bug_conf_sheet!$A:$H,8,FALSE))</f>
        <v>1</v>
      </c>
    </row>
    <row r="189" spans="1:20" ht="21" customHeight="1">
      <c r="A189" s="7" t="str">
        <f t="shared" si="18"/>
        <v>3001141</v>
      </c>
      <c r="B189" s="2" t="str">
        <f t="shared" si="11"/>
        <v>3001</v>
      </c>
      <c r="C189" s="8" t="str">
        <f t="shared" si="17"/>
        <v>1PremiumW4</v>
      </c>
      <c r="D189" s="8" t="str">
        <f t="shared" si="10"/>
        <v>1PremiumW4</v>
      </c>
      <c r="E189" s="10">
        <v>1</v>
      </c>
      <c r="F189" s="13">
        <v>141</v>
      </c>
      <c r="G189" s="8" t="str">
        <f>VLOOKUP(F189,[1]characters!$A:$C,3,FALSE)</f>
        <v>妖狐演舞 タマモ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balance</v>
      </c>
      <c r="L189" s="8" t="str">
        <f>VLOOKUP(F189,[1]characters!$A:$M,13,FALSE)</f>
        <v>animal</v>
      </c>
      <c r="M189" s="65"/>
      <c r="N189" s="16">
        <f>VLOOKUP(D189,gacha_300_base!A:B,2,FALSE)</f>
        <v>2351</v>
      </c>
      <c r="O189" s="37">
        <f>IFERROR(VLOOKUP($F189,bug_conf_sheet!$A:$H,3,FALSE),VLOOKUP("other",bug_conf_sheet!$A:$H,3,FALSE))</f>
        <v>1</v>
      </c>
      <c r="P189" s="37">
        <f>IFERROR(VLOOKUP($F189,bug_conf_sheet!$A:$H,4,FALSE),VLOOKUP("other",bug_conf_sheet!$A:$H,4,FALSE))</f>
        <v>0</v>
      </c>
      <c r="Q189" s="37">
        <f>IFERROR(VLOOKUP($F189,bug_conf_sheet!$A:$H,5,FALSE),VLOOKUP("other",bug_conf_sheet!$A:$H,5,FALSE))</f>
        <v>0</v>
      </c>
      <c r="R189" s="37">
        <f>IFERROR(VLOOKUP($F189,bug_conf_sheet!$A:$H,6,FALSE),VLOOKUP("other",bug_conf_sheet!$A:$H,6,FALSE))</f>
        <v>0</v>
      </c>
      <c r="S189" s="37">
        <f>IFERROR(VLOOKUP($F189,bug_conf_sheet!$A:$H,7,FALSE),VLOOKUP("other",bug_conf_sheet!$A:$H,7,FALSE))</f>
        <v>0</v>
      </c>
      <c r="T189" s="37">
        <f>IFERROR(VLOOKUP($F189,bug_conf_sheet!$A:$H,8,FALSE),VLOOKUP("other",bug_conf_sheet!$A:$H,8,FALSE))</f>
        <v>1</v>
      </c>
    </row>
    <row r="190" spans="1:20" ht="21" customHeight="1">
      <c r="A190" s="7" t="str">
        <f t="shared" si="18"/>
        <v>3001142</v>
      </c>
      <c r="B190" s="2" t="str">
        <f t="shared" si="11"/>
        <v>3001</v>
      </c>
      <c r="C190" s="8" t="str">
        <f t="shared" si="17"/>
        <v>1PremiumW3</v>
      </c>
      <c r="D190" s="8" t="str">
        <f t="shared" si="10"/>
        <v>1PremiumW3</v>
      </c>
      <c r="E190" s="10">
        <v>1</v>
      </c>
      <c r="F190" s="6">
        <v>142</v>
      </c>
      <c r="G190" s="8" t="str">
        <f>VLOOKUP(F190,[1]characters!$A:$C,3,FALSE)</f>
        <v>赤ずきん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red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65"/>
      <c r="N190" s="16">
        <f>VLOOKUP(D190,gacha_300_base!A:B,2,FALSE)</f>
        <v>7445</v>
      </c>
      <c r="O190" s="37">
        <f>IFERROR(VLOOKUP($F190,bug_conf_sheet!$A:$H,3,FALSE),VLOOKUP("other",bug_conf_sheet!$A:$H,3,FALSE))</f>
        <v>1</v>
      </c>
      <c r="P190" s="37">
        <f>IFERROR(VLOOKUP($F190,bug_conf_sheet!$A:$H,4,FALSE),VLOOKUP("other",bug_conf_sheet!$A:$H,4,FALSE))</f>
        <v>0</v>
      </c>
      <c r="Q190" s="37">
        <f>IFERROR(VLOOKUP($F190,bug_conf_sheet!$A:$H,5,FALSE),VLOOKUP("other",bug_conf_sheet!$A:$H,5,FALSE))</f>
        <v>0</v>
      </c>
      <c r="R190" s="37">
        <f>IFERROR(VLOOKUP($F190,bug_conf_sheet!$A:$H,6,FALSE),VLOOKUP("other",bug_conf_sheet!$A:$H,6,FALSE))</f>
        <v>0</v>
      </c>
      <c r="S190" s="37">
        <f>IFERROR(VLOOKUP($F190,bug_conf_sheet!$A:$H,7,FALSE),VLOOKUP("other",bug_conf_sheet!$A:$H,7,FALSE))</f>
        <v>0</v>
      </c>
      <c r="T190" s="37">
        <f>IFERROR(VLOOKUP($F190,bug_conf_sheet!$A:$H,8,FALSE),VLOOKUP("other",bug_conf_sheet!$A:$H,8,FALSE))</f>
        <v>1</v>
      </c>
    </row>
    <row r="191" spans="1:20" s="14" customFormat="1" ht="21" customHeight="1" thickBot="1">
      <c r="A191" s="7" t="str">
        <f t="shared" si="18"/>
        <v>3001143</v>
      </c>
      <c r="B191" s="2" t="str">
        <f t="shared" si="11"/>
        <v>3001</v>
      </c>
      <c r="C191" s="8" t="str">
        <f t="shared" si="17"/>
        <v>1PremiumW4</v>
      </c>
      <c r="D191" s="8" t="str">
        <f t="shared" si="10"/>
        <v>1PremiumW4</v>
      </c>
      <c r="E191" s="10">
        <v>1</v>
      </c>
      <c r="F191" s="6">
        <v>143</v>
      </c>
      <c r="G191" s="8" t="str">
        <f>VLOOKUP(F191,[1]characters!$A:$C,3,FALSE)</f>
        <v>深紅の死神 赤ずきん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red</v>
      </c>
      <c r="K191" s="8" t="str">
        <f>VLOOKUP(F191,[1]characters!$A:$K,11,FALSE)</f>
        <v>balance</v>
      </c>
      <c r="L191" s="8" t="str">
        <f>VLOOKUP(F191,[1]characters!$A:$M,13,FALSE)</f>
        <v>human</v>
      </c>
      <c r="M191" s="65"/>
      <c r="N191" s="16">
        <f>VLOOKUP(D191,gacha_300_base!A:B,2,FALSE)</f>
        <v>2351</v>
      </c>
      <c r="O191" s="37">
        <f>IFERROR(VLOOKUP($F191,bug_conf_sheet!$A:$H,3,FALSE),VLOOKUP("other",bug_conf_sheet!$A:$H,3,FALSE))</f>
        <v>1</v>
      </c>
      <c r="P191" s="37">
        <f>IFERROR(VLOOKUP($F191,bug_conf_sheet!$A:$H,4,FALSE),VLOOKUP("other",bug_conf_sheet!$A:$H,4,FALSE))</f>
        <v>0</v>
      </c>
      <c r="Q191" s="37">
        <f>IFERROR(VLOOKUP($F191,bug_conf_sheet!$A:$H,5,FALSE),VLOOKUP("other",bug_conf_sheet!$A:$H,5,FALSE))</f>
        <v>0</v>
      </c>
      <c r="R191" s="37">
        <f>IFERROR(VLOOKUP($F191,bug_conf_sheet!$A:$H,6,FALSE),VLOOKUP("other",bug_conf_sheet!$A:$H,6,FALSE))</f>
        <v>0</v>
      </c>
      <c r="S191" s="37">
        <f>IFERROR(VLOOKUP($F191,bug_conf_sheet!$A:$H,7,FALSE),VLOOKUP("other",bug_conf_sheet!$A:$H,7,FALSE))</f>
        <v>0</v>
      </c>
      <c r="T191" s="37">
        <f>IFERROR(VLOOKUP($F191,bug_conf_sheet!$A:$H,8,FALSE),VLOOKUP("other",bug_conf_sheet!$A:$H,8,FALSE))</f>
        <v>1</v>
      </c>
    </row>
    <row r="192" spans="1:20" ht="21" customHeight="1">
      <c r="A192" s="7" t="str">
        <f t="shared" si="18"/>
        <v>3001144</v>
      </c>
      <c r="B192" s="2" t="str">
        <f t="shared" si="11"/>
        <v>3001</v>
      </c>
      <c r="C192" s="8" t="str">
        <f t="shared" si="17"/>
        <v>1PremiumW3</v>
      </c>
      <c r="D192" s="8" t="str">
        <f t="shared" si="10"/>
        <v>1PremiumW3</v>
      </c>
      <c r="E192" s="10">
        <v>1</v>
      </c>
      <c r="F192" s="12">
        <v>144</v>
      </c>
      <c r="G192" s="8" t="str">
        <f>VLOOKUP(F192,[1]characters!$A:$C,3,FALSE)</f>
        <v>かぐや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green</v>
      </c>
      <c r="K192" s="8" t="str">
        <f>VLOOKUP(F192,[1]characters!$A:$K,11,FALSE)</f>
        <v>hp</v>
      </c>
      <c r="L192" s="8" t="str">
        <f>VLOOKUP(F192,[1]characters!$A:$M,13,FALSE)</f>
        <v>human</v>
      </c>
      <c r="M192" s="65"/>
      <c r="N192" s="16">
        <f>VLOOKUP(D192,gacha_300_base!A:B,2,FALSE)</f>
        <v>7445</v>
      </c>
      <c r="O192" s="37">
        <f>IFERROR(VLOOKUP($F192,bug_conf_sheet!$A:$H,3,FALSE),VLOOKUP("other",bug_conf_sheet!$A:$H,3,FALSE))</f>
        <v>1</v>
      </c>
      <c r="P192" s="37">
        <f>IFERROR(VLOOKUP($F192,bug_conf_sheet!$A:$H,4,FALSE),VLOOKUP("other",bug_conf_sheet!$A:$H,4,FALSE))</f>
        <v>0</v>
      </c>
      <c r="Q192" s="37">
        <f>IFERROR(VLOOKUP($F192,bug_conf_sheet!$A:$H,5,FALSE),VLOOKUP("other",bug_conf_sheet!$A:$H,5,FALSE))</f>
        <v>0</v>
      </c>
      <c r="R192" s="37">
        <f>IFERROR(VLOOKUP($F192,bug_conf_sheet!$A:$H,6,FALSE),VLOOKUP("other",bug_conf_sheet!$A:$H,6,FALSE))</f>
        <v>0</v>
      </c>
      <c r="S192" s="37">
        <f>IFERROR(VLOOKUP($F192,bug_conf_sheet!$A:$H,7,FALSE),VLOOKUP("other",bug_conf_sheet!$A:$H,7,FALSE))</f>
        <v>0</v>
      </c>
      <c r="T192" s="37">
        <f>IFERROR(VLOOKUP($F192,bug_conf_sheet!$A:$H,8,FALSE),VLOOKUP("other",bug_conf_sheet!$A:$H,8,FALSE))</f>
        <v>1</v>
      </c>
    </row>
    <row r="193" spans="1:20" ht="21" customHeight="1">
      <c r="A193" s="7" t="str">
        <f t="shared" si="18"/>
        <v>3001145</v>
      </c>
      <c r="B193" s="2" t="str">
        <f t="shared" si="11"/>
        <v>3001</v>
      </c>
      <c r="C193" s="8" t="str">
        <f t="shared" si="17"/>
        <v>1PremiumW4</v>
      </c>
      <c r="D193" s="8" t="str">
        <f t="shared" si="10"/>
        <v>1PremiumW4</v>
      </c>
      <c r="E193" s="10">
        <v>1</v>
      </c>
      <c r="F193" s="6">
        <v>145</v>
      </c>
      <c r="G193" s="8" t="str">
        <f>VLOOKUP(F193,[1]characters!$A:$C,3,FALSE)</f>
        <v>魔性妖艶 かぐや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green</v>
      </c>
      <c r="K193" s="8" t="str">
        <f>VLOOKUP(F193,[1]characters!$A:$K,11,FALSE)</f>
        <v>hp</v>
      </c>
      <c r="L193" s="8" t="str">
        <f>VLOOKUP(F193,[1]characters!$A:$M,13,FALSE)</f>
        <v>human</v>
      </c>
      <c r="M193" s="65"/>
      <c r="N193" s="16">
        <f>VLOOKUP(D193,gacha_300_base!A:B,2,FALSE)</f>
        <v>2351</v>
      </c>
      <c r="O193" s="37">
        <f>IFERROR(VLOOKUP($F193,bug_conf_sheet!$A:$H,3,FALSE),VLOOKUP("other",bug_conf_sheet!$A:$H,3,FALSE))</f>
        <v>1</v>
      </c>
      <c r="P193" s="37">
        <f>IFERROR(VLOOKUP($F193,bug_conf_sheet!$A:$H,4,FALSE),VLOOKUP("other",bug_conf_sheet!$A:$H,4,FALSE))</f>
        <v>0</v>
      </c>
      <c r="Q193" s="37">
        <f>IFERROR(VLOOKUP($F193,bug_conf_sheet!$A:$H,5,FALSE),VLOOKUP("other",bug_conf_sheet!$A:$H,5,FALSE))</f>
        <v>0</v>
      </c>
      <c r="R193" s="37">
        <f>IFERROR(VLOOKUP($F193,bug_conf_sheet!$A:$H,6,FALSE),VLOOKUP("other",bug_conf_sheet!$A:$H,6,FALSE))</f>
        <v>0</v>
      </c>
      <c r="S193" s="37">
        <f>IFERROR(VLOOKUP($F193,bug_conf_sheet!$A:$H,7,FALSE),VLOOKUP("other",bug_conf_sheet!$A:$H,7,FALSE))</f>
        <v>0</v>
      </c>
      <c r="T193" s="37">
        <f>IFERROR(VLOOKUP($F193,bug_conf_sheet!$A:$H,8,FALSE),VLOOKUP("other",bug_conf_sheet!$A:$H,8,FALSE))</f>
        <v>1</v>
      </c>
    </row>
    <row r="194" spans="1:20" ht="21" customHeight="1">
      <c r="A194" s="7" t="str">
        <f t="shared" si="18"/>
        <v>3001146</v>
      </c>
      <c r="B194" s="2" t="str">
        <f t="shared" si="11"/>
        <v>3001</v>
      </c>
      <c r="C194" s="8" t="str">
        <f t="shared" si="17"/>
        <v>1PremiumW3</v>
      </c>
      <c r="D194" s="8" t="str">
        <f t="shared" ref="D194:D257" si="19">E194&amp;H194&amp;I194</f>
        <v>1PremiumW3</v>
      </c>
      <c r="E194" s="10">
        <v>1</v>
      </c>
      <c r="F194" s="6">
        <v>146</v>
      </c>
      <c r="G194" s="8" t="str">
        <f>VLOOKUP(F194,[1]characters!$A:$C,3,FALSE)</f>
        <v>マーメイド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blue</v>
      </c>
      <c r="K194" s="8" t="str">
        <f>VLOOKUP(F194,[1]characters!$A:$K,11,FALSE)</f>
        <v>hp</v>
      </c>
      <c r="L194" s="8" t="str">
        <f>VLOOKUP(F194,[1]characters!$A:$M,13,FALSE)</f>
        <v>human</v>
      </c>
      <c r="M194" s="65"/>
      <c r="N194" s="16">
        <f>VLOOKUP(D194,gacha_300_base!A:B,2,FALSE)</f>
        <v>7445</v>
      </c>
      <c r="O194" s="37">
        <f>IFERROR(VLOOKUP($F194,bug_conf_sheet!$A:$H,3,FALSE),VLOOKUP("other",bug_conf_sheet!$A:$H,3,FALSE))</f>
        <v>1</v>
      </c>
      <c r="P194" s="37">
        <f>IFERROR(VLOOKUP($F194,bug_conf_sheet!$A:$H,4,FALSE),VLOOKUP("other",bug_conf_sheet!$A:$H,4,FALSE))</f>
        <v>0</v>
      </c>
      <c r="Q194" s="37">
        <f>IFERROR(VLOOKUP($F194,bug_conf_sheet!$A:$H,5,FALSE),VLOOKUP("other",bug_conf_sheet!$A:$H,5,FALSE))</f>
        <v>0</v>
      </c>
      <c r="R194" s="37">
        <f>IFERROR(VLOOKUP($F194,bug_conf_sheet!$A:$H,6,FALSE),VLOOKUP("other",bug_conf_sheet!$A:$H,6,FALSE))</f>
        <v>0</v>
      </c>
      <c r="S194" s="37">
        <f>IFERROR(VLOOKUP($F194,bug_conf_sheet!$A:$H,7,FALSE),VLOOKUP("other",bug_conf_sheet!$A:$H,7,FALSE))</f>
        <v>0</v>
      </c>
      <c r="T194" s="37">
        <f>IFERROR(VLOOKUP($F194,bug_conf_sheet!$A:$H,8,FALSE),VLOOKUP("other",bug_conf_sheet!$A:$H,8,FALSE))</f>
        <v>1</v>
      </c>
    </row>
    <row r="195" spans="1:20" ht="21" customHeight="1">
      <c r="A195" s="7" t="str">
        <f t="shared" si="18"/>
        <v>3001147</v>
      </c>
      <c r="B195" s="2" t="str">
        <f t="shared" ref="B195:B258" si="20">300&amp;E195</f>
        <v>3001</v>
      </c>
      <c r="C195" s="8" t="str">
        <f t="shared" si="17"/>
        <v>1PremiumW4</v>
      </c>
      <c r="D195" s="8" t="str">
        <f t="shared" si="19"/>
        <v>1PremiumW4</v>
      </c>
      <c r="E195" s="10">
        <v>1</v>
      </c>
      <c r="F195" s="6">
        <v>147</v>
      </c>
      <c r="G195" s="8" t="str">
        <f>VLOOKUP(F195,[1]characters!$A:$C,3,FALSE)</f>
        <v>蒼き閃光 元マーメイド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blue</v>
      </c>
      <c r="K195" s="8" t="str">
        <f>VLOOKUP(F195,[1]characters!$A:$K,11,FALSE)</f>
        <v>hp</v>
      </c>
      <c r="L195" s="8" t="str">
        <f>VLOOKUP(F195,[1]characters!$A:$M,13,FALSE)</f>
        <v>human</v>
      </c>
      <c r="M195" s="65"/>
      <c r="N195" s="16">
        <f>VLOOKUP(D195,gacha_300_base!A:B,2,FALSE)</f>
        <v>2351</v>
      </c>
      <c r="O195" s="37">
        <f>IFERROR(VLOOKUP($F195,bug_conf_sheet!$A:$H,3,FALSE),VLOOKUP("other",bug_conf_sheet!$A:$H,3,FALSE))</f>
        <v>1</v>
      </c>
      <c r="P195" s="37">
        <f>IFERROR(VLOOKUP($F195,bug_conf_sheet!$A:$H,4,FALSE),VLOOKUP("other",bug_conf_sheet!$A:$H,4,FALSE))</f>
        <v>0</v>
      </c>
      <c r="Q195" s="37">
        <f>IFERROR(VLOOKUP($F195,bug_conf_sheet!$A:$H,5,FALSE),VLOOKUP("other",bug_conf_sheet!$A:$H,5,FALSE))</f>
        <v>0</v>
      </c>
      <c r="R195" s="37">
        <f>IFERROR(VLOOKUP($F195,bug_conf_sheet!$A:$H,6,FALSE),VLOOKUP("other",bug_conf_sheet!$A:$H,6,FALSE))</f>
        <v>0</v>
      </c>
      <c r="S195" s="37">
        <f>IFERROR(VLOOKUP($F195,bug_conf_sheet!$A:$H,7,FALSE),VLOOKUP("other",bug_conf_sheet!$A:$H,7,FALSE))</f>
        <v>0</v>
      </c>
      <c r="T195" s="37">
        <f>IFERROR(VLOOKUP($F195,bug_conf_sheet!$A:$H,8,FALSE),VLOOKUP("other",bug_conf_sheet!$A:$H,8,FALSE))</f>
        <v>1</v>
      </c>
    </row>
    <row r="196" spans="1:20" ht="21" customHeight="1">
      <c r="A196" s="7" t="str">
        <f t="shared" si="18"/>
        <v>3001148</v>
      </c>
      <c r="B196" s="2" t="str">
        <f t="shared" si="20"/>
        <v>3001</v>
      </c>
      <c r="C196" s="8" t="str">
        <f t="shared" si="17"/>
        <v>1PremiumW3</v>
      </c>
      <c r="D196" s="8" t="str">
        <f t="shared" si="19"/>
        <v>1PremiumW3</v>
      </c>
      <c r="E196" s="10">
        <v>1</v>
      </c>
      <c r="F196" s="6">
        <v>148</v>
      </c>
      <c r="G196" s="8" t="str">
        <f>VLOOKUP(F196,[1]characters!$A:$C,3,FALSE)</f>
        <v>シンデレラ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yellow</v>
      </c>
      <c r="K196" s="8" t="str">
        <f>VLOOKUP(F196,[1]characters!$A:$K,11,FALSE)</f>
        <v>balance</v>
      </c>
      <c r="L196" s="8" t="str">
        <f>VLOOKUP(F196,[1]characters!$A:$M,13,FALSE)</f>
        <v>human</v>
      </c>
      <c r="M196" s="65"/>
      <c r="N196" s="16">
        <f>VLOOKUP(D196,gacha_300_base!A:B,2,FALSE)</f>
        <v>7445</v>
      </c>
      <c r="O196" s="37">
        <f>IFERROR(VLOOKUP($F196,bug_conf_sheet!$A:$H,3,FALSE),VLOOKUP("other",bug_conf_sheet!$A:$H,3,FALSE))</f>
        <v>1</v>
      </c>
      <c r="P196" s="37">
        <f>IFERROR(VLOOKUP($F196,bug_conf_sheet!$A:$H,4,FALSE),VLOOKUP("other",bug_conf_sheet!$A:$H,4,FALSE))</f>
        <v>0</v>
      </c>
      <c r="Q196" s="37">
        <f>IFERROR(VLOOKUP($F196,bug_conf_sheet!$A:$H,5,FALSE),VLOOKUP("other",bug_conf_sheet!$A:$H,5,FALSE))</f>
        <v>0</v>
      </c>
      <c r="R196" s="37">
        <f>IFERROR(VLOOKUP($F196,bug_conf_sheet!$A:$H,6,FALSE),VLOOKUP("other",bug_conf_sheet!$A:$H,6,FALSE))</f>
        <v>0</v>
      </c>
      <c r="S196" s="37">
        <f>IFERROR(VLOOKUP($F196,bug_conf_sheet!$A:$H,7,FALSE),VLOOKUP("other",bug_conf_sheet!$A:$H,7,FALSE))</f>
        <v>0</v>
      </c>
      <c r="T196" s="37">
        <f>IFERROR(VLOOKUP($F196,bug_conf_sheet!$A:$H,8,FALSE),VLOOKUP("other",bug_conf_sheet!$A:$H,8,FALSE))</f>
        <v>1</v>
      </c>
    </row>
    <row r="197" spans="1:20" ht="21" customHeight="1">
      <c r="A197" s="7" t="str">
        <f t="shared" si="18"/>
        <v>3001149</v>
      </c>
      <c r="B197" s="2" t="str">
        <f t="shared" si="20"/>
        <v>3001</v>
      </c>
      <c r="C197" s="8" t="str">
        <f t="shared" si="17"/>
        <v>1PremiumW4</v>
      </c>
      <c r="D197" s="8" t="str">
        <f t="shared" si="19"/>
        <v>1PremiumW4</v>
      </c>
      <c r="E197" s="10">
        <v>1</v>
      </c>
      <c r="F197" s="6">
        <v>149</v>
      </c>
      <c r="G197" s="8" t="str">
        <f>VLOOKUP(F197,[1]characters!$A:$C,3,FALSE)</f>
        <v>雷撃蹴技を極めし者 シンデレラ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yellow</v>
      </c>
      <c r="K197" s="8" t="str">
        <f>VLOOKUP(F197,[1]characters!$A:$K,11,FALSE)</f>
        <v>balance</v>
      </c>
      <c r="L197" s="8" t="str">
        <f>VLOOKUP(F197,[1]characters!$A:$M,13,FALSE)</f>
        <v>human</v>
      </c>
      <c r="M197" s="65"/>
      <c r="N197" s="16">
        <f>VLOOKUP(D197,gacha_300_base!A:B,2,FALSE)</f>
        <v>2351</v>
      </c>
      <c r="O197" s="37">
        <f>IFERROR(VLOOKUP($F197,bug_conf_sheet!$A:$H,3,FALSE),VLOOKUP("other",bug_conf_sheet!$A:$H,3,FALSE))</f>
        <v>1</v>
      </c>
      <c r="P197" s="37">
        <f>IFERROR(VLOOKUP($F197,bug_conf_sheet!$A:$H,4,FALSE),VLOOKUP("other",bug_conf_sheet!$A:$H,4,FALSE))</f>
        <v>0</v>
      </c>
      <c r="Q197" s="37">
        <f>IFERROR(VLOOKUP($F197,bug_conf_sheet!$A:$H,5,FALSE),VLOOKUP("other",bug_conf_sheet!$A:$H,5,FALSE))</f>
        <v>0</v>
      </c>
      <c r="R197" s="37">
        <f>IFERROR(VLOOKUP($F197,bug_conf_sheet!$A:$H,6,FALSE),VLOOKUP("other",bug_conf_sheet!$A:$H,6,FALSE))</f>
        <v>0</v>
      </c>
      <c r="S197" s="37">
        <f>IFERROR(VLOOKUP($F197,bug_conf_sheet!$A:$H,7,FALSE),VLOOKUP("other",bug_conf_sheet!$A:$H,7,FALSE))</f>
        <v>0</v>
      </c>
      <c r="T197" s="37">
        <f>IFERROR(VLOOKUP($F197,bug_conf_sheet!$A:$H,8,FALSE),VLOOKUP("other",bug_conf_sheet!$A:$H,8,FALSE))</f>
        <v>1</v>
      </c>
    </row>
    <row r="198" spans="1:20" ht="21" customHeight="1">
      <c r="A198" s="7" t="str">
        <f t="shared" si="18"/>
        <v>3001150</v>
      </c>
      <c r="B198" s="2" t="str">
        <f t="shared" si="20"/>
        <v>3001</v>
      </c>
      <c r="C198" s="8" t="str">
        <f t="shared" si="17"/>
        <v>1PremiumW3</v>
      </c>
      <c r="D198" s="8" t="str">
        <f t="shared" si="19"/>
        <v>1PremiumW3</v>
      </c>
      <c r="E198" s="10">
        <v>1</v>
      </c>
      <c r="F198" s="6">
        <v>150</v>
      </c>
      <c r="G198" s="8" t="str">
        <f>VLOOKUP(F198,[1]characters!$A:$C,3,FALSE)</f>
        <v>ポイズンマスターサキ</v>
      </c>
      <c r="H198" s="8" t="str">
        <f>VLOOKUP(F198,[1]characters!$A:$J,10,FALSE)</f>
        <v>PremiumW</v>
      </c>
      <c r="I198" s="8">
        <f>VLOOKUP(F198,[1]characters!$A:$I,9,FALSE)</f>
        <v>3</v>
      </c>
      <c r="J198" s="8" t="str">
        <f>VLOOKUP(F198,[1]characters!$A:$H,8,FALSE)</f>
        <v>red</v>
      </c>
      <c r="K198" s="8" t="str">
        <f>VLOOKUP(F198,[1]characters!$A:$K,11,FALSE)</f>
        <v>technical</v>
      </c>
      <c r="L198" s="8" t="str">
        <f>VLOOKUP(F198,[1]characters!$A:$M,13,FALSE)</f>
        <v>human</v>
      </c>
      <c r="M198" s="65"/>
      <c r="N198" s="16">
        <f>VLOOKUP(D198,gacha_300_base!A:B,2,FALSE)</f>
        <v>7445</v>
      </c>
      <c r="O198" s="37">
        <f>IFERROR(VLOOKUP($F198,bug_conf_sheet!$A:$H,3,FALSE),VLOOKUP("other",bug_conf_sheet!$A:$H,3,FALSE))</f>
        <v>1</v>
      </c>
      <c r="P198" s="37">
        <f>IFERROR(VLOOKUP($F198,bug_conf_sheet!$A:$H,4,FALSE),VLOOKUP("other",bug_conf_sheet!$A:$H,4,FALSE))</f>
        <v>0</v>
      </c>
      <c r="Q198" s="37">
        <f>IFERROR(VLOOKUP($F198,bug_conf_sheet!$A:$H,5,FALSE),VLOOKUP("other",bug_conf_sheet!$A:$H,5,FALSE))</f>
        <v>0</v>
      </c>
      <c r="R198" s="37">
        <f>IFERROR(VLOOKUP($F198,bug_conf_sheet!$A:$H,6,FALSE),VLOOKUP("other",bug_conf_sheet!$A:$H,6,FALSE))</f>
        <v>0</v>
      </c>
      <c r="S198" s="37">
        <f>IFERROR(VLOOKUP($F198,bug_conf_sheet!$A:$H,7,FALSE),VLOOKUP("other",bug_conf_sheet!$A:$H,7,FALSE))</f>
        <v>0</v>
      </c>
      <c r="T198" s="37">
        <f>IFERROR(VLOOKUP($F198,bug_conf_sheet!$A:$H,8,FALSE),VLOOKUP("other",bug_conf_sheet!$A:$H,8,FALSE))</f>
        <v>1</v>
      </c>
    </row>
    <row r="199" spans="1:20" ht="21" customHeight="1">
      <c r="A199" s="7" t="str">
        <f t="shared" si="18"/>
        <v>3001151</v>
      </c>
      <c r="B199" s="2" t="str">
        <f t="shared" si="20"/>
        <v>3001</v>
      </c>
      <c r="C199" s="8" t="str">
        <f t="shared" si="17"/>
        <v>1PremiumW4</v>
      </c>
      <c r="D199" s="8" t="str">
        <f t="shared" si="19"/>
        <v>1PremiumW4</v>
      </c>
      <c r="E199" s="10">
        <v>1</v>
      </c>
      <c r="F199" s="6">
        <v>151</v>
      </c>
      <c r="G199" s="8" t="str">
        <f>VLOOKUP(F199,[1]characters!$A:$C,3,FALSE)</f>
        <v>毒煙の処刑人サキ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red</v>
      </c>
      <c r="K199" s="8" t="str">
        <f>VLOOKUP(F199,[1]characters!$A:$K,11,FALSE)</f>
        <v>technical</v>
      </c>
      <c r="L199" s="8" t="str">
        <f>VLOOKUP(F199,[1]characters!$A:$M,13,FALSE)</f>
        <v>human</v>
      </c>
      <c r="M199" s="65"/>
      <c r="N199" s="16">
        <f>VLOOKUP(D199,gacha_300_base!A:B,2,FALSE)</f>
        <v>2351</v>
      </c>
      <c r="O199" s="37">
        <f>IFERROR(VLOOKUP($F199,bug_conf_sheet!$A:$H,3,FALSE),VLOOKUP("other",bug_conf_sheet!$A:$H,3,FALSE))</f>
        <v>1</v>
      </c>
      <c r="P199" s="37">
        <f>IFERROR(VLOOKUP($F199,bug_conf_sheet!$A:$H,4,FALSE),VLOOKUP("other",bug_conf_sheet!$A:$H,4,FALSE))</f>
        <v>0</v>
      </c>
      <c r="Q199" s="37">
        <f>IFERROR(VLOOKUP($F199,bug_conf_sheet!$A:$H,5,FALSE),VLOOKUP("other",bug_conf_sheet!$A:$H,5,FALSE))</f>
        <v>0</v>
      </c>
      <c r="R199" s="37">
        <f>IFERROR(VLOOKUP($F199,bug_conf_sheet!$A:$H,6,FALSE),VLOOKUP("other",bug_conf_sheet!$A:$H,6,FALSE))</f>
        <v>0</v>
      </c>
      <c r="S199" s="37">
        <f>IFERROR(VLOOKUP($F199,bug_conf_sheet!$A:$H,7,FALSE),VLOOKUP("other",bug_conf_sheet!$A:$H,7,FALSE))</f>
        <v>0</v>
      </c>
      <c r="T199" s="37">
        <f>IFERROR(VLOOKUP($F199,bug_conf_sheet!$A:$H,8,FALSE),VLOOKUP("other",bug_conf_sheet!$A:$H,8,FALSE))</f>
        <v>1</v>
      </c>
    </row>
    <row r="200" spans="1:20" ht="21" customHeight="1">
      <c r="A200" s="7" t="str">
        <f t="shared" si="18"/>
        <v>3001152</v>
      </c>
      <c r="B200" s="2" t="str">
        <f t="shared" si="20"/>
        <v>3001</v>
      </c>
      <c r="C200" s="8" t="str">
        <f t="shared" si="17"/>
        <v>1PremiumW3</v>
      </c>
      <c r="D200" s="8" t="str">
        <f t="shared" si="19"/>
        <v>1PremiumW3</v>
      </c>
      <c r="E200" s="10">
        <v>1</v>
      </c>
      <c r="F200" s="6">
        <v>152</v>
      </c>
      <c r="G200" s="8" t="str">
        <f>VLOOKUP(F200,[1]characters!$A:$C,3,FALSE)</f>
        <v>功夫少女ランラン</v>
      </c>
      <c r="H200" s="8" t="str">
        <f>VLOOKUP(F200,[1]characters!$A:$J,10,FALSE)</f>
        <v>PremiumW</v>
      </c>
      <c r="I200" s="8">
        <f>VLOOKUP(F200,[1]characters!$A:$I,9,FALSE)</f>
        <v>3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human</v>
      </c>
      <c r="M200" s="65"/>
      <c r="N200" s="16">
        <f>VLOOKUP(D200,gacha_300_base!A:B,2,FALSE)</f>
        <v>7445</v>
      </c>
      <c r="O200" s="37">
        <f>IFERROR(VLOOKUP($F200,bug_conf_sheet!$A:$H,3,FALSE),VLOOKUP("other",bug_conf_sheet!$A:$H,3,FALSE))</f>
        <v>1</v>
      </c>
      <c r="P200" s="37">
        <f>IFERROR(VLOOKUP($F200,bug_conf_sheet!$A:$H,4,FALSE),VLOOKUP("other",bug_conf_sheet!$A:$H,4,FALSE))</f>
        <v>0</v>
      </c>
      <c r="Q200" s="37">
        <f>IFERROR(VLOOKUP($F200,bug_conf_sheet!$A:$H,5,FALSE),VLOOKUP("other",bug_conf_sheet!$A:$H,5,FALSE))</f>
        <v>0</v>
      </c>
      <c r="R200" s="37">
        <f>IFERROR(VLOOKUP($F200,bug_conf_sheet!$A:$H,6,FALSE),VLOOKUP("other",bug_conf_sheet!$A:$H,6,FALSE))</f>
        <v>0</v>
      </c>
      <c r="S200" s="37">
        <f>IFERROR(VLOOKUP($F200,bug_conf_sheet!$A:$H,7,FALSE),VLOOKUP("other",bug_conf_sheet!$A:$H,7,FALSE))</f>
        <v>0</v>
      </c>
      <c r="T200" s="37">
        <f>IFERROR(VLOOKUP($F200,bug_conf_sheet!$A:$H,8,FALSE),VLOOKUP("other",bug_conf_sheet!$A:$H,8,FALSE))</f>
        <v>1</v>
      </c>
    </row>
    <row r="201" spans="1:20" ht="21" customHeight="1">
      <c r="A201" s="7" t="str">
        <f t="shared" si="18"/>
        <v>3001153</v>
      </c>
      <c r="B201" s="2" t="str">
        <f t="shared" si="20"/>
        <v>3001</v>
      </c>
      <c r="C201" s="8" t="str">
        <f t="shared" si="17"/>
        <v>1PremiumW4</v>
      </c>
      <c r="D201" s="8" t="str">
        <f t="shared" si="19"/>
        <v>1PremiumW4</v>
      </c>
      <c r="E201" s="10">
        <v>1</v>
      </c>
      <c r="F201" s="6">
        <v>153</v>
      </c>
      <c r="G201" s="8" t="str">
        <f>VLOOKUP(F201,[1]characters!$A:$C,3,FALSE)</f>
        <v>拳聖ランラン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heal</v>
      </c>
      <c r="L201" s="8" t="str">
        <f>VLOOKUP(F201,[1]characters!$A:$M,13,FALSE)</f>
        <v>human</v>
      </c>
      <c r="M201" s="65"/>
      <c r="N201" s="16">
        <f>VLOOKUP(D201,gacha_300_base!A:B,2,FALSE)</f>
        <v>2351</v>
      </c>
      <c r="O201" s="37">
        <f>IFERROR(VLOOKUP($F201,bug_conf_sheet!$A:$H,3,FALSE),VLOOKUP("other",bug_conf_sheet!$A:$H,3,FALSE))</f>
        <v>1</v>
      </c>
      <c r="P201" s="37">
        <f>IFERROR(VLOOKUP($F201,bug_conf_sheet!$A:$H,4,FALSE),VLOOKUP("other",bug_conf_sheet!$A:$H,4,FALSE))</f>
        <v>0</v>
      </c>
      <c r="Q201" s="37">
        <f>IFERROR(VLOOKUP($F201,bug_conf_sheet!$A:$H,5,FALSE),VLOOKUP("other",bug_conf_sheet!$A:$H,5,FALSE))</f>
        <v>0</v>
      </c>
      <c r="R201" s="37">
        <f>IFERROR(VLOOKUP($F201,bug_conf_sheet!$A:$H,6,FALSE),VLOOKUP("other",bug_conf_sheet!$A:$H,6,FALSE))</f>
        <v>0</v>
      </c>
      <c r="S201" s="37">
        <f>IFERROR(VLOOKUP($F201,bug_conf_sheet!$A:$H,7,FALSE),VLOOKUP("other",bug_conf_sheet!$A:$H,7,FALSE))</f>
        <v>0</v>
      </c>
      <c r="T201" s="37">
        <f>IFERROR(VLOOKUP($F201,bug_conf_sheet!$A:$H,8,FALSE),VLOOKUP("other",bug_conf_sheet!$A:$H,8,FALSE))</f>
        <v>1</v>
      </c>
    </row>
    <row r="202" spans="1:20" ht="21" customHeight="1">
      <c r="A202" s="7" t="str">
        <f t="shared" si="18"/>
        <v>3001154</v>
      </c>
      <c r="B202" s="2" t="str">
        <f t="shared" si="20"/>
        <v>3001</v>
      </c>
      <c r="C202" s="8" t="str">
        <f t="shared" si="17"/>
        <v>1PremiumW3</v>
      </c>
      <c r="D202" s="8" t="str">
        <f t="shared" si="19"/>
        <v>1PremiumW3</v>
      </c>
      <c r="E202" s="10">
        <v>1</v>
      </c>
      <c r="F202" s="6">
        <v>154</v>
      </c>
      <c r="G202" s="8" t="str">
        <f>VLOOKUP(F202,[1]characters!$A:$C,3,FALSE)</f>
        <v>始末屋 ハンナ</v>
      </c>
      <c r="H202" s="8" t="str">
        <f>VLOOKUP(F202,[1]characters!$A:$J,10,FALSE)</f>
        <v>PremiumW</v>
      </c>
      <c r="I202" s="8">
        <f>VLOOKUP(F202,[1]characters!$A:$I,9,FALSE)</f>
        <v>3</v>
      </c>
      <c r="J202" s="8" t="str">
        <f>VLOOKUP(F202,[1]characters!$A:$H,8,FALSE)</f>
        <v>blue</v>
      </c>
      <c r="K202" s="8" t="str">
        <f>VLOOKUP(F202,[1]characters!$A:$K,11,FALSE)</f>
        <v>heal</v>
      </c>
      <c r="L202" s="8" t="str">
        <f>VLOOKUP(F202,[1]characters!$A:$M,13,FALSE)</f>
        <v>human</v>
      </c>
      <c r="M202" s="65"/>
      <c r="N202" s="16">
        <f>VLOOKUP(D202,gacha_300_base!A:B,2,FALSE)</f>
        <v>7445</v>
      </c>
      <c r="O202" s="37">
        <f>IFERROR(VLOOKUP($F202,bug_conf_sheet!$A:$H,3,FALSE),VLOOKUP("other",bug_conf_sheet!$A:$H,3,FALSE))</f>
        <v>1</v>
      </c>
      <c r="P202" s="37">
        <f>IFERROR(VLOOKUP($F202,bug_conf_sheet!$A:$H,4,FALSE),VLOOKUP("other",bug_conf_sheet!$A:$H,4,FALSE))</f>
        <v>0</v>
      </c>
      <c r="Q202" s="37">
        <f>IFERROR(VLOOKUP($F202,bug_conf_sheet!$A:$H,5,FALSE),VLOOKUP("other",bug_conf_sheet!$A:$H,5,FALSE))</f>
        <v>0</v>
      </c>
      <c r="R202" s="37">
        <f>IFERROR(VLOOKUP($F202,bug_conf_sheet!$A:$H,6,FALSE),VLOOKUP("other",bug_conf_sheet!$A:$H,6,FALSE))</f>
        <v>0</v>
      </c>
      <c r="S202" s="37">
        <f>IFERROR(VLOOKUP($F202,bug_conf_sheet!$A:$H,7,FALSE),VLOOKUP("other",bug_conf_sheet!$A:$H,7,FALSE))</f>
        <v>0</v>
      </c>
      <c r="T202" s="37">
        <f>IFERROR(VLOOKUP($F202,bug_conf_sheet!$A:$H,8,FALSE),VLOOKUP("other",bug_conf_sheet!$A:$H,8,FALSE))</f>
        <v>1</v>
      </c>
    </row>
    <row r="203" spans="1:20" ht="21" customHeight="1">
      <c r="A203" s="7" t="str">
        <f t="shared" si="18"/>
        <v>3001155</v>
      </c>
      <c r="B203" s="2" t="str">
        <f t="shared" si="20"/>
        <v>3001</v>
      </c>
      <c r="C203" s="8" t="str">
        <f t="shared" si="17"/>
        <v>1PremiumW4</v>
      </c>
      <c r="D203" s="8" t="str">
        <f t="shared" si="19"/>
        <v>1PremiumW4</v>
      </c>
      <c r="E203" s="10">
        <v>1</v>
      </c>
      <c r="F203" s="6">
        <v>155</v>
      </c>
      <c r="G203" s="8" t="str">
        <f>VLOOKUP(F203,[1]characters!$A:$C,3,FALSE)</f>
        <v>隻眼の掃除屋 ハンナ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blue</v>
      </c>
      <c r="K203" s="8" t="str">
        <f>VLOOKUP(F203,[1]characters!$A:$K,11,FALSE)</f>
        <v>heal</v>
      </c>
      <c r="L203" s="8" t="str">
        <f>VLOOKUP(F203,[1]characters!$A:$M,13,FALSE)</f>
        <v>human</v>
      </c>
      <c r="M203" s="65"/>
      <c r="N203" s="16">
        <f>VLOOKUP(D203,gacha_300_base!A:B,2,FALSE)</f>
        <v>2351</v>
      </c>
      <c r="O203" s="37">
        <f>IFERROR(VLOOKUP($F203,bug_conf_sheet!$A:$H,3,FALSE),VLOOKUP("other",bug_conf_sheet!$A:$H,3,FALSE))</f>
        <v>1</v>
      </c>
      <c r="P203" s="37">
        <f>IFERROR(VLOOKUP($F203,bug_conf_sheet!$A:$H,4,FALSE),VLOOKUP("other",bug_conf_sheet!$A:$H,4,FALSE))</f>
        <v>0</v>
      </c>
      <c r="Q203" s="37">
        <f>IFERROR(VLOOKUP($F203,bug_conf_sheet!$A:$H,5,FALSE),VLOOKUP("other",bug_conf_sheet!$A:$H,5,FALSE))</f>
        <v>0</v>
      </c>
      <c r="R203" s="37">
        <f>IFERROR(VLOOKUP($F203,bug_conf_sheet!$A:$H,6,FALSE),VLOOKUP("other",bug_conf_sheet!$A:$H,6,FALSE))</f>
        <v>0</v>
      </c>
      <c r="S203" s="37">
        <f>IFERROR(VLOOKUP($F203,bug_conf_sheet!$A:$H,7,FALSE),VLOOKUP("other",bug_conf_sheet!$A:$H,7,FALSE))</f>
        <v>0</v>
      </c>
      <c r="T203" s="37">
        <f>IFERROR(VLOOKUP($F203,bug_conf_sheet!$A:$H,8,FALSE),VLOOKUP("other",bug_conf_sheet!$A:$H,8,FALSE))</f>
        <v>1</v>
      </c>
    </row>
    <row r="204" spans="1:20" ht="21" customHeight="1">
      <c r="A204" s="7" t="str">
        <f t="shared" si="18"/>
        <v>3001156</v>
      </c>
      <c r="B204" s="2" t="str">
        <f t="shared" si="20"/>
        <v>3001</v>
      </c>
      <c r="C204" s="8" t="str">
        <f t="shared" si="17"/>
        <v>1PremiumW3</v>
      </c>
      <c r="D204" s="8" t="str">
        <f t="shared" si="19"/>
        <v>1PremiumW3</v>
      </c>
      <c r="E204" s="10">
        <v>1</v>
      </c>
      <c r="F204" s="6">
        <v>156</v>
      </c>
      <c r="G204" s="8" t="str">
        <f>VLOOKUP(F204,[1]characters!$A:$C,3,FALSE)</f>
        <v>踊り子 エレナ</v>
      </c>
      <c r="H204" s="8" t="str">
        <f>VLOOKUP(F204,[1]characters!$A:$J,10,FALSE)</f>
        <v>PremiumW</v>
      </c>
      <c r="I204" s="8">
        <f>VLOOKUP(F204,[1]characters!$A:$I,9,FALSE)</f>
        <v>3</v>
      </c>
      <c r="J204" s="8" t="str">
        <f>VLOOKUP(F204,[1]characters!$A:$H,8,FALSE)</f>
        <v>yellow</v>
      </c>
      <c r="K204" s="8" t="str">
        <f>VLOOKUP(F204,[1]characters!$A:$K,11,FALSE)</f>
        <v>heal</v>
      </c>
      <c r="L204" s="8" t="str">
        <f>VLOOKUP(F204,[1]characters!$A:$M,13,FALSE)</f>
        <v>human</v>
      </c>
      <c r="M204" s="65"/>
      <c r="N204" s="16">
        <f>VLOOKUP(D204,gacha_300_base!A:B,2,FALSE)</f>
        <v>7445</v>
      </c>
      <c r="O204" s="37">
        <f>IFERROR(VLOOKUP($F204,bug_conf_sheet!$A:$H,3,FALSE),VLOOKUP("other",bug_conf_sheet!$A:$H,3,FALSE))</f>
        <v>1</v>
      </c>
      <c r="P204" s="37">
        <f>IFERROR(VLOOKUP($F204,bug_conf_sheet!$A:$H,4,FALSE),VLOOKUP("other",bug_conf_sheet!$A:$H,4,FALSE))</f>
        <v>0</v>
      </c>
      <c r="Q204" s="37">
        <f>IFERROR(VLOOKUP($F204,bug_conf_sheet!$A:$H,5,FALSE),VLOOKUP("other",bug_conf_sheet!$A:$H,5,FALSE))</f>
        <v>0</v>
      </c>
      <c r="R204" s="37">
        <f>IFERROR(VLOOKUP($F204,bug_conf_sheet!$A:$H,6,FALSE),VLOOKUP("other",bug_conf_sheet!$A:$H,6,FALSE))</f>
        <v>0</v>
      </c>
      <c r="S204" s="37">
        <f>IFERROR(VLOOKUP($F204,bug_conf_sheet!$A:$H,7,FALSE),VLOOKUP("other",bug_conf_sheet!$A:$H,7,FALSE))</f>
        <v>0</v>
      </c>
      <c r="T204" s="37">
        <f>IFERROR(VLOOKUP($F204,bug_conf_sheet!$A:$H,8,FALSE),VLOOKUP("other",bug_conf_sheet!$A:$H,8,FALSE))</f>
        <v>1</v>
      </c>
    </row>
    <row r="205" spans="1:20" ht="21" customHeight="1">
      <c r="A205" s="7" t="str">
        <f t="shared" si="18"/>
        <v>3001157</v>
      </c>
      <c r="B205" s="2" t="str">
        <f t="shared" si="20"/>
        <v>3001</v>
      </c>
      <c r="C205" s="8" t="str">
        <f t="shared" si="17"/>
        <v>1PremiumW4</v>
      </c>
      <c r="D205" s="8" t="str">
        <f t="shared" si="19"/>
        <v>1PremiumW4</v>
      </c>
      <c r="E205" s="10">
        <v>1</v>
      </c>
      <c r="F205" s="6">
        <v>157</v>
      </c>
      <c r="G205" s="8" t="str">
        <f>VLOOKUP(F205,[1]characters!$A:$C,3,FALSE)</f>
        <v>雷光舞姫 エレナ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yellow</v>
      </c>
      <c r="K205" s="8" t="str">
        <f>VLOOKUP(F205,[1]characters!$A:$K,11,FALSE)</f>
        <v>heal</v>
      </c>
      <c r="L205" s="8" t="str">
        <f>VLOOKUP(F205,[1]characters!$A:$M,13,FALSE)</f>
        <v>human</v>
      </c>
      <c r="M205" s="65"/>
      <c r="N205" s="16">
        <f>VLOOKUP(D205,gacha_300_base!A:B,2,FALSE)</f>
        <v>2351</v>
      </c>
      <c r="O205" s="37">
        <f>IFERROR(VLOOKUP($F205,bug_conf_sheet!$A:$H,3,FALSE),VLOOKUP("other",bug_conf_sheet!$A:$H,3,FALSE))</f>
        <v>1</v>
      </c>
      <c r="P205" s="37">
        <f>IFERROR(VLOOKUP($F205,bug_conf_sheet!$A:$H,4,FALSE),VLOOKUP("other",bug_conf_sheet!$A:$H,4,FALSE))</f>
        <v>0</v>
      </c>
      <c r="Q205" s="37">
        <f>IFERROR(VLOOKUP($F205,bug_conf_sheet!$A:$H,5,FALSE),VLOOKUP("other",bug_conf_sheet!$A:$H,5,FALSE))</f>
        <v>0</v>
      </c>
      <c r="R205" s="37">
        <f>IFERROR(VLOOKUP($F205,bug_conf_sheet!$A:$H,6,FALSE),VLOOKUP("other",bug_conf_sheet!$A:$H,6,FALSE))</f>
        <v>0</v>
      </c>
      <c r="S205" s="37">
        <f>IFERROR(VLOOKUP($F205,bug_conf_sheet!$A:$H,7,FALSE),VLOOKUP("other",bug_conf_sheet!$A:$H,7,FALSE))</f>
        <v>0</v>
      </c>
      <c r="T205" s="37">
        <f>IFERROR(VLOOKUP($F205,bug_conf_sheet!$A:$H,8,FALSE),VLOOKUP("other",bug_conf_sheet!$A:$H,8,FALSE))</f>
        <v>1</v>
      </c>
    </row>
    <row r="206" spans="1:20" ht="21" customHeight="1">
      <c r="A206" s="7" t="str">
        <f t="shared" si="18"/>
        <v>3001158</v>
      </c>
      <c r="B206" s="2" t="str">
        <f t="shared" si="20"/>
        <v>3001</v>
      </c>
      <c r="C206" s="8" t="str">
        <f t="shared" si="17"/>
        <v>1PremiumW3</v>
      </c>
      <c r="D206" s="8" t="str">
        <f t="shared" si="19"/>
        <v>1PremiumW3</v>
      </c>
      <c r="E206" s="10">
        <v>1</v>
      </c>
      <c r="F206" s="6">
        <v>158</v>
      </c>
      <c r="G206" s="8" t="str">
        <f>VLOOKUP(F206,[1]characters!$A:$C,3,FALSE)</f>
        <v>シスター シャルロッテ</v>
      </c>
      <c r="H206" s="8" t="str">
        <f>VLOOKUP(F206,[1]characters!$A:$J,10,FALSE)</f>
        <v>PremiumW</v>
      </c>
      <c r="I206" s="8">
        <f>VLOOKUP(F206,[1]characters!$A:$I,9,FALSE)</f>
        <v>3</v>
      </c>
      <c r="J206" s="8" t="str">
        <f>VLOOKUP(F206,[1]characters!$A:$H,8,FALSE)</f>
        <v>red</v>
      </c>
      <c r="K206" s="8" t="str">
        <f>VLOOKUP(F206,[1]characters!$A:$K,11,FALSE)</f>
        <v>heal</v>
      </c>
      <c r="L206" s="8" t="str">
        <f>VLOOKUP(F206,[1]characters!$A:$M,13,FALSE)</f>
        <v>human</v>
      </c>
      <c r="M206" s="65"/>
      <c r="N206" s="16">
        <f>VLOOKUP(D206,gacha_300_base!A:B,2,FALSE)</f>
        <v>7445</v>
      </c>
      <c r="O206" s="37">
        <f>IFERROR(VLOOKUP($F206,bug_conf_sheet!$A:$H,3,FALSE),VLOOKUP("other",bug_conf_sheet!$A:$H,3,FALSE))</f>
        <v>1</v>
      </c>
      <c r="P206" s="37">
        <f>IFERROR(VLOOKUP($F206,bug_conf_sheet!$A:$H,4,FALSE),VLOOKUP("other",bug_conf_sheet!$A:$H,4,FALSE))</f>
        <v>0</v>
      </c>
      <c r="Q206" s="37">
        <f>IFERROR(VLOOKUP($F206,bug_conf_sheet!$A:$H,5,FALSE),VLOOKUP("other",bug_conf_sheet!$A:$H,5,FALSE))</f>
        <v>0</v>
      </c>
      <c r="R206" s="37">
        <f>IFERROR(VLOOKUP($F206,bug_conf_sheet!$A:$H,6,FALSE),VLOOKUP("other",bug_conf_sheet!$A:$H,6,FALSE))</f>
        <v>0</v>
      </c>
      <c r="S206" s="37">
        <f>IFERROR(VLOOKUP($F206,bug_conf_sheet!$A:$H,7,FALSE),VLOOKUP("other",bug_conf_sheet!$A:$H,7,FALSE))</f>
        <v>0</v>
      </c>
      <c r="T206" s="37">
        <f>IFERROR(VLOOKUP($F206,bug_conf_sheet!$A:$H,8,FALSE),VLOOKUP("other",bug_conf_sheet!$A:$H,8,FALSE))</f>
        <v>1</v>
      </c>
    </row>
    <row r="207" spans="1:20" ht="21" customHeight="1">
      <c r="A207" s="7" t="str">
        <f t="shared" si="18"/>
        <v>3001159</v>
      </c>
      <c r="B207" s="2" t="str">
        <f t="shared" si="20"/>
        <v>3001</v>
      </c>
      <c r="C207" s="8" t="str">
        <f t="shared" si="17"/>
        <v>1PremiumW4</v>
      </c>
      <c r="D207" s="8" t="str">
        <f t="shared" si="19"/>
        <v>1PremiumW4</v>
      </c>
      <c r="E207" s="10">
        <v>1</v>
      </c>
      <c r="F207" s="6">
        <v>159</v>
      </c>
      <c r="G207" s="8" t="str">
        <f>VLOOKUP(F207,[1]characters!$A:$C,3,FALSE)</f>
        <v>邪を狩りし者 シャルロッテ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red</v>
      </c>
      <c r="K207" s="8" t="str">
        <f>VLOOKUP(F207,[1]characters!$A:$K,11,FALSE)</f>
        <v>heal</v>
      </c>
      <c r="L207" s="8" t="str">
        <f>VLOOKUP(F207,[1]characters!$A:$M,13,FALSE)</f>
        <v>human</v>
      </c>
      <c r="M207" s="65"/>
      <c r="N207" s="16">
        <f>VLOOKUP(D207,gacha_300_base!A:B,2,FALSE)</f>
        <v>2351</v>
      </c>
      <c r="O207" s="37">
        <f>IFERROR(VLOOKUP($F207,bug_conf_sheet!$A:$H,3,FALSE),VLOOKUP("other",bug_conf_sheet!$A:$H,3,FALSE))</f>
        <v>1</v>
      </c>
      <c r="P207" s="37">
        <f>IFERROR(VLOOKUP($F207,bug_conf_sheet!$A:$H,4,FALSE),VLOOKUP("other",bug_conf_sheet!$A:$H,4,FALSE))</f>
        <v>0</v>
      </c>
      <c r="Q207" s="37">
        <f>IFERROR(VLOOKUP($F207,bug_conf_sheet!$A:$H,5,FALSE),VLOOKUP("other",bug_conf_sheet!$A:$H,5,FALSE))</f>
        <v>0</v>
      </c>
      <c r="R207" s="37">
        <f>IFERROR(VLOOKUP($F207,bug_conf_sheet!$A:$H,6,FALSE),VLOOKUP("other",bug_conf_sheet!$A:$H,6,FALSE))</f>
        <v>0</v>
      </c>
      <c r="S207" s="37">
        <f>IFERROR(VLOOKUP($F207,bug_conf_sheet!$A:$H,7,FALSE),VLOOKUP("other",bug_conf_sheet!$A:$H,7,FALSE))</f>
        <v>0</v>
      </c>
      <c r="T207" s="37">
        <f>IFERROR(VLOOKUP($F207,bug_conf_sheet!$A:$H,8,FALSE),VLOOKUP("other",bug_conf_sheet!$A:$H,8,FALSE))</f>
        <v>1</v>
      </c>
    </row>
    <row r="208" spans="1:20" ht="21" customHeight="1">
      <c r="A208" s="7" t="str">
        <f t="shared" si="18"/>
        <v>3001160</v>
      </c>
      <c r="B208" s="2" t="str">
        <f t="shared" si="20"/>
        <v>3001</v>
      </c>
      <c r="C208" s="8" t="str">
        <f t="shared" si="17"/>
        <v>1PremiumW3</v>
      </c>
      <c r="D208" s="8" t="str">
        <f t="shared" si="19"/>
        <v>1PremiumW3</v>
      </c>
      <c r="E208" s="10">
        <v>1</v>
      </c>
      <c r="F208" s="6">
        <v>160</v>
      </c>
      <c r="G208" s="8" t="str">
        <f>VLOOKUP(F208,[1]characters!$A:$C,3,FALSE)</f>
        <v>反逆者 クリエ</v>
      </c>
      <c r="H208" s="8" t="str">
        <f>VLOOKUP(F208,[1]characters!$A:$J,10,FALSE)</f>
        <v>PremiumW</v>
      </c>
      <c r="I208" s="8">
        <f>VLOOKUP(F208,[1]characters!$A:$I,9,FALSE)</f>
        <v>3</v>
      </c>
      <c r="J208" s="8" t="str">
        <f>VLOOKUP(F208,[1]characters!$A:$H,8,FALSE)</f>
        <v>green</v>
      </c>
      <c r="K208" s="8" t="str">
        <f>VLOOKUP(F208,[1]characters!$A:$K,11,FALSE)</f>
        <v>balance</v>
      </c>
      <c r="L208" s="8" t="str">
        <f>VLOOKUP(F208,[1]characters!$A:$M,13,FALSE)</f>
        <v>human</v>
      </c>
      <c r="M208" s="65"/>
      <c r="N208" s="16">
        <f>VLOOKUP(D208,gacha_300_base!A:B,2,FALSE)</f>
        <v>7445</v>
      </c>
      <c r="O208" s="37">
        <f>IFERROR(VLOOKUP($F208,bug_conf_sheet!$A:$H,3,FALSE),VLOOKUP("other",bug_conf_sheet!$A:$H,3,FALSE))</f>
        <v>1</v>
      </c>
      <c r="P208" s="37">
        <f>IFERROR(VLOOKUP($F208,bug_conf_sheet!$A:$H,4,FALSE),VLOOKUP("other",bug_conf_sheet!$A:$H,4,FALSE))</f>
        <v>0</v>
      </c>
      <c r="Q208" s="37">
        <f>IFERROR(VLOOKUP($F208,bug_conf_sheet!$A:$H,5,FALSE),VLOOKUP("other",bug_conf_sheet!$A:$H,5,FALSE))</f>
        <v>0</v>
      </c>
      <c r="R208" s="37">
        <f>IFERROR(VLOOKUP($F208,bug_conf_sheet!$A:$H,6,FALSE),VLOOKUP("other",bug_conf_sheet!$A:$H,6,FALSE))</f>
        <v>0</v>
      </c>
      <c r="S208" s="37">
        <f>IFERROR(VLOOKUP($F208,bug_conf_sheet!$A:$H,7,FALSE),VLOOKUP("other",bug_conf_sheet!$A:$H,7,FALSE))</f>
        <v>0</v>
      </c>
      <c r="T208" s="37">
        <f>IFERROR(VLOOKUP($F208,bug_conf_sheet!$A:$H,8,FALSE),VLOOKUP("other",bug_conf_sheet!$A:$H,8,FALSE))</f>
        <v>1</v>
      </c>
    </row>
    <row r="209" spans="1:20" ht="21" customHeight="1">
      <c r="A209" s="7" t="str">
        <f t="shared" si="18"/>
        <v>3001161</v>
      </c>
      <c r="B209" s="2" t="str">
        <f t="shared" si="20"/>
        <v>3001</v>
      </c>
      <c r="C209" s="8" t="str">
        <f t="shared" si="17"/>
        <v>1PremiumW4</v>
      </c>
      <c r="D209" s="8" t="str">
        <f t="shared" si="19"/>
        <v>1PremiumW4</v>
      </c>
      <c r="E209" s="10">
        <v>1</v>
      </c>
      <c r="F209" s="6">
        <v>161</v>
      </c>
      <c r="G209" s="8" t="str">
        <f>VLOOKUP(F209,[1]characters!$A:$C,3,FALSE)</f>
        <v>咆哮の先導者 クリエ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green</v>
      </c>
      <c r="K209" s="8" t="str">
        <f>VLOOKUP(F209,[1]characters!$A:$K,11,FALSE)</f>
        <v>balance</v>
      </c>
      <c r="L209" s="8" t="str">
        <f>VLOOKUP(F209,[1]characters!$A:$M,13,FALSE)</f>
        <v>human</v>
      </c>
      <c r="M209" s="65"/>
      <c r="N209" s="16">
        <f>VLOOKUP(D209,gacha_300_base!A:B,2,FALSE)</f>
        <v>2351</v>
      </c>
      <c r="O209" s="37">
        <f>IFERROR(VLOOKUP($F209,bug_conf_sheet!$A:$H,3,FALSE),VLOOKUP("other",bug_conf_sheet!$A:$H,3,FALSE))</f>
        <v>1</v>
      </c>
      <c r="P209" s="37">
        <f>IFERROR(VLOOKUP($F209,bug_conf_sheet!$A:$H,4,FALSE),VLOOKUP("other",bug_conf_sheet!$A:$H,4,FALSE))</f>
        <v>0</v>
      </c>
      <c r="Q209" s="37">
        <f>IFERROR(VLOOKUP($F209,bug_conf_sheet!$A:$H,5,FALSE),VLOOKUP("other",bug_conf_sheet!$A:$H,5,FALSE))</f>
        <v>0</v>
      </c>
      <c r="R209" s="37">
        <f>IFERROR(VLOOKUP($F209,bug_conf_sheet!$A:$H,6,FALSE),VLOOKUP("other",bug_conf_sheet!$A:$H,6,FALSE))</f>
        <v>0</v>
      </c>
      <c r="S209" s="37">
        <f>IFERROR(VLOOKUP($F209,bug_conf_sheet!$A:$H,7,FALSE),VLOOKUP("other",bug_conf_sheet!$A:$H,7,FALSE))</f>
        <v>0</v>
      </c>
      <c r="T209" s="37">
        <f>IFERROR(VLOOKUP($F209,bug_conf_sheet!$A:$H,8,FALSE),VLOOKUP("other",bug_conf_sheet!$A:$H,8,FALSE))</f>
        <v>1</v>
      </c>
    </row>
    <row r="210" spans="1:20" ht="21" customHeight="1">
      <c r="A210" s="7" t="str">
        <f t="shared" si="18"/>
        <v>3001162</v>
      </c>
      <c r="B210" s="2" t="str">
        <f t="shared" si="20"/>
        <v>3001</v>
      </c>
      <c r="C210" s="8" t="str">
        <f t="shared" si="17"/>
        <v>1PremiumW3</v>
      </c>
      <c r="D210" s="8" t="str">
        <f t="shared" si="19"/>
        <v>1PremiumW3</v>
      </c>
      <c r="E210" s="10">
        <v>1</v>
      </c>
      <c r="F210" s="6">
        <v>162</v>
      </c>
      <c r="G210" s="8" t="str">
        <f>VLOOKUP(F210,[1]characters!$A:$C,3,FALSE)</f>
        <v>狂女 クララ</v>
      </c>
      <c r="H210" s="8" t="str">
        <f>VLOOKUP(F210,[1]characters!$A:$J,10,FALSE)</f>
        <v>PremiumW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65"/>
      <c r="N210" s="16">
        <f>VLOOKUP(D210,gacha_300_base!A:B,2,FALSE)</f>
        <v>7445</v>
      </c>
      <c r="O210" s="37">
        <f>IFERROR(VLOOKUP($F210,bug_conf_sheet!$A:$H,3,FALSE),VLOOKUP("other",bug_conf_sheet!$A:$H,3,FALSE))</f>
        <v>1</v>
      </c>
      <c r="P210" s="37">
        <f>IFERROR(VLOOKUP($F210,bug_conf_sheet!$A:$H,4,FALSE),VLOOKUP("other",bug_conf_sheet!$A:$H,4,FALSE))</f>
        <v>0</v>
      </c>
      <c r="Q210" s="37">
        <f>IFERROR(VLOOKUP($F210,bug_conf_sheet!$A:$H,5,FALSE),VLOOKUP("other",bug_conf_sheet!$A:$H,5,FALSE))</f>
        <v>0</v>
      </c>
      <c r="R210" s="37">
        <f>IFERROR(VLOOKUP($F210,bug_conf_sheet!$A:$H,6,FALSE),VLOOKUP("other",bug_conf_sheet!$A:$H,6,FALSE))</f>
        <v>0</v>
      </c>
      <c r="S210" s="37">
        <f>IFERROR(VLOOKUP($F210,bug_conf_sheet!$A:$H,7,FALSE),VLOOKUP("other",bug_conf_sheet!$A:$H,7,FALSE))</f>
        <v>0</v>
      </c>
      <c r="T210" s="37">
        <f>IFERROR(VLOOKUP($F210,bug_conf_sheet!$A:$H,8,FALSE),VLOOKUP("other",bug_conf_sheet!$A:$H,8,FALSE))</f>
        <v>1</v>
      </c>
    </row>
    <row r="211" spans="1:20" ht="21" customHeight="1">
      <c r="A211" s="7" t="str">
        <f t="shared" si="18"/>
        <v>3001163</v>
      </c>
      <c r="B211" s="2" t="str">
        <f t="shared" si="20"/>
        <v>3001</v>
      </c>
      <c r="C211" s="8" t="str">
        <f t="shared" si="17"/>
        <v>1PremiumW4</v>
      </c>
      <c r="D211" s="8" t="str">
        <f t="shared" si="19"/>
        <v>1PremiumW4</v>
      </c>
      <c r="E211" s="10">
        <v>1</v>
      </c>
      <c r="F211" s="6">
        <v>163</v>
      </c>
      <c r="G211" s="8" t="str">
        <f>VLOOKUP(F211,[1]characters!$A:$C,3,FALSE)</f>
        <v>冷酷な狂嬢 クララ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65"/>
      <c r="N211" s="16">
        <f>VLOOKUP(D211,gacha_300_base!A:B,2,FALSE)</f>
        <v>2351</v>
      </c>
      <c r="O211" s="37">
        <f>IFERROR(VLOOKUP($F211,bug_conf_sheet!$A:$H,3,FALSE),VLOOKUP("other",bug_conf_sheet!$A:$H,3,FALSE))</f>
        <v>1</v>
      </c>
      <c r="P211" s="37">
        <f>IFERROR(VLOOKUP($F211,bug_conf_sheet!$A:$H,4,FALSE),VLOOKUP("other",bug_conf_sheet!$A:$H,4,FALSE))</f>
        <v>0</v>
      </c>
      <c r="Q211" s="37">
        <f>IFERROR(VLOOKUP($F211,bug_conf_sheet!$A:$H,5,FALSE),VLOOKUP("other",bug_conf_sheet!$A:$H,5,FALSE))</f>
        <v>0</v>
      </c>
      <c r="R211" s="37">
        <f>IFERROR(VLOOKUP($F211,bug_conf_sheet!$A:$H,6,FALSE),VLOOKUP("other",bug_conf_sheet!$A:$H,6,FALSE))</f>
        <v>0</v>
      </c>
      <c r="S211" s="37">
        <f>IFERROR(VLOOKUP($F211,bug_conf_sheet!$A:$H,7,FALSE),VLOOKUP("other",bug_conf_sheet!$A:$H,7,FALSE))</f>
        <v>0</v>
      </c>
      <c r="T211" s="37">
        <f>IFERROR(VLOOKUP($F211,bug_conf_sheet!$A:$H,8,FALSE),VLOOKUP("other",bug_conf_sheet!$A:$H,8,FALSE))</f>
        <v>1</v>
      </c>
    </row>
    <row r="212" spans="1:20" ht="21" customHeight="1">
      <c r="A212" s="7" t="str">
        <f t="shared" si="18"/>
        <v>3001164</v>
      </c>
      <c r="B212" s="2" t="str">
        <f t="shared" si="20"/>
        <v>3001</v>
      </c>
      <c r="C212" s="8" t="str">
        <f t="shared" si="17"/>
        <v>1PremiumW3</v>
      </c>
      <c r="D212" s="8" t="str">
        <f t="shared" si="19"/>
        <v>1PremiumW3</v>
      </c>
      <c r="E212" s="10">
        <v>1</v>
      </c>
      <c r="F212" s="6">
        <v>164</v>
      </c>
      <c r="G212" s="8" t="str">
        <f>VLOOKUP(F212,[1]characters!$A:$C,3,FALSE)</f>
        <v>イブとトモダチ</v>
      </c>
      <c r="H212" s="8" t="str">
        <f>VLOOKUP(F212,[1]characters!$A:$J,10,FALSE)</f>
        <v>PremiumW</v>
      </c>
      <c r="I212" s="8">
        <f>VLOOKUP(F212,[1]characters!$A:$I,9,FALSE)</f>
        <v>3</v>
      </c>
      <c r="J212" s="8" t="str">
        <f>VLOOKUP(F212,[1]characters!$A:$H,8,FALSE)</f>
        <v>yellow</v>
      </c>
      <c r="K212" s="8" t="str">
        <f>VLOOKUP(F212,[1]characters!$A:$K,11,FALSE)</f>
        <v>technical</v>
      </c>
      <c r="L212" s="8" t="str">
        <f>VLOOKUP(F212,[1]characters!$A:$M,13,FALSE)</f>
        <v>human</v>
      </c>
      <c r="M212" s="65"/>
      <c r="N212" s="16">
        <f>VLOOKUP(D212,gacha_300_base!A:B,2,FALSE)</f>
        <v>7445</v>
      </c>
      <c r="O212" s="37">
        <f>IFERROR(VLOOKUP($F212,bug_conf_sheet!$A:$H,3,FALSE),VLOOKUP("other",bug_conf_sheet!$A:$H,3,FALSE))</f>
        <v>1</v>
      </c>
      <c r="P212" s="37">
        <f>IFERROR(VLOOKUP($F212,bug_conf_sheet!$A:$H,4,FALSE),VLOOKUP("other",bug_conf_sheet!$A:$H,4,FALSE))</f>
        <v>0</v>
      </c>
      <c r="Q212" s="37">
        <f>IFERROR(VLOOKUP($F212,bug_conf_sheet!$A:$H,5,FALSE),VLOOKUP("other",bug_conf_sheet!$A:$H,5,FALSE))</f>
        <v>0</v>
      </c>
      <c r="R212" s="37">
        <f>IFERROR(VLOOKUP($F212,bug_conf_sheet!$A:$H,6,FALSE),VLOOKUP("other",bug_conf_sheet!$A:$H,6,FALSE))</f>
        <v>0</v>
      </c>
      <c r="S212" s="37">
        <f>IFERROR(VLOOKUP($F212,bug_conf_sheet!$A:$H,7,FALSE),VLOOKUP("other",bug_conf_sheet!$A:$H,7,FALSE))</f>
        <v>0</v>
      </c>
      <c r="T212" s="37">
        <f>IFERROR(VLOOKUP($F212,bug_conf_sheet!$A:$H,8,FALSE),VLOOKUP("other",bug_conf_sheet!$A:$H,8,FALSE))</f>
        <v>1</v>
      </c>
    </row>
    <row r="213" spans="1:20" ht="21" customHeight="1">
      <c r="A213" s="7" t="str">
        <f t="shared" si="18"/>
        <v>3001165</v>
      </c>
      <c r="B213" s="2" t="str">
        <f t="shared" si="20"/>
        <v>3001</v>
      </c>
      <c r="C213" s="8" t="str">
        <f t="shared" si="17"/>
        <v>1PremiumW4</v>
      </c>
      <c r="D213" s="8" t="str">
        <f t="shared" si="19"/>
        <v>1PremiumW4</v>
      </c>
      <c r="E213" s="10">
        <v>1</v>
      </c>
      <c r="F213" s="6">
        <v>165</v>
      </c>
      <c r="G213" s="8" t="str">
        <f>VLOOKUP(F213,[1]characters!$A:$C,3,FALSE)</f>
        <v>イブとたったひとりのトモダチ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technical</v>
      </c>
      <c r="L213" s="8" t="str">
        <f>VLOOKUP(F213,[1]characters!$A:$M,13,FALSE)</f>
        <v>human</v>
      </c>
      <c r="M213" s="65"/>
      <c r="N213" s="16">
        <f>VLOOKUP(D213,gacha_300_base!A:B,2,FALSE)</f>
        <v>2351</v>
      </c>
      <c r="O213" s="37">
        <f>IFERROR(VLOOKUP($F213,bug_conf_sheet!$A:$H,3,FALSE),VLOOKUP("other",bug_conf_sheet!$A:$H,3,FALSE))</f>
        <v>1</v>
      </c>
      <c r="P213" s="37">
        <f>IFERROR(VLOOKUP($F213,bug_conf_sheet!$A:$H,4,FALSE),VLOOKUP("other",bug_conf_sheet!$A:$H,4,FALSE))</f>
        <v>0</v>
      </c>
      <c r="Q213" s="37">
        <f>IFERROR(VLOOKUP($F213,bug_conf_sheet!$A:$H,5,FALSE),VLOOKUP("other",bug_conf_sheet!$A:$H,5,FALSE))</f>
        <v>0</v>
      </c>
      <c r="R213" s="37">
        <f>IFERROR(VLOOKUP($F213,bug_conf_sheet!$A:$H,6,FALSE),VLOOKUP("other",bug_conf_sheet!$A:$H,6,FALSE))</f>
        <v>0</v>
      </c>
      <c r="S213" s="37">
        <f>IFERROR(VLOOKUP($F213,bug_conf_sheet!$A:$H,7,FALSE),VLOOKUP("other",bug_conf_sheet!$A:$H,7,FALSE))</f>
        <v>0</v>
      </c>
      <c r="T213" s="37">
        <f>IFERROR(VLOOKUP($F213,bug_conf_sheet!$A:$H,8,FALSE),VLOOKUP("other",bug_conf_sheet!$A:$H,8,FALSE))</f>
        <v>1</v>
      </c>
    </row>
    <row r="214" spans="1:20" ht="21" customHeight="1">
      <c r="A214" s="7" t="str">
        <f t="shared" si="18"/>
        <v>3001166</v>
      </c>
      <c r="B214" s="2" t="str">
        <f t="shared" si="20"/>
        <v>3001</v>
      </c>
      <c r="C214" s="8" t="str">
        <f t="shared" si="17"/>
        <v>1PremiumN3</v>
      </c>
      <c r="D214" s="8" t="str">
        <f t="shared" si="19"/>
        <v>1PremiumN3</v>
      </c>
      <c r="E214" s="10">
        <v>1</v>
      </c>
      <c r="F214" s="6">
        <v>166</v>
      </c>
      <c r="G214" s="8" t="str">
        <f>VLOOKUP(F214,[1]characters!$A:$C,3,FALSE)</f>
        <v>ベリアル</v>
      </c>
      <c r="H214" s="8" t="str">
        <f>VLOOKUP(F214,[1]characters!$A:$J,10,FALSE)</f>
        <v>PremiumN</v>
      </c>
      <c r="I214" s="8">
        <f>VLOOKUP(F214,[1]characters!$A:$I,9,FALSE)</f>
        <v>3</v>
      </c>
      <c r="J214" s="8" t="str">
        <f>VLOOKUP(F214,[1]characters!$A:$H,8,FALSE)</f>
        <v>red</v>
      </c>
      <c r="K214" s="8" t="str">
        <f>VLOOKUP(F214,[1]characters!$A:$K,11,FALSE)</f>
        <v>attack</v>
      </c>
      <c r="L214" s="8" t="str">
        <f>VLOOKUP(F214,[1]characters!$A:$M,13,FALSE)</f>
        <v>god</v>
      </c>
      <c r="M214" s="65"/>
      <c r="N214" s="16">
        <f>VLOOKUP(D214,gacha_300_base!A:B,2,FALSE)</f>
        <v>11167</v>
      </c>
      <c r="O214" s="37">
        <f>IFERROR(VLOOKUP($F214,bug_conf_sheet!$A:$H,3,FALSE),VLOOKUP("other",bug_conf_sheet!$A:$H,3,FALSE))</f>
        <v>1</v>
      </c>
      <c r="P214" s="37">
        <f>IFERROR(VLOOKUP($F214,bug_conf_sheet!$A:$H,4,FALSE),VLOOKUP("other",bug_conf_sheet!$A:$H,4,FALSE))</f>
        <v>0</v>
      </c>
      <c r="Q214" s="37">
        <f>IFERROR(VLOOKUP($F214,bug_conf_sheet!$A:$H,5,FALSE),VLOOKUP("other",bug_conf_sheet!$A:$H,5,FALSE))</f>
        <v>0</v>
      </c>
      <c r="R214" s="37">
        <f>IFERROR(VLOOKUP($F214,bug_conf_sheet!$A:$H,6,FALSE),VLOOKUP("other",bug_conf_sheet!$A:$H,6,FALSE))</f>
        <v>0</v>
      </c>
      <c r="S214" s="37">
        <f>IFERROR(VLOOKUP($F214,bug_conf_sheet!$A:$H,7,FALSE),VLOOKUP("other",bug_conf_sheet!$A:$H,7,FALSE))</f>
        <v>0</v>
      </c>
      <c r="T214" s="37">
        <f>IFERROR(VLOOKUP($F214,bug_conf_sheet!$A:$H,8,FALSE),VLOOKUP("other",bug_conf_sheet!$A:$H,8,FALSE))</f>
        <v>1</v>
      </c>
    </row>
    <row r="215" spans="1:20" ht="21" customHeight="1">
      <c r="A215" s="7" t="str">
        <f t="shared" si="18"/>
        <v>3001167</v>
      </c>
      <c r="B215" s="2" t="str">
        <f t="shared" si="20"/>
        <v>3001</v>
      </c>
      <c r="C215" s="8" t="str">
        <f t="shared" si="17"/>
        <v>1PremiumN4</v>
      </c>
      <c r="D215" s="8" t="str">
        <f t="shared" si="19"/>
        <v>1PremiumN4</v>
      </c>
      <c r="E215" s="10">
        <v>1</v>
      </c>
      <c r="F215" s="6">
        <v>167</v>
      </c>
      <c r="G215" s="8" t="str">
        <f>VLOOKUP(F215,[1]characters!$A:$C,3,FALSE)</f>
        <v>逆徒 ベリアル</v>
      </c>
      <c r="H215" s="8" t="str">
        <f>VLOOKUP(F215,[1]characters!$A:$J,10,FALSE)</f>
        <v>PremiumN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attack</v>
      </c>
      <c r="L215" s="8" t="str">
        <f>VLOOKUP(F215,[1]characters!$A:$M,13,FALSE)</f>
        <v>god</v>
      </c>
      <c r="M215" s="65"/>
      <c r="N215" s="16">
        <f>VLOOKUP(D215,gacha_300_base!A:B,2,FALSE)</f>
        <v>2616</v>
      </c>
      <c r="O215" s="37">
        <f>IFERROR(VLOOKUP($F215,bug_conf_sheet!$A:$H,3,FALSE),VLOOKUP("other",bug_conf_sheet!$A:$H,3,FALSE))</f>
        <v>1</v>
      </c>
      <c r="P215" s="37">
        <f>IFERROR(VLOOKUP($F215,bug_conf_sheet!$A:$H,4,FALSE),VLOOKUP("other",bug_conf_sheet!$A:$H,4,FALSE))</f>
        <v>0</v>
      </c>
      <c r="Q215" s="37">
        <f>IFERROR(VLOOKUP($F215,bug_conf_sheet!$A:$H,5,FALSE),VLOOKUP("other",bug_conf_sheet!$A:$H,5,FALSE))</f>
        <v>0</v>
      </c>
      <c r="R215" s="37">
        <f>IFERROR(VLOOKUP($F215,bug_conf_sheet!$A:$H,6,FALSE),VLOOKUP("other",bug_conf_sheet!$A:$H,6,FALSE))</f>
        <v>0</v>
      </c>
      <c r="S215" s="37">
        <f>IFERROR(VLOOKUP($F215,bug_conf_sheet!$A:$H,7,FALSE),VLOOKUP("other",bug_conf_sheet!$A:$H,7,FALSE))</f>
        <v>0</v>
      </c>
      <c r="T215" s="37">
        <f>IFERROR(VLOOKUP($F215,bug_conf_sheet!$A:$H,8,FALSE),VLOOKUP("other",bug_conf_sheet!$A:$H,8,FALSE))</f>
        <v>1</v>
      </c>
    </row>
    <row r="216" spans="1:20" ht="21" customHeight="1">
      <c r="A216" s="7" t="str">
        <f t="shared" si="18"/>
        <v>3001168</v>
      </c>
      <c r="B216" s="2" t="str">
        <f t="shared" si="20"/>
        <v>3001</v>
      </c>
      <c r="C216" s="8" t="str">
        <f t="shared" si="17"/>
        <v>1PremiumN5</v>
      </c>
      <c r="D216" s="8" t="str">
        <f t="shared" si="19"/>
        <v>1PremiumN5</v>
      </c>
      <c r="E216" s="10">
        <v>1</v>
      </c>
      <c r="F216" s="6">
        <v>168</v>
      </c>
      <c r="G216" s="8" t="str">
        <f>VLOOKUP(F216,[1]characters!$A:$C,3,FALSE)</f>
        <v>猛進の大逆者 ベリアル</v>
      </c>
      <c r="H216" s="8" t="str">
        <f>VLOOKUP(F216,[1]characters!$A:$J,10,FALSE)</f>
        <v>PremiumN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65"/>
      <c r="N216" s="16">
        <f>VLOOKUP(D216,gacha_300_base!A:B,2,FALSE)</f>
        <v>911</v>
      </c>
      <c r="O216" s="37">
        <f>IFERROR(VLOOKUP($F216,bug_conf_sheet!$A:$H,3,FALSE),VLOOKUP("other",bug_conf_sheet!$A:$H,3,FALSE))</f>
        <v>1</v>
      </c>
      <c r="P216" s="37">
        <f>IFERROR(VLOOKUP($F216,bug_conf_sheet!$A:$H,4,FALSE),VLOOKUP("other",bug_conf_sheet!$A:$H,4,FALSE))</f>
        <v>0</v>
      </c>
      <c r="Q216" s="37">
        <f>IFERROR(VLOOKUP($F216,bug_conf_sheet!$A:$H,5,FALSE),VLOOKUP("other",bug_conf_sheet!$A:$H,5,FALSE))</f>
        <v>0</v>
      </c>
      <c r="R216" s="37">
        <f>IFERROR(VLOOKUP($F216,bug_conf_sheet!$A:$H,6,FALSE),VLOOKUP("other",bug_conf_sheet!$A:$H,6,FALSE))</f>
        <v>0</v>
      </c>
      <c r="S216" s="37">
        <f>IFERROR(VLOOKUP($F216,bug_conf_sheet!$A:$H,7,FALSE),VLOOKUP("other",bug_conf_sheet!$A:$H,7,FALSE))</f>
        <v>0</v>
      </c>
      <c r="T216" s="37">
        <f>IFERROR(VLOOKUP($F216,bug_conf_sheet!$A:$H,8,FALSE),VLOOKUP("other",bug_conf_sheet!$A:$H,8,FALSE))</f>
        <v>1</v>
      </c>
    </row>
    <row r="217" spans="1:20" ht="21" customHeight="1">
      <c r="A217" s="7" t="str">
        <f t="shared" si="18"/>
        <v>3001169</v>
      </c>
      <c r="B217" s="2" t="str">
        <f t="shared" si="20"/>
        <v>3001</v>
      </c>
      <c r="C217" s="8" t="str">
        <f t="shared" si="17"/>
        <v>1PremiumN3</v>
      </c>
      <c r="D217" s="8" t="str">
        <f t="shared" si="19"/>
        <v>1PremiumN3</v>
      </c>
      <c r="E217" s="10">
        <v>1</v>
      </c>
      <c r="F217" s="6">
        <v>169</v>
      </c>
      <c r="G217" s="8" t="str">
        <f>VLOOKUP(F217,[1]characters!$A:$C,3,FALSE)</f>
        <v>オセ</v>
      </c>
      <c r="H217" s="8" t="str">
        <f>VLOOKUP(F217,[1]characters!$A:$J,10,FALSE)</f>
        <v>PremiumN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65"/>
      <c r="N217" s="16">
        <f>VLOOKUP(D217,gacha_300_base!A:B,2,FALSE)</f>
        <v>11167</v>
      </c>
      <c r="O217" s="37">
        <f>IFERROR(VLOOKUP($F217,bug_conf_sheet!$A:$H,3,FALSE),VLOOKUP("other",bug_conf_sheet!$A:$H,3,FALSE))</f>
        <v>1</v>
      </c>
      <c r="P217" s="37">
        <f>IFERROR(VLOOKUP($F217,bug_conf_sheet!$A:$H,4,FALSE),VLOOKUP("other",bug_conf_sheet!$A:$H,4,FALSE))</f>
        <v>0</v>
      </c>
      <c r="Q217" s="37">
        <f>IFERROR(VLOOKUP($F217,bug_conf_sheet!$A:$H,5,FALSE),VLOOKUP("other",bug_conf_sheet!$A:$H,5,FALSE))</f>
        <v>0</v>
      </c>
      <c r="R217" s="37">
        <f>IFERROR(VLOOKUP($F217,bug_conf_sheet!$A:$H,6,FALSE),VLOOKUP("other",bug_conf_sheet!$A:$H,6,FALSE))</f>
        <v>0</v>
      </c>
      <c r="S217" s="37">
        <f>IFERROR(VLOOKUP($F217,bug_conf_sheet!$A:$H,7,FALSE),VLOOKUP("other",bug_conf_sheet!$A:$H,7,FALSE))</f>
        <v>0</v>
      </c>
      <c r="T217" s="37">
        <f>IFERROR(VLOOKUP($F217,bug_conf_sheet!$A:$H,8,FALSE),VLOOKUP("other",bug_conf_sheet!$A:$H,8,FALSE))</f>
        <v>1</v>
      </c>
    </row>
    <row r="218" spans="1:20" ht="21" customHeight="1">
      <c r="A218" s="7" t="str">
        <f t="shared" si="18"/>
        <v>3001170</v>
      </c>
      <c r="B218" s="2" t="str">
        <f t="shared" si="20"/>
        <v>3001</v>
      </c>
      <c r="C218" s="8" t="str">
        <f t="shared" si="17"/>
        <v>1PremiumN4</v>
      </c>
      <c r="D218" s="8" t="str">
        <f t="shared" si="19"/>
        <v>1PremiumN4</v>
      </c>
      <c r="E218" s="10">
        <v>1</v>
      </c>
      <c r="F218" s="6">
        <v>170</v>
      </c>
      <c r="G218" s="8" t="str">
        <f>VLOOKUP(F218,[1]characters!$A:$C,3,FALSE)</f>
        <v>識徒 オセ</v>
      </c>
      <c r="H218" s="8" t="str">
        <f>VLOOKUP(F218,[1]characters!$A:$J,10,FALSE)</f>
        <v>PremiumN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65"/>
      <c r="N218" s="16">
        <f>VLOOKUP(D218,gacha_300_base!A:B,2,FALSE)</f>
        <v>2616</v>
      </c>
      <c r="O218" s="37">
        <f>IFERROR(VLOOKUP($F218,bug_conf_sheet!$A:$H,3,FALSE),VLOOKUP("other",bug_conf_sheet!$A:$H,3,FALSE))</f>
        <v>1</v>
      </c>
      <c r="P218" s="37">
        <f>IFERROR(VLOOKUP($F218,bug_conf_sheet!$A:$H,4,FALSE),VLOOKUP("other",bug_conf_sheet!$A:$H,4,FALSE))</f>
        <v>0</v>
      </c>
      <c r="Q218" s="37">
        <f>IFERROR(VLOOKUP($F218,bug_conf_sheet!$A:$H,5,FALSE),VLOOKUP("other",bug_conf_sheet!$A:$H,5,FALSE))</f>
        <v>0</v>
      </c>
      <c r="R218" s="37">
        <f>IFERROR(VLOOKUP($F218,bug_conf_sheet!$A:$H,6,FALSE),VLOOKUP("other",bug_conf_sheet!$A:$H,6,FALSE))</f>
        <v>0</v>
      </c>
      <c r="S218" s="37">
        <f>IFERROR(VLOOKUP($F218,bug_conf_sheet!$A:$H,7,FALSE),VLOOKUP("other",bug_conf_sheet!$A:$H,7,FALSE))</f>
        <v>0</v>
      </c>
      <c r="T218" s="37">
        <f>IFERROR(VLOOKUP($F218,bug_conf_sheet!$A:$H,8,FALSE),VLOOKUP("other",bug_conf_sheet!$A:$H,8,FALSE))</f>
        <v>1</v>
      </c>
    </row>
    <row r="219" spans="1:20" ht="21" customHeight="1">
      <c r="A219" s="7" t="str">
        <f t="shared" si="18"/>
        <v>3001171</v>
      </c>
      <c r="B219" s="2" t="str">
        <f t="shared" si="20"/>
        <v>3001</v>
      </c>
      <c r="C219" s="8" t="str">
        <f t="shared" si="17"/>
        <v>1PremiumN5</v>
      </c>
      <c r="D219" s="8" t="str">
        <f t="shared" si="19"/>
        <v>1PremiumN5</v>
      </c>
      <c r="E219" s="10">
        <v>1</v>
      </c>
      <c r="F219" s="6">
        <v>171</v>
      </c>
      <c r="G219" s="8" t="str">
        <f>VLOOKUP(F219,[1]characters!$A:$C,3,FALSE)</f>
        <v>精解の預知者 オセ</v>
      </c>
      <c r="H219" s="8" t="str">
        <f>VLOOKUP(F219,[1]characters!$A:$J,10,FALSE)</f>
        <v>PremiumN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attack</v>
      </c>
      <c r="L219" s="8" t="str">
        <f>VLOOKUP(F219,[1]characters!$A:$M,13,FALSE)</f>
        <v>god</v>
      </c>
      <c r="M219" s="65"/>
      <c r="N219" s="16">
        <f>VLOOKUP(D219,gacha_300_base!A:B,2,FALSE)</f>
        <v>911</v>
      </c>
      <c r="O219" s="37">
        <f>IFERROR(VLOOKUP($F219,bug_conf_sheet!$A:$H,3,FALSE),VLOOKUP("other",bug_conf_sheet!$A:$H,3,FALSE))</f>
        <v>1</v>
      </c>
      <c r="P219" s="37">
        <f>IFERROR(VLOOKUP($F219,bug_conf_sheet!$A:$H,4,FALSE),VLOOKUP("other",bug_conf_sheet!$A:$H,4,FALSE))</f>
        <v>0</v>
      </c>
      <c r="Q219" s="37">
        <f>IFERROR(VLOOKUP($F219,bug_conf_sheet!$A:$H,5,FALSE),VLOOKUP("other",bug_conf_sheet!$A:$H,5,FALSE))</f>
        <v>0</v>
      </c>
      <c r="R219" s="37">
        <f>IFERROR(VLOOKUP($F219,bug_conf_sheet!$A:$H,6,FALSE),VLOOKUP("other",bug_conf_sheet!$A:$H,6,FALSE))</f>
        <v>0</v>
      </c>
      <c r="S219" s="37">
        <f>IFERROR(VLOOKUP($F219,bug_conf_sheet!$A:$H,7,FALSE),VLOOKUP("other",bug_conf_sheet!$A:$H,7,FALSE))</f>
        <v>0</v>
      </c>
      <c r="T219" s="37">
        <f>IFERROR(VLOOKUP($F219,bug_conf_sheet!$A:$H,8,FALSE),VLOOKUP("other",bug_conf_sheet!$A:$H,8,FALSE))</f>
        <v>1</v>
      </c>
    </row>
    <row r="220" spans="1:20" ht="21" customHeight="1">
      <c r="A220" s="7" t="str">
        <f t="shared" si="18"/>
        <v>3001172</v>
      </c>
      <c r="B220" s="2" t="str">
        <f t="shared" si="20"/>
        <v>3001</v>
      </c>
      <c r="C220" s="8" t="str">
        <f t="shared" si="17"/>
        <v>1PremiumN3</v>
      </c>
      <c r="D220" s="8" t="str">
        <f t="shared" si="19"/>
        <v>1PremiumN3</v>
      </c>
      <c r="E220" s="10">
        <v>1</v>
      </c>
      <c r="F220" s="6">
        <v>172</v>
      </c>
      <c r="G220" s="8" t="str">
        <f>VLOOKUP(F220,[1]characters!$A:$C,3,FALSE)</f>
        <v>フォルネウス</v>
      </c>
      <c r="H220" s="8" t="str">
        <f>VLOOKUP(F220,[1]characters!$A:$J,10,FALSE)</f>
        <v>PremiumN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65"/>
      <c r="N220" s="16">
        <f>VLOOKUP(D220,gacha_300_base!A:B,2,FALSE)</f>
        <v>11167</v>
      </c>
      <c r="O220" s="37">
        <f>IFERROR(VLOOKUP($F220,bug_conf_sheet!$A:$H,3,FALSE),VLOOKUP("other",bug_conf_sheet!$A:$H,3,FALSE))</f>
        <v>1</v>
      </c>
      <c r="P220" s="37">
        <f>IFERROR(VLOOKUP($F220,bug_conf_sheet!$A:$H,4,FALSE),VLOOKUP("other",bug_conf_sheet!$A:$H,4,FALSE))</f>
        <v>0</v>
      </c>
      <c r="Q220" s="37">
        <f>IFERROR(VLOOKUP($F220,bug_conf_sheet!$A:$H,5,FALSE),VLOOKUP("other",bug_conf_sheet!$A:$H,5,FALSE))</f>
        <v>0</v>
      </c>
      <c r="R220" s="37">
        <f>IFERROR(VLOOKUP($F220,bug_conf_sheet!$A:$H,6,FALSE),VLOOKUP("other",bug_conf_sheet!$A:$H,6,FALSE))</f>
        <v>0</v>
      </c>
      <c r="S220" s="37">
        <f>IFERROR(VLOOKUP($F220,bug_conf_sheet!$A:$H,7,FALSE),VLOOKUP("other",bug_conf_sheet!$A:$H,7,FALSE))</f>
        <v>0</v>
      </c>
      <c r="T220" s="37">
        <f>IFERROR(VLOOKUP($F220,bug_conf_sheet!$A:$H,8,FALSE),VLOOKUP("other",bug_conf_sheet!$A:$H,8,FALSE))</f>
        <v>1</v>
      </c>
    </row>
    <row r="221" spans="1:20" ht="21" customHeight="1">
      <c r="A221" s="7" t="str">
        <f t="shared" si="18"/>
        <v>3001173</v>
      </c>
      <c r="B221" s="2" t="str">
        <f t="shared" si="20"/>
        <v>3001</v>
      </c>
      <c r="C221" s="8" t="str">
        <f t="shared" si="17"/>
        <v>1PremiumN4</v>
      </c>
      <c r="D221" s="8" t="str">
        <f t="shared" si="19"/>
        <v>1PremiumN4</v>
      </c>
      <c r="E221" s="10">
        <v>1</v>
      </c>
      <c r="F221" s="6">
        <v>173</v>
      </c>
      <c r="G221" s="8" t="str">
        <f>VLOOKUP(F221,[1]characters!$A:$C,3,FALSE)</f>
        <v>公爵 フォルネウス</v>
      </c>
      <c r="H221" s="8" t="str">
        <f>VLOOKUP(F221,[1]characters!$A:$J,10,FALSE)</f>
        <v>PremiumN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attack</v>
      </c>
      <c r="L221" s="8" t="str">
        <f>VLOOKUP(F221,[1]characters!$A:$M,13,FALSE)</f>
        <v>god</v>
      </c>
      <c r="M221" s="65"/>
      <c r="N221" s="16">
        <f>VLOOKUP(D221,gacha_300_base!A:B,2,FALSE)</f>
        <v>2616</v>
      </c>
      <c r="O221" s="37">
        <f>IFERROR(VLOOKUP($F221,bug_conf_sheet!$A:$H,3,FALSE),VLOOKUP("other",bug_conf_sheet!$A:$H,3,FALSE))</f>
        <v>1</v>
      </c>
      <c r="P221" s="37">
        <f>IFERROR(VLOOKUP($F221,bug_conf_sheet!$A:$H,4,FALSE),VLOOKUP("other",bug_conf_sheet!$A:$H,4,FALSE))</f>
        <v>0</v>
      </c>
      <c r="Q221" s="37">
        <f>IFERROR(VLOOKUP($F221,bug_conf_sheet!$A:$H,5,FALSE),VLOOKUP("other",bug_conf_sheet!$A:$H,5,FALSE))</f>
        <v>0</v>
      </c>
      <c r="R221" s="37">
        <f>IFERROR(VLOOKUP($F221,bug_conf_sheet!$A:$H,6,FALSE),VLOOKUP("other",bug_conf_sheet!$A:$H,6,FALSE))</f>
        <v>0</v>
      </c>
      <c r="S221" s="37">
        <f>IFERROR(VLOOKUP($F221,bug_conf_sheet!$A:$H,7,FALSE),VLOOKUP("other",bug_conf_sheet!$A:$H,7,FALSE))</f>
        <v>0</v>
      </c>
      <c r="T221" s="37">
        <f>IFERROR(VLOOKUP($F221,bug_conf_sheet!$A:$H,8,FALSE),VLOOKUP("other",bug_conf_sheet!$A:$H,8,FALSE))</f>
        <v>1</v>
      </c>
    </row>
    <row r="222" spans="1:20" ht="21" customHeight="1">
      <c r="A222" s="7" t="str">
        <f t="shared" si="18"/>
        <v>3001174</v>
      </c>
      <c r="B222" s="2" t="str">
        <f t="shared" si="20"/>
        <v>3001</v>
      </c>
      <c r="C222" s="8" t="str">
        <f t="shared" si="17"/>
        <v>1PremiumN5</v>
      </c>
      <c r="D222" s="8" t="str">
        <f t="shared" si="19"/>
        <v>1PremiumN5</v>
      </c>
      <c r="E222" s="10">
        <v>1</v>
      </c>
      <c r="F222" s="6">
        <v>174</v>
      </c>
      <c r="G222" s="8" t="str">
        <f>VLOOKUP(F222,[1]characters!$A:$C,3,FALSE)</f>
        <v>偽愛の大公爵 フォルネウス</v>
      </c>
      <c r="H222" s="8" t="str">
        <f>VLOOKUP(F222,[1]characters!$A:$J,10,FALSE)</f>
        <v>PremiumN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65"/>
      <c r="N222" s="16">
        <f>VLOOKUP(D222,gacha_300_base!A:B,2,FALSE)</f>
        <v>911</v>
      </c>
      <c r="O222" s="37">
        <f>IFERROR(VLOOKUP($F222,bug_conf_sheet!$A:$H,3,FALSE),VLOOKUP("other",bug_conf_sheet!$A:$H,3,FALSE))</f>
        <v>1</v>
      </c>
      <c r="P222" s="37">
        <f>IFERROR(VLOOKUP($F222,bug_conf_sheet!$A:$H,4,FALSE),VLOOKUP("other",bug_conf_sheet!$A:$H,4,FALSE))</f>
        <v>0</v>
      </c>
      <c r="Q222" s="37">
        <f>IFERROR(VLOOKUP($F222,bug_conf_sheet!$A:$H,5,FALSE),VLOOKUP("other",bug_conf_sheet!$A:$H,5,FALSE))</f>
        <v>0</v>
      </c>
      <c r="R222" s="37">
        <f>IFERROR(VLOOKUP($F222,bug_conf_sheet!$A:$H,6,FALSE),VLOOKUP("other",bug_conf_sheet!$A:$H,6,FALSE))</f>
        <v>0</v>
      </c>
      <c r="S222" s="37">
        <f>IFERROR(VLOOKUP($F222,bug_conf_sheet!$A:$H,7,FALSE),VLOOKUP("other",bug_conf_sheet!$A:$H,7,FALSE))</f>
        <v>0</v>
      </c>
      <c r="T222" s="37">
        <f>IFERROR(VLOOKUP($F222,bug_conf_sheet!$A:$H,8,FALSE),VLOOKUP("other",bug_conf_sheet!$A:$H,8,FALSE))</f>
        <v>1</v>
      </c>
    </row>
    <row r="223" spans="1:20" ht="21" customHeight="1">
      <c r="A223" s="7" t="str">
        <f t="shared" si="18"/>
        <v>3001175</v>
      </c>
      <c r="B223" s="2" t="str">
        <f t="shared" si="20"/>
        <v>3001</v>
      </c>
      <c r="C223" s="8" t="str">
        <f t="shared" si="17"/>
        <v>1PremiumN3</v>
      </c>
      <c r="D223" s="8" t="str">
        <f t="shared" si="19"/>
        <v>1PremiumN3</v>
      </c>
      <c r="E223" s="10">
        <v>1</v>
      </c>
      <c r="F223" s="6">
        <v>175</v>
      </c>
      <c r="G223" s="8" t="str">
        <f>VLOOKUP(F223,[1]characters!$A:$C,3,FALSE)</f>
        <v>バフォメット</v>
      </c>
      <c r="H223" s="8" t="str">
        <f>VLOOKUP(F223,[1]characters!$A:$J,10,FALSE)</f>
        <v>PremiumN</v>
      </c>
      <c r="I223" s="8">
        <f>VLOOKUP(F223,[1]characters!$A:$I,9,FALSE)</f>
        <v>3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65"/>
      <c r="N223" s="16">
        <f>VLOOKUP(D223,gacha_300_base!A:B,2,FALSE)</f>
        <v>11167</v>
      </c>
      <c r="O223" s="37">
        <f>IFERROR(VLOOKUP($F223,bug_conf_sheet!$A:$H,3,FALSE),VLOOKUP("other",bug_conf_sheet!$A:$H,3,FALSE))</f>
        <v>1</v>
      </c>
      <c r="P223" s="37">
        <f>IFERROR(VLOOKUP($F223,bug_conf_sheet!$A:$H,4,FALSE),VLOOKUP("other",bug_conf_sheet!$A:$H,4,FALSE))</f>
        <v>0</v>
      </c>
      <c r="Q223" s="37">
        <f>IFERROR(VLOOKUP($F223,bug_conf_sheet!$A:$H,5,FALSE),VLOOKUP("other",bug_conf_sheet!$A:$H,5,FALSE))</f>
        <v>0</v>
      </c>
      <c r="R223" s="37">
        <f>IFERROR(VLOOKUP($F223,bug_conf_sheet!$A:$H,6,FALSE),VLOOKUP("other",bug_conf_sheet!$A:$H,6,FALSE))</f>
        <v>0</v>
      </c>
      <c r="S223" s="37">
        <f>IFERROR(VLOOKUP($F223,bug_conf_sheet!$A:$H,7,FALSE),VLOOKUP("other",bug_conf_sheet!$A:$H,7,FALSE))</f>
        <v>0</v>
      </c>
      <c r="T223" s="37">
        <f>IFERROR(VLOOKUP($F223,bug_conf_sheet!$A:$H,8,FALSE),VLOOKUP("other",bug_conf_sheet!$A:$H,8,FALSE))</f>
        <v>1</v>
      </c>
    </row>
    <row r="224" spans="1:20" ht="21" customHeight="1">
      <c r="A224" s="7" t="str">
        <f t="shared" si="18"/>
        <v>3001176</v>
      </c>
      <c r="B224" s="2" t="str">
        <f t="shared" si="20"/>
        <v>3001</v>
      </c>
      <c r="C224" s="8" t="str">
        <f t="shared" si="17"/>
        <v>1PremiumN4</v>
      </c>
      <c r="D224" s="8" t="str">
        <f t="shared" si="19"/>
        <v>1PremiumN4</v>
      </c>
      <c r="E224" s="10">
        <v>1</v>
      </c>
      <c r="F224" s="6">
        <v>176</v>
      </c>
      <c r="G224" s="8" t="str">
        <f>VLOOKUP(F224,[1]characters!$A:$C,3,FALSE)</f>
        <v>異教徒 バフォメット</v>
      </c>
      <c r="H224" s="8" t="str">
        <f>VLOOKUP(F224,[1]characters!$A:$J,10,FALSE)</f>
        <v>PremiumN</v>
      </c>
      <c r="I224" s="8">
        <f>VLOOKUP(F224,[1]characters!$A:$I,9,FALSE)</f>
        <v>4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god</v>
      </c>
      <c r="M224" s="65"/>
      <c r="N224" s="16">
        <f>VLOOKUP(D224,gacha_300_base!A:B,2,FALSE)</f>
        <v>2616</v>
      </c>
      <c r="O224" s="37">
        <f>IFERROR(VLOOKUP($F224,bug_conf_sheet!$A:$H,3,FALSE),VLOOKUP("other",bug_conf_sheet!$A:$H,3,FALSE))</f>
        <v>1</v>
      </c>
      <c r="P224" s="37">
        <f>IFERROR(VLOOKUP($F224,bug_conf_sheet!$A:$H,4,FALSE),VLOOKUP("other",bug_conf_sheet!$A:$H,4,FALSE))</f>
        <v>0</v>
      </c>
      <c r="Q224" s="37">
        <f>IFERROR(VLOOKUP($F224,bug_conf_sheet!$A:$H,5,FALSE),VLOOKUP("other",bug_conf_sheet!$A:$H,5,FALSE))</f>
        <v>0</v>
      </c>
      <c r="R224" s="37">
        <f>IFERROR(VLOOKUP($F224,bug_conf_sheet!$A:$H,6,FALSE),VLOOKUP("other",bug_conf_sheet!$A:$H,6,FALSE))</f>
        <v>0</v>
      </c>
      <c r="S224" s="37">
        <f>IFERROR(VLOOKUP($F224,bug_conf_sheet!$A:$H,7,FALSE),VLOOKUP("other",bug_conf_sheet!$A:$H,7,FALSE))</f>
        <v>0</v>
      </c>
      <c r="T224" s="37">
        <f>IFERROR(VLOOKUP($F224,bug_conf_sheet!$A:$H,8,FALSE),VLOOKUP("other",bug_conf_sheet!$A:$H,8,FALSE))</f>
        <v>1</v>
      </c>
    </row>
    <row r="225" spans="1:20" ht="21" customHeight="1">
      <c r="A225" s="7" t="str">
        <f t="shared" si="18"/>
        <v>3001177</v>
      </c>
      <c r="B225" s="2" t="str">
        <f t="shared" si="20"/>
        <v>3001</v>
      </c>
      <c r="C225" s="8" t="str">
        <f t="shared" si="17"/>
        <v>1PremiumN5</v>
      </c>
      <c r="D225" s="8" t="str">
        <f t="shared" si="19"/>
        <v>1PremiumN5</v>
      </c>
      <c r="E225" s="10">
        <v>1</v>
      </c>
      <c r="F225" s="6">
        <v>177</v>
      </c>
      <c r="G225" s="8" t="str">
        <f>VLOOKUP(F225,[1]characters!$A:$C,3,FALSE)</f>
        <v>黒魔の異端師 バフォメット</v>
      </c>
      <c r="H225" s="8" t="str">
        <f>VLOOKUP(F225,[1]characters!$A:$J,10,FALSE)</f>
        <v>PremiumN</v>
      </c>
      <c r="I225" s="8">
        <f>VLOOKUP(F225,[1]characters!$A:$I,9,FALSE)</f>
        <v>5</v>
      </c>
      <c r="J225" s="8" t="str">
        <f>VLOOKUP(F225,[1]characters!$A:$H,8,FALSE)</f>
        <v>yellow</v>
      </c>
      <c r="K225" s="8" t="str">
        <f>VLOOKUP(F225,[1]characters!$A:$K,11,FALSE)</f>
        <v>attack</v>
      </c>
      <c r="L225" s="8" t="str">
        <f>VLOOKUP(F225,[1]characters!$A:$M,13,FALSE)</f>
        <v>god</v>
      </c>
      <c r="M225" s="65"/>
      <c r="N225" s="16">
        <f>VLOOKUP(D225,gacha_300_base!A:B,2,FALSE)</f>
        <v>911</v>
      </c>
      <c r="O225" s="37">
        <f>IFERROR(VLOOKUP($F225,bug_conf_sheet!$A:$H,3,FALSE),VLOOKUP("other",bug_conf_sheet!$A:$H,3,FALSE))</f>
        <v>1</v>
      </c>
      <c r="P225" s="37">
        <f>IFERROR(VLOOKUP($F225,bug_conf_sheet!$A:$H,4,FALSE),VLOOKUP("other",bug_conf_sheet!$A:$H,4,FALSE))</f>
        <v>0</v>
      </c>
      <c r="Q225" s="37">
        <f>IFERROR(VLOOKUP($F225,bug_conf_sheet!$A:$H,5,FALSE),VLOOKUP("other",bug_conf_sheet!$A:$H,5,FALSE))</f>
        <v>0</v>
      </c>
      <c r="R225" s="37">
        <f>IFERROR(VLOOKUP($F225,bug_conf_sheet!$A:$H,6,FALSE),VLOOKUP("other",bug_conf_sheet!$A:$H,6,FALSE))</f>
        <v>0</v>
      </c>
      <c r="S225" s="37">
        <f>IFERROR(VLOOKUP($F225,bug_conf_sheet!$A:$H,7,FALSE),VLOOKUP("other",bug_conf_sheet!$A:$H,7,FALSE))</f>
        <v>0</v>
      </c>
      <c r="T225" s="37">
        <f>IFERROR(VLOOKUP($F225,bug_conf_sheet!$A:$H,8,FALSE),VLOOKUP("other",bug_conf_sheet!$A:$H,8,FALSE))</f>
        <v>1</v>
      </c>
    </row>
    <row r="226" spans="1:20" ht="21" customHeight="1">
      <c r="A226" s="7" t="str">
        <f t="shared" si="18"/>
        <v>3001178</v>
      </c>
      <c r="B226" s="2" t="str">
        <f t="shared" si="20"/>
        <v>3001</v>
      </c>
      <c r="C226" s="8" t="str">
        <f t="shared" si="17"/>
        <v>1PremiumN3</v>
      </c>
      <c r="D226" s="8" t="str">
        <f t="shared" si="19"/>
        <v>1PremiumN3</v>
      </c>
      <c r="E226" s="10">
        <v>1</v>
      </c>
      <c r="F226" s="6">
        <v>178</v>
      </c>
      <c r="G226" s="8" t="str">
        <f>VLOOKUP(F226,[1]characters!$A:$C,3,FALSE)</f>
        <v>ケルベロス</v>
      </c>
      <c r="H226" s="8" t="str">
        <f>VLOOKUP(F226,[1]characters!$A:$J,10,FALSE)</f>
        <v>PremiumN</v>
      </c>
      <c r="I226" s="8">
        <f>VLOOKUP(F226,[1]characters!$A:$I,9,FALSE)</f>
        <v>3</v>
      </c>
      <c r="J226" s="8" t="str">
        <f>VLOOKUP(F226,[1]characters!$A:$H,8,FALSE)</f>
        <v>red</v>
      </c>
      <c r="K226" s="8" t="str">
        <f>VLOOKUP(F226,[1]characters!$A:$K,11,FALSE)</f>
        <v>balance</v>
      </c>
      <c r="L226" s="8" t="str">
        <f>VLOOKUP(F226,[1]characters!$A:$M,13,FALSE)</f>
        <v>animal</v>
      </c>
      <c r="M226" s="65"/>
      <c r="N226" s="16">
        <f>VLOOKUP(D226,gacha_300_base!A:B,2,FALSE)</f>
        <v>11167</v>
      </c>
      <c r="O226" s="37">
        <f>IFERROR(VLOOKUP($F226,bug_conf_sheet!$A:$H,3,FALSE),VLOOKUP("other",bug_conf_sheet!$A:$H,3,FALSE))</f>
        <v>1</v>
      </c>
      <c r="P226" s="37">
        <f>IFERROR(VLOOKUP($F226,bug_conf_sheet!$A:$H,4,FALSE),VLOOKUP("other",bug_conf_sheet!$A:$H,4,FALSE))</f>
        <v>0</v>
      </c>
      <c r="Q226" s="37">
        <f>IFERROR(VLOOKUP($F226,bug_conf_sheet!$A:$H,5,FALSE),VLOOKUP("other",bug_conf_sheet!$A:$H,5,FALSE))</f>
        <v>0</v>
      </c>
      <c r="R226" s="37">
        <f>IFERROR(VLOOKUP($F226,bug_conf_sheet!$A:$H,6,FALSE),VLOOKUP("other",bug_conf_sheet!$A:$H,6,FALSE))</f>
        <v>0</v>
      </c>
      <c r="S226" s="37">
        <f>IFERROR(VLOOKUP($F226,bug_conf_sheet!$A:$H,7,FALSE),VLOOKUP("other",bug_conf_sheet!$A:$H,7,FALSE))</f>
        <v>0</v>
      </c>
      <c r="T226" s="37">
        <f>IFERROR(VLOOKUP($F226,bug_conf_sheet!$A:$H,8,FALSE),VLOOKUP("other",bug_conf_sheet!$A:$H,8,FALSE))</f>
        <v>1</v>
      </c>
    </row>
    <row r="227" spans="1:20" ht="21" customHeight="1">
      <c r="A227" s="7" t="str">
        <f t="shared" si="18"/>
        <v>3001179</v>
      </c>
      <c r="B227" s="2" t="str">
        <f t="shared" si="20"/>
        <v>3001</v>
      </c>
      <c r="C227" s="8" t="str">
        <f t="shared" si="17"/>
        <v>1PremiumN4</v>
      </c>
      <c r="D227" s="8" t="str">
        <f t="shared" si="19"/>
        <v>1PremiumN4</v>
      </c>
      <c r="E227" s="10">
        <v>1</v>
      </c>
      <c r="F227" s="6">
        <v>179</v>
      </c>
      <c r="G227" s="8" t="str">
        <f>VLOOKUP(F227,[1]characters!$A:$C,3,FALSE)</f>
        <v>番犬 ケルベロス</v>
      </c>
      <c r="H227" s="8" t="str">
        <f>VLOOKUP(F227,[1]characters!$A:$J,10,FALSE)</f>
        <v>PremiumN</v>
      </c>
      <c r="I227" s="8">
        <f>VLOOKUP(F227,[1]characters!$A:$I,9,FALSE)</f>
        <v>4</v>
      </c>
      <c r="J227" s="8" t="str">
        <f>VLOOKUP(F227,[1]characters!$A:$H,8,FALSE)</f>
        <v>red</v>
      </c>
      <c r="K227" s="8" t="str">
        <f>VLOOKUP(F227,[1]characters!$A:$K,11,FALSE)</f>
        <v>balance</v>
      </c>
      <c r="L227" s="8" t="str">
        <f>VLOOKUP(F227,[1]characters!$A:$M,13,FALSE)</f>
        <v>animal</v>
      </c>
      <c r="M227" s="65"/>
      <c r="N227" s="16">
        <f>VLOOKUP(D227,gacha_300_base!A:B,2,FALSE)</f>
        <v>2616</v>
      </c>
      <c r="O227" s="37">
        <f>IFERROR(VLOOKUP($F227,bug_conf_sheet!$A:$H,3,FALSE),VLOOKUP("other",bug_conf_sheet!$A:$H,3,FALSE))</f>
        <v>1</v>
      </c>
      <c r="P227" s="37">
        <f>IFERROR(VLOOKUP($F227,bug_conf_sheet!$A:$H,4,FALSE),VLOOKUP("other",bug_conf_sheet!$A:$H,4,FALSE))</f>
        <v>0</v>
      </c>
      <c r="Q227" s="37">
        <f>IFERROR(VLOOKUP($F227,bug_conf_sheet!$A:$H,5,FALSE),VLOOKUP("other",bug_conf_sheet!$A:$H,5,FALSE))</f>
        <v>0</v>
      </c>
      <c r="R227" s="37">
        <f>IFERROR(VLOOKUP($F227,bug_conf_sheet!$A:$H,6,FALSE),VLOOKUP("other",bug_conf_sheet!$A:$H,6,FALSE))</f>
        <v>0</v>
      </c>
      <c r="S227" s="37">
        <f>IFERROR(VLOOKUP($F227,bug_conf_sheet!$A:$H,7,FALSE),VLOOKUP("other",bug_conf_sheet!$A:$H,7,FALSE))</f>
        <v>0</v>
      </c>
      <c r="T227" s="37">
        <f>IFERROR(VLOOKUP($F227,bug_conf_sheet!$A:$H,8,FALSE),VLOOKUP("other",bug_conf_sheet!$A:$H,8,FALSE))</f>
        <v>1</v>
      </c>
    </row>
    <row r="228" spans="1:20" ht="21" customHeight="1">
      <c r="A228" s="7" t="str">
        <f t="shared" si="18"/>
        <v>3001180</v>
      </c>
      <c r="B228" s="2" t="str">
        <f t="shared" si="20"/>
        <v>3001</v>
      </c>
      <c r="C228" s="8" t="str">
        <f t="shared" si="17"/>
        <v>1PremiumN5</v>
      </c>
      <c r="D228" s="8" t="str">
        <f t="shared" si="19"/>
        <v>1PremiumN5</v>
      </c>
      <c r="E228" s="10">
        <v>1</v>
      </c>
      <c r="F228" s="6">
        <v>180</v>
      </c>
      <c r="G228" s="8" t="str">
        <f>VLOOKUP(F228,[1]characters!$A:$C,3,FALSE)</f>
        <v>地獄の大門番 ケルベロス</v>
      </c>
      <c r="H228" s="8" t="str">
        <f>VLOOKUP(F228,[1]characters!$A:$J,10,FALSE)</f>
        <v>PremiumN</v>
      </c>
      <c r="I228" s="8">
        <f>VLOOKUP(F228,[1]characters!$A:$I,9,FALSE)</f>
        <v>5</v>
      </c>
      <c r="J228" s="8" t="str">
        <f>VLOOKUP(F228,[1]characters!$A:$H,8,FALSE)</f>
        <v>red</v>
      </c>
      <c r="K228" s="8" t="str">
        <f>VLOOKUP(F228,[1]characters!$A:$K,11,FALSE)</f>
        <v>balance</v>
      </c>
      <c r="L228" s="8" t="str">
        <f>VLOOKUP(F228,[1]characters!$A:$M,13,FALSE)</f>
        <v>animal</v>
      </c>
      <c r="M228" s="65"/>
      <c r="N228" s="16">
        <f>VLOOKUP(D228,gacha_300_base!A:B,2,FALSE)</f>
        <v>911</v>
      </c>
      <c r="O228" s="37">
        <f>IFERROR(VLOOKUP($F228,bug_conf_sheet!$A:$H,3,FALSE),VLOOKUP("other",bug_conf_sheet!$A:$H,3,FALSE))</f>
        <v>1</v>
      </c>
      <c r="P228" s="37">
        <f>IFERROR(VLOOKUP($F228,bug_conf_sheet!$A:$H,4,FALSE),VLOOKUP("other",bug_conf_sheet!$A:$H,4,FALSE))</f>
        <v>0</v>
      </c>
      <c r="Q228" s="37">
        <f>IFERROR(VLOOKUP($F228,bug_conf_sheet!$A:$H,5,FALSE),VLOOKUP("other",bug_conf_sheet!$A:$H,5,FALSE))</f>
        <v>0</v>
      </c>
      <c r="R228" s="37">
        <f>IFERROR(VLOOKUP($F228,bug_conf_sheet!$A:$H,6,FALSE),VLOOKUP("other",bug_conf_sheet!$A:$H,6,FALSE))</f>
        <v>0</v>
      </c>
      <c r="S228" s="37">
        <f>IFERROR(VLOOKUP($F228,bug_conf_sheet!$A:$H,7,FALSE),VLOOKUP("other",bug_conf_sheet!$A:$H,7,FALSE))</f>
        <v>0</v>
      </c>
      <c r="T228" s="37">
        <f>IFERROR(VLOOKUP($F228,bug_conf_sheet!$A:$H,8,FALSE),VLOOKUP("other",bug_conf_sheet!$A:$H,8,FALSE))</f>
        <v>1</v>
      </c>
    </row>
    <row r="229" spans="1:20" ht="21" customHeight="1">
      <c r="A229" s="7" t="str">
        <f t="shared" si="18"/>
        <v>3001181</v>
      </c>
      <c r="B229" s="2" t="str">
        <f t="shared" si="20"/>
        <v>3001</v>
      </c>
      <c r="C229" s="8" t="str">
        <f t="shared" si="17"/>
        <v>1PremiumN3</v>
      </c>
      <c r="D229" s="8" t="str">
        <f t="shared" si="19"/>
        <v>1PremiumN3</v>
      </c>
      <c r="E229" s="10">
        <v>1</v>
      </c>
      <c r="F229" s="6">
        <v>181</v>
      </c>
      <c r="G229" s="8" t="str">
        <f>VLOOKUP(F229,[1]characters!$A:$C,3,FALSE)</f>
        <v>ベヒモス</v>
      </c>
      <c r="H229" s="8" t="str">
        <f>VLOOKUP(F229,[1]characters!$A:$J,10,FALSE)</f>
        <v>PremiumN</v>
      </c>
      <c r="I229" s="8">
        <f>VLOOKUP(F229,[1]characters!$A:$I,9,FALSE)</f>
        <v>3</v>
      </c>
      <c r="J229" s="8" t="str">
        <f>VLOOKUP(F229,[1]characters!$A:$H,8,FALSE)</f>
        <v>green</v>
      </c>
      <c r="K229" s="8" t="str">
        <f>VLOOKUP(F229,[1]characters!$A:$K,11,FALSE)</f>
        <v>hp</v>
      </c>
      <c r="L229" s="8" t="str">
        <f>VLOOKUP(F229,[1]characters!$A:$M,13,FALSE)</f>
        <v>animal</v>
      </c>
      <c r="M229" s="65"/>
      <c r="N229" s="16">
        <f>VLOOKUP(D229,gacha_300_base!A:B,2,FALSE)</f>
        <v>11167</v>
      </c>
      <c r="O229" s="37">
        <f>IFERROR(VLOOKUP($F229,bug_conf_sheet!$A:$H,3,FALSE),VLOOKUP("other",bug_conf_sheet!$A:$H,3,FALSE))</f>
        <v>1</v>
      </c>
      <c r="P229" s="37">
        <f>IFERROR(VLOOKUP($F229,bug_conf_sheet!$A:$H,4,FALSE),VLOOKUP("other",bug_conf_sheet!$A:$H,4,FALSE))</f>
        <v>0</v>
      </c>
      <c r="Q229" s="37">
        <f>IFERROR(VLOOKUP($F229,bug_conf_sheet!$A:$H,5,FALSE),VLOOKUP("other",bug_conf_sheet!$A:$H,5,FALSE))</f>
        <v>0</v>
      </c>
      <c r="R229" s="37">
        <f>IFERROR(VLOOKUP($F229,bug_conf_sheet!$A:$H,6,FALSE),VLOOKUP("other",bug_conf_sheet!$A:$H,6,FALSE))</f>
        <v>0</v>
      </c>
      <c r="S229" s="37">
        <f>IFERROR(VLOOKUP($F229,bug_conf_sheet!$A:$H,7,FALSE),VLOOKUP("other",bug_conf_sheet!$A:$H,7,FALSE))</f>
        <v>0</v>
      </c>
      <c r="T229" s="37">
        <f>IFERROR(VLOOKUP($F229,bug_conf_sheet!$A:$H,8,FALSE),VLOOKUP("other",bug_conf_sheet!$A:$H,8,FALSE))</f>
        <v>1</v>
      </c>
    </row>
    <row r="230" spans="1:20" ht="21" customHeight="1">
      <c r="A230" s="7" t="str">
        <f t="shared" si="18"/>
        <v>3001182</v>
      </c>
      <c r="B230" s="2" t="str">
        <f t="shared" si="20"/>
        <v>3001</v>
      </c>
      <c r="C230" s="8" t="str">
        <f t="shared" si="17"/>
        <v>1PremiumN4</v>
      </c>
      <c r="D230" s="8" t="str">
        <f t="shared" si="19"/>
        <v>1PremiumN4</v>
      </c>
      <c r="E230" s="10">
        <v>1</v>
      </c>
      <c r="F230" s="6">
        <v>182</v>
      </c>
      <c r="G230" s="8" t="str">
        <f>VLOOKUP(F230,[1]characters!$A:$C,3,FALSE)</f>
        <v>放蕩者 ベヒモス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green</v>
      </c>
      <c r="K230" s="8" t="str">
        <f>VLOOKUP(F230,[1]characters!$A:$K,11,FALSE)</f>
        <v>hp</v>
      </c>
      <c r="L230" s="8" t="str">
        <f>VLOOKUP(F230,[1]characters!$A:$M,13,FALSE)</f>
        <v>animal</v>
      </c>
      <c r="M230" s="65"/>
      <c r="N230" s="16">
        <f>VLOOKUP(D230,gacha_300_base!A:B,2,FALSE)</f>
        <v>2616</v>
      </c>
      <c r="O230" s="37">
        <f>IFERROR(VLOOKUP($F230,bug_conf_sheet!$A:$H,3,FALSE),VLOOKUP("other",bug_conf_sheet!$A:$H,3,FALSE))</f>
        <v>1</v>
      </c>
      <c r="P230" s="37">
        <f>IFERROR(VLOOKUP($F230,bug_conf_sheet!$A:$H,4,FALSE),VLOOKUP("other",bug_conf_sheet!$A:$H,4,FALSE))</f>
        <v>0</v>
      </c>
      <c r="Q230" s="37">
        <f>IFERROR(VLOOKUP($F230,bug_conf_sheet!$A:$H,5,FALSE),VLOOKUP("other",bug_conf_sheet!$A:$H,5,FALSE))</f>
        <v>0</v>
      </c>
      <c r="R230" s="37">
        <f>IFERROR(VLOOKUP($F230,bug_conf_sheet!$A:$H,6,FALSE),VLOOKUP("other",bug_conf_sheet!$A:$H,6,FALSE))</f>
        <v>0</v>
      </c>
      <c r="S230" s="37">
        <f>IFERROR(VLOOKUP($F230,bug_conf_sheet!$A:$H,7,FALSE),VLOOKUP("other",bug_conf_sheet!$A:$H,7,FALSE))</f>
        <v>0</v>
      </c>
      <c r="T230" s="37">
        <f>IFERROR(VLOOKUP($F230,bug_conf_sheet!$A:$H,8,FALSE),VLOOKUP("other",bug_conf_sheet!$A:$H,8,FALSE))</f>
        <v>1</v>
      </c>
    </row>
    <row r="231" spans="1:20" ht="21" customHeight="1">
      <c r="A231" s="7" t="str">
        <f t="shared" si="18"/>
        <v>3001183</v>
      </c>
      <c r="B231" s="2" t="str">
        <f t="shared" si="20"/>
        <v>3001</v>
      </c>
      <c r="C231" s="8" t="str">
        <f t="shared" si="17"/>
        <v>1PremiumN5</v>
      </c>
      <c r="D231" s="8" t="str">
        <f t="shared" si="19"/>
        <v>1PremiumN5</v>
      </c>
      <c r="E231" s="10">
        <v>1</v>
      </c>
      <c r="F231" s="6">
        <v>183</v>
      </c>
      <c r="G231" s="8" t="str">
        <f>VLOOKUP(F231,[1]characters!$A:$C,3,FALSE)</f>
        <v>鈍重な彷徨者 ベヒモス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green</v>
      </c>
      <c r="K231" s="8" t="str">
        <f>VLOOKUP(F231,[1]characters!$A:$K,11,FALSE)</f>
        <v>hp</v>
      </c>
      <c r="L231" s="8" t="str">
        <f>VLOOKUP(F231,[1]characters!$A:$M,13,FALSE)</f>
        <v>animal</v>
      </c>
      <c r="M231" s="65"/>
      <c r="N231" s="16">
        <f>VLOOKUP(D231,gacha_300_base!A:B,2,FALSE)</f>
        <v>911</v>
      </c>
      <c r="O231" s="37">
        <f>IFERROR(VLOOKUP($F231,bug_conf_sheet!$A:$H,3,FALSE),VLOOKUP("other",bug_conf_sheet!$A:$H,3,FALSE))</f>
        <v>1</v>
      </c>
      <c r="P231" s="37">
        <f>IFERROR(VLOOKUP($F231,bug_conf_sheet!$A:$H,4,FALSE),VLOOKUP("other",bug_conf_sheet!$A:$H,4,FALSE))</f>
        <v>0</v>
      </c>
      <c r="Q231" s="37">
        <f>IFERROR(VLOOKUP($F231,bug_conf_sheet!$A:$H,5,FALSE),VLOOKUP("other",bug_conf_sheet!$A:$H,5,FALSE))</f>
        <v>0</v>
      </c>
      <c r="R231" s="37">
        <f>IFERROR(VLOOKUP($F231,bug_conf_sheet!$A:$H,6,FALSE),VLOOKUP("other",bug_conf_sheet!$A:$H,6,FALSE))</f>
        <v>0</v>
      </c>
      <c r="S231" s="37">
        <f>IFERROR(VLOOKUP($F231,bug_conf_sheet!$A:$H,7,FALSE),VLOOKUP("other",bug_conf_sheet!$A:$H,7,FALSE))</f>
        <v>0</v>
      </c>
      <c r="T231" s="37">
        <f>IFERROR(VLOOKUP($F231,bug_conf_sheet!$A:$H,8,FALSE),VLOOKUP("other",bug_conf_sheet!$A:$H,8,FALSE))</f>
        <v>1</v>
      </c>
    </row>
    <row r="232" spans="1:20" ht="21" customHeight="1">
      <c r="A232" s="7" t="str">
        <f t="shared" si="18"/>
        <v>3001184</v>
      </c>
      <c r="B232" s="2" t="str">
        <f t="shared" si="20"/>
        <v>3001</v>
      </c>
      <c r="C232" s="8" t="str">
        <f t="shared" si="17"/>
        <v>1PremiumN3</v>
      </c>
      <c r="D232" s="8" t="str">
        <f t="shared" si="19"/>
        <v>1PremiumN3</v>
      </c>
      <c r="E232" s="10">
        <v>1</v>
      </c>
      <c r="F232" s="6">
        <v>184</v>
      </c>
      <c r="G232" s="8" t="str">
        <f>VLOOKUP(F232,[1]characters!$A:$C,3,FALSE)</f>
        <v>クラーケン</v>
      </c>
      <c r="H232" s="8" t="str">
        <f>VLOOKUP(F232,[1]characters!$A:$J,10,FALSE)</f>
        <v>PremiumN</v>
      </c>
      <c r="I232" s="8">
        <f>VLOOKUP(F232,[1]characters!$A:$I,9,FALSE)</f>
        <v>3</v>
      </c>
      <c r="J232" s="8" t="str">
        <f>VLOOKUP(F232,[1]characters!$A:$H,8,FALSE)</f>
        <v>blue</v>
      </c>
      <c r="K232" s="8" t="str">
        <f>VLOOKUP(F232,[1]characters!$A:$K,11,FALSE)</f>
        <v>heal</v>
      </c>
      <c r="L232" s="8" t="str">
        <f>VLOOKUP(F232,[1]characters!$A:$M,13,FALSE)</f>
        <v>animal</v>
      </c>
      <c r="M232" s="65"/>
      <c r="N232" s="16">
        <f>VLOOKUP(D232,gacha_300_base!A:B,2,FALSE)</f>
        <v>11167</v>
      </c>
      <c r="O232" s="37">
        <f>IFERROR(VLOOKUP($F232,bug_conf_sheet!$A:$H,3,FALSE),VLOOKUP("other",bug_conf_sheet!$A:$H,3,FALSE))</f>
        <v>1</v>
      </c>
      <c r="P232" s="37">
        <f>IFERROR(VLOOKUP($F232,bug_conf_sheet!$A:$H,4,FALSE),VLOOKUP("other",bug_conf_sheet!$A:$H,4,FALSE))</f>
        <v>0</v>
      </c>
      <c r="Q232" s="37">
        <f>IFERROR(VLOOKUP($F232,bug_conf_sheet!$A:$H,5,FALSE),VLOOKUP("other",bug_conf_sheet!$A:$H,5,FALSE))</f>
        <v>0</v>
      </c>
      <c r="R232" s="37">
        <f>IFERROR(VLOOKUP($F232,bug_conf_sheet!$A:$H,6,FALSE),VLOOKUP("other",bug_conf_sheet!$A:$H,6,FALSE))</f>
        <v>0</v>
      </c>
      <c r="S232" s="37">
        <f>IFERROR(VLOOKUP($F232,bug_conf_sheet!$A:$H,7,FALSE),VLOOKUP("other",bug_conf_sheet!$A:$H,7,FALSE))</f>
        <v>0</v>
      </c>
      <c r="T232" s="37">
        <f>IFERROR(VLOOKUP($F232,bug_conf_sheet!$A:$H,8,FALSE),VLOOKUP("other",bug_conf_sheet!$A:$H,8,FALSE))</f>
        <v>1</v>
      </c>
    </row>
    <row r="233" spans="1:20" ht="21" customHeight="1">
      <c r="A233" s="7" t="str">
        <f t="shared" si="18"/>
        <v>3001185</v>
      </c>
      <c r="B233" s="2" t="str">
        <f t="shared" si="20"/>
        <v>3001</v>
      </c>
      <c r="C233" s="8" t="str">
        <f t="shared" si="17"/>
        <v>1PremiumN4</v>
      </c>
      <c r="D233" s="8" t="str">
        <f t="shared" si="19"/>
        <v>1PremiumN4</v>
      </c>
      <c r="E233" s="10">
        <v>1</v>
      </c>
      <c r="F233" s="6">
        <v>185</v>
      </c>
      <c r="G233" s="8" t="str">
        <f>VLOOKUP(F233,[1]characters!$A:$C,3,FALSE)</f>
        <v>海姫 クラーケン</v>
      </c>
      <c r="H233" s="8" t="str">
        <f>VLOOKUP(F233,[1]characters!$A:$J,10,FALSE)</f>
        <v>PremiumN</v>
      </c>
      <c r="I233" s="8">
        <f>VLOOKUP(F233,[1]characters!$A:$I,9,FALSE)</f>
        <v>4</v>
      </c>
      <c r="J233" s="8" t="str">
        <f>VLOOKUP(F233,[1]characters!$A:$H,8,FALSE)</f>
        <v>blue</v>
      </c>
      <c r="K233" s="8" t="str">
        <f>VLOOKUP(F233,[1]characters!$A:$K,11,FALSE)</f>
        <v>heal</v>
      </c>
      <c r="L233" s="8" t="str">
        <f>VLOOKUP(F233,[1]characters!$A:$M,13,FALSE)</f>
        <v>animal</v>
      </c>
      <c r="M233" s="65"/>
      <c r="N233" s="16">
        <f>VLOOKUP(D233,gacha_300_base!A:B,2,FALSE)</f>
        <v>2616</v>
      </c>
      <c r="O233" s="37">
        <f>IFERROR(VLOOKUP($F233,bug_conf_sheet!$A:$H,3,FALSE),VLOOKUP("other",bug_conf_sheet!$A:$H,3,FALSE))</f>
        <v>1</v>
      </c>
      <c r="P233" s="37">
        <f>IFERROR(VLOOKUP($F233,bug_conf_sheet!$A:$H,4,FALSE),VLOOKUP("other",bug_conf_sheet!$A:$H,4,FALSE))</f>
        <v>0</v>
      </c>
      <c r="Q233" s="37">
        <f>IFERROR(VLOOKUP($F233,bug_conf_sheet!$A:$H,5,FALSE),VLOOKUP("other",bug_conf_sheet!$A:$H,5,FALSE))</f>
        <v>0</v>
      </c>
      <c r="R233" s="37">
        <f>IFERROR(VLOOKUP($F233,bug_conf_sheet!$A:$H,6,FALSE),VLOOKUP("other",bug_conf_sheet!$A:$H,6,FALSE))</f>
        <v>0</v>
      </c>
      <c r="S233" s="37">
        <f>IFERROR(VLOOKUP($F233,bug_conf_sheet!$A:$H,7,FALSE),VLOOKUP("other",bug_conf_sheet!$A:$H,7,FALSE))</f>
        <v>0</v>
      </c>
      <c r="T233" s="37">
        <f>IFERROR(VLOOKUP($F233,bug_conf_sheet!$A:$H,8,FALSE),VLOOKUP("other",bug_conf_sheet!$A:$H,8,FALSE))</f>
        <v>1</v>
      </c>
    </row>
    <row r="234" spans="1:20" ht="21" customHeight="1">
      <c r="A234" s="7" t="str">
        <f t="shared" si="18"/>
        <v>3001186</v>
      </c>
      <c r="B234" s="2" t="str">
        <f t="shared" si="20"/>
        <v>3001</v>
      </c>
      <c r="C234" s="8" t="str">
        <f t="shared" si="17"/>
        <v>1PremiumN5</v>
      </c>
      <c r="D234" s="8" t="str">
        <f t="shared" si="19"/>
        <v>1PremiumN5</v>
      </c>
      <c r="E234" s="10">
        <v>1</v>
      </c>
      <c r="F234" s="9">
        <v>186</v>
      </c>
      <c r="G234" s="8" t="str">
        <f>VLOOKUP(F234,[1]characters!$A:$C,3,FALSE)</f>
        <v>誇り高き多触姫・クラーケン</v>
      </c>
      <c r="H234" s="8" t="str">
        <f>VLOOKUP(F234,[1]characters!$A:$J,10,FALSE)</f>
        <v>PremiumN</v>
      </c>
      <c r="I234" s="8">
        <f>VLOOKUP(F234,[1]characters!$A:$I,9,FALSE)</f>
        <v>5</v>
      </c>
      <c r="J234" s="8" t="str">
        <f>VLOOKUP(F234,[1]characters!$A:$H,8,FALSE)</f>
        <v>blue</v>
      </c>
      <c r="K234" s="8" t="str">
        <f>VLOOKUP(F234,[1]characters!$A:$K,11,FALSE)</f>
        <v>heal</v>
      </c>
      <c r="L234" s="8" t="str">
        <f>VLOOKUP(F234,[1]characters!$A:$M,13,FALSE)</f>
        <v>animal</v>
      </c>
      <c r="M234" s="65"/>
      <c r="N234" s="16">
        <f>VLOOKUP(D234,gacha_300_base!A:B,2,FALSE)</f>
        <v>911</v>
      </c>
      <c r="O234" s="37">
        <f>IFERROR(VLOOKUP($F234,bug_conf_sheet!$A:$H,3,FALSE),VLOOKUP("other",bug_conf_sheet!$A:$H,3,FALSE))</f>
        <v>1</v>
      </c>
      <c r="P234" s="37">
        <f>IFERROR(VLOOKUP($F234,bug_conf_sheet!$A:$H,4,FALSE),VLOOKUP("other",bug_conf_sheet!$A:$H,4,FALSE))</f>
        <v>0</v>
      </c>
      <c r="Q234" s="37">
        <f>IFERROR(VLOOKUP($F234,bug_conf_sheet!$A:$H,5,FALSE),VLOOKUP("other",bug_conf_sheet!$A:$H,5,FALSE))</f>
        <v>0</v>
      </c>
      <c r="R234" s="37">
        <f>IFERROR(VLOOKUP($F234,bug_conf_sheet!$A:$H,6,FALSE),VLOOKUP("other",bug_conf_sheet!$A:$H,6,FALSE))</f>
        <v>0</v>
      </c>
      <c r="S234" s="37">
        <f>IFERROR(VLOOKUP($F234,bug_conf_sheet!$A:$H,7,FALSE),VLOOKUP("other",bug_conf_sheet!$A:$H,7,FALSE))</f>
        <v>0</v>
      </c>
      <c r="T234" s="37">
        <f>IFERROR(VLOOKUP($F234,bug_conf_sheet!$A:$H,8,FALSE),VLOOKUP("other",bug_conf_sheet!$A:$H,8,FALSE))</f>
        <v>1</v>
      </c>
    </row>
    <row r="235" spans="1:20" ht="21" customHeight="1">
      <c r="A235" s="7" t="str">
        <f t="shared" si="18"/>
        <v>3001187</v>
      </c>
      <c r="B235" s="2" t="str">
        <f t="shared" si="20"/>
        <v>3001</v>
      </c>
      <c r="C235" s="8" t="str">
        <f t="shared" si="17"/>
        <v>1PremiumN3</v>
      </c>
      <c r="D235" s="8" t="str">
        <f t="shared" si="19"/>
        <v>1PremiumN3</v>
      </c>
      <c r="E235" s="10">
        <v>1</v>
      </c>
      <c r="F235" s="9">
        <v>187</v>
      </c>
      <c r="G235" s="8" t="str">
        <f>VLOOKUP(F235,[1]characters!$A:$C,3,FALSE)</f>
        <v>ホルス</v>
      </c>
      <c r="H235" s="8" t="str">
        <f>VLOOKUP(F235,[1]characters!$A:$J,10,FALSE)</f>
        <v>PremiumN</v>
      </c>
      <c r="I235" s="8">
        <f>VLOOKUP(F235,[1]characters!$A:$I,9,FALSE)</f>
        <v>3</v>
      </c>
      <c r="J235" s="8" t="str">
        <f>VLOOKUP(F235,[1]characters!$A:$H,8,FALSE)</f>
        <v>yellow</v>
      </c>
      <c r="K235" s="8" t="str">
        <f>VLOOKUP(F235,[1]characters!$A:$K,11,FALSE)</f>
        <v>attack</v>
      </c>
      <c r="L235" s="8" t="str">
        <f>VLOOKUP(F235,[1]characters!$A:$M,13,FALSE)</f>
        <v>animal</v>
      </c>
      <c r="M235" s="65"/>
      <c r="N235" s="16">
        <f>VLOOKUP(D235,gacha_300_base!A:B,2,FALSE)</f>
        <v>11167</v>
      </c>
      <c r="O235" s="37">
        <f>IFERROR(VLOOKUP($F235,bug_conf_sheet!$A:$H,3,FALSE),VLOOKUP("other",bug_conf_sheet!$A:$H,3,FALSE))</f>
        <v>1</v>
      </c>
      <c r="P235" s="37">
        <f>IFERROR(VLOOKUP($F235,bug_conf_sheet!$A:$H,4,FALSE),VLOOKUP("other",bug_conf_sheet!$A:$H,4,FALSE))</f>
        <v>0</v>
      </c>
      <c r="Q235" s="37">
        <f>IFERROR(VLOOKUP($F235,bug_conf_sheet!$A:$H,5,FALSE),VLOOKUP("other",bug_conf_sheet!$A:$H,5,FALSE))</f>
        <v>0</v>
      </c>
      <c r="R235" s="37">
        <f>IFERROR(VLOOKUP($F235,bug_conf_sheet!$A:$H,6,FALSE),VLOOKUP("other",bug_conf_sheet!$A:$H,6,FALSE))</f>
        <v>0</v>
      </c>
      <c r="S235" s="37">
        <f>IFERROR(VLOOKUP($F235,bug_conf_sheet!$A:$H,7,FALSE),VLOOKUP("other",bug_conf_sheet!$A:$H,7,FALSE))</f>
        <v>0</v>
      </c>
      <c r="T235" s="37">
        <f>IFERROR(VLOOKUP($F235,bug_conf_sheet!$A:$H,8,FALSE),VLOOKUP("other",bug_conf_sheet!$A:$H,8,FALSE))</f>
        <v>1</v>
      </c>
    </row>
    <row r="236" spans="1:20" ht="21" customHeight="1">
      <c r="A236" s="7" t="str">
        <f t="shared" si="18"/>
        <v>3001188</v>
      </c>
      <c r="B236" s="2" t="str">
        <f t="shared" si="20"/>
        <v>3001</v>
      </c>
      <c r="C236" s="8" t="str">
        <f t="shared" si="17"/>
        <v>1PremiumN4</v>
      </c>
      <c r="D236" s="8" t="str">
        <f t="shared" si="19"/>
        <v>1PremiumN4</v>
      </c>
      <c r="E236" s="10">
        <v>1</v>
      </c>
      <c r="F236" s="9">
        <v>188</v>
      </c>
      <c r="G236" s="8" t="str">
        <f>VLOOKUP(F236,[1]characters!$A:$C,3,FALSE)</f>
        <v>猛禽 ホルス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yellow</v>
      </c>
      <c r="K236" s="8" t="str">
        <f>VLOOKUP(F236,[1]characters!$A:$K,11,FALSE)</f>
        <v>attack</v>
      </c>
      <c r="L236" s="8" t="str">
        <f>VLOOKUP(F236,[1]characters!$A:$M,13,FALSE)</f>
        <v>animal</v>
      </c>
      <c r="M236" s="65"/>
      <c r="N236" s="16">
        <f>VLOOKUP(D236,gacha_300_base!A:B,2,FALSE)</f>
        <v>2616</v>
      </c>
      <c r="O236" s="37">
        <f>IFERROR(VLOOKUP($F236,bug_conf_sheet!$A:$H,3,FALSE),VLOOKUP("other",bug_conf_sheet!$A:$H,3,FALSE))</f>
        <v>1</v>
      </c>
      <c r="P236" s="37">
        <f>IFERROR(VLOOKUP($F236,bug_conf_sheet!$A:$H,4,FALSE),VLOOKUP("other",bug_conf_sheet!$A:$H,4,FALSE))</f>
        <v>0</v>
      </c>
      <c r="Q236" s="37">
        <f>IFERROR(VLOOKUP($F236,bug_conf_sheet!$A:$H,5,FALSE),VLOOKUP("other",bug_conf_sheet!$A:$H,5,FALSE))</f>
        <v>0</v>
      </c>
      <c r="R236" s="37">
        <f>IFERROR(VLOOKUP($F236,bug_conf_sheet!$A:$H,6,FALSE),VLOOKUP("other",bug_conf_sheet!$A:$H,6,FALSE))</f>
        <v>0</v>
      </c>
      <c r="S236" s="37">
        <f>IFERROR(VLOOKUP($F236,bug_conf_sheet!$A:$H,7,FALSE),VLOOKUP("other",bug_conf_sheet!$A:$H,7,FALSE))</f>
        <v>0</v>
      </c>
      <c r="T236" s="37">
        <f>IFERROR(VLOOKUP($F236,bug_conf_sheet!$A:$H,8,FALSE),VLOOKUP("other",bug_conf_sheet!$A:$H,8,FALSE))</f>
        <v>1</v>
      </c>
    </row>
    <row r="237" spans="1:20" ht="21" customHeight="1">
      <c r="A237" s="7" t="str">
        <f t="shared" si="18"/>
        <v>3001189</v>
      </c>
      <c r="B237" s="2" t="str">
        <f t="shared" si="20"/>
        <v>3001</v>
      </c>
      <c r="C237" s="8" t="str">
        <f t="shared" si="17"/>
        <v>1PremiumN5</v>
      </c>
      <c r="D237" s="8" t="str">
        <f t="shared" si="19"/>
        <v>1PremiumN5</v>
      </c>
      <c r="E237" s="10">
        <v>1</v>
      </c>
      <c r="F237" s="9">
        <v>189</v>
      </c>
      <c r="G237" s="8" t="str">
        <f>VLOOKUP(F237,[1]characters!$A:$C,3,FALSE)</f>
        <v>迅雷の王禽 ホルス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yellow</v>
      </c>
      <c r="K237" s="8" t="str">
        <f>VLOOKUP(F237,[1]characters!$A:$K,11,FALSE)</f>
        <v>attack</v>
      </c>
      <c r="L237" s="8" t="str">
        <f>VLOOKUP(F237,[1]characters!$A:$M,13,FALSE)</f>
        <v>animal</v>
      </c>
      <c r="M237" s="65"/>
      <c r="N237" s="16">
        <f>VLOOKUP(D237,gacha_300_base!A:B,2,FALSE)</f>
        <v>911</v>
      </c>
      <c r="O237" s="37">
        <f>IFERROR(VLOOKUP($F237,bug_conf_sheet!$A:$H,3,FALSE),VLOOKUP("other",bug_conf_sheet!$A:$H,3,FALSE))</f>
        <v>1</v>
      </c>
      <c r="P237" s="37">
        <f>IFERROR(VLOOKUP($F237,bug_conf_sheet!$A:$H,4,FALSE),VLOOKUP("other",bug_conf_sheet!$A:$H,4,FALSE))</f>
        <v>0</v>
      </c>
      <c r="Q237" s="37">
        <f>IFERROR(VLOOKUP($F237,bug_conf_sheet!$A:$H,5,FALSE),VLOOKUP("other",bug_conf_sheet!$A:$H,5,FALSE))</f>
        <v>0</v>
      </c>
      <c r="R237" s="37">
        <f>IFERROR(VLOOKUP($F237,bug_conf_sheet!$A:$H,6,FALSE),VLOOKUP("other",bug_conf_sheet!$A:$H,6,FALSE))</f>
        <v>0</v>
      </c>
      <c r="S237" s="37">
        <f>IFERROR(VLOOKUP($F237,bug_conf_sheet!$A:$H,7,FALSE),VLOOKUP("other",bug_conf_sheet!$A:$H,7,FALSE))</f>
        <v>0</v>
      </c>
      <c r="T237" s="37">
        <f>IFERROR(VLOOKUP($F237,bug_conf_sheet!$A:$H,8,FALSE),VLOOKUP("other",bug_conf_sheet!$A:$H,8,FALSE))</f>
        <v>1</v>
      </c>
    </row>
    <row r="238" spans="1:20" s="11" customFormat="1" ht="21" customHeight="1" thickBot="1">
      <c r="A238" s="7" t="str">
        <f t="shared" si="18"/>
        <v>3001190</v>
      </c>
      <c r="B238" s="2" t="str">
        <f t="shared" si="20"/>
        <v>3001</v>
      </c>
      <c r="C238" s="8" t="str">
        <f t="shared" ref="C238:C301" si="21">E238&amp;H238&amp;I238</f>
        <v>1PremiumN3</v>
      </c>
      <c r="D238" s="8" t="str">
        <f t="shared" si="19"/>
        <v>1PremiumN3</v>
      </c>
      <c r="E238" s="10">
        <v>1</v>
      </c>
      <c r="F238" s="6">
        <v>190</v>
      </c>
      <c r="G238" s="8" t="str">
        <f>VLOOKUP(F238,[1]characters!$A:$C,3,FALSE)</f>
        <v>卑弥呼</v>
      </c>
      <c r="H238" s="8" t="str">
        <f>VLOOKUP(F238,[1]characters!$A:$J,10,FALSE)</f>
        <v>PremiumN</v>
      </c>
      <c r="I238" s="8">
        <f>VLOOKUP(F238,[1]characters!$A:$I,9,FALSE)</f>
        <v>3</v>
      </c>
      <c r="J238" s="8" t="str">
        <f>VLOOKUP(F238,[1]characters!$A:$H,8,FALSE)</f>
        <v>red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65"/>
      <c r="N238" s="16">
        <f>VLOOKUP(D238,gacha_300_base!A:B,2,FALSE)</f>
        <v>11167</v>
      </c>
      <c r="O238" s="37">
        <f>IFERROR(VLOOKUP($F238,bug_conf_sheet!$A:$H,3,FALSE),VLOOKUP("other",bug_conf_sheet!$A:$H,3,FALSE))</f>
        <v>1</v>
      </c>
      <c r="P238" s="37">
        <f>IFERROR(VLOOKUP($F238,bug_conf_sheet!$A:$H,4,FALSE),VLOOKUP("other",bug_conf_sheet!$A:$H,4,FALSE))</f>
        <v>0</v>
      </c>
      <c r="Q238" s="37">
        <f>IFERROR(VLOOKUP($F238,bug_conf_sheet!$A:$H,5,FALSE),VLOOKUP("other",bug_conf_sheet!$A:$H,5,FALSE))</f>
        <v>0</v>
      </c>
      <c r="R238" s="37">
        <f>IFERROR(VLOOKUP($F238,bug_conf_sheet!$A:$H,6,FALSE),VLOOKUP("other",bug_conf_sheet!$A:$H,6,FALSE))</f>
        <v>0</v>
      </c>
      <c r="S238" s="37">
        <f>IFERROR(VLOOKUP($F238,bug_conf_sheet!$A:$H,7,FALSE),VLOOKUP("other",bug_conf_sheet!$A:$H,7,FALSE))</f>
        <v>0</v>
      </c>
      <c r="T238" s="37">
        <f>IFERROR(VLOOKUP($F238,bug_conf_sheet!$A:$H,8,FALSE),VLOOKUP("other",bug_conf_sheet!$A:$H,8,FALSE))</f>
        <v>1</v>
      </c>
    </row>
    <row r="239" spans="1:20" ht="21" customHeight="1">
      <c r="A239" s="7" t="str">
        <f t="shared" ref="A239:A302" si="22">B239&amp;F239</f>
        <v>3001191</v>
      </c>
      <c r="B239" s="2" t="str">
        <f t="shared" si="20"/>
        <v>3001</v>
      </c>
      <c r="C239" s="8" t="str">
        <f t="shared" si="21"/>
        <v>1PremiumN4</v>
      </c>
      <c r="D239" s="8" t="str">
        <f t="shared" si="19"/>
        <v>1PremiumN4</v>
      </c>
      <c r="E239" s="10">
        <v>1</v>
      </c>
      <c r="F239" s="6">
        <v>191</v>
      </c>
      <c r="G239" s="8" t="str">
        <f>VLOOKUP(F239,[1]characters!$A:$C,3,FALSE)</f>
        <v>始祖 卑弥呼</v>
      </c>
      <c r="H239" s="8" t="str">
        <f>VLOOKUP(F239,[1]characters!$A:$J,10,FALSE)</f>
        <v>PremiumN</v>
      </c>
      <c r="I239" s="8">
        <f>VLOOKUP(F239,[1]characters!$A:$I,9,FALSE)</f>
        <v>4</v>
      </c>
      <c r="J239" s="8" t="str">
        <f>VLOOKUP(F239,[1]characters!$A:$H,8,FALSE)</f>
        <v>red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65"/>
      <c r="N239" s="16">
        <f>VLOOKUP(D239,gacha_300_base!A:B,2,FALSE)</f>
        <v>2616</v>
      </c>
      <c r="O239" s="37">
        <f>IFERROR(VLOOKUP($F239,bug_conf_sheet!$A:$H,3,FALSE),VLOOKUP("other",bug_conf_sheet!$A:$H,3,FALSE))</f>
        <v>1</v>
      </c>
      <c r="P239" s="37">
        <f>IFERROR(VLOOKUP($F239,bug_conf_sheet!$A:$H,4,FALSE),VLOOKUP("other",bug_conf_sheet!$A:$H,4,FALSE))</f>
        <v>0</v>
      </c>
      <c r="Q239" s="37">
        <f>IFERROR(VLOOKUP($F239,bug_conf_sheet!$A:$H,5,FALSE),VLOOKUP("other",bug_conf_sheet!$A:$H,5,FALSE))</f>
        <v>0</v>
      </c>
      <c r="R239" s="37">
        <f>IFERROR(VLOOKUP($F239,bug_conf_sheet!$A:$H,6,FALSE),VLOOKUP("other",bug_conf_sheet!$A:$H,6,FALSE))</f>
        <v>0</v>
      </c>
      <c r="S239" s="37">
        <f>IFERROR(VLOOKUP($F239,bug_conf_sheet!$A:$H,7,FALSE),VLOOKUP("other",bug_conf_sheet!$A:$H,7,FALSE))</f>
        <v>0</v>
      </c>
      <c r="T239" s="37">
        <f>IFERROR(VLOOKUP($F239,bug_conf_sheet!$A:$H,8,FALSE),VLOOKUP("other",bug_conf_sheet!$A:$H,8,FALSE))</f>
        <v>1</v>
      </c>
    </row>
    <row r="240" spans="1:20" ht="21" customHeight="1">
      <c r="A240" s="7" t="str">
        <f t="shared" si="22"/>
        <v>3001192</v>
      </c>
      <c r="B240" s="2" t="str">
        <f t="shared" si="20"/>
        <v>3001</v>
      </c>
      <c r="C240" s="8" t="str">
        <f t="shared" si="21"/>
        <v>1PremiumN5</v>
      </c>
      <c r="D240" s="8" t="str">
        <f t="shared" si="19"/>
        <v>1PremiumN5</v>
      </c>
      <c r="E240" s="10">
        <v>1</v>
      </c>
      <c r="F240" s="6">
        <v>192</v>
      </c>
      <c r="G240" s="8" t="str">
        <f>VLOOKUP(F240,[1]characters!$A:$C,3,FALSE)</f>
        <v>荘厳なる始祖帝 卑弥呼</v>
      </c>
      <c r="H240" s="8" t="str">
        <f>VLOOKUP(F240,[1]characters!$A:$J,10,FALSE)</f>
        <v>PremiumN</v>
      </c>
      <c r="I240" s="8">
        <f>VLOOKUP(F240,[1]characters!$A:$I,9,FALSE)</f>
        <v>5</v>
      </c>
      <c r="J240" s="8" t="str">
        <f>VLOOKUP(F240,[1]characters!$A:$H,8,FALSE)</f>
        <v>red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65"/>
      <c r="N240" s="16">
        <f>VLOOKUP(D240,gacha_300_base!A:B,2,FALSE)</f>
        <v>911</v>
      </c>
      <c r="O240" s="37">
        <f>IFERROR(VLOOKUP($F240,bug_conf_sheet!$A:$H,3,FALSE),VLOOKUP("other",bug_conf_sheet!$A:$H,3,FALSE))</f>
        <v>1</v>
      </c>
      <c r="P240" s="37">
        <f>IFERROR(VLOOKUP($F240,bug_conf_sheet!$A:$H,4,FALSE),VLOOKUP("other",bug_conf_sheet!$A:$H,4,FALSE))</f>
        <v>0</v>
      </c>
      <c r="Q240" s="37">
        <f>IFERROR(VLOOKUP($F240,bug_conf_sheet!$A:$H,5,FALSE),VLOOKUP("other",bug_conf_sheet!$A:$H,5,FALSE))</f>
        <v>0</v>
      </c>
      <c r="R240" s="37">
        <f>IFERROR(VLOOKUP($F240,bug_conf_sheet!$A:$H,6,FALSE),VLOOKUP("other",bug_conf_sheet!$A:$H,6,FALSE))</f>
        <v>0</v>
      </c>
      <c r="S240" s="37">
        <f>IFERROR(VLOOKUP($F240,bug_conf_sheet!$A:$H,7,FALSE),VLOOKUP("other",bug_conf_sheet!$A:$H,7,FALSE))</f>
        <v>0</v>
      </c>
      <c r="T240" s="37">
        <f>IFERROR(VLOOKUP($F240,bug_conf_sheet!$A:$H,8,FALSE),VLOOKUP("other",bug_conf_sheet!$A:$H,8,FALSE))</f>
        <v>1</v>
      </c>
    </row>
    <row r="241" spans="1:20" ht="21" customHeight="1">
      <c r="A241" s="7" t="str">
        <f t="shared" si="22"/>
        <v>3001193</v>
      </c>
      <c r="B241" s="2" t="str">
        <f t="shared" si="20"/>
        <v>3001</v>
      </c>
      <c r="C241" s="8" t="str">
        <f t="shared" si="21"/>
        <v>1PremiumN3</v>
      </c>
      <c r="D241" s="8" t="str">
        <f t="shared" si="19"/>
        <v>1PremiumN3</v>
      </c>
      <c r="E241" s="10">
        <v>1</v>
      </c>
      <c r="F241" s="6">
        <v>193</v>
      </c>
      <c r="G241" s="8" t="str">
        <f>VLOOKUP(F241,[1]characters!$A:$C,3,FALSE)</f>
        <v>ロビンフッド</v>
      </c>
      <c r="H241" s="8" t="str">
        <f>VLOOKUP(F241,[1]characters!$A:$J,10,FALSE)</f>
        <v>PremiumN</v>
      </c>
      <c r="I241" s="8">
        <f>VLOOKUP(F241,[1]characters!$A:$I,9,FALSE)</f>
        <v>3</v>
      </c>
      <c r="J241" s="8" t="str">
        <f>VLOOKUP(F241,[1]characters!$A:$H,8,FALSE)</f>
        <v>green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65"/>
      <c r="N241" s="16">
        <f>VLOOKUP(D241,gacha_300_base!A:B,2,FALSE)</f>
        <v>11167</v>
      </c>
      <c r="O241" s="37">
        <f>IFERROR(VLOOKUP($F241,bug_conf_sheet!$A:$H,3,FALSE),VLOOKUP("other",bug_conf_sheet!$A:$H,3,FALSE))</f>
        <v>1</v>
      </c>
      <c r="P241" s="37">
        <f>IFERROR(VLOOKUP($F241,bug_conf_sheet!$A:$H,4,FALSE),VLOOKUP("other",bug_conf_sheet!$A:$H,4,FALSE))</f>
        <v>0</v>
      </c>
      <c r="Q241" s="37">
        <f>IFERROR(VLOOKUP($F241,bug_conf_sheet!$A:$H,5,FALSE),VLOOKUP("other",bug_conf_sheet!$A:$H,5,FALSE))</f>
        <v>0</v>
      </c>
      <c r="R241" s="37">
        <f>IFERROR(VLOOKUP($F241,bug_conf_sheet!$A:$H,6,FALSE),VLOOKUP("other",bug_conf_sheet!$A:$H,6,FALSE))</f>
        <v>0</v>
      </c>
      <c r="S241" s="37">
        <f>IFERROR(VLOOKUP($F241,bug_conf_sheet!$A:$H,7,FALSE),VLOOKUP("other",bug_conf_sheet!$A:$H,7,FALSE))</f>
        <v>0</v>
      </c>
      <c r="T241" s="37">
        <f>IFERROR(VLOOKUP($F241,bug_conf_sheet!$A:$H,8,FALSE),VLOOKUP("other",bug_conf_sheet!$A:$H,8,FALSE))</f>
        <v>1</v>
      </c>
    </row>
    <row r="242" spans="1:20" ht="21" customHeight="1">
      <c r="A242" s="7" t="str">
        <f t="shared" si="22"/>
        <v>3001194</v>
      </c>
      <c r="B242" s="2" t="str">
        <f t="shared" si="20"/>
        <v>3001</v>
      </c>
      <c r="C242" s="8" t="str">
        <f t="shared" si="21"/>
        <v>1PremiumN4</v>
      </c>
      <c r="D242" s="8" t="str">
        <f t="shared" si="19"/>
        <v>1PremiumN4</v>
      </c>
      <c r="E242" s="10">
        <v>1</v>
      </c>
      <c r="F242" s="12">
        <v>194</v>
      </c>
      <c r="G242" s="8" t="str">
        <f>VLOOKUP(F242,[1]characters!$A:$C,3,FALSE)</f>
        <v>スナイパー ロビンフッド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65"/>
      <c r="N242" s="16">
        <f>VLOOKUP(D242,gacha_300_base!A:B,2,FALSE)</f>
        <v>2616</v>
      </c>
      <c r="O242" s="37">
        <f>IFERROR(VLOOKUP($F242,bug_conf_sheet!$A:$H,3,FALSE),VLOOKUP("other",bug_conf_sheet!$A:$H,3,FALSE))</f>
        <v>1</v>
      </c>
      <c r="P242" s="37">
        <f>IFERROR(VLOOKUP($F242,bug_conf_sheet!$A:$H,4,FALSE),VLOOKUP("other",bug_conf_sheet!$A:$H,4,FALSE))</f>
        <v>0</v>
      </c>
      <c r="Q242" s="37">
        <f>IFERROR(VLOOKUP($F242,bug_conf_sheet!$A:$H,5,FALSE),VLOOKUP("other",bug_conf_sheet!$A:$H,5,FALSE))</f>
        <v>0</v>
      </c>
      <c r="R242" s="37">
        <f>IFERROR(VLOOKUP($F242,bug_conf_sheet!$A:$H,6,FALSE),VLOOKUP("other",bug_conf_sheet!$A:$H,6,FALSE))</f>
        <v>0</v>
      </c>
      <c r="S242" s="37">
        <f>IFERROR(VLOOKUP($F242,bug_conf_sheet!$A:$H,7,FALSE),VLOOKUP("other",bug_conf_sheet!$A:$H,7,FALSE))</f>
        <v>0</v>
      </c>
      <c r="T242" s="37">
        <f>IFERROR(VLOOKUP($F242,bug_conf_sheet!$A:$H,8,FALSE),VLOOKUP("other",bug_conf_sheet!$A:$H,8,FALSE))</f>
        <v>1</v>
      </c>
    </row>
    <row r="243" spans="1:20" ht="21" customHeight="1">
      <c r="A243" s="7" t="str">
        <f t="shared" si="22"/>
        <v>3001195</v>
      </c>
      <c r="B243" s="2" t="str">
        <f t="shared" si="20"/>
        <v>3001</v>
      </c>
      <c r="C243" s="8" t="str">
        <f t="shared" si="21"/>
        <v>1PremiumN5</v>
      </c>
      <c r="D243" s="8" t="str">
        <f t="shared" si="19"/>
        <v>1PremiumN5</v>
      </c>
      <c r="E243" s="10">
        <v>1</v>
      </c>
      <c r="F243" s="6">
        <v>195</v>
      </c>
      <c r="G243" s="8" t="str">
        <f>VLOOKUP(F243,[1]characters!$A:$C,3,FALSE)</f>
        <v>グランドハンター ロビンフッド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green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65"/>
      <c r="N243" s="16">
        <f>VLOOKUP(D243,gacha_300_base!A:B,2,FALSE)</f>
        <v>911</v>
      </c>
      <c r="O243" s="37">
        <f>IFERROR(VLOOKUP($F243,bug_conf_sheet!$A:$H,3,FALSE),VLOOKUP("other",bug_conf_sheet!$A:$H,3,FALSE))</f>
        <v>1</v>
      </c>
      <c r="P243" s="37">
        <f>IFERROR(VLOOKUP($F243,bug_conf_sheet!$A:$H,4,FALSE),VLOOKUP("other",bug_conf_sheet!$A:$H,4,FALSE))</f>
        <v>0</v>
      </c>
      <c r="Q243" s="37">
        <f>IFERROR(VLOOKUP($F243,bug_conf_sheet!$A:$H,5,FALSE),VLOOKUP("other",bug_conf_sheet!$A:$H,5,FALSE))</f>
        <v>0</v>
      </c>
      <c r="R243" s="37">
        <f>IFERROR(VLOOKUP($F243,bug_conf_sheet!$A:$H,6,FALSE),VLOOKUP("other",bug_conf_sheet!$A:$H,6,FALSE))</f>
        <v>0</v>
      </c>
      <c r="S243" s="37">
        <f>IFERROR(VLOOKUP($F243,bug_conf_sheet!$A:$H,7,FALSE),VLOOKUP("other",bug_conf_sheet!$A:$H,7,FALSE))</f>
        <v>0</v>
      </c>
      <c r="T243" s="37">
        <f>IFERROR(VLOOKUP($F243,bug_conf_sheet!$A:$H,8,FALSE),VLOOKUP("other",bug_conf_sheet!$A:$H,8,FALSE))</f>
        <v>1</v>
      </c>
    </row>
    <row r="244" spans="1:20" ht="21" customHeight="1">
      <c r="A244" s="7" t="str">
        <f t="shared" si="22"/>
        <v>3001196</v>
      </c>
      <c r="B244" s="2" t="str">
        <f t="shared" si="20"/>
        <v>3001</v>
      </c>
      <c r="C244" s="8" t="str">
        <f t="shared" si="21"/>
        <v>1PremiumN3</v>
      </c>
      <c r="D244" s="8" t="str">
        <f t="shared" si="19"/>
        <v>1PremiumN3</v>
      </c>
      <c r="E244" s="10">
        <v>1</v>
      </c>
      <c r="F244" s="12">
        <v>196</v>
      </c>
      <c r="G244" s="8" t="str">
        <f>VLOOKUP(F244,[1]characters!$A:$C,3,FALSE)</f>
        <v>アキレス</v>
      </c>
      <c r="H244" s="8" t="str">
        <f>VLOOKUP(F244,[1]characters!$A:$J,10,FALSE)</f>
        <v>PremiumN</v>
      </c>
      <c r="I244" s="8">
        <f>VLOOKUP(F244,[1]characters!$A:$I,9,FALSE)</f>
        <v>3</v>
      </c>
      <c r="J244" s="8" t="str">
        <f>VLOOKUP(F244,[1]characters!$A:$H,8,FALSE)</f>
        <v>yellow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65"/>
      <c r="N244" s="16">
        <f>VLOOKUP(D244,gacha_300_base!A:B,2,FALSE)</f>
        <v>11167</v>
      </c>
      <c r="O244" s="37">
        <f>IFERROR(VLOOKUP($F244,bug_conf_sheet!$A:$H,3,FALSE),VLOOKUP("other",bug_conf_sheet!$A:$H,3,FALSE))</f>
        <v>1</v>
      </c>
      <c r="P244" s="37">
        <f>IFERROR(VLOOKUP($F244,bug_conf_sheet!$A:$H,4,FALSE),VLOOKUP("other",bug_conf_sheet!$A:$H,4,FALSE))</f>
        <v>0</v>
      </c>
      <c r="Q244" s="37">
        <f>IFERROR(VLOOKUP($F244,bug_conf_sheet!$A:$H,5,FALSE),VLOOKUP("other",bug_conf_sheet!$A:$H,5,FALSE))</f>
        <v>0</v>
      </c>
      <c r="R244" s="37">
        <f>IFERROR(VLOOKUP($F244,bug_conf_sheet!$A:$H,6,FALSE),VLOOKUP("other",bug_conf_sheet!$A:$H,6,FALSE))</f>
        <v>0</v>
      </c>
      <c r="S244" s="37">
        <f>IFERROR(VLOOKUP($F244,bug_conf_sheet!$A:$H,7,FALSE),VLOOKUP("other",bug_conf_sheet!$A:$H,7,FALSE))</f>
        <v>0</v>
      </c>
      <c r="T244" s="37">
        <f>IFERROR(VLOOKUP($F244,bug_conf_sheet!$A:$H,8,FALSE),VLOOKUP("other",bug_conf_sheet!$A:$H,8,FALSE))</f>
        <v>1</v>
      </c>
    </row>
    <row r="245" spans="1:20" ht="21" customHeight="1">
      <c r="A245" s="7" t="str">
        <f t="shared" si="22"/>
        <v>3001197</v>
      </c>
      <c r="B245" s="2" t="str">
        <f t="shared" si="20"/>
        <v>3001</v>
      </c>
      <c r="C245" s="8" t="str">
        <f t="shared" si="21"/>
        <v>1PremiumN4</v>
      </c>
      <c r="D245" s="8" t="str">
        <f t="shared" si="19"/>
        <v>1PremiumN4</v>
      </c>
      <c r="E245" s="10">
        <v>1</v>
      </c>
      <c r="F245" s="13">
        <v>197</v>
      </c>
      <c r="G245" s="8" t="str">
        <f>VLOOKUP(F245,[1]characters!$A:$C,3,FALSE)</f>
        <v>鉄腕 アキレス</v>
      </c>
      <c r="H245" s="8" t="str">
        <f>VLOOKUP(F245,[1]characters!$A:$J,10,FALSE)</f>
        <v>PremiumN</v>
      </c>
      <c r="I245" s="8">
        <f>VLOOKUP(F245,[1]characters!$A:$I,9,FALSE)</f>
        <v>4</v>
      </c>
      <c r="J245" s="8" t="str">
        <f>VLOOKUP(F245,[1]characters!$A:$H,8,FALSE)</f>
        <v>yellow</v>
      </c>
      <c r="K245" s="8" t="str">
        <f>VLOOKUP(F245,[1]characters!$A:$K,11,FALSE)</f>
        <v>balance</v>
      </c>
      <c r="L245" s="8" t="str">
        <f>VLOOKUP(F245,[1]characters!$A:$M,13,FALSE)</f>
        <v>human</v>
      </c>
      <c r="M245" s="65"/>
      <c r="N245" s="16">
        <f>VLOOKUP(D245,gacha_300_base!A:B,2,FALSE)</f>
        <v>2616</v>
      </c>
      <c r="O245" s="37">
        <f>IFERROR(VLOOKUP($F245,bug_conf_sheet!$A:$H,3,FALSE),VLOOKUP("other",bug_conf_sheet!$A:$H,3,FALSE))</f>
        <v>1</v>
      </c>
      <c r="P245" s="37">
        <f>IFERROR(VLOOKUP($F245,bug_conf_sheet!$A:$H,4,FALSE),VLOOKUP("other",bug_conf_sheet!$A:$H,4,FALSE))</f>
        <v>0</v>
      </c>
      <c r="Q245" s="37">
        <f>IFERROR(VLOOKUP($F245,bug_conf_sheet!$A:$H,5,FALSE),VLOOKUP("other",bug_conf_sheet!$A:$H,5,FALSE))</f>
        <v>0</v>
      </c>
      <c r="R245" s="37">
        <f>IFERROR(VLOOKUP($F245,bug_conf_sheet!$A:$H,6,FALSE),VLOOKUP("other",bug_conf_sheet!$A:$H,6,FALSE))</f>
        <v>0</v>
      </c>
      <c r="S245" s="37">
        <f>IFERROR(VLOOKUP($F245,bug_conf_sheet!$A:$H,7,FALSE),VLOOKUP("other",bug_conf_sheet!$A:$H,7,FALSE))</f>
        <v>0</v>
      </c>
      <c r="T245" s="37">
        <f>IFERROR(VLOOKUP($F245,bug_conf_sheet!$A:$H,8,FALSE),VLOOKUP("other",bug_conf_sheet!$A:$H,8,FALSE))</f>
        <v>1</v>
      </c>
    </row>
    <row r="246" spans="1:20" ht="21" customHeight="1">
      <c r="A246" s="7" t="str">
        <f t="shared" si="22"/>
        <v>3001198</v>
      </c>
      <c r="B246" s="2" t="str">
        <f t="shared" si="20"/>
        <v>3001</v>
      </c>
      <c r="C246" s="8" t="str">
        <f t="shared" si="21"/>
        <v>1PremiumN5</v>
      </c>
      <c r="D246" s="8" t="str">
        <f t="shared" si="19"/>
        <v>1PremiumN5</v>
      </c>
      <c r="E246" s="10">
        <v>1</v>
      </c>
      <c r="F246" s="6">
        <v>198</v>
      </c>
      <c r="G246" s="8" t="str">
        <f>VLOOKUP(F246,[1]characters!$A:$C,3,FALSE)</f>
        <v>砕骨の剛腕 アキレス</v>
      </c>
      <c r="H246" s="8" t="str">
        <f>VLOOKUP(F246,[1]characters!$A:$J,10,FALSE)</f>
        <v>PremiumN</v>
      </c>
      <c r="I246" s="8">
        <f>VLOOKUP(F246,[1]characters!$A:$I,9,FALSE)</f>
        <v>5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65"/>
      <c r="N246" s="16">
        <f>VLOOKUP(D246,gacha_300_base!A:B,2,FALSE)</f>
        <v>911</v>
      </c>
      <c r="O246" s="37">
        <f>IFERROR(VLOOKUP($F246,bug_conf_sheet!$A:$H,3,FALSE),VLOOKUP("other",bug_conf_sheet!$A:$H,3,FALSE))</f>
        <v>1</v>
      </c>
      <c r="P246" s="37">
        <f>IFERROR(VLOOKUP($F246,bug_conf_sheet!$A:$H,4,FALSE),VLOOKUP("other",bug_conf_sheet!$A:$H,4,FALSE))</f>
        <v>0</v>
      </c>
      <c r="Q246" s="37">
        <f>IFERROR(VLOOKUP($F246,bug_conf_sheet!$A:$H,5,FALSE),VLOOKUP("other",bug_conf_sheet!$A:$H,5,FALSE))</f>
        <v>0</v>
      </c>
      <c r="R246" s="37">
        <f>IFERROR(VLOOKUP($F246,bug_conf_sheet!$A:$H,6,FALSE),VLOOKUP("other",bug_conf_sheet!$A:$H,6,FALSE))</f>
        <v>0</v>
      </c>
      <c r="S246" s="37">
        <f>IFERROR(VLOOKUP($F246,bug_conf_sheet!$A:$H,7,FALSE),VLOOKUP("other",bug_conf_sheet!$A:$H,7,FALSE))</f>
        <v>0</v>
      </c>
      <c r="T246" s="37">
        <f>IFERROR(VLOOKUP($F246,bug_conf_sheet!$A:$H,8,FALSE),VLOOKUP("other",bug_conf_sheet!$A:$H,8,FALSE))</f>
        <v>1</v>
      </c>
    </row>
    <row r="247" spans="1:20" ht="21" customHeight="1">
      <c r="A247" s="7" t="str">
        <f t="shared" si="22"/>
        <v>3001199</v>
      </c>
      <c r="B247" s="2" t="str">
        <f t="shared" si="20"/>
        <v>3001</v>
      </c>
      <c r="C247" s="8" t="str">
        <f t="shared" si="21"/>
        <v>1PremiumN3</v>
      </c>
      <c r="D247" s="8" t="str">
        <f t="shared" si="19"/>
        <v>1PremiumN3</v>
      </c>
      <c r="E247" s="10">
        <v>1</v>
      </c>
      <c r="F247" s="6">
        <v>199</v>
      </c>
      <c r="G247" s="8" t="str">
        <f>VLOOKUP(F247,[1]characters!$A:$C,3,FALSE)</f>
        <v>ジークフリート</v>
      </c>
      <c r="H247" s="8" t="str">
        <f>VLOOKUP(F247,[1]characters!$A:$J,10,FALSE)</f>
        <v>PremiumN</v>
      </c>
      <c r="I247" s="8">
        <f>VLOOKUP(F247,[1]characters!$A:$I,9,FALSE)</f>
        <v>3</v>
      </c>
      <c r="J247" s="8" t="str">
        <f>VLOOKUP(F247,[1]characters!$A:$H,8,FALSE)</f>
        <v>blue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65"/>
      <c r="N247" s="16">
        <f>VLOOKUP(D247,gacha_300_base!A:B,2,FALSE)</f>
        <v>11167</v>
      </c>
      <c r="O247" s="37">
        <f>IFERROR(VLOOKUP($F247,bug_conf_sheet!$A:$H,3,FALSE),VLOOKUP("other",bug_conf_sheet!$A:$H,3,FALSE))</f>
        <v>1</v>
      </c>
      <c r="P247" s="37">
        <f>IFERROR(VLOOKUP($F247,bug_conf_sheet!$A:$H,4,FALSE),VLOOKUP("other",bug_conf_sheet!$A:$H,4,FALSE))</f>
        <v>0</v>
      </c>
      <c r="Q247" s="37">
        <f>IFERROR(VLOOKUP($F247,bug_conf_sheet!$A:$H,5,FALSE),VLOOKUP("other",bug_conf_sheet!$A:$H,5,FALSE))</f>
        <v>0</v>
      </c>
      <c r="R247" s="37">
        <f>IFERROR(VLOOKUP($F247,bug_conf_sheet!$A:$H,6,FALSE),VLOOKUP("other",bug_conf_sheet!$A:$H,6,FALSE))</f>
        <v>0</v>
      </c>
      <c r="S247" s="37">
        <f>IFERROR(VLOOKUP($F247,bug_conf_sheet!$A:$H,7,FALSE),VLOOKUP("other",bug_conf_sheet!$A:$H,7,FALSE))</f>
        <v>0</v>
      </c>
      <c r="T247" s="37">
        <f>IFERROR(VLOOKUP($F247,bug_conf_sheet!$A:$H,8,FALSE),VLOOKUP("other",bug_conf_sheet!$A:$H,8,FALSE))</f>
        <v>1</v>
      </c>
    </row>
    <row r="248" spans="1:20" ht="21" customHeight="1">
      <c r="A248" s="7" t="str">
        <f t="shared" si="22"/>
        <v>3001200</v>
      </c>
      <c r="B248" s="2" t="str">
        <f t="shared" si="20"/>
        <v>3001</v>
      </c>
      <c r="C248" s="8" t="str">
        <f t="shared" si="21"/>
        <v>1PremiumN4</v>
      </c>
      <c r="D248" s="8" t="str">
        <f t="shared" si="19"/>
        <v>1PremiumN4</v>
      </c>
      <c r="E248" s="10">
        <v>1</v>
      </c>
      <c r="F248" s="6">
        <v>200</v>
      </c>
      <c r="G248" s="8" t="str">
        <f>VLOOKUP(F248,[1]characters!$A:$C,3,FALSE)</f>
        <v>大剣士 ジークフリート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blue</v>
      </c>
      <c r="K248" s="8" t="str">
        <f>VLOOKUP(F248,[1]characters!$A:$K,11,FALSE)</f>
        <v>balance</v>
      </c>
      <c r="L248" s="8" t="str">
        <f>VLOOKUP(F248,[1]characters!$A:$M,13,FALSE)</f>
        <v>human</v>
      </c>
      <c r="M248" s="65"/>
      <c r="N248" s="16">
        <f>VLOOKUP(D248,gacha_300_base!A:B,2,FALSE)</f>
        <v>2616</v>
      </c>
      <c r="O248" s="37">
        <f>IFERROR(VLOOKUP($F248,bug_conf_sheet!$A:$H,3,FALSE),VLOOKUP("other",bug_conf_sheet!$A:$H,3,FALSE))</f>
        <v>1</v>
      </c>
      <c r="P248" s="37">
        <f>IFERROR(VLOOKUP($F248,bug_conf_sheet!$A:$H,4,FALSE),VLOOKUP("other",bug_conf_sheet!$A:$H,4,FALSE))</f>
        <v>0</v>
      </c>
      <c r="Q248" s="37">
        <f>IFERROR(VLOOKUP($F248,bug_conf_sheet!$A:$H,5,FALSE),VLOOKUP("other",bug_conf_sheet!$A:$H,5,FALSE))</f>
        <v>0</v>
      </c>
      <c r="R248" s="37">
        <f>IFERROR(VLOOKUP($F248,bug_conf_sheet!$A:$H,6,FALSE),VLOOKUP("other",bug_conf_sheet!$A:$H,6,FALSE))</f>
        <v>0</v>
      </c>
      <c r="S248" s="37">
        <f>IFERROR(VLOOKUP($F248,bug_conf_sheet!$A:$H,7,FALSE),VLOOKUP("other",bug_conf_sheet!$A:$H,7,FALSE))</f>
        <v>0</v>
      </c>
      <c r="T248" s="37">
        <f>IFERROR(VLOOKUP($F248,bug_conf_sheet!$A:$H,8,FALSE),VLOOKUP("other",bug_conf_sheet!$A:$H,8,FALSE))</f>
        <v>1</v>
      </c>
    </row>
    <row r="249" spans="1:20" ht="21" customHeight="1">
      <c r="A249" s="7" t="str">
        <f t="shared" si="22"/>
        <v>3001201</v>
      </c>
      <c r="B249" s="2" t="str">
        <f t="shared" si="20"/>
        <v>3001</v>
      </c>
      <c r="C249" s="8" t="str">
        <f t="shared" si="21"/>
        <v>1PremiumN5</v>
      </c>
      <c r="D249" s="8" t="str">
        <f t="shared" si="19"/>
        <v>1PremiumN5</v>
      </c>
      <c r="E249" s="10">
        <v>1</v>
      </c>
      <c r="F249" s="5">
        <v>201</v>
      </c>
      <c r="G249" s="8" t="str">
        <f>VLOOKUP(F249,[1]characters!$A:$C,3,FALSE)</f>
        <v>斬空の大破剣 ジークフリート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blue</v>
      </c>
      <c r="K249" s="8" t="str">
        <f>VLOOKUP(F249,[1]characters!$A:$K,11,FALSE)</f>
        <v>balance</v>
      </c>
      <c r="L249" s="8" t="str">
        <f>VLOOKUP(F249,[1]characters!$A:$M,13,FALSE)</f>
        <v>human</v>
      </c>
      <c r="M249" s="65"/>
      <c r="N249" s="16">
        <f>VLOOKUP(D249,gacha_300_base!A:B,2,FALSE)</f>
        <v>911</v>
      </c>
      <c r="O249" s="37">
        <f>IFERROR(VLOOKUP($F249,bug_conf_sheet!$A:$H,3,FALSE),VLOOKUP("other",bug_conf_sheet!$A:$H,3,FALSE))</f>
        <v>1</v>
      </c>
      <c r="P249" s="37">
        <f>IFERROR(VLOOKUP($F249,bug_conf_sheet!$A:$H,4,FALSE),VLOOKUP("other",bug_conf_sheet!$A:$H,4,FALSE))</f>
        <v>0</v>
      </c>
      <c r="Q249" s="37">
        <f>IFERROR(VLOOKUP($F249,bug_conf_sheet!$A:$H,5,FALSE),VLOOKUP("other",bug_conf_sheet!$A:$H,5,FALSE))</f>
        <v>0</v>
      </c>
      <c r="R249" s="37">
        <f>IFERROR(VLOOKUP($F249,bug_conf_sheet!$A:$H,6,FALSE),VLOOKUP("other",bug_conf_sheet!$A:$H,6,FALSE))</f>
        <v>0</v>
      </c>
      <c r="S249" s="37">
        <f>IFERROR(VLOOKUP($F249,bug_conf_sheet!$A:$H,7,FALSE),VLOOKUP("other",bug_conf_sheet!$A:$H,7,FALSE))</f>
        <v>0</v>
      </c>
      <c r="T249" s="37">
        <f>IFERROR(VLOOKUP($F249,bug_conf_sheet!$A:$H,8,FALSE),VLOOKUP("other",bug_conf_sheet!$A:$H,8,FALSE))</f>
        <v>1</v>
      </c>
    </row>
    <row r="250" spans="1:20" ht="21" customHeight="1">
      <c r="A250" s="7" t="str">
        <f t="shared" si="22"/>
        <v>3001202</v>
      </c>
      <c r="B250" s="2" t="str">
        <f t="shared" si="20"/>
        <v>3001</v>
      </c>
      <c r="C250" s="8" t="str">
        <f t="shared" si="21"/>
        <v>1PremiumN3</v>
      </c>
      <c r="D250" s="8" t="str">
        <f t="shared" si="19"/>
        <v>1PremiumN3</v>
      </c>
      <c r="E250" s="10">
        <v>1</v>
      </c>
      <c r="F250" s="5">
        <v>202</v>
      </c>
      <c r="G250" s="8" t="str">
        <f>VLOOKUP(F250,[1]characters!$A:$C,3,FALSE)</f>
        <v>プロメテウス</v>
      </c>
      <c r="H250" s="8" t="str">
        <f>VLOOKUP(F250,[1]characters!$A:$J,10,FALSE)</f>
        <v>PremiumN</v>
      </c>
      <c r="I250" s="8">
        <f>VLOOKUP(F250,[1]characters!$A:$I,9,FALSE)</f>
        <v>3</v>
      </c>
      <c r="J250" s="8" t="str">
        <f>VLOOKUP(F250,[1]characters!$A:$H,8,FALSE)</f>
        <v>red</v>
      </c>
      <c r="K250" s="8" t="str">
        <f>VLOOKUP(F250,[1]characters!$A:$K,11,FALSE)</f>
        <v>hp</v>
      </c>
      <c r="L250" s="8" t="str">
        <f>VLOOKUP(F250,[1]characters!$A:$M,13,FALSE)</f>
        <v>god</v>
      </c>
      <c r="M250" s="65"/>
      <c r="N250" s="16">
        <f>VLOOKUP(D250,gacha_300_base!A:B,2,FALSE)</f>
        <v>11167</v>
      </c>
      <c r="O250" s="37">
        <f>IFERROR(VLOOKUP($F250,bug_conf_sheet!$A:$H,3,FALSE),VLOOKUP("other",bug_conf_sheet!$A:$H,3,FALSE))</f>
        <v>1</v>
      </c>
      <c r="P250" s="37">
        <f>IFERROR(VLOOKUP($F250,bug_conf_sheet!$A:$H,4,FALSE),VLOOKUP("other",bug_conf_sheet!$A:$H,4,FALSE))</f>
        <v>0</v>
      </c>
      <c r="Q250" s="37">
        <f>IFERROR(VLOOKUP($F250,bug_conf_sheet!$A:$H,5,FALSE),VLOOKUP("other",bug_conf_sheet!$A:$H,5,FALSE))</f>
        <v>0</v>
      </c>
      <c r="R250" s="37">
        <f>IFERROR(VLOOKUP($F250,bug_conf_sheet!$A:$H,6,FALSE),VLOOKUP("other",bug_conf_sheet!$A:$H,6,FALSE))</f>
        <v>0</v>
      </c>
      <c r="S250" s="37">
        <f>IFERROR(VLOOKUP($F250,bug_conf_sheet!$A:$H,7,FALSE),VLOOKUP("other",bug_conf_sheet!$A:$H,7,FALSE))</f>
        <v>0</v>
      </c>
      <c r="T250" s="37">
        <f>IFERROR(VLOOKUP($F250,bug_conf_sheet!$A:$H,8,FALSE),VLOOKUP("other",bug_conf_sheet!$A:$H,8,FALSE))</f>
        <v>1</v>
      </c>
    </row>
    <row r="251" spans="1:20" ht="21" customHeight="1">
      <c r="A251" s="7" t="str">
        <f t="shared" si="22"/>
        <v>3001203</v>
      </c>
      <c r="B251" s="2" t="str">
        <f t="shared" si="20"/>
        <v>3001</v>
      </c>
      <c r="C251" s="8" t="str">
        <f t="shared" si="21"/>
        <v>1PremiumN4</v>
      </c>
      <c r="D251" s="8" t="str">
        <f t="shared" si="19"/>
        <v>1PremiumN4</v>
      </c>
      <c r="E251" s="10">
        <v>1</v>
      </c>
      <c r="F251" s="5">
        <v>203</v>
      </c>
      <c r="G251" s="8" t="str">
        <f>VLOOKUP(F251,[1]characters!$A:$C,3,FALSE)</f>
        <v>焔神 プロメテウス</v>
      </c>
      <c r="H251" s="8" t="str">
        <f>VLOOKUP(F251,[1]characters!$A:$J,10,FALSE)</f>
        <v>PremiumN</v>
      </c>
      <c r="I251" s="8">
        <f>VLOOKUP(F251,[1]characters!$A:$I,9,FALSE)</f>
        <v>4</v>
      </c>
      <c r="J251" s="8" t="str">
        <f>VLOOKUP(F251,[1]characters!$A:$H,8,FALSE)</f>
        <v>red</v>
      </c>
      <c r="K251" s="8" t="str">
        <f>VLOOKUP(F251,[1]characters!$A:$K,11,FALSE)</f>
        <v>hp</v>
      </c>
      <c r="L251" s="8" t="str">
        <f>VLOOKUP(F251,[1]characters!$A:$M,13,FALSE)</f>
        <v>god</v>
      </c>
      <c r="M251" s="65"/>
      <c r="N251" s="16">
        <f>VLOOKUP(D251,gacha_300_base!A:B,2,FALSE)</f>
        <v>2616</v>
      </c>
      <c r="O251" s="37">
        <f>IFERROR(VLOOKUP($F251,bug_conf_sheet!$A:$H,3,FALSE),VLOOKUP("other",bug_conf_sheet!$A:$H,3,FALSE))</f>
        <v>1</v>
      </c>
      <c r="P251" s="37">
        <f>IFERROR(VLOOKUP($F251,bug_conf_sheet!$A:$H,4,FALSE),VLOOKUP("other",bug_conf_sheet!$A:$H,4,FALSE))</f>
        <v>0</v>
      </c>
      <c r="Q251" s="37">
        <f>IFERROR(VLOOKUP($F251,bug_conf_sheet!$A:$H,5,FALSE),VLOOKUP("other",bug_conf_sheet!$A:$H,5,FALSE))</f>
        <v>0</v>
      </c>
      <c r="R251" s="37">
        <f>IFERROR(VLOOKUP($F251,bug_conf_sheet!$A:$H,6,FALSE),VLOOKUP("other",bug_conf_sheet!$A:$H,6,FALSE))</f>
        <v>0</v>
      </c>
      <c r="S251" s="37">
        <f>IFERROR(VLOOKUP($F251,bug_conf_sheet!$A:$H,7,FALSE),VLOOKUP("other",bug_conf_sheet!$A:$H,7,FALSE))</f>
        <v>0</v>
      </c>
      <c r="T251" s="37">
        <f>IFERROR(VLOOKUP($F251,bug_conf_sheet!$A:$H,8,FALSE),VLOOKUP("other",bug_conf_sheet!$A:$H,8,FALSE))</f>
        <v>1</v>
      </c>
    </row>
    <row r="252" spans="1:20" ht="21" customHeight="1">
      <c r="A252" s="7" t="str">
        <f t="shared" si="22"/>
        <v>3001204</v>
      </c>
      <c r="B252" s="2" t="str">
        <f t="shared" si="20"/>
        <v>3001</v>
      </c>
      <c r="C252" s="8" t="str">
        <f t="shared" si="21"/>
        <v>1PremiumN5</v>
      </c>
      <c r="D252" s="8" t="str">
        <f t="shared" si="19"/>
        <v>1PremiumN5</v>
      </c>
      <c r="E252" s="10">
        <v>1</v>
      </c>
      <c r="F252" s="5">
        <v>204</v>
      </c>
      <c r="G252" s="8" t="str">
        <f>VLOOKUP(F252,[1]characters!$A:$C,3,FALSE)</f>
        <v>慟哭の巨焔 プロメテウス</v>
      </c>
      <c r="H252" s="8" t="str">
        <f>VLOOKUP(F252,[1]characters!$A:$J,10,FALSE)</f>
        <v>PremiumN</v>
      </c>
      <c r="I252" s="8">
        <f>VLOOKUP(F252,[1]characters!$A:$I,9,FALSE)</f>
        <v>5</v>
      </c>
      <c r="J252" s="8" t="str">
        <f>VLOOKUP(F252,[1]characters!$A:$H,8,FALSE)</f>
        <v>red</v>
      </c>
      <c r="K252" s="8" t="str">
        <f>VLOOKUP(F252,[1]characters!$A:$K,11,FALSE)</f>
        <v>hp</v>
      </c>
      <c r="L252" s="8" t="str">
        <f>VLOOKUP(F252,[1]characters!$A:$M,13,FALSE)</f>
        <v>god</v>
      </c>
      <c r="M252" s="65"/>
      <c r="N252" s="16">
        <f>VLOOKUP(D252,gacha_300_base!A:B,2,FALSE)</f>
        <v>911</v>
      </c>
      <c r="O252" s="37">
        <f>IFERROR(VLOOKUP($F252,bug_conf_sheet!$A:$H,3,FALSE),VLOOKUP("other",bug_conf_sheet!$A:$H,3,FALSE))</f>
        <v>1</v>
      </c>
      <c r="P252" s="37">
        <f>IFERROR(VLOOKUP($F252,bug_conf_sheet!$A:$H,4,FALSE),VLOOKUP("other",bug_conf_sheet!$A:$H,4,FALSE))</f>
        <v>0</v>
      </c>
      <c r="Q252" s="37">
        <f>IFERROR(VLOOKUP($F252,bug_conf_sheet!$A:$H,5,FALSE),VLOOKUP("other",bug_conf_sheet!$A:$H,5,FALSE))</f>
        <v>0</v>
      </c>
      <c r="R252" s="37">
        <f>IFERROR(VLOOKUP($F252,bug_conf_sheet!$A:$H,6,FALSE),VLOOKUP("other",bug_conf_sheet!$A:$H,6,FALSE))</f>
        <v>0</v>
      </c>
      <c r="S252" s="37">
        <f>IFERROR(VLOOKUP($F252,bug_conf_sheet!$A:$H,7,FALSE),VLOOKUP("other",bug_conf_sheet!$A:$H,7,FALSE))</f>
        <v>0</v>
      </c>
      <c r="T252" s="37">
        <f>IFERROR(VLOOKUP($F252,bug_conf_sheet!$A:$H,8,FALSE),VLOOKUP("other",bug_conf_sheet!$A:$H,8,FALSE))</f>
        <v>1</v>
      </c>
    </row>
    <row r="253" spans="1:20" ht="21" customHeight="1">
      <c r="A253" s="7" t="str">
        <f t="shared" si="22"/>
        <v>3001205</v>
      </c>
      <c r="B253" s="2" t="str">
        <f t="shared" si="20"/>
        <v>3001</v>
      </c>
      <c r="C253" s="8" t="str">
        <f t="shared" si="21"/>
        <v>1PremiumN3</v>
      </c>
      <c r="D253" s="8" t="str">
        <f t="shared" si="19"/>
        <v>1PremiumN3</v>
      </c>
      <c r="E253" s="10">
        <v>1</v>
      </c>
      <c r="F253" s="5">
        <v>205</v>
      </c>
      <c r="G253" s="8" t="str">
        <f>VLOOKUP(F253,[1]characters!$A:$C,3,FALSE)</f>
        <v>アフロディーテ</v>
      </c>
      <c r="H253" s="8" t="str">
        <f>VLOOKUP(F253,[1]characters!$A:$J,10,FALSE)</f>
        <v>PremiumN</v>
      </c>
      <c r="I253" s="8">
        <f>VLOOKUP(F253,[1]characters!$A:$I,9,FALSE)</f>
        <v>3</v>
      </c>
      <c r="J253" s="8" t="str">
        <f>VLOOKUP(F253,[1]characters!$A:$H,8,FALSE)</f>
        <v>green</v>
      </c>
      <c r="K253" s="8" t="str">
        <f>VLOOKUP(F253,[1]characters!$A:$K,11,FALSE)</f>
        <v>hp</v>
      </c>
      <c r="L253" s="8" t="str">
        <f>VLOOKUP(F253,[1]characters!$A:$M,13,FALSE)</f>
        <v>god</v>
      </c>
      <c r="M253" s="65"/>
      <c r="N253" s="16">
        <f>VLOOKUP(D253,gacha_300_base!A:B,2,FALSE)</f>
        <v>11167</v>
      </c>
      <c r="O253" s="37">
        <f>IFERROR(VLOOKUP($F253,bug_conf_sheet!$A:$H,3,FALSE),VLOOKUP("other",bug_conf_sheet!$A:$H,3,FALSE))</f>
        <v>1</v>
      </c>
      <c r="P253" s="37">
        <f>IFERROR(VLOOKUP($F253,bug_conf_sheet!$A:$H,4,FALSE),VLOOKUP("other",bug_conf_sheet!$A:$H,4,FALSE))</f>
        <v>0</v>
      </c>
      <c r="Q253" s="37">
        <f>IFERROR(VLOOKUP($F253,bug_conf_sheet!$A:$H,5,FALSE),VLOOKUP("other",bug_conf_sheet!$A:$H,5,FALSE))</f>
        <v>0</v>
      </c>
      <c r="R253" s="37">
        <f>IFERROR(VLOOKUP($F253,bug_conf_sheet!$A:$H,6,FALSE),VLOOKUP("other",bug_conf_sheet!$A:$H,6,FALSE))</f>
        <v>0</v>
      </c>
      <c r="S253" s="37">
        <f>IFERROR(VLOOKUP($F253,bug_conf_sheet!$A:$H,7,FALSE),VLOOKUP("other",bug_conf_sheet!$A:$H,7,FALSE))</f>
        <v>0</v>
      </c>
      <c r="T253" s="37">
        <f>IFERROR(VLOOKUP($F253,bug_conf_sheet!$A:$H,8,FALSE),VLOOKUP("other",bug_conf_sheet!$A:$H,8,FALSE))</f>
        <v>1</v>
      </c>
    </row>
    <row r="254" spans="1:20" ht="21" customHeight="1">
      <c r="A254" s="7" t="str">
        <f t="shared" si="22"/>
        <v>3001206</v>
      </c>
      <c r="B254" s="2" t="str">
        <f t="shared" si="20"/>
        <v>3001</v>
      </c>
      <c r="C254" s="8" t="str">
        <f t="shared" si="21"/>
        <v>1PremiumN4</v>
      </c>
      <c r="D254" s="8" t="str">
        <f t="shared" si="19"/>
        <v>1PremiumN4</v>
      </c>
      <c r="E254" s="10">
        <v>1</v>
      </c>
      <c r="F254" s="5">
        <v>206</v>
      </c>
      <c r="G254" s="8" t="str">
        <f>VLOOKUP(F254,[1]characters!$A:$C,3,FALSE)</f>
        <v>美神 アフロディーテ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green</v>
      </c>
      <c r="K254" s="8" t="str">
        <f>VLOOKUP(F254,[1]characters!$A:$K,11,FALSE)</f>
        <v>hp</v>
      </c>
      <c r="L254" s="8" t="str">
        <f>VLOOKUP(F254,[1]characters!$A:$M,13,FALSE)</f>
        <v>god</v>
      </c>
      <c r="M254" s="65"/>
      <c r="N254" s="16">
        <f>VLOOKUP(D254,gacha_300_base!A:B,2,FALSE)</f>
        <v>2616</v>
      </c>
      <c r="O254" s="37">
        <f>IFERROR(VLOOKUP($F254,bug_conf_sheet!$A:$H,3,FALSE),VLOOKUP("other",bug_conf_sheet!$A:$H,3,FALSE))</f>
        <v>1</v>
      </c>
      <c r="P254" s="37">
        <f>IFERROR(VLOOKUP($F254,bug_conf_sheet!$A:$H,4,FALSE),VLOOKUP("other",bug_conf_sheet!$A:$H,4,FALSE))</f>
        <v>0</v>
      </c>
      <c r="Q254" s="37">
        <f>IFERROR(VLOOKUP($F254,bug_conf_sheet!$A:$H,5,FALSE),VLOOKUP("other",bug_conf_sheet!$A:$H,5,FALSE))</f>
        <v>0</v>
      </c>
      <c r="R254" s="37">
        <f>IFERROR(VLOOKUP($F254,bug_conf_sheet!$A:$H,6,FALSE),VLOOKUP("other",bug_conf_sheet!$A:$H,6,FALSE))</f>
        <v>0</v>
      </c>
      <c r="S254" s="37">
        <f>IFERROR(VLOOKUP($F254,bug_conf_sheet!$A:$H,7,FALSE),VLOOKUP("other",bug_conf_sheet!$A:$H,7,FALSE))</f>
        <v>0</v>
      </c>
      <c r="T254" s="37">
        <f>IFERROR(VLOOKUP($F254,bug_conf_sheet!$A:$H,8,FALSE),VLOOKUP("other",bug_conf_sheet!$A:$H,8,FALSE))</f>
        <v>1</v>
      </c>
    </row>
    <row r="255" spans="1:20" ht="21" customHeight="1">
      <c r="A255" s="7" t="str">
        <f t="shared" si="22"/>
        <v>3001207</v>
      </c>
      <c r="B255" s="2" t="str">
        <f t="shared" si="20"/>
        <v>3001</v>
      </c>
      <c r="C255" s="8" t="str">
        <f t="shared" si="21"/>
        <v>1PremiumN5</v>
      </c>
      <c r="D255" s="8" t="str">
        <f t="shared" si="19"/>
        <v>1PremiumN5</v>
      </c>
      <c r="E255" s="10">
        <v>1</v>
      </c>
      <c r="F255" s="5">
        <v>207</v>
      </c>
      <c r="G255" s="8" t="str">
        <f>VLOOKUP(F255,[1]characters!$A:$C,3,FALSE)</f>
        <v>豊穣の麗神・アフロディーテ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green</v>
      </c>
      <c r="K255" s="8" t="str">
        <f>VLOOKUP(F255,[1]characters!$A:$K,11,FALSE)</f>
        <v>hp</v>
      </c>
      <c r="L255" s="8" t="str">
        <f>VLOOKUP(F255,[1]characters!$A:$M,13,FALSE)</f>
        <v>god</v>
      </c>
      <c r="M255" s="65"/>
      <c r="N255" s="16">
        <f>VLOOKUP(D255,gacha_300_base!A:B,2,FALSE)</f>
        <v>911</v>
      </c>
      <c r="O255" s="37">
        <f>IFERROR(VLOOKUP($F255,bug_conf_sheet!$A:$H,3,FALSE),VLOOKUP("other",bug_conf_sheet!$A:$H,3,FALSE))</f>
        <v>1</v>
      </c>
      <c r="P255" s="37">
        <f>IFERROR(VLOOKUP($F255,bug_conf_sheet!$A:$H,4,FALSE),VLOOKUP("other",bug_conf_sheet!$A:$H,4,FALSE))</f>
        <v>0</v>
      </c>
      <c r="Q255" s="37">
        <f>IFERROR(VLOOKUP($F255,bug_conf_sheet!$A:$H,5,FALSE),VLOOKUP("other",bug_conf_sheet!$A:$H,5,FALSE))</f>
        <v>0</v>
      </c>
      <c r="R255" s="37">
        <f>IFERROR(VLOOKUP($F255,bug_conf_sheet!$A:$H,6,FALSE),VLOOKUP("other",bug_conf_sheet!$A:$H,6,FALSE))</f>
        <v>0</v>
      </c>
      <c r="S255" s="37">
        <f>IFERROR(VLOOKUP($F255,bug_conf_sheet!$A:$H,7,FALSE),VLOOKUP("other",bug_conf_sheet!$A:$H,7,FALSE))</f>
        <v>0</v>
      </c>
      <c r="T255" s="37">
        <f>IFERROR(VLOOKUP($F255,bug_conf_sheet!$A:$H,8,FALSE),VLOOKUP("other",bug_conf_sheet!$A:$H,8,FALSE))</f>
        <v>1</v>
      </c>
    </row>
    <row r="256" spans="1:20" ht="21" customHeight="1">
      <c r="A256" s="7" t="str">
        <f t="shared" si="22"/>
        <v>3001208</v>
      </c>
      <c r="B256" s="2" t="str">
        <f t="shared" si="20"/>
        <v>3001</v>
      </c>
      <c r="C256" s="8" t="str">
        <f t="shared" si="21"/>
        <v>1PremiumN3</v>
      </c>
      <c r="D256" s="8" t="str">
        <f t="shared" si="19"/>
        <v>1PremiumN3</v>
      </c>
      <c r="E256" s="10">
        <v>1</v>
      </c>
      <c r="F256" s="5">
        <v>208</v>
      </c>
      <c r="G256" s="8" t="str">
        <f>VLOOKUP(F256,[1]characters!$A:$C,3,FALSE)</f>
        <v>テティス</v>
      </c>
      <c r="H256" s="8" t="str">
        <f>VLOOKUP(F256,[1]characters!$A:$J,10,FALSE)</f>
        <v>PremiumN</v>
      </c>
      <c r="I256" s="8">
        <f>VLOOKUP(F256,[1]characters!$A:$I,9,FALSE)</f>
        <v>3</v>
      </c>
      <c r="J256" s="8" t="str">
        <f>VLOOKUP(F256,[1]characters!$A:$H,8,FALSE)</f>
        <v>blue</v>
      </c>
      <c r="K256" s="8" t="str">
        <f>VLOOKUP(F256,[1]characters!$A:$K,11,FALSE)</f>
        <v>hp</v>
      </c>
      <c r="L256" s="8" t="str">
        <f>VLOOKUP(F256,[1]characters!$A:$M,13,FALSE)</f>
        <v>god</v>
      </c>
      <c r="M256" s="65"/>
      <c r="N256" s="16">
        <f>VLOOKUP(D256,gacha_300_base!A:B,2,FALSE)</f>
        <v>11167</v>
      </c>
      <c r="O256" s="37">
        <f>IFERROR(VLOOKUP($F256,bug_conf_sheet!$A:$H,3,FALSE),VLOOKUP("other",bug_conf_sheet!$A:$H,3,FALSE))</f>
        <v>1</v>
      </c>
      <c r="P256" s="37">
        <f>IFERROR(VLOOKUP($F256,bug_conf_sheet!$A:$H,4,FALSE),VLOOKUP("other",bug_conf_sheet!$A:$H,4,FALSE))</f>
        <v>0</v>
      </c>
      <c r="Q256" s="37">
        <f>IFERROR(VLOOKUP($F256,bug_conf_sheet!$A:$H,5,FALSE),VLOOKUP("other",bug_conf_sheet!$A:$H,5,FALSE))</f>
        <v>0</v>
      </c>
      <c r="R256" s="37">
        <f>IFERROR(VLOOKUP($F256,bug_conf_sheet!$A:$H,6,FALSE),VLOOKUP("other",bug_conf_sheet!$A:$H,6,FALSE))</f>
        <v>0</v>
      </c>
      <c r="S256" s="37">
        <f>IFERROR(VLOOKUP($F256,bug_conf_sheet!$A:$H,7,FALSE),VLOOKUP("other",bug_conf_sheet!$A:$H,7,FALSE))</f>
        <v>0</v>
      </c>
      <c r="T256" s="37">
        <f>IFERROR(VLOOKUP($F256,bug_conf_sheet!$A:$H,8,FALSE),VLOOKUP("other",bug_conf_sheet!$A:$H,8,FALSE))</f>
        <v>1</v>
      </c>
    </row>
    <row r="257" spans="1:20" ht="21" customHeight="1">
      <c r="A257" s="7" t="str">
        <f t="shared" si="22"/>
        <v>3001209</v>
      </c>
      <c r="B257" s="2" t="str">
        <f t="shared" si="20"/>
        <v>3001</v>
      </c>
      <c r="C257" s="8" t="str">
        <f t="shared" si="21"/>
        <v>1PremiumN4</v>
      </c>
      <c r="D257" s="8" t="str">
        <f t="shared" si="19"/>
        <v>1PremiumN4</v>
      </c>
      <c r="E257" s="10">
        <v>1</v>
      </c>
      <c r="F257" s="5">
        <v>209</v>
      </c>
      <c r="G257" s="8" t="str">
        <f>VLOOKUP(F257,[1]characters!$A:$C,3,FALSE)</f>
        <v>孤神 テティス</v>
      </c>
      <c r="H257" s="8" t="str">
        <f>VLOOKUP(F257,[1]characters!$A:$J,10,FALSE)</f>
        <v>PremiumN</v>
      </c>
      <c r="I257" s="8">
        <f>VLOOKUP(F257,[1]characters!$A:$I,9,FALSE)</f>
        <v>4</v>
      </c>
      <c r="J257" s="8" t="str">
        <f>VLOOKUP(F257,[1]characters!$A:$H,8,FALSE)</f>
        <v>blue</v>
      </c>
      <c r="K257" s="8" t="str">
        <f>VLOOKUP(F257,[1]characters!$A:$K,11,FALSE)</f>
        <v>hp</v>
      </c>
      <c r="L257" s="8" t="str">
        <f>VLOOKUP(F257,[1]characters!$A:$M,13,FALSE)</f>
        <v>god</v>
      </c>
      <c r="M257" s="65"/>
      <c r="N257" s="16">
        <f>VLOOKUP(D257,gacha_300_base!A:B,2,FALSE)</f>
        <v>2616</v>
      </c>
      <c r="O257" s="37">
        <f>IFERROR(VLOOKUP($F257,bug_conf_sheet!$A:$H,3,FALSE),VLOOKUP("other",bug_conf_sheet!$A:$H,3,FALSE))</f>
        <v>1</v>
      </c>
      <c r="P257" s="37">
        <f>IFERROR(VLOOKUP($F257,bug_conf_sheet!$A:$H,4,FALSE),VLOOKUP("other",bug_conf_sheet!$A:$H,4,FALSE))</f>
        <v>0</v>
      </c>
      <c r="Q257" s="37">
        <f>IFERROR(VLOOKUP($F257,bug_conf_sheet!$A:$H,5,FALSE),VLOOKUP("other",bug_conf_sheet!$A:$H,5,FALSE))</f>
        <v>0</v>
      </c>
      <c r="R257" s="37">
        <f>IFERROR(VLOOKUP($F257,bug_conf_sheet!$A:$H,6,FALSE),VLOOKUP("other",bug_conf_sheet!$A:$H,6,FALSE))</f>
        <v>0</v>
      </c>
      <c r="S257" s="37">
        <f>IFERROR(VLOOKUP($F257,bug_conf_sheet!$A:$H,7,FALSE),VLOOKUP("other",bug_conf_sheet!$A:$H,7,FALSE))</f>
        <v>0</v>
      </c>
      <c r="T257" s="37">
        <f>IFERROR(VLOOKUP($F257,bug_conf_sheet!$A:$H,8,FALSE),VLOOKUP("other",bug_conf_sheet!$A:$H,8,FALSE))</f>
        <v>1</v>
      </c>
    </row>
    <row r="258" spans="1:20" ht="21" customHeight="1">
      <c r="A258" s="7" t="str">
        <f t="shared" si="22"/>
        <v>3001210</v>
      </c>
      <c r="B258" s="2" t="str">
        <f t="shared" si="20"/>
        <v>3001</v>
      </c>
      <c r="C258" s="8" t="str">
        <f t="shared" si="21"/>
        <v>1PremiumN5</v>
      </c>
      <c r="D258" s="8" t="str">
        <f t="shared" ref="D258:D321" si="23">E258&amp;H258&amp;I258</f>
        <v>1PremiumN5</v>
      </c>
      <c r="E258" s="10">
        <v>1</v>
      </c>
      <c r="F258" s="5">
        <v>210</v>
      </c>
      <c r="G258" s="8" t="str">
        <f>VLOOKUP(F258,[1]characters!$A:$C,3,FALSE)</f>
        <v>海底の孤高神 テティス</v>
      </c>
      <c r="H258" s="8" t="str">
        <f>VLOOKUP(F258,[1]characters!$A:$J,10,FALSE)</f>
        <v>PremiumN</v>
      </c>
      <c r="I258" s="8">
        <f>VLOOKUP(F258,[1]characters!$A:$I,9,FALSE)</f>
        <v>5</v>
      </c>
      <c r="J258" s="8" t="str">
        <f>VLOOKUP(F258,[1]characters!$A:$H,8,FALSE)</f>
        <v>blue</v>
      </c>
      <c r="K258" s="8" t="str">
        <f>VLOOKUP(F258,[1]characters!$A:$K,11,FALSE)</f>
        <v>hp</v>
      </c>
      <c r="L258" s="8" t="str">
        <f>VLOOKUP(F258,[1]characters!$A:$M,13,FALSE)</f>
        <v>god</v>
      </c>
      <c r="M258" s="65"/>
      <c r="N258" s="16">
        <f>VLOOKUP(D258,gacha_300_base!A:B,2,FALSE)</f>
        <v>911</v>
      </c>
      <c r="O258" s="37">
        <f>IFERROR(VLOOKUP($F258,bug_conf_sheet!$A:$H,3,FALSE),VLOOKUP("other",bug_conf_sheet!$A:$H,3,FALSE))</f>
        <v>1</v>
      </c>
      <c r="P258" s="37">
        <f>IFERROR(VLOOKUP($F258,bug_conf_sheet!$A:$H,4,FALSE),VLOOKUP("other",bug_conf_sheet!$A:$H,4,FALSE))</f>
        <v>0</v>
      </c>
      <c r="Q258" s="37">
        <f>IFERROR(VLOOKUP($F258,bug_conf_sheet!$A:$H,5,FALSE),VLOOKUP("other",bug_conf_sheet!$A:$H,5,FALSE))</f>
        <v>0</v>
      </c>
      <c r="R258" s="37">
        <f>IFERROR(VLOOKUP($F258,bug_conf_sheet!$A:$H,6,FALSE),VLOOKUP("other",bug_conf_sheet!$A:$H,6,FALSE))</f>
        <v>0</v>
      </c>
      <c r="S258" s="37">
        <f>IFERROR(VLOOKUP($F258,bug_conf_sheet!$A:$H,7,FALSE),VLOOKUP("other",bug_conf_sheet!$A:$H,7,FALSE))</f>
        <v>0</v>
      </c>
      <c r="T258" s="37">
        <f>IFERROR(VLOOKUP($F258,bug_conf_sheet!$A:$H,8,FALSE),VLOOKUP("other",bug_conf_sheet!$A:$H,8,FALSE))</f>
        <v>1</v>
      </c>
    </row>
    <row r="259" spans="1:20" ht="21" customHeight="1">
      <c r="A259" s="7" t="str">
        <f t="shared" si="22"/>
        <v>3001211</v>
      </c>
      <c r="B259" s="2" t="str">
        <f t="shared" ref="B259:B322" si="24">300&amp;E259</f>
        <v>3001</v>
      </c>
      <c r="C259" s="8" t="str">
        <f t="shared" si="21"/>
        <v>1PremiumN3</v>
      </c>
      <c r="D259" s="8" t="str">
        <f t="shared" si="23"/>
        <v>1PremiumN3</v>
      </c>
      <c r="E259" s="10">
        <v>1</v>
      </c>
      <c r="F259" s="5">
        <v>211</v>
      </c>
      <c r="G259" s="8" t="str">
        <f>VLOOKUP(F259,[1]characters!$A:$C,3,FALSE)</f>
        <v>アストライアー</v>
      </c>
      <c r="H259" s="8" t="str">
        <f>VLOOKUP(F259,[1]characters!$A:$J,10,FALSE)</f>
        <v>PremiumN</v>
      </c>
      <c r="I259" s="8">
        <f>VLOOKUP(F259,[1]characters!$A:$I,9,FALSE)</f>
        <v>3</v>
      </c>
      <c r="J259" s="8" t="str">
        <f>VLOOKUP(F259,[1]characters!$A:$H,8,FALSE)</f>
        <v>yellow</v>
      </c>
      <c r="K259" s="8" t="str">
        <f>VLOOKUP(F259,[1]characters!$A:$K,11,FALSE)</f>
        <v>balance</v>
      </c>
      <c r="L259" s="8" t="str">
        <f>VLOOKUP(F259,[1]characters!$A:$M,13,FALSE)</f>
        <v>god</v>
      </c>
      <c r="M259" s="65"/>
      <c r="N259" s="16">
        <f>VLOOKUP(D259,gacha_300_base!A:B,2,FALSE)</f>
        <v>11167</v>
      </c>
      <c r="O259" s="37">
        <f>IFERROR(VLOOKUP($F259,bug_conf_sheet!$A:$H,3,FALSE),VLOOKUP("other",bug_conf_sheet!$A:$H,3,FALSE))</f>
        <v>1</v>
      </c>
      <c r="P259" s="37">
        <f>IFERROR(VLOOKUP($F259,bug_conf_sheet!$A:$H,4,FALSE),VLOOKUP("other",bug_conf_sheet!$A:$H,4,FALSE))</f>
        <v>0</v>
      </c>
      <c r="Q259" s="37">
        <f>IFERROR(VLOOKUP($F259,bug_conf_sheet!$A:$H,5,FALSE),VLOOKUP("other",bug_conf_sheet!$A:$H,5,FALSE))</f>
        <v>0</v>
      </c>
      <c r="R259" s="37">
        <f>IFERROR(VLOOKUP($F259,bug_conf_sheet!$A:$H,6,FALSE),VLOOKUP("other",bug_conf_sheet!$A:$H,6,FALSE))</f>
        <v>0</v>
      </c>
      <c r="S259" s="37">
        <f>IFERROR(VLOOKUP($F259,bug_conf_sheet!$A:$H,7,FALSE),VLOOKUP("other",bug_conf_sheet!$A:$H,7,FALSE))</f>
        <v>0</v>
      </c>
      <c r="T259" s="37">
        <f>IFERROR(VLOOKUP($F259,bug_conf_sheet!$A:$H,8,FALSE),VLOOKUP("other",bug_conf_sheet!$A:$H,8,FALSE))</f>
        <v>1</v>
      </c>
    </row>
    <row r="260" spans="1:20" ht="21" customHeight="1">
      <c r="A260" s="7" t="str">
        <f t="shared" si="22"/>
        <v>3001212</v>
      </c>
      <c r="B260" s="2" t="str">
        <f t="shared" si="24"/>
        <v>3001</v>
      </c>
      <c r="C260" s="8" t="str">
        <f t="shared" si="21"/>
        <v>1PremiumN4</v>
      </c>
      <c r="D260" s="8" t="str">
        <f t="shared" si="23"/>
        <v>1PremiumN4</v>
      </c>
      <c r="E260" s="10">
        <v>1</v>
      </c>
      <c r="F260" s="5">
        <v>212</v>
      </c>
      <c r="G260" s="8" t="str">
        <f>VLOOKUP(F260,[1]characters!$A:$C,3,FALSE)</f>
        <v>星神 アストライアー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yellow</v>
      </c>
      <c r="K260" s="8" t="str">
        <f>VLOOKUP(F260,[1]characters!$A:$K,11,FALSE)</f>
        <v>balance</v>
      </c>
      <c r="L260" s="8" t="str">
        <f>VLOOKUP(F260,[1]characters!$A:$M,13,FALSE)</f>
        <v>god</v>
      </c>
      <c r="M260" s="65"/>
      <c r="N260" s="16">
        <f>VLOOKUP(D260,gacha_300_base!A:B,2,FALSE)</f>
        <v>2616</v>
      </c>
      <c r="O260" s="37">
        <f>IFERROR(VLOOKUP($F260,bug_conf_sheet!$A:$H,3,FALSE),VLOOKUP("other",bug_conf_sheet!$A:$H,3,FALSE))</f>
        <v>1</v>
      </c>
      <c r="P260" s="37">
        <f>IFERROR(VLOOKUP($F260,bug_conf_sheet!$A:$H,4,FALSE),VLOOKUP("other",bug_conf_sheet!$A:$H,4,FALSE))</f>
        <v>0</v>
      </c>
      <c r="Q260" s="37">
        <f>IFERROR(VLOOKUP($F260,bug_conf_sheet!$A:$H,5,FALSE),VLOOKUP("other",bug_conf_sheet!$A:$H,5,FALSE))</f>
        <v>0</v>
      </c>
      <c r="R260" s="37">
        <f>IFERROR(VLOOKUP($F260,bug_conf_sheet!$A:$H,6,FALSE),VLOOKUP("other",bug_conf_sheet!$A:$H,6,FALSE))</f>
        <v>0</v>
      </c>
      <c r="S260" s="37">
        <f>IFERROR(VLOOKUP($F260,bug_conf_sheet!$A:$H,7,FALSE),VLOOKUP("other",bug_conf_sheet!$A:$H,7,FALSE))</f>
        <v>0</v>
      </c>
      <c r="T260" s="37">
        <f>IFERROR(VLOOKUP($F260,bug_conf_sheet!$A:$H,8,FALSE),VLOOKUP("other",bug_conf_sheet!$A:$H,8,FALSE))</f>
        <v>1</v>
      </c>
    </row>
    <row r="261" spans="1:20" ht="21" customHeight="1">
      <c r="A261" s="7" t="str">
        <f t="shared" si="22"/>
        <v>3001213</v>
      </c>
      <c r="B261" s="2" t="str">
        <f t="shared" si="24"/>
        <v>3001</v>
      </c>
      <c r="C261" s="8" t="str">
        <f t="shared" si="21"/>
        <v>1PremiumN5</v>
      </c>
      <c r="D261" s="8" t="str">
        <f t="shared" si="23"/>
        <v>1PremiumN5</v>
      </c>
      <c r="E261" s="10">
        <v>1</v>
      </c>
      <c r="F261" s="5">
        <v>213</v>
      </c>
      <c r="G261" s="8" t="str">
        <f>VLOOKUP(F261,[1]characters!$A:$C,3,FALSE)</f>
        <v>満天の星降神 アストライアー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yellow</v>
      </c>
      <c r="K261" s="8" t="str">
        <f>VLOOKUP(F261,[1]characters!$A:$K,11,FALSE)</f>
        <v>balance</v>
      </c>
      <c r="L261" s="8" t="str">
        <f>VLOOKUP(F261,[1]characters!$A:$M,13,FALSE)</f>
        <v>god</v>
      </c>
      <c r="M261" s="65"/>
      <c r="N261" s="16">
        <f>VLOOKUP(D261,gacha_300_base!A:B,2,FALSE)</f>
        <v>911</v>
      </c>
      <c r="O261" s="37">
        <f>IFERROR(VLOOKUP($F261,bug_conf_sheet!$A:$H,3,FALSE),VLOOKUP("other",bug_conf_sheet!$A:$H,3,FALSE))</f>
        <v>1</v>
      </c>
      <c r="P261" s="37">
        <f>IFERROR(VLOOKUP($F261,bug_conf_sheet!$A:$H,4,FALSE),VLOOKUP("other",bug_conf_sheet!$A:$H,4,FALSE))</f>
        <v>0</v>
      </c>
      <c r="Q261" s="37">
        <f>IFERROR(VLOOKUP($F261,bug_conf_sheet!$A:$H,5,FALSE),VLOOKUP("other",bug_conf_sheet!$A:$H,5,FALSE))</f>
        <v>0</v>
      </c>
      <c r="R261" s="37">
        <f>IFERROR(VLOOKUP($F261,bug_conf_sheet!$A:$H,6,FALSE),VLOOKUP("other",bug_conf_sheet!$A:$H,6,FALSE))</f>
        <v>0</v>
      </c>
      <c r="S261" s="37">
        <f>IFERROR(VLOOKUP($F261,bug_conf_sheet!$A:$H,7,FALSE),VLOOKUP("other",bug_conf_sheet!$A:$H,7,FALSE))</f>
        <v>0</v>
      </c>
      <c r="T261" s="37">
        <f>IFERROR(VLOOKUP($F261,bug_conf_sheet!$A:$H,8,FALSE),VLOOKUP("other",bug_conf_sheet!$A:$H,8,FALSE))</f>
        <v>1</v>
      </c>
    </row>
    <row r="262" spans="1:20" ht="21" customHeight="1">
      <c r="A262" s="7" t="str">
        <f t="shared" si="22"/>
        <v>3001214</v>
      </c>
      <c r="B262" s="2" t="str">
        <f t="shared" si="24"/>
        <v>3001</v>
      </c>
      <c r="C262" s="8" t="str">
        <f t="shared" si="21"/>
        <v>1PremiumN3</v>
      </c>
      <c r="D262" s="8" t="str">
        <f t="shared" si="23"/>
        <v>1PremiumN3</v>
      </c>
      <c r="E262" s="10">
        <v>1</v>
      </c>
      <c r="F262" s="5">
        <v>214</v>
      </c>
      <c r="G262" s="8" t="str">
        <f>VLOOKUP(F262,[1]characters!$A:$C,3,FALSE)</f>
        <v>アズラエル</v>
      </c>
      <c r="H262" s="8" t="str">
        <f>VLOOKUP(F262,[1]characters!$A:$J,10,FALSE)</f>
        <v>PremiumN</v>
      </c>
      <c r="I262" s="8">
        <f>VLOOKUP(F262,[1]characters!$A:$I,9,FALSE)</f>
        <v>3</v>
      </c>
      <c r="J262" s="8" t="str">
        <f>VLOOKUP(F262,[1]characters!$A:$H,8,FALSE)</f>
        <v>red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65"/>
      <c r="N262" s="16">
        <f>VLOOKUP(D262,gacha_300_base!A:B,2,FALSE)</f>
        <v>11167</v>
      </c>
      <c r="O262" s="37">
        <f>IFERROR(VLOOKUP($F262,bug_conf_sheet!$A:$H,3,FALSE),VLOOKUP("other",bug_conf_sheet!$A:$H,3,FALSE))</f>
        <v>1</v>
      </c>
      <c r="P262" s="37">
        <f>IFERROR(VLOOKUP($F262,bug_conf_sheet!$A:$H,4,FALSE),VLOOKUP("other",bug_conf_sheet!$A:$H,4,FALSE))</f>
        <v>0</v>
      </c>
      <c r="Q262" s="37">
        <f>IFERROR(VLOOKUP($F262,bug_conf_sheet!$A:$H,5,FALSE),VLOOKUP("other",bug_conf_sheet!$A:$H,5,FALSE))</f>
        <v>0</v>
      </c>
      <c r="R262" s="37">
        <f>IFERROR(VLOOKUP($F262,bug_conf_sheet!$A:$H,6,FALSE),VLOOKUP("other",bug_conf_sheet!$A:$H,6,FALSE))</f>
        <v>0</v>
      </c>
      <c r="S262" s="37">
        <f>IFERROR(VLOOKUP($F262,bug_conf_sheet!$A:$H,7,FALSE),VLOOKUP("other",bug_conf_sheet!$A:$H,7,FALSE))</f>
        <v>0</v>
      </c>
      <c r="T262" s="37">
        <f>IFERROR(VLOOKUP($F262,bug_conf_sheet!$A:$H,8,FALSE),VLOOKUP("other",bug_conf_sheet!$A:$H,8,FALSE))</f>
        <v>1</v>
      </c>
    </row>
    <row r="263" spans="1:20" ht="21" customHeight="1">
      <c r="A263" s="7" t="str">
        <f t="shared" si="22"/>
        <v>3001215</v>
      </c>
      <c r="B263" s="2" t="str">
        <f t="shared" si="24"/>
        <v>3001</v>
      </c>
      <c r="C263" s="8" t="str">
        <f t="shared" si="21"/>
        <v>1PremiumN4</v>
      </c>
      <c r="D263" s="8" t="str">
        <f t="shared" si="23"/>
        <v>1PremiumN4</v>
      </c>
      <c r="E263" s="10">
        <v>1</v>
      </c>
      <c r="F263" s="5">
        <v>215</v>
      </c>
      <c r="G263" s="8" t="str">
        <f>VLOOKUP(F263,[1]characters!$A:$C,3,FALSE)</f>
        <v>死導者 アズラエル</v>
      </c>
      <c r="H263" s="8" t="str">
        <f>VLOOKUP(F263,[1]characters!$A:$J,10,FALSE)</f>
        <v>PremiumN</v>
      </c>
      <c r="I263" s="8">
        <f>VLOOKUP(F263,[1]characters!$A:$I,9,FALSE)</f>
        <v>4</v>
      </c>
      <c r="J263" s="8" t="str">
        <f>VLOOKUP(F263,[1]characters!$A:$H,8,FALSE)</f>
        <v>red</v>
      </c>
      <c r="K263" s="8" t="str">
        <f>VLOOKUP(F263,[1]characters!$A:$K,11,FALSE)</f>
        <v>balance</v>
      </c>
      <c r="L263" s="8" t="str">
        <f>VLOOKUP(F263,[1]characters!$A:$M,13,FALSE)</f>
        <v>god</v>
      </c>
      <c r="M263" s="65"/>
      <c r="N263" s="16">
        <f>VLOOKUP(D263,gacha_300_base!A:B,2,FALSE)</f>
        <v>2616</v>
      </c>
      <c r="O263" s="37">
        <f>IFERROR(VLOOKUP($F263,bug_conf_sheet!$A:$H,3,FALSE),VLOOKUP("other",bug_conf_sheet!$A:$H,3,FALSE))</f>
        <v>1</v>
      </c>
      <c r="P263" s="37">
        <f>IFERROR(VLOOKUP($F263,bug_conf_sheet!$A:$H,4,FALSE),VLOOKUP("other",bug_conf_sheet!$A:$H,4,FALSE))</f>
        <v>0</v>
      </c>
      <c r="Q263" s="37">
        <f>IFERROR(VLOOKUP($F263,bug_conf_sheet!$A:$H,5,FALSE),VLOOKUP("other",bug_conf_sheet!$A:$H,5,FALSE))</f>
        <v>0</v>
      </c>
      <c r="R263" s="37">
        <f>IFERROR(VLOOKUP($F263,bug_conf_sheet!$A:$H,6,FALSE),VLOOKUP("other",bug_conf_sheet!$A:$H,6,FALSE))</f>
        <v>0</v>
      </c>
      <c r="S263" s="37">
        <f>IFERROR(VLOOKUP($F263,bug_conf_sheet!$A:$H,7,FALSE),VLOOKUP("other",bug_conf_sheet!$A:$H,7,FALSE))</f>
        <v>0</v>
      </c>
      <c r="T263" s="37">
        <f>IFERROR(VLOOKUP($F263,bug_conf_sheet!$A:$H,8,FALSE),VLOOKUP("other",bug_conf_sheet!$A:$H,8,FALSE))</f>
        <v>1</v>
      </c>
    </row>
    <row r="264" spans="1:20" ht="21" customHeight="1">
      <c r="A264" s="7" t="str">
        <f t="shared" si="22"/>
        <v>3001216</v>
      </c>
      <c r="B264" s="2" t="str">
        <f t="shared" si="24"/>
        <v>3001</v>
      </c>
      <c r="C264" s="8" t="str">
        <f t="shared" si="21"/>
        <v>1PremiumN5</v>
      </c>
      <c r="D264" s="8" t="str">
        <f t="shared" si="23"/>
        <v>1PremiumN5</v>
      </c>
      <c r="E264" s="10">
        <v>1</v>
      </c>
      <c r="F264" s="5">
        <v>216</v>
      </c>
      <c r="G264" s="8" t="str">
        <f>VLOOKUP(F264,[1]characters!$A:$C,3,FALSE)</f>
        <v>百読の死導司書 アズラエル</v>
      </c>
      <c r="H264" s="8" t="str">
        <f>VLOOKUP(F264,[1]characters!$A:$J,10,FALSE)</f>
        <v>PremiumN</v>
      </c>
      <c r="I264" s="8">
        <f>VLOOKUP(F264,[1]characters!$A:$I,9,FALSE)</f>
        <v>5</v>
      </c>
      <c r="J264" s="8" t="str">
        <f>VLOOKUP(F264,[1]characters!$A:$H,8,FALSE)</f>
        <v>red</v>
      </c>
      <c r="K264" s="8" t="str">
        <f>VLOOKUP(F264,[1]characters!$A:$K,11,FALSE)</f>
        <v>balance</v>
      </c>
      <c r="L264" s="8" t="str">
        <f>VLOOKUP(F264,[1]characters!$A:$M,13,FALSE)</f>
        <v>god</v>
      </c>
      <c r="M264" s="65"/>
      <c r="N264" s="16">
        <f>VLOOKUP(D264,gacha_300_base!A:B,2,FALSE)</f>
        <v>911</v>
      </c>
      <c r="O264" s="37">
        <f>IFERROR(VLOOKUP($F264,bug_conf_sheet!$A:$H,3,FALSE),VLOOKUP("other",bug_conf_sheet!$A:$H,3,FALSE))</f>
        <v>1</v>
      </c>
      <c r="P264" s="37">
        <f>IFERROR(VLOOKUP($F264,bug_conf_sheet!$A:$H,4,FALSE),VLOOKUP("other",bug_conf_sheet!$A:$H,4,FALSE))</f>
        <v>0</v>
      </c>
      <c r="Q264" s="37">
        <f>IFERROR(VLOOKUP($F264,bug_conf_sheet!$A:$H,5,FALSE),VLOOKUP("other",bug_conf_sheet!$A:$H,5,FALSE))</f>
        <v>0</v>
      </c>
      <c r="R264" s="37">
        <f>IFERROR(VLOOKUP($F264,bug_conf_sheet!$A:$H,6,FALSE),VLOOKUP("other",bug_conf_sheet!$A:$H,6,FALSE))</f>
        <v>0</v>
      </c>
      <c r="S264" s="37">
        <f>IFERROR(VLOOKUP($F264,bug_conf_sheet!$A:$H,7,FALSE),VLOOKUP("other",bug_conf_sheet!$A:$H,7,FALSE))</f>
        <v>0</v>
      </c>
      <c r="T264" s="37">
        <f>IFERROR(VLOOKUP($F264,bug_conf_sheet!$A:$H,8,FALSE),VLOOKUP("other",bug_conf_sheet!$A:$H,8,FALSE))</f>
        <v>1</v>
      </c>
    </row>
    <row r="265" spans="1:20" ht="21" customHeight="1">
      <c r="A265" s="7" t="str">
        <f t="shared" si="22"/>
        <v>3001217</v>
      </c>
      <c r="B265" s="2" t="str">
        <f t="shared" si="24"/>
        <v>3001</v>
      </c>
      <c r="C265" s="8" t="str">
        <f t="shared" si="21"/>
        <v>1PremiumN3</v>
      </c>
      <c r="D265" s="8" t="str">
        <f t="shared" si="23"/>
        <v>1PremiumN3</v>
      </c>
      <c r="E265" s="10">
        <v>1</v>
      </c>
      <c r="F265" s="5">
        <v>217</v>
      </c>
      <c r="G265" s="8" t="str">
        <f>VLOOKUP(F265,[1]characters!$A:$C,3,FALSE)</f>
        <v>ケツァクアトル</v>
      </c>
      <c r="H265" s="8" t="str">
        <f>VLOOKUP(F265,[1]characters!$A:$J,10,FALSE)</f>
        <v>PremiumN</v>
      </c>
      <c r="I265" s="8">
        <f>VLOOKUP(F265,[1]characters!$A:$I,9,FALSE)</f>
        <v>3</v>
      </c>
      <c r="J265" s="8" t="str">
        <f>VLOOKUP(F265,[1]characters!$A:$H,8,FALSE)</f>
        <v>green</v>
      </c>
      <c r="K265" s="8" t="str">
        <f>VLOOKUP(F265,[1]characters!$A:$K,11,FALSE)</f>
        <v>hp</v>
      </c>
      <c r="L265" s="8" t="str">
        <f>VLOOKUP(F265,[1]characters!$A:$M,13,FALSE)</f>
        <v>dragon</v>
      </c>
      <c r="M265" s="65"/>
      <c r="N265" s="16">
        <f>VLOOKUP(D265,gacha_300_base!A:B,2,FALSE)</f>
        <v>11167</v>
      </c>
      <c r="O265" s="37">
        <f>IFERROR(VLOOKUP($F265,bug_conf_sheet!$A:$H,3,FALSE),VLOOKUP("other",bug_conf_sheet!$A:$H,3,FALSE))</f>
        <v>1</v>
      </c>
      <c r="P265" s="37">
        <f>IFERROR(VLOOKUP($F265,bug_conf_sheet!$A:$H,4,FALSE),VLOOKUP("other",bug_conf_sheet!$A:$H,4,FALSE))</f>
        <v>0</v>
      </c>
      <c r="Q265" s="37">
        <f>IFERROR(VLOOKUP($F265,bug_conf_sheet!$A:$H,5,FALSE),VLOOKUP("other",bug_conf_sheet!$A:$H,5,FALSE))</f>
        <v>0</v>
      </c>
      <c r="R265" s="37">
        <f>IFERROR(VLOOKUP($F265,bug_conf_sheet!$A:$H,6,FALSE),VLOOKUP("other",bug_conf_sheet!$A:$H,6,FALSE))</f>
        <v>0</v>
      </c>
      <c r="S265" s="37">
        <f>IFERROR(VLOOKUP($F265,bug_conf_sheet!$A:$H,7,FALSE),VLOOKUP("other",bug_conf_sheet!$A:$H,7,FALSE))</f>
        <v>0</v>
      </c>
      <c r="T265" s="37">
        <f>IFERROR(VLOOKUP($F265,bug_conf_sheet!$A:$H,8,FALSE),VLOOKUP("other",bug_conf_sheet!$A:$H,8,FALSE))</f>
        <v>1</v>
      </c>
    </row>
    <row r="266" spans="1:20" ht="21" customHeight="1">
      <c r="A266" s="7" t="str">
        <f t="shared" si="22"/>
        <v>3001218</v>
      </c>
      <c r="B266" s="2" t="str">
        <f t="shared" si="24"/>
        <v>3001</v>
      </c>
      <c r="C266" s="8" t="str">
        <f t="shared" si="21"/>
        <v>1PremiumN4</v>
      </c>
      <c r="D266" s="8" t="str">
        <f t="shared" si="23"/>
        <v>1PremiumN4</v>
      </c>
      <c r="E266" s="10">
        <v>1</v>
      </c>
      <c r="F266" s="5">
        <v>218</v>
      </c>
      <c r="G266" s="8" t="str">
        <f>VLOOKUP(F266,[1]characters!$A:$C,3,FALSE)</f>
        <v>聖蛇 ケツァクアトル</v>
      </c>
      <c r="H266" s="8" t="str">
        <f>VLOOKUP(F266,[1]characters!$A:$J,10,FALSE)</f>
        <v>PremiumN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hp</v>
      </c>
      <c r="L266" s="8" t="str">
        <f>VLOOKUP(F266,[1]characters!$A:$M,13,FALSE)</f>
        <v>dragon</v>
      </c>
      <c r="M266" s="65"/>
      <c r="N266" s="16">
        <f>VLOOKUP(D266,gacha_300_base!A:B,2,FALSE)</f>
        <v>2616</v>
      </c>
      <c r="O266" s="37">
        <f>IFERROR(VLOOKUP($F266,bug_conf_sheet!$A:$H,3,FALSE),VLOOKUP("other",bug_conf_sheet!$A:$H,3,FALSE))</f>
        <v>1</v>
      </c>
      <c r="P266" s="37">
        <f>IFERROR(VLOOKUP($F266,bug_conf_sheet!$A:$H,4,FALSE),VLOOKUP("other",bug_conf_sheet!$A:$H,4,FALSE))</f>
        <v>0</v>
      </c>
      <c r="Q266" s="37">
        <f>IFERROR(VLOOKUP($F266,bug_conf_sheet!$A:$H,5,FALSE),VLOOKUP("other",bug_conf_sheet!$A:$H,5,FALSE))</f>
        <v>0</v>
      </c>
      <c r="R266" s="37">
        <f>IFERROR(VLOOKUP($F266,bug_conf_sheet!$A:$H,6,FALSE),VLOOKUP("other",bug_conf_sheet!$A:$H,6,FALSE))</f>
        <v>0</v>
      </c>
      <c r="S266" s="37">
        <f>IFERROR(VLOOKUP($F266,bug_conf_sheet!$A:$H,7,FALSE),VLOOKUP("other",bug_conf_sheet!$A:$H,7,FALSE))</f>
        <v>0</v>
      </c>
      <c r="T266" s="37">
        <f>IFERROR(VLOOKUP($F266,bug_conf_sheet!$A:$H,8,FALSE),VLOOKUP("other",bug_conf_sheet!$A:$H,8,FALSE))</f>
        <v>1</v>
      </c>
    </row>
    <row r="267" spans="1:20" ht="21" customHeight="1">
      <c r="A267" s="7" t="str">
        <f t="shared" si="22"/>
        <v>3001219</v>
      </c>
      <c r="B267" s="2" t="str">
        <f t="shared" si="24"/>
        <v>3001</v>
      </c>
      <c r="C267" s="8" t="str">
        <f t="shared" si="21"/>
        <v>1PremiumN5</v>
      </c>
      <c r="D267" s="8" t="str">
        <f t="shared" si="23"/>
        <v>1PremiumN5</v>
      </c>
      <c r="E267" s="10">
        <v>1</v>
      </c>
      <c r="F267" s="5">
        <v>219</v>
      </c>
      <c r="G267" s="8" t="str">
        <f>VLOOKUP(F267,[1]characters!$A:$C,3,FALSE)</f>
        <v>覇翼の聖蛇竜 ケツァクアトル</v>
      </c>
      <c r="H267" s="8" t="str">
        <f>VLOOKUP(F267,[1]characters!$A:$J,10,FALSE)</f>
        <v>PremiumN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hp</v>
      </c>
      <c r="L267" s="8" t="str">
        <f>VLOOKUP(F267,[1]characters!$A:$M,13,FALSE)</f>
        <v>dragon</v>
      </c>
      <c r="M267" s="65"/>
      <c r="N267" s="16">
        <f>VLOOKUP(D267,gacha_300_base!A:B,2,FALSE)</f>
        <v>911</v>
      </c>
      <c r="O267" s="37">
        <f>IFERROR(VLOOKUP($F267,bug_conf_sheet!$A:$H,3,FALSE),VLOOKUP("other",bug_conf_sheet!$A:$H,3,FALSE))</f>
        <v>1</v>
      </c>
      <c r="P267" s="37">
        <f>IFERROR(VLOOKUP($F267,bug_conf_sheet!$A:$H,4,FALSE),VLOOKUP("other",bug_conf_sheet!$A:$H,4,FALSE))</f>
        <v>0</v>
      </c>
      <c r="Q267" s="37">
        <f>IFERROR(VLOOKUP($F267,bug_conf_sheet!$A:$H,5,FALSE),VLOOKUP("other",bug_conf_sheet!$A:$H,5,FALSE))</f>
        <v>0</v>
      </c>
      <c r="R267" s="37">
        <f>IFERROR(VLOOKUP($F267,bug_conf_sheet!$A:$H,6,FALSE),VLOOKUP("other",bug_conf_sheet!$A:$H,6,FALSE))</f>
        <v>0</v>
      </c>
      <c r="S267" s="37">
        <f>IFERROR(VLOOKUP($F267,bug_conf_sheet!$A:$H,7,FALSE),VLOOKUP("other",bug_conf_sheet!$A:$H,7,FALSE))</f>
        <v>0</v>
      </c>
      <c r="T267" s="37">
        <f>IFERROR(VLOOKUP($F267,bug_conf_sheet!$A:$H,8,FALSE),VLOOKUP("other",bug_conf_sheet!$A:$H,8,FALSE))</f>
        <v>1</v>
      </c>
    </row>
    <row r="268" spans="1:20" ht="21" customHeight="1">
      <c r="A268" s="7" t="str">
        <f t="shared" si="22"/>
        <v>3001220</v>
      </c>
      <c r="B268" s="2" t="str">
        <f t="shared" si="24"/>
        <v>3001</v>
      </c>
      <c r="C268" s="8" t="str">
        <f t="shared" si="21"/>
        <v>1PremiumN3</v>
      </c>
      <c r="D268" s="8" t="str">
        <f t="shared" si="23"/>
        <v>1PremiumN3</v>
      </c>
      <c r="E268" s="10">
        <v>1</v>
      </c>
      <c r="F268" s="5">
        <v>220</v>
      </c>
      <c r="G268" s="8" t="str">
        <f>VLOOKUP(F268,[1]characters!$A:$C,3,FALSE)</f>
        <v>ルキフグス</v>
      </c>
      <c r="H268" s="8" t="str">
        <f>VLOOKUP(F268,[1]characters!$A:$J,10,FALSE)</f>
        <v>PremiumN</v>
      </c>
      <c r="I268" s="8">
        <f>VLOOKUP(F268,[1]characters!$A:$I,9,FALSE)</f>
        <v>3</v>
      </c>
      <c r="J268" s="8" t="str">
        <f>VLOOKUP(F268,[1]characters!$A:$H,8,FALSE)</f>
        <v>blue</v>
      </c>
      <c r="K268" s="8" t="str">
        <f>VLOOKUP(F268,[1]characters!$A:$K,11,FALSE)</f>
        <v>balance</v>
      </c>
      <c r="L268" s="8" t="str">
        <f>VLOOKUP(F268,[1]characters!$A:$M,13,FALSE)</f>
        <v>god</v>
      </c>
      <c r="M268" s="65"/>
      <c r="N268" s="16">
        <f>VLOOKUP(D268,gacha_300_base!A:B,2,FALSE)</f>
        <v>11167</v>
      </c>
      <c r="O268" s="37">
        <f>IFERROR(VLOOKUP($F268,bug_conf_sheet!$A:$H,3,FALSE),VLOOKUP("other",bug_conf_sheet!$A:$H,3,FALSE))</f>
        <v>1</v>
      </c>
      <c r="P268" s="37">
        <f>IFERROR(VLOOKUP($F268,bug_conf_sheet!$A:$H,4,FALSE),VLOOKUP("other",bug_conf_sheet!$A:$H,4,FALSE))</f>
        <v>0</v>
      </c>
      <c r="Q268" s="37">
        <f>IFERROR(VLOOKUP($F268,bug_conf_sheet!$A:$H,5,FALSE),VLOOKUP("other",bug_conf_sheet!$A:$H,5,FALSE))</f>
        <v>0</v>
      </c>
      <c r="R268" s="37">
        <f>IFERROR(VLOOKUP($F268,bug_conf_sheet!$A:$H,6,FALSE),VLOOKUP("other",bug_conf_sheet!$A:$H,6,FALSE))</f>
        <v>0</v>
      </c>
      <c r="S268" s="37">
        <f>IFERROR(VLOOKUP($F268,bug_conf_sheet!$A:$H,7,FALSE),VLOOKUP("other",bug_conf_sheet!$A:$H,7,FALSE))</f>
        <v>0</v>
      </c>
      <c r="T268" s="37">
        <f>IFERROR(VLOOKUP($F268,bug_conf_sheet!$A:$H,8,FALSE),VLOOKUP("other",bug_conf_sheet!$A:$H,8,FALSE))</f>
        <v>1</v>
      </c>
    </row>
    <row r="269" spans="1:20" ht="21" customHeight="1">
      <c r="A269" s="7" t="str">
        <f t="shared" si="22"/>
        <v>3001221</v>
      </c>
      <c r="B269" s="2" t="str">
        <f t="shared" si="24"/>
        <v>3001</v>
      </c>
      <c r="C269" s="8" t="str">
        <f t="shared" si="21"/>
        <v>1PremiumN4</v>
      </c>
      <c r="D269" s="8" t="str">
        <f t="shared" si="23"/>
        <v>1PremiumN4</v>
      </c>
      <c r="E269" s="10">
        <v>1</v>
      </c>
      <c r="F269" s="5">
        <v>221</v>
      </c>
      <c r="G269" s="8" t="str">
        <f>VLOOKUP(F269,[1]characters!$A:$C,3,FALSE)</f>
        <v>宰相 ルキフグス</v>
      </c>
      <c r="H269" s="8" t="str">
        <f>VLOOKUP(F269,[1]characters!$A:$J,10,FALSE)</f>
        <v>PremiumN</v>
      </c>
      <c r="I269" s="8">
        <f>VLOOKUP(F269,[1]characters!$A:$I,9,FALSE)</f>
        <v>4</v>
      </c>
      <c r="J269" s="8" t="str">
        <f>VLOOKUP(F269,[1]characters!$A:$H,8,FALSE)</f>
        <v>blue</v>
      </c>
      <c r="K269" s="8" t="str">
        <f>VLOOKUP(F269,[1]characters!$A:$K,11,FALSE)</f>
        <v>balance</v>
      </c>
      <c r="L269" s="8" t="str">
        <f>VLOOKUP(F269,[1]characters!$A:$M,13,FALSE)</f>
        <v>god</v>
      </c>
      <c r="M269" s="65"/>
      <c r="N269" s="16">
        <f>VLOOKUP(D269,gacha_300_base!A:B,2,FALSE)</f>
        <v>2616</v>
      </c>
      <c r="O269" s="37">
        <f>IFERROR(VLOOKUP($F269,bug_conf_sheet!$A:$H,3,FALSE),VLOOKUP("other",bug_conf_sheet!$A:$H,3,FALSE))</f>
        <v>1</v>
      </c>
      <c r="P269" s="37">
        <f>IFERROR(VLOOKUP($F269,bug_conf_sheet!$A:$H,4,FALSE),VLOOKUP("other",bug_conf_sheet!$A:$H,4,FALSE))</f>
        <v>0</v>
      </c>
      <c r="Q269" s="37">
        <f>IFERROR(VLOOKUP($F269,bug_conf_sheet!$A:$H,5,FALSE),VLOOKUP("other",bug_conf_sheet!$A:$H,5,FALSE))</f>
        <v>0</v>
      </c>
      <c r="R269" s="37">
        <f>IFERROR(VLOOKUP($F269,bug_conf_sheet!$A:$H,6,FALSE),VLOOKUP("other",bug_conf_sheet!$A:$H,6,FALSE))</f>
        <v>0</v>
      </c>
      <c r="S269" s="37">
        <f>IFERROR(VLOOKUP($F269,bug_conf_sheet!$A:$H,7,FALSE),VLOOKUP("other",bug_conf_sheet!$A:$H,7,FALSE))</f>
        <v>0</v>
      </c>
      <c r="T269" s="37">
        <f>IFERROR(VLOOKUP($F269,bug_conf_sheet!$A:$H,8,FALSE),VLOOKUP("other",bug_conf_sheet!$A:$H,8,FALSE))</f>
        <v>1</v>
      </c>
    </row>
    <row r="270" spans="1:20" ht="21" customHeight="1">
      <c r="A270" s="7" t="str">
        <f t="shared" si="22"/>
        <v>3001222</v>
      </c>
      <c r="B270" s="2" t="str">
        <f t="shared" si="24"/>
        <v>3001</v>
      </c>
      <c r="C270" s="8" t="str">
        <f t="shared" si="21"/>
        <v>1PremiumN5</v>
      </c>
      <c r="D270" s="8" t="str">
        <f t="shared" si="23"/>
        <v>1PremiumN5</v>
      </c>
      <c r="E270" s="10">
        <v>1</v>
      </c>
      <c r="F270" s="5">
        <v>222</v>
      </c>
      <c r="G270" s="8" t="str">
        <f>VLOOKUP(F270,[1]characters!$A:$C,3,FALSE)</f>
        <v>避光の鉄鎖宰相 ルキフグス</v>
      </c>
      <c r="H270" s="8" t="str">
        <f>VLOOKUP(F270,[1]characters!$A:$J,10,FALSE)</f>
        <v>PremiumN</v>
      </c>
      <c r="I270" s="8">
        <f>VLOOKUP(F270,[1]characters!$A:$I,9,FALSE)</f>
        <v>5</v>
      </c>
      <c r="J270" s="8" t="str">
        <f>VLOOKUP(F270,[1]characters!$A:$H,8,FALSE)</f>
        <v>blue</v>
      </c>
      <c r="K270" s="8" t="str">
        <f>VLOOKUP(F270,[1]characters!$A:$K,11,FALSE)</f>
        <v>balance</v>
      </c>
      <c r="L270" s="8" t="str">
        <f>VLOOKUP(F270,[1]characters!$A:$M,13,FALSE)</f>
        <v>god</v>
      </c>
      <c r="M270" s="65"/>
      <c r="N270" s="16">
        <f>VLOOKUP(D270,gacha_300_base!A:B,2,FALSE)</f>
        <v>911</v>
      </c>
      <c r="O270" s="37">
        <f>IFERROR(VLOOKUP($F270,bug_conf_sheet!$A:$H,3,FALSE),VLOOKUP("other",bug_conf_sheet!$A:$H,3,FALSE))</f>
        <v>1</v>
      </c>
      <c r="P270" s="37">
        <f>IFERROR(VLOOKUP($F270,bug_conf_sheet!$A:$H,4,FALSE),VLOOKUP("other",bug_conf_sheet!$A:$H,4,FALSE))</f>
        <v>0</v>
      </c>
      <c r="Q270" s="37">
        <f>IFERROR(VLOOKUP($F270,bug_conf_sheet!$A:$H,5,FALSE),VLOOKUP("other",bug_conf_sheet!$A:$H,5,FALSE))</f>
        <v>0</v>
      </c>
      <c r="R270" s="37">
        <f>IFERROR(VLOOKUP($F270,bug_conf_sheet!$A:$H,6,FALSE),VLOOKUP("other",bug_conf_sheet!$A:$H,6,FALSE))</f>
        <v>0</v>
      </c>
      <c r="S270" s="37">
        <f>IFERROR(VLOOKUP($F270,bug_conf_sheet!$A:$H,7,FALSE),VLOOKUP("other",bug_conf_sheet!$A:$H,7,FALSE))</f>
        <v>0</v>
      </c>
      <c r="T270" s="37">
        <f>IFERROR(VLOOKUP($F270,bug_conf_sheet!$A:$H,8,FALSE),VLOOKUP("other",bug_conf_sheet!$A:$H,8,FALSE))</f>
        <v>1</v>
      </c>
    </row>
    <row r="271" spans="1:20" ht="21" customHeight="1">
      <c r="A271" s="7" t="str">
        <f t="shared" si="22"/>
        <v>3001223</v>
      </c>
      <c r="B271" s="2" t="str">
        <f t="shared" si="24"/>
        <v>3001</v>
      </c>
      <c r="C271" s="8" t="str">
        <f t="shared" si="21"/>
        <v>1PremiumN3</v>
      </c>
      <c r="D271" s="8" t="str">
        <f t="shared" si="23"/>
        <v>1PremiumN3</v>
      </c>
      <c r="E271" s="10">
        <v>1</v>
      </c>
      <c r="F271" s="5">
        <v>223</v>
      </c>
      <c r="G271" s="8" t="str">
        <f>VLOOKUP(F271,[1]characters!$A:$C,3,FALSE)</f>
        <v>ヘラクレス</v>
      </c>
      <c r="H271" s="8" t="str">
        <f>VLOOKUP(F271,[1]characters!$A:$J,10,FALSE)</f>
        <v>PremiumN</v>
      </c>
      <c r="I271" s="8">
        <f>VLOOKUP(F271,[1]characters!$A:$I,9,FALSE)</f>
        <v>3</v>
      </c>
      <c r="J271" s="8" t="str">
        <f>VLOOKUP(F271,[1]characters!$A:$H,8,FALSE)</f>
        <v>yellow</v>
      </c>
      <c r="K271" s="8" t="str">
        <f>VLOOKUP(F271,[1]characters!$A:$K,11,FALSE)</f>
        <v>balance</v>
      </c>
      <c r="L271" s="8" t="str">
        <f>VLOOKUP(F271,[1]characters!$A:$M,13,FALSE)</f>
        <v>human</v>
      </c>
      <c r="M271" s="65"/>
      <c r="N271" s="16">
        <f>VLOOKUP(D271,gacha_300_base!A:B,2,FALSE)</f>
        <v>11167</v>
      </c>
      <c r="O271" s="37">
        <f>IFERROR(VLOOKUP($F271,bug_conf_sheet!$A:$H,3,FALSE),VLOOKUP("other",bug_conf_sheet!$A:$H,3,FALSE))</f>
        <v>1</v>
      </c>
      <c r="P271" s="37">
        <f>IFERROR(VLOOKUP($F271,bug_conf_sheet!$A:$H,4,FALSE),VLOOKUP("other",bug_conf_sheet!$A:$H,4,FALSE))</f>
        <v>0</v>
      </c>
      <c r="Q271" s="37">
        <f>IFERROR(VLOOKUP($F271,bug_conf_sheet!$A:$H,5,FALSE),VLOOKUP("other",bug_conf_sheet!$A:$H,5,FALSE))</f>
        <v>0</v>
      </c>
      <c r="R271" s="37">
        <f>IFERROR(VLOOKUP($F271,bug_conf_sheet!$A:$H,6,FALSE),VLOOKUP("other",bug_conf_sheet!$A:$H,6,FALSE))</f>
        <v>0</v>
      </c>
      <c r="S271" s="37">
        <f>IFERROR(VLOOKUP($F271,bug_conf_sheet!$A:$H,7,FALSE),VLOOKUP("other",bug_conf_sheet!$A:$H,7,FALSE))</f>
        <v>0</v>
      </c>
      <c r="T271" s="37">
        <f>IFERROR(VLOOKUP($F271,bug_conf_sheet!$A:$H,8,FALSE),VLOOKUP("other",bug_conf_sheet!$A:$H,8,FALSE))</f>
        <v>1</v>
      </c>
    </row>
    <row r="272" spans="1:20" ht="21" customHeight="1">
      <c r="A272" s="7" t="str">
        <f t="shared" si="22"/>
        <v>3001224</v>
      </c>
      <c r="B272" s="2" t="str">
        <f t="shared" si="24"/>
        <v>3001</v>
      </c>
      <c r="C272" s="8" t="str">
        <f t="shared" si="21"/>
        <v>1PremiumN4</v>
      </c>
      <c r="D272" s="8" t="str">
        <f t="shared" si="23"/>
        <v>1PremiumN4</v>
      </c>
      <c r="E272" s="10">
        <v>1</v>
      </c>
      <c r="F272" s="5">
        <v>224</v>
      </c>
      <c r="G272" s="8" t="str">
        <f>VLOOKUP(F272,[1]characters!$A:$C,3,FALSE)</f>
        <v>巨腕 ヘラクレス</v>
      </c>
      <c r="H272" s="8" t="str">
        <f>VLOOKUP(F272,[1]characters!$A:$J,10,FALSE)</f>
        <v>PremiumN</v>
      </c>
      <c r="I272" s="8">
        <f>VLOOKUP(F272,[1]characters!$A:$I,9,FALSE)</f>
        <v>4</v>
      </c>
      <c r="J272" s="8" t="str">
        <f>VLOOKUP(F272,[1]characters!$A:$H,8,FALSE)</f>
        <v>yellow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65"/>
      <c r="N272" s="16">
        <f>VLOOKUP(D272,gacha_300_base!A:B,2,FALSE)</f>
        <v>2616</v>
      </c>
      <c r="O272" s="37">
        <f>IFERROR(VLOOKUP($F272,bug_conf_sheet!$A:$H,3,FALSE),VLOOKUP("other",bug_conf_sheet!$A:$H,3,FALSE))</f>
        <v>1</v>
      </c>
      <c r="P272" s="37">
        <f>IFERROR(VLOOKUP($F272,bug_conf_sheet!$A:$H,4,FALSE),VLOOKUP("other",bug_conf_sheet!$A:$H,4,FALSE))</f>
        <v>0</v>
      </c>
      <c r="Q272" s="37">
        <f>IFERROR(VLOOKUP($F272,bug_conf_sheet!$A:$H,5,FALSE),VLOOKUP("other",bug_conf_sheet!$A:$H,5,FALSE))</f>
        <v>0</v>
      </c>
      <c r="R272" s="37">
        <f>IFERROR(VLOOKUP($F272,bug_conf_sheet!$A:$H,6,FALSE),VLOOKUP("other",bug_conf_sheet!$A:$H,6,FALSE))</f>
        <v>0</v>
      </c>
      <c r="S272" s="37">
        <f>IFERROR(VLOOKUP($F272,bug_conf_sheet!$A:$H,7,FALSE),VLOOKUP("other",bug_conf_sheet!$A:$H,7,FALSE))</f>
        <v>0</v>
      </c>
      <c r="T272" s="37">
        <f>IFERROR(VLOOKUP($F272,bug_conf_sheet!$A:$H,8,FALSE),VLOOKUP("other",bug_conf_sheet!$A:$H,8,FALSE))</f>
        <v>1</v>
      </c>
    </row>
    <row r="273" spans="1:20" ht="21" customHeight="1">
      <c r="A273" s="7" t="str">
        <f t="shared" si="22"/>
        <v>3001225</v>
      </c>
      <c r="B273" s="2" t="str">
        <f t="shared" si="24"/>
        <v>3001</v>
      </c>
      <c r="C273" s="8" t="str">
        <f t="shared" si="21"/>
        <v>1PremiumN5</v>
      </c>
      <c r="D273" s="8" t="str">
        <f t="shared" si="23"/>
        <v>1PremiumN5</v>
      </c>
      <c r="E273" s="10">
        <v>1</v>
      </c>
      <c r="F273" s="5">
        <v>225</v>
      </c>
      <c r="G273" s="8" t="str">
        <f>VLOOKUP(F273,[1]characters!$A:$C,3,FALSE)</f>
        <v>咆哮の巨獅腕 ヘラクレス</v>
      </c>
      <c r="H273" s="8" t="str">
        <f>VLOOKUP(F273,[1]characters!$A:$J,10,FALSE)</f>
        <v>PremiumN</v>
      </c>
      <c r="I273" s="8">
        <f>VLOOKUP(F273,[1]characters!$A:$I,9,FALSE)</f>
        <v>5</v>
      </c>
      <c r="J273" s="8" t="str">
        <f>VLOOKUP(F273,[1]characters!$A:$H,8,FALSE)</f>
        <v>yellow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65"/>
      <c r="N273" s="16">
        <f>VLOOKUP(D273,gacha_300_base!A:B,2,FALSE)</f>
        <v>911</v>
      </c>
      <c r="O273" s="37">
        <f>IFERROR(VLOOKUP($F273,bug_conf_sheet!$A:$H,3,FALSE),VLOOKUP("other",bug_conf_sheet!$A:$H,3,FALSE))</f>
        <v>1</v>
      </c>
      <c r="P273" s="37">
        <f>IFERROR(VLOOKUP($F273,bug_conf_sheet!$A:$H,4,FALSE),VLOOKUP("other",bug_conf_sheet!$A:$H,4,FALSE))</f>
        <v>0</v>
      </c>
      <c r="Q273" s="37">
        <f>IFERROR(VLOOKUP($F273,bug_conf_sheet!$A:$H,5,FALSE),VLOOKUP("other",bug_conf_sheet!$A:$H,5,FALSE))</f>
        <v>0</v>
      </c>
      <c r="R273" s="37">
        <f>IFERROR(VLOOKUP($F273,bug_conf_sheet!$A:$H,6,FALSE),VLOOKUP("other",bug_conf_sheet!$A:$H,6,FALSE))</f>
        <v>0</v>
      </c>
      <c r="S273" s="37">
        <f>IFERROR(VLOOKUP($F273,bug_conf_sheet!$A:$H,7,FALSE),VLOOKUP("other",bug_conf_sheet!$A:$H,7,FALSE))</f>
        <v>0</v>
      </c>
      <c r="T273" s="37">
        <f>IFERROR(VLOOKUP($F273,bug_conf_sheet!$A:$H,8,FALSE),VLOOKUP("other",bug_conf_sheet!$A:$H,8,FALSE))</f>
        <v>1</v>
      </c>
    </row>
    <row r="274" spans="1:20" ht="21" customHeight="1">
      <c r="A274" s="7" t="str">
        <f t="shared" si="22"/>
        <v>3001226</v>
      </c>
      <c r="B274" s="2" t="str">
        <f t="shared" si="24"/>
        <v>3001</v>
      </c>
      <c r="C274" s="8" t="str">
        <f t="shared" si="21"/>
        <v>1PremiumS3</v>
      </c>
      <c r="D274" s="8" t="str">
        <f t="shared" si="23"/>
        <v>1PremiumS3</v>
      </c>
      <c r="E274" s="10">
        <v>1</v>
      </c>
      <c r="F274" s="5">
        <v>226</v>
      </c>
      <c r="G274" s="8" t="str">
        <f>VLOOKUP(F274,[1]characters!$A:$C,3,FALSE)</f>
        <v>アレス</v>
      </c>
      <c r="H274" s="8" t="str">
        <f>VLOOKUP(F274,[1]characters!$A:$J,10,FALSE)</f>
        <v>PremiumS</v>
      </c>
      <c r="I274" s="8">
        <f>VLOOKUP(F274,[1]characters!$A:$I,9,FALSE)</f>
        <v>3</v>
      </c>
      <c r="J274" s="8" t="str">
        <f>VLOOKUP(F274,[1]characters!$A:$H,8,FALSE)</f>
        <v>red</v>
      </c>
      <c r="K274" s="8" t="str">
        <f>VLOOKUP(F274,[1]characters!$A:$K,11,FALSE)</f>
        <v>attack</v>
      </c>
      <c r="L274" s="8" t="str">
        <f>VLOOKUP(F274,[1]characters!$A:$M,13,FALSE)</f>
        <v>god</v>
      </c>
      <c r="M274" s="65"/>
      <c r="N274" s="16">
        <f>VLOOKUP(D274,gacha_300_base!A:B,2,FALSE)</f>
        <v>11912</v>
      </c>
      <c r="O274" s="37">
        <f>IFERROR(VLOOKUP($F274,bug_conf_sheet!$A:$H,3,FALSE),VLOOKUP("other",bug_conf_sheet!$A:$H,3,FALSE))</f>
        <v>1</v>
      </c>
      <c r="P274" s="37">
        <f>IFERROR(VLOOKUP($F274,bug_conf_sheet!$A:$H,4,FALSE),VLOOKUP("other",bug_conf_sheet!$A:$H,4,FALSE))</f>
        <v>0</v>
      </c>
      <c r="Q274" s="37">
        <f>IFERROR(VLOOKUP($F274,bug_conf_sheet!$A:$H,5,FALSE),VLOOKUP("other",bug_conf_sheet!$A:$H,5,FALSE))</f>
        <v>0</v>
      </c>
      <c r="R274" s="37">
        <f>IFERROR(VLOOKUP($F274,bug_conf_sheet!$A:$H,6,FALSE),VLOOKUP("other",bug_conf_sheet!$A:$H,6,FALSE))</f>
        <v>0</v>
      </c>
      <c r="S274" s="37">
        <f>IFERROR(VLOOKUP($F274,bug_conf_sheet!$A:$H,7,FALSE),VLOOKUP("other",bug_conf_sheet!$A:$H,7,FALSE))</f>
        <v>0</v>
      </c>
      <c r="T274" s="37">
        <f>IFERROR(VLOOKUP($F274,bug_conf_sheet!$A:$H,8,FALSE),VLOOKUP("other",bug_conf_sheet!$A:$H,8,FALSE))</f>
        <v>1</v>
      </c>
    </row>
    <row r="275" spans="1:20" ht="21" customHeight="1">
      <c r="A275" s="7" t="str">
        <f t="shared" si="22"/>
        <v>3001227</v>
      </c>
      <c r="B275" s="2" t="str">
        <f t="shared" si="24"/>
        <v>3001</v>
      </c>
      <c r="C275" s="8" t="str">
        <f t="shared" si="21"/>
        <v>1PremiumS4</v>
      </c>
      <c r="D275" s="8" t="str">
        <f t="shared" si="23"/>
        <v>1PremiumS4</v>
      </c>
      <c r="E275" s="10">
        <v>1</v>
      </c>
      <c r="F275" s="5">
        <v>227</v>
      </c>
      <c r="G275" s="8" t="str">
        <f>VLOOKUP(F275,[1]characters!$A:$C,3,FALSE)</f>
        <v>滅弾 アレス</v>
      </c>
      <c r="H275" s="8" t="str">
        <f>VLOOKUP(F275,[1]characters!$A:$J,10,FALSE)</f>
        <v>PremiumS</v>
      </c>
      <c r="I275" s="8">
        <f>VLOOKUP(F275,[1]characters!$A:$I,9,FALSE)</f>
        <v>4</v>
      </c>
      <c r="J275" s="8" t="str">
        <f>VLOOKUP(F275,[1]characters!$A:$H,8,FALSE)</f>
        <v>red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65"/>
      <c r="N275" s="16">
        <f>VLOOKUP(D275,gacha_300_base!A:B,2,FALSE)</f>
        <v>2790</v>
      </c>
      <c r="O275" s="37">
        <f>IFERROR(VLOOKUP($F275,bug_conf_sheet!$A:$H,3,FALSE),VLOOKUP("other",bug_conf_sheet!$A:$H,3,FALSE))</f>
        <v>1</v>
      </c>
      <c r="P275" s="37">
        <f>IFERROR(VLOOKUP($F275,bug_conf_sheet!$A:$H,4,FALSE),VLOOKUP("other",bug_conf_sheet!$A:$H,4,FALSE))</f>
        <v>0</v>
      </c>
      <c r="Q275" s="37">
        <f>IFERROR(VLOOKUP($F275,bug_conf_sheet!$A:$H,5,FALSE),VLOOKUP("other",bug_conf_sheet!$A:$H,5,FALSE))</f>
        <v>0</v>
      </c>
      <c r="R275" s="37">
        <f>IFERROR(VLOOKUP($F275,bug_conf_sheet!$A:$H,6,FALSE),VLOOKUP("other",bug_conf_sheet!$A:$H,6,FALSE))</f>
        <v>0</v>
      </c>
      <c r="S275" s="37">
        <f>IFERROR(VLOOKUP($F275,bug_conf_sheet!$A:$H,7,FALSE),VLOOKUP("other",bug_conf_sheet!$A:$H,7,FALSE))</f>
        <v>0</v>
      </c>
      <c r="T275" s="37">
        <f>IFERROR(VLOOKUP($F275,bug_conf_sheet!$A:$H,8,FALSE),VLOOKUP("other",bug_conf_sheet!$A:$H,8,FALSE))</f>
        <v>1</v>
      </c>
    </row>
    <row r="276" spans="1:20" ht="21" customHeight="1">
      <c r="A276" s="7" t="str">
        <f t="shared" si="22"/>
        <v>3001228</v>
      </c>
      <c r="B276" s="2" t="str">
        <f t="shared" si="24"/>
        <v>3001</v>
      </c>
      <c r="C276" s="8" t="str">
        <f t="shared" si="21"/>
        <v>1PremiumS5</v>
      </c>
      <c r="D276" s="8" t="str">
        <f t="shared" si="23"/>
        <v>1PremiumS5</v>
      </c>
      <c r="E276" s="10">
        <v>1</v>
      </c>
      <c r="F276" s="5">
        <v>228</v>
      </c>
      <c r="G276" s="8" t="str">
        <f>VLOOKUP(F276,[1]characters!$A:$C,3,FALSE)</f>
        <v>殲滅の掃射砲 アレス</v>
      </c>
      <c r="H276" s="8" t="str">
        <f>VLOOKUP(F276,[1]characters!$A:$J,10,FALSE)</f>
        <v>PremiumS</v>
      </c>
      <c r="I276" s="8">
        <f>VLOOKUP(F276,[1]characters!$A:$I,9,FALSE)</f>
        <v>5</v>
      </c>
      <c r="J276" s="8" t="str">
        <f>VLOOKUP(F276,[1]characters!$A:$H,8,FALSE)</f>
        <v>red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65"/>
      <c r="N276" s="16">
        <f>VLOOKUP(D276,gacha_300_base!A:B,2,FALSE)</f>
        <v>972</v>
      </c>
      <c r="O276" s="37">
        <f>IFERROR(VLOOKUP($F276,bug_conf_sheet!$A:$H,3,FALSE),VLOOKUP("other",bug_conf_sheet!$A:$H,3,FALSE))</f>
        <v>1</v>
      </c>
      <c r="P276" s="37">
        <f>IFERROR(VLOOKUP($F276,bug_conf_sheet!$A:$H,4,FALSE),VLOOKUP("other",bug_conf_sheet!$A:$H,4,FALSE))</f>
        <v>0</v>
      </c>
      <c r="Q276" s="37">
        <f>IFERROR(VLOOKUP($F276,bug_conf_sheet!$A:$H,5,FALSE),VLOOKUP("other",bug_conf_sheet!$A:$H,5,FALSE))</f>
        <v>0</v>
      </c>
      <c r="R276" s="37">
        <f>IFERROR(VLOOKUP($F276,bug_conf_sheet!$A:$H,6,FALSE),VLOOKUP("other",bug_conf_sheet!$A:$H,6,FALSE))</f>
        <v>0</v>
      </c>
      <c r="S276" s="37">
        <f>IFERROR(VLOOKUP($F276,bug_conf_sheet!$A:$H,7,FALSE),VLOOKUP("other",bug_conf_sheet!$A:$H,7,FALSE))</f>
        <v>0</v>
      </c>
      <c r="T276" s="37">
        <f>IFERROR(VLOOKUP($F276,bug_conf_sheet!$A:$H,8,FALSE),VLOOKUP("other",bug_conf_sheet!$A:$H,8,FALSE))</f>
        <v>1</v>
      </c>
    </row>
    <row r="277" spans="1:20" ht="21" customHeight="1">
      <c r="A277" s="7" t="str">
        <f t="shared" si="22"/>
        <v>3001229</v>
      </c>
      <c r="B277" s="2" t="str">
        <f t="shared" si="24"/>
        <v>3001</v>
      </c>
      <c r="C277" s="8" t="str">
        <f t="shared" si="21"/>
        <v>1PremiumS3</v>
      </c>
      <c r="D277" s="8" t="str">
        <f t="shared" si="23"/>
        <v>1PremiumS3</v>
      </c>
      <c r="E277" s="10">
        <v>1</v>
      </c>
      <c r="F277" s="5">
        <v>229</v>
      </c>
      <c r="G277" s="8" t="str">
        <f>VLOOKUP(F277,[1]characters!$A:$C,3,FALSE)</f>
        <v>ヨルムンガンド</v>
      </c>
      <c r="H277" s="8" t="str">
        <f>VLOOKUP(F277,[1]characters!$A:$J,10,FALSE)</f>
        <v>PremiumS</v>
      </c>
      <c r="I277" s="8">
        <f>VLOOKUP(F277,[1]characters!$A:$I,9,FALSE)</f>
        <v>3</v>
      </c>
      <c r="J277" s="8" t="str">
        <f>VLOOKUP(F277,[1]characters!$A:$H,8,FALSE)</f>
        <v>green</v>
      </c>
      <c r="K277" s="8" t="str">
        <f>VLOOKUP(F277,[1]characters!$A:$K,11,FALSE)</f>
        <v>technical</v>
      </c>
      <c r="L277" s="8" t="str">
        <f>VLOOKUP(F277,[1]characters!$A:$M,13,FALSE)</f>
        <v>dragon</v>
      </c>
      <c r="M277" s="65"/>
      <c r="N277" s="16">
        <f>VLOOKUP(D277,gacha_300_base!A:B,2,FALSE)</f>
        <v>11912</v>
      </c>
      <c r="O277" s="37">
        <f>IFERROR(VLOOKUP($F277,bug_conf_sheet!$A:$H,3,FALSE),VLOOKUP("other",bug_conf_sheet!$A:$H,3,FALSE))</f>
        <v>1</v>
      </c>
      <c r="P277" s="37">
        <f>IFERROR(VLOOKUP($F277,bug_conf_sheet!$A:$H,4,FALSE),VLOOKUP("other",bug_conf_sheet!$A:$H,4,FALSE))</f>
        <v>0</v>
      </c>
      <c r="Q277" s="37">
        <f>IFERROR(VLOOKUP($F277,bug_conf_sheet!$A:$H,5,FALSE),VLOOKUP("other",bug_conf_sheet!$A:$H,5,FALSE))</f>
        <v>0</v>
      </c>
      <c r="R277" s="37">
        <f>IFERROR(VLOOKUP($F277,bug_conf_sheet!$A:$H,6,FALSE),VLOOKUP("other",bug_conf_sheet!$A:$H,6,FALSE))</f>
        <v>0</v>
      </c>
      <c r="S277" s="37">
        <f>IFERROR(VLOOKUP($F277,bug_conf_sheet!$A:$H,7,FALSE),VLOOKUP("other",bug_conf_sheet!$A:$H,7,FALSE))</f>
        <v>0</v>
      </c>
      <c r="T277" s="37">
        <f>IFERROR(VLOOKUP($F277,bug_conf_sheet!$A:$H,8,FALSE),VLOOKUP("other",bug_conf_sheet!$A:$H,8,FALSE))</f>
        <v>1</v>
      </c>
    </row>
    <row r="278" spans="1:20" ht="21" customHeight="1">
      <c r="A278" s="7" t="str">
        <f t="shared" si="22"/>
        <v>3001230</v>
      </c>
      <c r="B278" s="2" t="str">
        <f t="shared" si="24"/>
        <v>3001</v>
      </c>
      <c r="C278" s="8" t="str">
        <f t="shared" si="21"/>
        <v>1PremiumS4</v>
      </c>
      <c r="D278" s="8" t="str">
        <f t="shared" si="23"/>
        <v>1PremiumS4</v>
      </c>
      <c r="E278" s="10">
        <v>1</v>
      </c>
      <c r="F278" s="5">
        <v>230</v>
      </c>
      <c r="G278" s="8" t="str">
        <f>VLOOKUP(F278,[1]characters!$A:$C,3,FALSE)</f>
        <v>毒銃 ヨルムンガンド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green</v>
      </c>
      <c r="K278" s="8" t="str">
        <f>VLOOKUP(F278,[1]characters!$A:$K,11,FALSE)</f>
        <v>technical</v>
      </c>
      <c r="L278" s="8" t="str">
        <f>VLOOKUP(F278,[1]characters!$A:$M,13,FALSE)</f>
        <v>dragon</v>
      </c>
      <c r="M278" s="65"/>
      <c r="N278" s="16">
        <f>VLOOKUP(D278,gacha_300_base!A:B,2,FALSE)</f>
        <v>2790</v>
      </c>
      <c r="O278" s="37">
        <f>IFERROR(VLOOKUP($F278,bug_conf_sheet!$A:$H,3,FALSE),VLOOKUP("other",bug_conf_sheet!$A:$H,3,FALSE))</f>
        <v>1</v>
      </c>
      <c r="P278" s="37">
        <f>IFERROR(VLOOKUP($F278,bug_conf_sheet!$A:$H,4,FALSE),VLOOKUP("other",bug_conf_sheet!$A:$H,4,FALSE))</f>
        <v>0</v>
      </c>
      <c r="Q278" s="37">
        <f>IFERROR(VLOOKUP($F278,bug_conf_sheet!$A:$H,5,FALSE),VLOOKUP("other",bug_conf_sheet!$A:$H,5,FALSE))</f>
        <v>0</v>
      </c>
      <c r="R278" s="37">
        <f>IFERROR(VLOOKUP($F278,bug_conf_sheet!$A:$H,6,FALSE),VLOOKUP("other",bug_conf_sheet!$A:$H,6,FALSE))</f>
        <v>0</v>
      </c>
      <c r="S278" s="37">
        <f>IFERROR(VLOOKUP($F278,bug_conf_sheet!$A:$H,7,FALSE),VLOOKUP("other",bug_conf_sheet!$A:$H,7,FALSE))</f>
        <v>0</v>
      </c>
      <c r="T278" s="37">
        <f>IFERROR(VLOOKUP($F278,bug_conf_sheet!$A:$H,8,FALSE),VLOOKUP("other",bug_conf_sheet!$A:$H,8,FALSE))</f>
        <v>1</v>
      </c>
    </row>
    <row r="279" spans="1:20" ht="21" customHeight="1">
      <c r="A279" s="7" t="str">
        <f t="shared" si="22"/>
        <v>3001231</v>
      </c>
      <c r="B279" s="2" t="str">
        <f t="shared" si="24"/>
        <v>3001</v>
      </c>
      <c r="C279" s="8" t="str">
        <f t="shared" si="21"/>
        <v>1PremiumS5</v>
      </c>
      <c r="D279" s="8" t="str">
        <f t="shared" si="23"/>
        <v>1PremiumS5</v>
      </c>
      <c r="E279" s="10">
        <v>1</v>
      </c>
      <c r="F279" s="5">
        <v>231</v>
      </c>
      <c r="G279" s="8" t="str">
        <f>VLOOKUP(F279,[1]characters!$A:$C,3,FALSE)</f>
        <v>必中の咬銃 ヨルムンガンド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green</v>
      </c>
      <c r="K279" s="8" t="str">
        <f>VLOOKUP(F279,[1]characters!$A:$K,11,FALSE)</f>
        <v>technical</v>
      </c>
      <c r="L279" s="8" t="str">
        <f>VLOOKUP(F279,[1]characters!$A:$M,13,FALSE)</f>
        <v>dragon</v>
      </c>
      <c r="M279" s="65"/>
      <c r="N279" s="16">
        <f>VLOOKUP(D279,gacha_300_base!A:B,2,FALSE)</f>
        <v>972</v>
      </c>
      <c r="O279" s="37">
        <f>IFERROR(VLOOKUP($F279,bug_conf_sheet!$A:$H,3,FALSE),VLOOKUP("other",bug_conf_sheet!$A:$H,3,FALSE))</f>
        <v>1</v>
      </c>
      <c r="P279" s="37">
        <f>IFERROR(VLOOKUP($F279,bug_conf_sheet!$A:$H,4,FALSE),VLOOKUP("other",bug_conf_sheet!$A:$H,4,FALSE))</f>
        <v>0</v>
      </c>
      <c r="Q279" s="37">
        <f>IFERROR(VLOOKUP($F279,bug_conf_sheet!$A:$H,5,FALSE),VLOOKUP("other",bug_conf_sheet!$A:$H,5,FALSE))</f>
        <v>0</v>
      </c>
      <c r="R279" s="37">
        <f>IFERROR(VLOOKUP($F279,bug_conf_sheet!$A:$H,6,FALSE),VLOOKUP("other",bug_conf_sheet!$A:$H,6,FALSE))</f>
        <v>0</v>
      </c>
      <c r="S279" s="37">
        <f>IFERROR(VLOOKUP($F279,bug_conf_sheet!$A:$H,7,FALSE),VLOOKUP("other",bug_conf_sheet!$A:$H,7,FALSE))</f>
        <v>0</v>
      </c>
      <c r="T279" s="37">
        <f>IFERROR(VLOOKUP($F279,bug_conf_sheet!$A:$H,8,FALSE),VLOOKUP("other",bug_conf_sheet!$A:$H,8,FALSE))</f>
        <v>1</v>
      </c>
    </row>
    <row r="280" spans="1:20" ht="21" customHeight="1">
      <c r="A280" s="7" t="str">
        <f t="shared" si="22"/>
        <v>3001232</v>
      </c>
      <c r="B280" s="2" t="str">
        <f t="shared" si="24"/>
        <v>3001</v>
      </c>
      <c r="C280" s="8" t="str">
        <f t="shared" si="21"/>
        <v>1PremiumS3</v>
      </c>
      <c r="D280" s="8" t="str">
        <f t="shared" si="23"/>
        <v>1PremiumS3</v>
      </c>
      <c r="E280" s="10">
        <v>1</v>
      </c>
      <c r="F280" s="5">
        <v>232</v>
      </c>
      <c r="G280" s="8" t="str">
        <f>VLOOKUP(F280,[1]characters!$A:$C,3,FALSE)</f>
        <v>パーシヴァル</v>
      </c>
      <c r="H280" s="8" t="str">
        <f>VLOOKUP(F280,[1]characters!$A:$J,10,FALSE)</f>
        <v>PremiumS</v>
      </c>
      <c r="I280" s="8">
        <f>VLOOKUP(F280,[1]characters!$A:$I,9,FALSE)</f>
        <v>3</v>
      </c>
      <c r="J280" s="8" t="str">
        <f>VLOOKUP(F280,[1]characters!$A:$H,8,FALSE)</f>
        <v>blue</v>
      </c>
      <c r="K280" s="8" t="str">
        <f>VLOOKUP(F280,[1]characters!$A:$K,11,FALSE)</f>
        <v>technical</v>
      </c>
      <c r="L280" s="8" t="str">
        <f>VLOOKUP(F280,[1]characters!$A:$M,13,FALSE)</f>
        <v>human</v>
      </c>
      <c r="M280" s="65"/>
      <c r="N280" s="16">
        <f>VLOOKUP(D280,gacha_300_base!A:B,2,FALSE)</f>
        <v>11912</v>
      </c>
      <c r="O280" s="37">
        <f>IFERROR(VLOOKUP($F280,bug_conf_sheet!$A:$H,3,FALSE),VLOOKUP("other",bug_conf_sheet!$A:$H,3,FALSE))</f>
        <v>1</v>
      </c>
      <c r="P280" s="37">
        <f>IFERROR(VLOOKUP($F280,bug_conf_sheet!$A:$H,4,FALSE),VLOOKUP("other",bug_conf_sheet!$A:$H,4,FALSE))</f>
        <v>0</v>
      </c>
      <c r="Q280" s="37">
        <f>IFERROR(VLOOKUP($F280,bug_conf_sheet!$A:$H,5,FALSE),VLOOKUP("other",bug_conf_sheet!$A:$H,5,FALSE))</f>
        <v>0</v>
      </c>
      <c r="R280" s="37">
        <f>IFERROR(VLOOKUP($F280,bug_conf_sheet!$A:$H,6,FALSE),VLOOKUP("other",bug_conf_sheet!$A:$H,6,FALSE))</f>
        <v>0</v>
      </c>
      <c r="S280" s="37">
        <f>IFERROR(VLOOKUP($F280,bug_conf_sheet!$A:$H,7,FALSE),VLOOKUP("other",bug_conf_sheet!$A:$H,7,FALSE))</f>
        <v>0</v>
      </c>
      <c r="T280" s="37">
        <f>IFERROR(VLOOKUP($F280,bug_conf_sheet!$A:$H,8,FALSE),VLOOKUP("other",bug_conf_sheet!$A:$H,8,FALSE))</f>
        <v>1</v>
      </c>
    </row>
    <row r="281" spans="1:20" ht="21" customHeight="1">
      <c r="A281" s="7" t="str">
        <f t="shared" si="22"/>
        <v>3001233</v>
      </c>
      <c r="B281" s="2" t="str">
        <f t="shared" si="24"/>
        <v>3001</v>
      </c>
      <c r="C281" s="8" t="str">
        <f t="shared" si="21"/>
        <v>1PremiumS4</v>
      </c>
      <c r="D281" s="8" t="str">
        <f t="shared" si="23"/>
        <v>1PremiumS4</v>
      </c>
      <c r="E281" s="10">
        <v>1</v>
      </c>
      <c r="F281" s="5">
        <v>233</v>
      </c>
      <c r="G281" s="8" t="str">
        <f>VLOOKUP(F281,[1]characters!$A:$C,3,FALSE)</f>
        <v>遂行 パーシヴァル</v>
      </c>
      <c r="H281" s="8" t="str">
        <f>VLOOKUP(F281,[1]characters!$A:$J,10,FALSE)</f>
        <v>PremiumS</v>
      </c>
      <c r="I281" s="8">
        <f>VLOOKUP(F281,[1]characters!$A:$I,9,FALSE)</f>
        <v>4</v>
      </c>
      <c r="J281" s="8" t="str">
        <f>VLOOKUP(F281,[1]characters!$A:$H,8,FALSE)</f>
        <v>blue</v>
      </c>
      <c r="K281" s="8" t="str">
        <f>VLOOKUP(F281,[1]characters!$A:$K,11,FALSE)</f>
        <v>technical</v>
      </c>
      <c r="L281" s="8" t="str">
        <f>VLOOKUP(F281,[1]characters!$A:$M,13,FALSE)</f>
        <v>human</v>
      </c>
      <c r="M281" s="65"/>
      <c r="N281" s="16">
        <f>VLOOKUP(D281,gacha_300_base!A:B,2,FALSE)</f>
        <v>2790</v>
      </c>
      <c r="O281" s="37">
        <f>IFERROR(VLOOKUP($F281,bug_conf_sheet!$A:$H,3,FALSE),VLOOKUP("other",bug_conf_sheet!$A:$H,3,FALSE))</f>
        <v>1</v>
      </c>
      <c r="P281" s="37">
        <f>IFERROR(VLOOKUP($F281,bug_conf_sheet!$A:$H,4,FALSE),VLOOKUP("other",bug_conf_sheet!$A:$H,4,FALSE))</f>
        <v>0</v>
      </c>
      <c r="Q281" s="37">
        <f>IFERROR(VLOOKUP($F281,bug_conf_sheet!$A:$H,5,FALSE),VLOOKUP("other",bug_conf_sheet!$A:$H,5,FALSE))</f>
        <v>0</v>
      </c>
      <c r="R281" s="37">
        <f>IFERROR(VLOOKUP($F281,bug_conf_sheet!$A:$H,6,FALSE),VLOOKUP("other",bug_conf_sheet!$A:$H,6,FALSE))</f>
        <v>0</v>
      </c>
      <c r="S281" s="37">
        <f>IFERROR(VLOOKUP($F281,bug_conf_sheet!$A:$H,7,FALSE),VLOOKUP("other",bug_conf_sheet!$A:$H,7,FALSE))</f>
        <v>0</v>
      </c>
      <c r="T281" s="37">
        <f>IFERROR(VLOOKUP($F281,bug_conf_sheet!$A:$H,8,FALSE),VLOOKUP("other",bug_conf_sheet!$A:$H,8,FALSE))</f>
        <v>1</v>
      </c>
    </row>
    <row r="282" spans="1:20" ht="21" customHeight="1">
      <c r="A282" s="7" t="str">
        <f t="shared" si="22"/>
        <v>3001234</v>
      </c>
      <c r="B282" s="2" t="str">
        <f t="shared" si="24"/>
        <v>3001</v>
      </c>
      <c r="C282" s="8" t="str">
        <f t="shared" si="21"/>
        <v>1PremiumS5</v>
      </c>
      <c r="D282" s="8" t="str">
        <f t="shared" si="23"/>
        <v>1PremiumS5</v>
      </c>
      <c r="E282" s="10">
        <v>1</v>
      </c>
      <c r="F282" s="5">
        <v>234</v>
      </c>
      <c r="G282" s="8" t="str">
        <f>VLOOKUP(F282,[1]characters!$A:$C,3,FALSE)</f>
        <v>精密なる照準 パーシヴァル</v>
      </c>
      <c r="H282" s="8" t="str">
        <f>VLOOKUP(F282,[1]characters!$A:$J,10,FALSE)</f>
        <v>PremiumS</v>
      </c>
      <c r="I282" s="8">
        <f>VLOOKUP(F282,[1]characters!$A:$I,9,FALSE)</f>
        <v>5</v>
      </c>
      <c r="J282" s="8" t="str">
        <f>VLOOKUP(F282,[1]characters!$A:$H,8,FALSE)</f>
        <v>blue</v>
      </c>
      <c r="K282" s="8" t="str">
        <f>VLOOKUP(F282,[1]characters!$A:$K,11,FALSE)</f>
        <v>technical</v>
      </c>
      <c r="L282" s="8" t="str">
        <f>VLOOKUP(F282,[1]characters!$A:$M,13,FALSE)</f>
        <v>human</v>
      </c>
      <c r="M282" s="65"/>
      <c r="N282" s="16">
        <f>VLOOKUP(D282,gacha_300_base!A:B,2,FALSE)</f>
        <v>972</v>
      </c>
      <c r="O282" s="37">
        <f>IFERROR(VLOOKUP($F282,bug_conf_sheet!$A:$H,3,FALSE),VLOOKUP("other",bug_conf_sheet!$A:$H,3,FALSE))</f>
        <v>1</v>
      </c>
      <c r="P282" s="37">
        <f>IFERROR(VLOOKUP($F282,bug_conf_sheet!$A:$H,4,FALSE),VLOOKUP("other",bug_conf_sheet!$A:$H,4,FALSE))</f>
        <v>0</v>
      </c>
      <c r="Q282" s="37">
        <f>IFERROR(VLOOKUP($F282,bug_conf_sheet!$A:$H,5,FALSE),VLOOKUP("other",bug_conf_sheet!$A:$H,5,FALSE))</f>
        <v>0</v>
      </c>
      <c r="R282" s="37">
        <f>IFERROR(VLOOKUP($F282,bug_conf_sheet!$A:$H,6,FALSE),VLOOKUP("other",bug_conf_sheet!$A:$H,6,FALSE))</f>
        <v>0</v>
      </c>
      <c r="S282" s="37">
        <f>IFERROR(VLOOKUP($F282,bug_conf_sheet!$A:$H,7,FALSE),VLOOKUP("other",bug_conf_sheet!$A:$H,7,FALSE))</f>
        <v>0</v>
      </c>
      <c r="T282" s="37">
        <f>IFERROR(VLOOKUP($F282,bug_conf_sheet!$A:$H,8,FALSE),VLOOKUP("other",bug_conf_sheet!$A:$H,8,FALSE))</f>
        <v>1</v>
      </c>
    </row>
    <row r="283" spans="1:20" ht="21" customHeight="1">
      <c r="A283" s="7" t="str">
        <f t="shared" si="22"/>
        <v>3001235</v>
      </c>
      <c r="B283" s="2" t="str">
        <f t="shared" si="24"/>
        <v>3001</v>
      </c>
      <c r="C283" s="8" t="str">
        <f t="shared" si="21"/>
        <v>1PremiumS3</v>
      </c>
      <c r="D283" s="8" t="str">
        <f t="shared" si="23"/>
        <v>1PremiumS3</v>
      </c>
      <c r="E283" s="10">
        <v>1</v>
      </c>
      <c r="F283" s="5">
        <v>235</v>
      </c>
      <c r="G283" s="8" t="str">
        <f>VLOOKUP(F283,[1]characters!$A:$C,3,FALSE)</f>
        <v>イザナミ</v>
      </c>
      <c r="H283" s="8" t="str">
        <f>VLOOKUP(F283,[1]characters!$A:$J,10,FALSE)</f>
        <v>PremiumS</v>
      </c>
      <c r="I283" s="8">
        <f>VLOOKUP(F283,[1]characters!$A:$I,9,FALSE)</f>
        <v>3</v>
      </c>
      <c r="J283" s="8" t="str">
        <f>VLOOKUP(F283,[1]characters!$A:$H,8,FALSE)</f>
        <v>yellow</v>
      </c>
      <c r="K283" s="8" t="str">
        <f>VLOOKUP(F283,[1]characters!$A:$K,11,FALSE)</f>
        <v>attack</v>
      </c>
      <c r="L283" s="8" t="str">
        <f>VLOOKUP(F283,[1]characters!$A:$M,13,FALSE)</f>
        <v>god</v>
      </c>
      <c r="M283" s="65"/>
      <c r="N283" s="16">
        <f>VLOOKUP(D283,gacha_300_base!A:B,2,FALSE)</f>
        <v>11912</v>
      </c>
      <c r="O283" s="37">
        <f>IFERROR(VLOOKUP($F283,bug_conf_sheet!$A:$H,3,FALSE),VLOOKUP("other",bug_conf_sheet!$A:$H,3,FALSE))</f>
        <v>1</v>
      </c>
      <c r="P283" s="37">
        <f>IFERROR(VLOOKUP($F283,bug_conf_sheet!$A:$H,4,FALSE),VLOOKUP("other",bug_conf_sheet!$A:$H,4,FALSE))</f>
        <v>0</v>
      </c>
      <c r="Q283" s="37">
        <f>IFERROR(VLOOKUP($F283,bug_conf_sheet!$A:$H,5,FALSE),VLOOKUP("other",bug_conf_sheet!$A:$H,5,FALSE))</f>
        <v>0</v>
      </c>
      <c r="R283" s="37">
        <f>IFERROR(VLOOKUP($F283,bug_conf_sheet!$A:$H,6,FALSE),VLOOKUP("other",bug_conf_sheet!$A:$H,6,FALSE))</f>
        <v>0</v>
      </c>
      <c r="S283" s="37">
        <f>IFERROR(VLOOKUP($F283,bug_conf_sheet!$A:$H,7,FALSE),VLOOKUP("other",bug_conf_sheet!$A:$H,7,FALSE))</f>
        <v>0</v>
      </c>
      <c r="T283" s="37">
        <f>IFERROR(VLOOKUP($F283,bug_conf_sheet!$A:$H,8,FALSE),VLOOKUP("other",bug_conf_sheet!$A:$H,8,FALSE))</f>
        <v>1</v>
      </c>
    </row>
    <row r="284" spans="1:20" ht="21" customHeight="1">
      <c r="A284" s="7" t="str">
        <f t="shared" si="22"/>
        <v>3001236</v>
      </c>
      <c r="B284" s="2" t="str">
        <f t="shared" si="24"/>
        <v>3001</v>
      </c>
      <c r="C284" s="8" t="str">
        <f t="shared" si="21"/>
        <v>1PremiumS4</v>
      </c>
      <c r="D284" s="8" t="str">
        <f t="shared" si="23"/>
        <v>1PremiumS4</v>
      </c>
      <c r="E284" s="10">
        <v>1</v>
      </c>
      <c r="F284" s="5">
        <v>236</v>
      </c>
      <c r="G284" s="8" t="str">
        <f>VLOOKUP(F284,[1]characters!$A:$C,3,FALSE)</f>
        <v>神産 イザナミ</v>
      </c>
      <c r="H284" s="8" t="str">
        <f>VLOOKUP(F284,[1]characters!$A:$J,10,FALSE)</f>
        <v>PremiumS</v>
      </c>
      <c r="I284" s="8">
        <f>VLOOKUP(F284,[1]characters!$A:$I,9,FALSE)</f>
        <v>4</v>
      </c>
      <c r="J284" s="8" t="str">
        <f>VLOOKUP(F284,[1]characters!$A:$H,8,FALSE)</f>
        <v>yellow</v>
      </c>
      <c r="K284" s="8" t="str">
        <f>VLOOKUP(F284,[1]characters!$A:$K,11,FALSE)</f>
        <v>attack</v>
      </c>
      <c r="L284" s="8" t="str">
        <f>VLOOKUP(F284,[1]characters!$A:$M,13,FALSE)</f>
        <v>god</v>
      </c>
      <c r="M284" s="65"/>
      <c r="N284" s="16">
        <f>VLOOKUP(D284,gacha_300_base!A:B,2,FALSE)</f>
        <v>2790</v>
      </c>
      <c r="O284" s="37">
        <f>IFERROR(VLOOKUP($F284,bug_conf_sheet!$A:$H,3,FALSE),VLOOKUP("other",bug_conf_sheet!$A:$H,3,FALSE))</f>
        <v>1</v>
      </c>
      <c r="P284" s="37">
        <f>IFERROR(VLOOKUP($F284,bug_conf_sheet!$A:$H,4,FALSE),VLOOKUP("other",bug_conf_sheet!$A:$H,4,FALSE))</f>
        <v>0</v>
      </c>
      <c r="Q284" s="37">
        <f>IFERROR(VLOOKUP($F284,bug_conf_sheet!$A:$H,5,FALSE),VLOOKUP("other",bug_conf_sheet!$A:$H,5,FALSE))</f>
        <v>0</v>
      </c>
      <c r="R284" s="37">
        <f>IFERROR(VLOOKUP($F284,bug_conf_sheet!$A:$H,6,FALSE),VLOOKUP("other",bug_conf_sheet!$A:$H,6,FALSE))</f>
        <v>0</v>
      </c>
      <c r="S284" s="37">
        <f>IFERROR(VLOOKUP($F284,bug_conf_sheet!$A:$H,7,FALSE),VLOOKUP("other",bug_conf_sheet!$A:$H,7,FALSE))</f>
        <v>0</v>
      </c>
      <c r="T284" s="37">
        <f>IFERROR(VLOOKUP($F284,bug_conf_sheet!$A:$H,8,FALSE),VLOOKUP("other",bug_conf_sheet!$A:$H,8,FALSE))</f>
        <v>1</v>
      </c>
    </row>
    <row r="285" spans="1:20" ht="21" customHeight="1">
      <c r="A285" s="7" t="str">
        <f t="shared" si="22"/>
        <v>3001237</v>
      </c>
      <c r="B285" s="2" t="str">
        <f t="shared" si="24"/>
        <v>3001</v>
      </c>
      <c r="C285" s="8" t="str">
        <f t="shared" si="21"/>
        <v>1PremiumS5</v>
      </c>
      <c r="D285" s="8" t="str">
        <f t="shared" si="23"/>
        <v>1PremiumS5</v>
      </c>
      <c r="E285" s="10">
        <v>1</v>
      </c>
      <c r="F285" s="5">
        <v>237</v>
      </c>
      <c r="G285" s="8" t="str">
        <f>VLOOKUP(F285,[1]characters!$A:$C,3,FALSE)</f>
        <v>森羅万象の神母 イザナミ</v>
      </c>
      <c r="H285" s="8" t="str">
        <f>VLOOKUP(F285,[1]characters!$A:$J,10,FALSE)</f>
        <v>PremiumS</v>
      </c>
      <c r="I285" s="8">
        <f>VLOOKUP(F285,[1]characters!$A:$I,9,FALSE)</f>
        <v>5</v>
      </c>
      <c r="J285" s="8" t="str">
        <f>VLOOKUP(F285,[1]characters!$A:$H,8,FALSE)</f>
        <v>yellow</v>
      </c>
      <c r="K285" s="8" t="str">
        <f>VLOOKUP(F285,[1]characters!$A:$K,11,FALSE)</f>
        <v>attack</v>
      </c>
      <c r="L285" s="8" t="str">
        <f>VLOOKUP(F285,[1]characters!$A:$M,13,FALSE)</f>
        <v>god</v>
      </c>
      <c r="M285" s="65"/>
      <c r="N285" s="16">
        <f>VLOOKUP(D285,gacha_300_base!A:B,2,FALSE)</f>
        <v>972</v>
      </c>
      <c r="O285" s="37">
        <f>IFERROR(VLOOKUP($F285,bug_conf_sheet!$A:$H,3,FALSE),VLOOKUP("other",bug_conf_sheet!$A:$H,3,FALSE))</f>
        <v>1</v>
      </c>
      <c r="P285" s="37">
        <f>IFERROR(VLOOKUP($F285,bug_conf_sheet!$A:$H,4,FALSE),VLOOKUP("other",bug_conf_sheet!$A:$H,4,FALSE))</f>
        <v>0</v>
      </c>
      <c r="Q285" s="37">
        <f>IFERROR(VLOOKUP($F285,bug_conf_sheet!$A:$H,5,FALSE),VLOOKUP("other",bug_conf_sheet!$A:$H,5,FALSE))</f>
        <v>0</v>
      </c>
      <c r="R285" s="37">
        <f>IFERROR(VLOOKUP($F285,bug_conf_sheet!$A:$H,6,FALSE),VLOOKUP("other",bug_conf_sheet!$A:$H,6,FALSE))</f>
        <v>0</v>
      </c>
      <c r="S285" s="37">
        <f>IFERROR(VLOOKUP($F285,bug_conf_sheet!$A:$H,7,FALSE),VLOOKUP("other",bug_conf_sheet!$A:$H,7,FALSE))</f>
        <v>0</v>
      </c>
      <c r="T285" s="37">
        <f>IFERROR(VLOOKUP($F285,bug_conf_sheet!$A:$H,8,FALSE),VLOOKUP("other",bug_conf_sheet!$A:$H,8,FALSE))</f>
        <v>1</v>
      </c>
    </row>
    <row r="286" spans="1:20" ht="21" customHeight="1">
      <c r="A286" s="7" t="str">
        <f t="shared" si="22"/>
        <v>3001238</v>
      </c>
      <c r="B286" s="2" t="str">
        <f t="shared" si="24"/>
        <v>3001</v>
      </c>
      <c r="C286" s="8" t="str">
        <f t="shared" si="21"/>
        <v>1PremiumS3</v>
      </c>
      <c r="D286" s="8" t="str">
        <f t="shared" si="23"/>
        <v>1PremiumS3</v>
      </c>
      <c r="E286" s="10">
        <v>1</v>
      </c>
      <c r="F286" s="5">
        <v>238</v>
      </c>
      <c r="G286" s="8" t="str">
        <f>VLOOKUP(F286,[1]characters!$A:$C,3,FALSE)</f>
        <v>ウリエル</v>
      </c>
      <c r="H286" s="8" t="str">
        <f>VLOOKUP(F286,[1]characters!$A:$J,10,FALSE)</f>
        <v>PremiumS</v>
      </c>
      <c r="I286" s="8">
        <f>VLOOKUP(F286,[1]characters!$A:$I,9,FALSE)</f>
        <v>3</v>
      </c>
      <c r="J286" s="8" t="str">
        <f>VLOOKUP(F286,[1]characters!$A:$H,8,FALSE)</f>
        <v>red</v>
      </c>
      <c r="K286" s="8" t="str">
        <f>VLOOKUP(F286,[1]characters!$A:$K,11,FALSE)</f>
        <v>hp</v>
      </c>
      <c r="L286" s="8" t="str">
        <f>VLOOKUP(F286,[1]characters!$A:$M,13,FALSE)</f>
        <v>machine</v>
      </c>
      <c r="M286" s="65"/>
      <c r="N286" s="16">
        <f>VLOOKUP(D286,gacha_300_base!A:B,2,FALSE)</f>
        <v>11912</v>
      </c>
      <c r="O286" s="37">
        <f>IFERROR(VLOOKUP($F286,bug_conf_sheet!$A:$H,3,FALSE),VLOOKUP("other",bug_conf_sheet!$A:$H,3,FALSE))</f>
        <v>1</v>
      </c>
      <c r="P286" s="37">
        <f>IFERROR(VLOOKUP($F286,bug_conf_sheet!$A:$H,4,FALSE),VLOOKUP("other",bug_conf_sheet!$A:$H,4,FALSE))</f>
        <v>0</v>
      </c>
      <c r="Q286" s="37">
        <f>IFERROR(VLOOKUP($F286,bug_conf_sheet!$A:$H,5,FALSE),VLOOKUP("other",bug_conf_sheet!$A:$H,5,FALSE))</f>
        <v>0</v>
      </c>
      <c r="R286" s="37">
        <f>IFERROR(VLOOKUP($F286,bug_conf_sheet!$A:$H,6,FALSE),VLOOKUP("other",bug_conf_sheet!$A:$H,6,FALSE))</f>
        <v>0</v>
      </c>
      <c r="S286" s="37">
        <f>IFERROR(VLOOKUP($F286,bug_conf_sheet!$A:$H,7,FALSE),VLOOKUP("other",bug_conf_sheet!$A:$H,7,FALSE))</f>
        <v>0</v>
      </c>
      <c r="T286" s="37">
        <f>IFERROR(VLOOKUP($F286,bug_conf_sheet!$A:$H,8,FALSE),VLOOKUP("other",bug_conf_sheet!$A:$H,8,FALSE))</f>
        <v>1</v>
      </c>
    </row>
    <row r="287" spans="1:20" ht="21" customHeight="1">
      <c r="A287" s="7" t="str">
        <f t="shared" si="22"/>
        <v>3001239</v>
      </c>
      <c r="B287" s="2" t="str">
        <f t="shared" si="24"/>
        <v>3001</v>
      </c>
      <c r="C287" s="8" t="str">
        <f t="shared" si="21"/>
        <v>1PremiumS4</v>
      </c>
      <c r="D287" s="8" t="str">
        <f t="shared" si="23"/>
        <v>1PremiumS4</v>
      </c>
      <c r="E287" s="10">
        <v>1</v>
      </c>
      <c r="F287" s="5">
        <v>239</v>
      </c>
      <c r="G287" s="8" t="str">
        <f>VLOOKUP(F287,[1]characters!$A:$C,3,FALSE)</f>
        <v>豪炎の天使 ウリエル</v>
      </c>
      <c r="H287" s="8" t="str">
        <f>VLOOKUP(F287,[1]characters!$A:$J,10,FALSE)</f>
        <v>PremiumS</v>
      </c>
      <c r="I287" s="8">
        <f>VLOOKUP(F287,[1]characters!$A:$I,9,FALSE)</f>
        <v>4</v>
      </c>
      <c r="J287" s="8" t="str">
        <f>VLOOKUP(F287,[1]characters!$A:$H,8,FALSE)</f>
        <v>red</v>
      </c>
      <c r="K287" s="8" t="str">
        <f>VLOOKUP(F287,[1]characters!$A:$K,11,FALSE)</f>
        <v>hp</v>
      </c>
      <c r="L287" s="8" t="str">
        <f>VLOOKUP(F287,[1]characters!$A:$M,13,FALSE)</f>
        <v>machine</v>
      </c>
      <c r="M287" s="65"/>
      <c r="N287" s="16">
        <f>VLOOKUP(D287,gacha_300_base!A:B,2,FALSE)</f>
        <v>2790</v>
      </c>
      <c r="O287" s="37">
        <f>IFERROR(VLOOKUP($F287,bug_conf_sheet!$A:$H,3,FALSE),VLOOKUP("other",bug_conf_sheet!$A:$H,3,FALSE))</f>
        <v>1</v>
      </c>
      <c r="P287" s="37">
        <f>IFERROR(VLOOKUP($F287,bug_conf_sheet!$A:$H,4,FALSE),VLOOKUP("other",bug_conf_sheet!$A:$H,4,FALSE))</f>
        <v>0</v>
      </c>
      <c r="Q287" s="37">
        <f>IFERROR(VLOOKUP($F287,bug_conf_sheet!$A:$H,5,FALSE),VLOOKUP("other",bug_conf_sheet!$A:$H,5,FALSE))</f>
        <v>0</v>
      </c>
      <c r="R287" s="37">
        <f>IFERROR(VLOOKUP($F287,bug_conf_sheet!$A:$H,6,FALSE),VLOOKUP("other",bug_conf_sheet!$A:$H,6,FALSE))</f>
        <v>0</v>
      </c>
      <c r="S287" s="37">
        <f>IFERROR(VLOOKUP($F287,bug_conf_sheet!$A:$H,7,FALSE),VLOOKUP("other",bug_conf_sheet!$A:$H,7,FALSE))</f>
        <v>0</v>
      </c>
      <c r="T287" s="37">
        <f>IFERROR(VLOOKUP($F287,bug_conf_sheet!$A:$H,8,FALSE),VLOOKUP("other",bug_conf_sheet!$A:$H,8,FALSE))</f>
        <v>1</v>
      </c>
    </row>
    <row r="288" spans="1:20" ht="21" customHeight="1">
      <c r="A288" s="7" t="str">
        <f t="shared" si="22"/>
        <v>3001240</v>
      </c>
      <c r="B288" s="2" t="str">
        <f t="shared" si="24"/>
        <v>3001</v>
      </c>
      <c r="C288" s="8" t="str">
        <f t="shared" si="21"/>
        <v>1PremiumS5</v>
      </c>
      <c r="D288" s="8" t="str">
        <f t="shared" si="23"/>
        <v>1PremiumS5</v>
      </c>
      <c r="E288" s="10">
        <v>1</v>
      </c>
      <c r="F288" s="5">
        <v>240</v>
      </c>
      <c r="G288" s="8" t="str">
        <f>VLOOKUP(F288,[1]characters!$A:$C,3,FALSE)</f>
        <v>轟炎の天使 ウリエル・スレイヤー</v>
      </c>
      <c r="H288" s="8" t="str">
        <f>VLOOKUP(F288,[1]characters!$A:$J,10,FALSE)</f>
        <v>PremiumS</v>
      </c>
      <c r="I288" s="8">
        <f>VLOOKUP(F288,[1]characters!$A:$I,9,FALSE)</f>
        <v>5</v>
      </c>
      <c r="J288" s="8" t="str">
        <f>VLOOKUP(F288,[1]characters!$A:$H,8,FALSE)</f>
        <v>red</v>
      </c>
      <c r="K288" s="8" t="str">
        <f>VLOOKUP(F288,[1]characters!$A:$K,11,FALSE)</f>
        <v>hp</v>
      </c>
      <c r="L288" s="8" t="str">
        <f>VLOOKUP(F288,[1]characters!$A:$M,13,FALSE)</f>
        <v>machine</v>
      </c>
      <c r="M288" s="65"/>
      <c r="N288" s="16">
        <f>VLOOKUP(D288,gacha_300_base!A:B,2,FALSE)</f>
        <v>972</v>
      </c>
      <c r="O288" s="37">
        <f>IFERROR(VLOOKUP($F288,bug_conf_sheet!$A:$H,3,FALSE),VLOOKUP("other",bug_conf_sheet!$A:$H,3,FALSE))</f>
        <v>1</v>
      </c>
      <c r="P288" s="37">
        <f>IFERROR(VLOOKUP($F288,bug_conf_sheet!$A:$H,4,FALSE),VLOOKUP("other",bug_conf_sheet!$A:$H,4,FALSE))</f>
        <v>0</v>
      </c>
      <c r="Q288" s="37">
        <f>IFERROR(VLOOKUP($F288,bug_conf_sheet!$A:$H,5,FALSE),VLOOKUP("other",bug_conf_sheet!$A:$H,5,FALSE))</f>
        <v>0</v>
      </c>
      <c r="R288" s="37">
        <f>IFERROR(VLOOKUP($F288,bug_conf_sheet!$A:$H,6,FALSE),VLOOKUP("other",bug_conf_sheet!$A:$H,6,FALSE))</f>
        <v>0</v>
      </c>
      <c r="S288" s="37">
        <f>IFERROR(VLOOKUP($F288,bug_conf_sheet!$A:$H,7,FALSE),VLOOKUP("other",bug_conf_sheet!$A:$H,7,FALSE))</f>
        <v>0</v>
      </c>
      <c r="T288" s="37">
        <f>IFERROR(VLOOKUP($F288,bug_conf_sheet!$A:$H,8,FALSE),VLOOKUP("other",bug_conf_sheet!$A:$H,8,FALSE))</f>
        <v>1</v>
      </c>
    </row>
    <row r="289" spans="1:20" ht="21" customHeight="1">
      <c r="A289" s="7" t="str">
        <f t="shared" si="22"/>
        <v>3001241</v>
      </c>
      <c r="B289" s="2" t="str">
        <f t="shared" si="24"/>
        <v>3001</v>
      </c>
      <c r="C289" s="8" t="str">
        <f t="shared" si="21"/>
        <v>1PremiumS3</v>
      </c>
      <c r="D289" s="8" t="str">
        <f t="shared" si="23"/>
        <v>1PremiumS3</v>
      </c>
      <c r="E289" s="10">
        <v>1</v>
      </c>
      <c r="F289" s="5">
        <v>241</v>
      </c>
      <c r="G289" s="8" t="str">
        <f>VLOOKUP(F289,[1]characters!$A:$C,3,FALSE)</f>
        <v>ガブリエル</v>
      </c>
      <c r="H289" s="8" t="str">
        <f>VLOOKUP(F289,[1]characters!$A:$J,10,FALSE)</f>
        <v>PremiumS</v>
      </c>
      <c r="I289" s="8">
        <f>VLOOKUP(F289,[1]characters!$A:$I,9,FALSE)</f>
        <v>3</v>
      </c>
      <c r="J289" s="8" t="str">
        <f>VLOOKUP(F289,[1]characters!$A:$H,8,FALSE)</f>
        <v>green</v>
      </c>
      <c r="K289" s="8" t="str">
        <f>VLOOKUP(F289,[1]characters!$A:$K,11,FALSE)</f>
        <v>balance</v>
      </c>
      <c r="L289" s="8" t="str">
        <f>VLOOKUP(F289,[1]characters!$A:$M,13,FALSE)</f>
        <v>machine</v>
      </c>
      <c r="M289" s="65"/>
      <c r="N289" s="16">
        <f>VLOOKUP(D289,gacha_300_base!A:B,2,FALSE)</f>
        <v>11912</v>
      </c>
      <c r="O289" s="37">
        <f>IFERROR(VLOOKUP($F289,bug_conf_sheet!$A:$H,3,FALSE),VLOOKUP("other",bug_conf_sheet!$A:$H,3,FALSE))</f>
        <v>1</v>
      </c>
      <c r="P289" s="37">
        <f>IFERROR(VLOOKUP($F289,bug_conf_sheet!$A:$H,4,FALSE),VLOOKUP("other",bug_conf_sheet!$A:$H,4,FALSE))</f>
        <v>0</v>
      </c>
      <c r="Q289" s="37">
        <f>IFERROR(VLOOKUP($F289,bug_conf_sheet!$A:$H,5,FALSE),VLOOKUP("other",bug_conf_sheet!$A:$H,5,FALSE))</f>
        <v>0</v>
      </c>
      <c r="R289" s="37">
        <f>IFERROR(VLOOKUP($F289,bug_conf_sheet!$A:$H,6,FALSE),VLOOKUP("other",bug_conf_sheet!$A:$H,6,FALSE))</f>
        <v>0</v>
      </c>
      <c r="S289" s="37">
        <f>IFERROR(VLOOKUP($F289,bug_conf_sheet!$A:$H,7,FALSE),VLOOKUP("other",bug_conf_sheet!$A:$H,7,FALSE))</f>
        <v>0</v>
      </c>
      <c r="T289" s="37">
        <f>IFERROR(VLOOKUP($F289,bug_conf_sheet!$A:$H,8,FALSE),VLOOKUP("other",bug_conf_sheet!$A:$H,8,FALSE))</f>
        <v>1</v>
      </c>
    </row>
    <row r="290" spans="1:20" ht="21" customHeight="1">
      <c r="A290" s="7" t="str">
        <f t="shared" si="22"/>
        <v>3001242</v>
      </c>
      <c r="B290" s="2" t="str">
        <f t="shared" si="24"/>
        <v>3001</v>
      </c>
      <c r="C290" s="8" t="str">
        <f t="shared" si="21"/>
        <v>1PremiumS4</v>
      </c>
      <c r="D290" s="8" t="str">
        <f t="shared" si="23"/>
        <v>1PremiumS4</v>
      </c>
      <c r="E290" s="10">
        <v>1</v>
      </c>
      <c r="F290" s="5">
        <v>242</v>
      </c>
      <c r="G290" s="8" t="str">
        <f>VLOOKUP(F290,[1]characters!$A:$C,3,FALSE)</f>
        <v>百花の天使 ガブリエル</v>
      </c>
      <c r="H290" s="8" t="str">
        <f>VLOOKUP(F290,[1]characters!$A:$J,10,FALSE)</f>
        <v>PremiumS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balance</v>
      </c>
      <c r="L290" s="8" t="str">
        <f>VLOOKUP(F290,[1]characters!$A:$M,13,FALSE)</f>
        <v>machine</v>
      </c>
      <c r="M290" s="65"/>
      <c r="N290" s="16">
        <f>VLOOKUP(D290,gacha_300_base!A:B,2,FALSE)</f>
        <v>2790</v>
      </c>
      <c r="O290" s="37">
        <f>IFERROR(VLOOKUP($F290,bug_conf_sheet!$A:$H,3,FALSE),VLOOKUP("other",bug_conf_sheet!$A:$H,3,FALSE))</f>
        <v>1</v>
      </c>
      <c r="P290" s="37">
        <f>IFERROR(VLOOKUP($F290,bug_conf_sheet!$A:$H,4,FALSE),VLOOKUP("other",bug_conf_sheet!$A:$H,4,FALSE))</f>
        <v>0</v>
      </c>
      <c r="Q290" s="37">
        <f>IFERROR(VLOOKUP($F290,bug_conf_sheet!$A:$H,5,FALSE),VLOOKUP("other",bug_conf_sheet!$A:$H,5,FALSE))</f>
        <v>0</v>
      </c>
      <c r="R290" s="37">
        <f>IFERROR(VLOOKUP($F290,bug_conf_sheet!$A:$H,6,FALSE),VLOOKUP("other",bug_conf_sheet!$A:$H,6,FALSE))</f>
        <v>0</v>
      </c>
      <c r="S290" s="37">
        <f>IFERROR(VLOOKUP($F290,bug_conf_sheet!$A:$H,7,FALSE),VLOOKUP("other",bug_conf_sheet!$A:$H,7,FALSE))</f>
        <v>0</v>
      </c>
      <c r="T290" s="37">
        <f>IFERROR(VLOOKUP($F290,bug_conf_sheet!$A:$H,8,FALSE),VLOOKUP("other",bug_conf_sheet!$A:$H,8,FALSE))</f>
        <v>1</v>
      </c>
    </row>
    <row r="291" spans="1:20" ht="21" customHeight="1">
      <c r="A291" s="7" t="str">
        <f t="shared" si="22"/>
        <v>3001243</v>
      </c>
      <c r="B291" s="2" t="str">
        <f t="shared" si="24"/>
        <v>3001</v>
      </c>
      <c r="C291" s="8" t="str">
        <f t="shared" si="21"/>
        <v>1PremiumS5</v>
      </c>
      <c r="D291" s="8" t="str">
        <f t="shared" si="23"/>
        <v>1PremiumS5</v>
      </c>
      <c r="E291" s="10">
        <v>1</v>
      </c>
      <c r="F291" s="5">
        <v>243</v>
      </c>
      <c r="G291" s="8" t="str">
        <f>VLOOKUP(F291,[1]characters!$A:$C,3,FALSE)</f>
        <v>万花の天使 ガブリエル・ブルーム</v>
      </c>
      <c r="H291" s="8" t="str">
        <f>VLOOKUP(F291,[1]characters!$A:$J,10,FALSE)</f>
        <v>PremiumS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balance</v>
      </c>
      <c r="L291" s="8" t="str">
        <f>VLOOKUP(F291,[1]characters!$A:$M,13,FALSE)</f>
        <v>machine</v>
      </c>
      <c r="M291" s="65"/>
      <c r="N291" s="16">
        <f>VLOOKUP(D291,gacha_300_base!A:B,2,FALSE)</f>
        <v>972</v>
      </c>
      <c r="O291" s="37">
        <f>IFERROR(VLOOKUP($F291,bug_conf_sheet!$A:$H,3,FALSE),VLOOKUP("other",bug_conf_sheet!$A:$H,3,FALSE))</f>
        <v>1</v>
      </c>
      <c r="P291" s="37">
        <f>IFERROR(VLOOKUP($F291,bug_conf_sheet!$A:$H,4,FALSE),VLOOKUP("other",bug_conf_sheet!$A:$H,4,FALSE))</f>
        <v>0</v>
      </c>
      <c r="Q291" s="37">
        <f>IFERROR(VLOOKUP($F291,bug_conf_sheet!$A:$H,5,FALSE),VLOOKUP("other",bug_conf_sheet!$A:$H,5,FALSE))</f>
        <v>0</v>
      </c>
      <c r="R291" s="37">
        <f>IFERROR(VLOOKUP($F291,bug_conf_sheet!$A:$H,6,FALSE),VLOOKUP("other",bug_conf_sheet!$A:$H,6,FALSE))</f>
        <v>0</v>
      </c>
      <c r="S291" s="37">
        <f>IFERROR(VLOOKUP($F291,bug_conf_sheet!$A:$H,7,FALSE),VLOOKUP("other",bug_conf_sheet!$A:$H,7,FALSE))</f>
        <v>0</v>
      </c>
      <c r="T291" s="37">
        <f>IFERROR(VLOOKUP($F291,bug_conf_sheet!$A:$H,8,FALSE),VLOOKUP("other",bug_conf_sheet!$A:$H,8,FALSE))</f>
        <v>1</v>
      </c>
    </row>
    <row r="292" spans="1:20" ht="21" customHeight="1">
      <c r="A292" s="7" t="str">
        <f t="shared" si="22"/>
        <v>3001244</v>
      </c>
      <c r="B292" s="2" t="str">
        <f t="shared" si="24"/>
        <v>3001</v>
      </c>
      <c r="C292" s="8" t="str">
        <f t="shared" si="21"/>
        <v>1PremiumS3</v>
      </c>
      <c r="D292" s="8" t="str">
        <f t="shared" si="23"/>
        <v>1PremiumS3</v>
      </c>
      <c r="E292" s="10">
        <v>1</v>
      </c>
      <c r="F292" s="5">
        <v>244</v>
      </c>
      <c r="G292" s="8" t="str">
        <f>VLOOKUP(F292,[1]characters!$A:$C,3,FALSE)</f>
        <v>ラファエル</v>
      </c>
      <c r="H292" s="8" t="str">
        <f>VLOOKUP(F292,[1]characters!$A:$J,10,FALSE)</f>
        <v>PremiumS</v>
      </c>
      <c r="I292" s="8">
        <f>VLOOKUP(F292,[1]characters!$A:$I,9,FALSE)</f>
        <v>3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machine</v>
      </c>
      <c r="M292" s="65"/>
      <c r="N292" s="16">
        <f>VLOOKUP(D292,gacha_300_base!A:B,2,FALSE)</f>
        <v>11912</v>
      </c>
      <c r="O292" s="37">
        <f>IFERROR(VLOOKUP($F292,bug_conf_sheet!$A:$H,3,FALSE),VLOOKUP("other",bug_conf_sheet!$A:$H,3,FALSE))</f>
        <v>1</v>
      </c>
      <c r="P292" s="37">
        <f>IFERROR(VLOOKUP($F292,bug_conf_sheet!$A:$H,4,FALSE),VLOOKUP("other",bug_conf_sheet!$A:$H,4,FALSE))</f>
        <v>0</v>
      </c>
      <c r="Q292" s="37">
        <f>IFERROR(VLOOKUP($F292,bug_conf_sheet!$A:$H,5,FALSE),VLOOKUP("other",bug_conf_sheet!$A:$H,5,FALSE))</f>
        <v>0</v>
      </c>
      <c r="R292" s="37">
        <f>IFERROR(VLOOKUP($F292,bug_conf_sheet!$A:$H,6,FALSE),VLOOKUP("other",bug_conf_sheet!$A:$H,6,FALSE))</f>
        <v>0</v>
      </c>
      <c r="S292" s="37">
        <f>IFERROR(VLOOKUP($F292,bug_conf_sheet!$A:$H,7,FALSE),VLOOKUP("other",bug_conf_sheet!$A:$H,7,FALSE))</f>
        <v>0</v>
      </c>
      <c r="T292" s="37">
        <f>IFERROR(VLOOKUP($F292,bug_conf_sheet!$A:$H,8,FALSE),VLOOKUP("other",bug_conf_sheet!$A:$H,8,FALSE))</f>
        <v>1</v>
      </c>
    </row>
    <row r="293" spans="1:20" ht="21" customHeight="1">
      <c r="A293" s="7" t="str">
        <f t="shared" si="22"/>
        <v>3001245</v>
      </c>
      <c r="B293" s="2" t="str">
        <f t="shared" si="24"/>
        <v>3001</v>
      </c>
      <c r="C293" s="8" t="str">
        <f t="shared" si="21"/>
        <v>1PremiumS4</v>
      </c>
      <c r="D293" s="8" t="str">
        <f t="shared" si="23"/>
        <v>1PremiumS4</v>
      </c>
      <c r="E293" s="10">
        <v>1</v>
      </c>
      <c r="F293" s="5">
        <v>245</v>
      </c>
      <c r="G293" s="8" t="str">
        <f>VLOOKUP(F293,[1]characters!$A:$C,3,FALSE)</f>
        <v>鎮癒の天使 ラファエル</v>
      </c>
      <c r="H293" s="8" t="str">
        <f>VLOOKUP(F293,[1]characters!$A:$J,10,FALSE)</f>
        <v>PremiumS</v>
      </c>
      <c r="I293" s="8">
        <f>VLOOKUP(F293,[1]characters!$A:$I,9,FALSE)</f>
        <v>4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machine</v>
      </c>
      <c r="M293" s="65"/>
      <c r="N293" s="16">
        <f>VLOOKUP(D293,gacha_300_base!A:B,2,FALSE)</f>
        <v>2790</v>
      </c>
      <c r="O293" s="37">
        <f>IFERROR(VLOOKUP($F293,bug_conf_sheet!$A:$H,3,FALSE),VLOOKUP("other",bug_conf_sheet!$A:$H,3,FALSE))</f>
        <v>1</v>
      </c>
      <c r="P293" s="37">
        <f>IFERROR(VLOOKUP($F293,bug_conf_sheet!$A:$H,4,FALSE),VLOOKUP("other",bug_conf_sheet!$A:$H,4,FALSE))</f>
        <v>0</v>
      </c>
      <c r="Q293" s="37">
        <f>IFERROR(VLOOKUP($F293,bug_conf_sheet!$A:$H,5,FALSE),VLOOKUP("other",bug_conf_sheet!$A:$H,5,FALSE))</f>
        <v>0</v>
      </c>
      <c r="R293" s="37">
        <f>IFERROR(VLOOKUP($F293,bug_conf_sheet!$A:$H,6,FALSE),VLOOKUP("other",bug_conf_sheet!$A:$H,6,FALSE))</f>
        <v>0</v>
      </c>
      <c r="S293" s="37">
        <f>IFERROR(VLOOKUP($F293,bug_conf_sheet!$A:$H,7,FALSE),VLOOKUP("other",bug_conf_sheet!$A:$H,7,FALSE))</f>
        <v>0</v>
      </c>
      <c r="T293" s="37">
        <f>IFERROR(VLOOKUP($F293,bug_conf_sheet!$A:$H,8,FALSE),VLOOKUP("other",bug_conf_sheet!$A:$H,8,FALSE))</f>
        <v>1</v>
      </c>
    </row>
    <row r="294" spans="1:20" ht="21" customHeight="1">
      <c r="A294" s="7" t="str">
        <f t="shared" si="22"/>
        <v>3001246</v>
      </c>
      <c r="B294" s="2" t="str">
        <f t="shared" si="24"/>
        <v>3001</v>
      </c>
      <c r="C294" s="8" t="str">
        <f t="shared" si="21"/>
        <v>1PremiumS5</v>
      </c>
      <c r="D294" s="8" t="str">
        <f t="shared" si="23"/>
        <v>1PremiumS5</v>
      </c>
      <c r="E294" s="10">
        <v>1</v>
      </c>
      <c r="F294" s="5">
        <v>246</v>
      </c>
      <c r="G294" s="8" t="str">
        <f>VLOOKUP(F294,[1]characters!$A:$C,3,FALSE)</f>
        <v>真癒の天使 ラファエル・メディカ</v>
      </c>
      <c r="H294" s="8" t="str">
        <f>VLOOKUP(F294,[1]characters!$A:$J,10,FALSE)</f>
        <v>PremiumS</v>
      </c>
      <c r="I294" s="8">
        <f>VLOOKUP(F294,[1]characters!$A:$I,9,FALSE)</f>
        <v>5</v>
      </c>
      <c r="J294" s="8" t="str">
        <f>VLOOKUP(F294,[1]characters!$A:$H,8,FALSE)</f>
        <v>blue</v>
      </c>
      <c r="K294" s="8" t="str">
        <f>VLOOKUP(F294,[1]characters!$A:$K,11,FALSE)</f>
        <v>balance</v>
      </c>
      <c r="L294" s="8" t="str">
        <f>VLOOKUP(F294,[1]characters!$A:$M,13,FALSE)</f>
        <v>machine</v>
      </c>
      <c r="M294" s="65"/>
      <c r="N294" s="16">
        <f>VLOOKUP(D294,gacha_300_base!A:B,2,FALSE)</f>
        <v>972</v>
      </c>
      <c r="O294" s="37">
        <f>IFERROR(VLOOKUP($F294,bug_conf_sheet!$A:$H,3,FALSE),VLOOKUP("other",bug_conf_sheet!$A:$H,3,FALSE))</f>
        <v>1</v>
      </c>
      <c r="P294" s="37">
        <f>IFERROR(VLOOKUP($F294,bug_conf_sheet!$A:$H,4,FALSE),VLOOKUP("other",bug_conf_sheet!$A:$H,4,FALSE))</f>
        <v>0</v>
      </c>
      <c r="Q294" s="37">
        <f>IFERROR(VLOOKUP($F294,bug_conf_sheet!$A:$H,5,FALSE),VLOOKUP("other",bug_conf_sheet!$A:$H,5,FALSE))</f>
        <v>0</v>
      </c>
      <c r="R294" s="37">
        <f>IFERROR(VLOOKUP($F294,bug_conf_sheet!$A:$H,6,FALSE),VLOOKUP("other",bug_conf_sheet!$A:$H,6,FALSE))</f>
        <v>0</v>
      </c>
      <c r="S294" s="37">
        <f>IFERROR(VLOOKUP($F294,bug_conf_sheet!$A:$H,7,FALSE),VLOOKUP("other",bug_conf_sheet!$A:$H,7,FALSE))</f>
        <v>0</v>
      </c>
      <c r="T294" s="37">
        <f>IFERROR(VLOOKUP($F294,bug_conf_sheet!$A:$H,8,FALSE),VLOOKUP("other",bug_conf_sheet!$A:$H,8,FALSE))</f>
        <v>1</v>
      </c>
    </row>
    <row r="295" spans="1:20" ht="21" customHeight="1">
      <c r="A295" s="7" t="str">
        <f t="shared" si="22"/>
        <v>3001247</v>
      </c>
      <c r="B295" s="2" t="str">
        <f t="shared" si="24"/>
        <v>3001</v>
      </c>
      <c r="C295" s="8" t="str">
        <f t="shared" si="21"/>
        <v>1PremiumS3</v>
      </c>
      <c r="D295" s="8" t="str">
        <f t="shared" si="23"/>
        <v>1PremiumS3</v>
      </c>
      <c r="E295" s="10">
        <v>1</v>
      </c>
      <c r="F295" s="5">
        <v>247</v>
      </c>
      <c r="G295" s="8" t="str">
        <f>VLOOKUP(F295,[1]characters!$A:$C,3,FALSE)</f>
        <v>ミカエル</v>
      </c>
      <c r="H295" s="8" t="str">
        <f>VLOOKUP(F295,[1]characters!$A:$J,10,FALSE)</f>
        <v>PremiumS</v>
      </c>
      <c r="I295" s="8">
        <f>VLOOKUP(F295,[1]characters!$A:$I,9,FALSE)</f>
        <v>3</v>
      </c>
      <c r="J295" s="8" t="str">
        <f>VLOOKUP(F295,[1]characters!$A:$H,8,FALSE)</f>
        <v>yellow</v>
      </c>
      <c r="K295" s="8" t="str">
        <f>VLOOKUP(F295,[1]characters!$A:$K,11,FALSE)</f>
        <v>attack</v>
      </c>
      <c r="L295" s="8" t="str">
        <f>VLOOKUP(F295,[1]characters!$A:$M,13,FALSE)</f>
        <v>machine</v>
      </c>
      <c r="M295" s="65"/>
      <c r="N295" s="16">
        <f>VLOOKUP(D295,gacha_300_base!A:B,2,FALSE)</f>
        <v>11912</v>
      </c>
      <c r="O295" s="37">
        <f>IFERROR(VLOOKUP($F295,bug_conf_sheet!$A:$H,3,FALSE),VLOOKUP("other",bug_conf_sheet!$A:$H,3,FALSE))</f>
        <v>1</v>
      </c>
      <c r="P295" s="37">
        <f>IFERROR(VLOOKUP($F295,bug_conf_sheet!$A:$H,4,FALSE),VLOOKUP("other",bug_conf_sheet!$A:$H,4,FALSE))</f>
        <v>0</v>
      </c>
      <c r="Q295" s="37">
        <f>IFERROR(VLOOKUP($F295,bug_conf_sheet!$A:$H,5,FALSE),VLOOKUP("other",bug_conf_sheet!$A:$H,5,FALSE))</f>
        <v>0</v>
      </c>
      <c r="R295" s="37">
        <f>IFERROR(VLOOKUP($F295,bug_conf_sheet!$A:$H,6,FALSE),VLOOKUP("other",bug_conf_sheet!$A:$H,6,FALSE))</f>
        <v>0</v>
      </c>
      <c r="S295" s="37">
        <f>IFERROR(VLOOKUP($F295,bug_conf_sheet!$A:$H,7,FALSE),VLOOKUP("other",bug_conf_sheet!$A:$H,7,FALSE))</f>
        <v>0</v>
      </c>
      <c r="T295" s="37">
        <f>IFERROR(VLOOKUP($F295,bug_conf_sheet!$A:$H,8,FALSE),VLOOKUP("other",bug_conf_sheet!$A:$H,8,FALSE))</f>
        <v>1</v>
      </c>
    </row>
    <row r="296" spans="1:20" ht="21" customHeight="1">
      <c r="A296" s="7" t="str">
        <f t="shared" si="22"/>
        <v>3001248</v>
      </c>
      <c r="B296" s="2" t="str">
        <f t="shared" si="24"/>
        <v>3001</v>
      </c>
      <c r="C296" s="8" t="str">
        <f t="shared" si="21"/>
        <v>1PremiumS4</v>
      </c>
      <c r="D296" s="8" t="str">
        <f t="shared" si="23"/>
        <v>1PremiumS4</v>
      </c>
      <c r="E296" s="10">
        <v>1</v>
      </c>
      <c r="F296" s="5">
        <v>248</v>
      </c>
      <c r="G296" s="8" t="str">
        <f>VLOOKUP(F296,[1]characters!$A:$C,3,FALSE)</f>
        <v>彩電の天使 ミカエル</v>
      </c>
      <c r="H296" s="8" t="str">
        <f>VLOOKUP(F296,[1]characters!$A:$J,10,FALSE)</f>
        <v>PremiumS</v>
      </c>
      <c r="I296" s="8">
        <f>VLOOKUP(F296,[1]characters!$A:$I,9,FALSE)</f>
        <v>4</v>
      </c>
      <c r="J296" s="8" t="str">
        <f>VLOOKUP(F296,[1]characters!$A:$H,8,FALSE)</f>
        <v>yellow</v>
      </c>
      <c r="K296" s="8" t="str">
        <f>VLOOKUP(F296,[1]characters!$A:$K,11,FALSE)</f>
        <v>attack</v>
      </c>
      <c r="L296" s="8" t="str">
        <f>VLOOKUP(F296,[1]characters!$A:$M,13,FALSE)</f>
        <v>machine</v>
      </c>
      <c r="M296" s="65"/>
      <c r="N296" s="16">
        <f>VLOOKUP(D296,gacha_300_base!A:B,2,FALSE)</f>
        <v>2790</v>
      </c>
      <c r="O296" s="37">
        <f>IFERROR(VLOOKUP($F296,bug_conf_sheet!$A:$H,3,FALSE),VLOOKUP("other",bug_conf_sheet!$A:$H,3,FALSE))</f>
        <v>1</v>
      </c>
      <c r="P296" s="37">
        <f>IFERROR(VLOOKUP($F296,bug_conf_sheet!$A:$H,4,FALSE),VLOOKUP("other",bug_conf_sheet!$A:$H,4,FALSE))</f>
        <v>0</v>
      </c>
      <c r="Q296" s="37">
        <f>IFERROR(VLOOKUP($F296,bug_conf_sheet!$A:$H,5,FALSE),VLOOKUP("other",bug_conf_sheet!$A:$H,5,FALSE))</f>
        <v>0</v>
      </c>
      <c r="R296" s="37">
        <f>IFERROR(VLOOKUP($F296,bug_conf_sheet!$A:$H,6,FALSE),VLOOKUP("other",bug_conf_sheet!$A:$H,6,FALSE))</f>
        <v>0</v>
      </c>
      <c r="S296" s="37">
        <f>IFERROR(VLOOKUP($F296,bug_conf_sheet!$A:$H,7,FALSE),VLOOKUP("other",bug_conf_sheet!$A:$H,7,FALSE))</f>
        <v>0</v>
      </c>
      <c r="T296" s="37">
        <f>IFERROR(VLOOKUP($F296,bug_conf_sheet!$A:$H,8,FALSE),VLOOKUP("other",bug_conf_sheet!$A:$H,8,FALSE))</f>
        <v>1</v>
      </c>
    </row>
    <row r="297" spans="1:20" ht="21" customHeight="1">
      <c r="A297" s="7" t="str">
        <f t="shared" si="22"/>
        <v>3001249</v>
      </c>
      <c r="B297" s="2" t="str">
        <f t="shared" si="24"/>
        <v>3001</v>
      </c>
      <c r="C297" s="8" t="str">
        <f t="shared" si="21"/>
        <v>1PremiumS5</v>
      </c>
      <c r="D297" s="8" t="str">
        <f t="shared" si="23"/>
        <v>1PremiumS5</v>
      </c>
      <c r="E297" s="10">
        <v>1</v>
      </c>
      <c r="F297" s="6">
        <v>249</v>
      </c>
      <c r="G297" s="8" t="str">
        <f>VLOOKUP(F297,[1]characters!$A:$C,3,FALSE)</f>
        <v>雷電の天使 ミカエル・ゲイナー</v>
      </c>
      <c r="H297" s="8" t="str">
        <f>VLOOKUP(F297,[1]characters!$A:$J,10,FALSE)</f>
        <v>PremiumS</v>
      </c>
      <c r="I297" s="8">
        <f>VLOOKUP(F297,[1]characters!$A:$I,9,FALSE)</f>
        <v>5</v>
      </c>
      <c r="J297" s="8" t="str">
        <f>VLOOKUP(F297,[1]characters!$A:$H,8,FALSE)</f>
        <v>yellow</v>
      </c>
      <c r="K297" s="8" t="str">
        <f>VLOOKUP(F297,[1]characters!$A:$K,11,FALSE)</f>
        <v>attack</v>
      </c>
      <c r="L297" s="8" t="str">
        <f>VLOOKUP(F297,[1]characters!$A:$M,13,FALSE)</f>
        <v>machine</v>
      </c>
      <c r="M297" s="65"/>
      <c r="N297" s="16">
        <f>VLOOKUP(D297,gacha_300_base!A:B,2,FALSE)</f>
        <v>972</v>
      </c>
      <c r="O297" s="37">
        <f>IFERROR(VLOOKUP($F297,bug_conf_sheet!$A:$H,3,FALSE),VLOOKUP("other",bug_conf_sheet!$A:$H,3,FALSE))</f>
        <v>1</v>
      </c>
      <c r="P297" s="37">
        <f>IFERROR(VLOOKUP($F297,bug_conf_sheet!$A:$H,4,FALSE),VLOOKUP("other",bug_conf_sheet!$A:$H,4,FALSE))</f>
        <v>0</v>
      </c>
      <c r="Q297" s="37">
        <f>IFERROR(VLOOKUP($F297,bug_conf_sheet!$A:$H,5,FALSE),VLOOKUP("other",bug_conf_sheet!$A:$H,5,FALSE))</f>
        <v>0</v>
      </c>
      <c r="R297" s="37">
        <f>IFERROR(VLOOKUP($F297,bug_conf_sheet!$A:$H,6,FALSE),VLOOKUP("other",bug_conf_sheet!$A:$H,6,FALSE))</f>
        <v>0</v>
      </c>
      <c r="S297" s="37">
        <f>IFERROR(VLOOKUP($F297,bug_conf_sheet!$A:$H,7,FALSE),VLOOKUP("other",bug_conf_sheet!$A:$H,7,FALSE))</f>
        <v>0</v>
      </c>
      <c r="T297" s="37">
        <f>IFERROR(VLOOKUP($F297,bug_conf_sheet!$A:$H,8,FALSE),VLOOKUP("other",bug_conf_sheet!$A:$H,8,FALSE))</f>
        <v>1</v>
      </c>
    </row>
    <row r="298" spans="1:20" ht="21" customHeight="1">
      <c r="A298" s="7" t="str">
        <f t="shared" si="22"/>
        <v>3001250</v>
      </c>
      <c r="B298" s="2" t="str">
        <f t="shared" si="24"/>
        <v>3001</v>
      </c>
      <c r="C298" s="8" t="str">
        <f t="shared" si="21"/>
        <v>1PremiumS3</v>
      </c>
      <c r="D298" s="8" t="str">
        <f t="shared" si="23"/>
        <v>1PremiumS3</v>
      </c>
      <c r="E298" s="10">
        <v>1</v>
      </c>
      <c r="F298" s="6">
        <v>250</v>
      </c>
      <c r="G298" s="8" t="str">
        <f>VLOOKUP(F298,[1]characters!$A:$C,3,FALSE)</f>
        <v>マンモン</v>
      </c>
      <c r="H298" s="8" t="str">
        <f>VLOOKUP(F298,[1]characters!$A:$J,10,FALSE)</f>
        <v>PremiumS</v>
      </c>
      <c r="I298" s="8">
        <f>VLOOKUP(F298,[1]characters!$A:$I,9,FALSE)</f>
        <v>3</v>
      </c>
      <c r="J298" s="8" t="str">
        <f>VLOOKUP(F298,[1]characters!$A:$H,8,FALSE)</f>
        <v>red</v>
      </c>
      <c r="K298" s="8" t="str">
        <f>VLOOKUP(F298,[1]characters!$A:$K,11,FALSE)</f>
        <v>balance</v>
      </c>
      <c r="L298" s="8" t="str">
        <f>VLOOKUP(F298,[1]characters!$A:$M,13,FALSE)</f>
        <v>god</v>
      </c>
      <c r="M298" s="65"/>
      <c r="N298" s="16">
        <f>VLOOKUP(D298,gacha_300_base!A:B,2,FALSE)</f>
        <v>11912</v>
      </c>
      <c r="O298" s="37">
        <f>IFERROR(VLOOKUP($F298,bug_conf_sheet!$A:$H,3,FALSE),VLOOKUP("other",bug_conf_sheet!$A:$H,3,FALSE))</f>
        <v>1</v>
      </c>
      <c r="P298" s="37">
        <f>IFERROR(VLOOKUP($F298,bug_conf_sheet!$A:$H,4,FALSE),VLOOKUP("other",bug_conf_sheet!$A:$H,4,FALSE))</f>
        <v>0</v>
      </c>
      <c r="Q298" s="37">
        <f>IFERROR(VLOOKUP($F298,bug_conf_sheet!$A:$H,5,FALSE),VLOOKUP("other",bug_conf_sheet!$A:$H,5,FALSE))</f>
        <v>0</v>
      </c>
      <c r="R298" s="37">
        <f>IFERROR(VLOOKUP($F298,bug_conf_sheet!$A:$H,6,FALSE),VLOOKUP("other",bug_conf_sheet!$A:$H,6,FALSE))</f>
        <v>0</v>
      </c>
      <c r="S298" s="37">
        <f>IFERROR(VLOOKUP($F298,bug_conf_sheet!$A:$H,7,FALSE),VLOOKUP("other",bug_conf_sheet!$A:$H,7,FALSE))</f>
        <v>0</v>
      </c>
      <c r="T298" s="37">
        <f>IFERROR(VLOOKUP($F298,bug_conf_sheet!$A:$H,8,FALSE),VLOOKUP("other",bug_conf_sheet!$A:$H,8,FALSE))</f>
        <v>1</v>
      </c>
    </row>
    <row r="299" spans="1:20" ht="21" customHeight="1">
      <c r="A299" s="7" t="str">
        <f t="shared" si="22"/>
        <v>3001251</v>
      </c>
      <c r="B299" s="2" t="str">
        <f t="shared" si="24"/>
        <v>3001</v>
      </c>
      <c r="C299" s="8" t="str">
        <f t="shared" si="21"/>
        <v>1PremiumS4</v>
      </c>
      <c r="D299" s="8" t="str">
        <f t="shared" si="23"/>
        <v>1PremiumS4</v>
      </c>
      <c r="E299" s="10">
        <v>1</v>
      </c>
      <c r="F299" s="6">
        <v>251</v>
      </c>
      <c r="G299" s="8" t="str">
        <f>VLOOKUP(F299,[1]characters!$A:$C,3,FALSE)</f>
        <v>強欲 マンモン</v>
      </c>
      <c r="H299" s="8" t="str">
        <f>VLOOKUP(F299,[1]characters!$A:$J,10,FALSE)</f>
        <v>PremiumS</v>
      </c>
      <c r="I299" s="8">
        <f>VLOOKUP(F299,[1]characters!$A:$I,9,FALSE)</f>
        <v>4</v>
      </c>
      <c r="J299" s="8" t="str">
        <f>VLOOKUP(F299,[1]characters!$A:$H,8,FALSE)</f>
        <v>red</v>
      </c>
      <c r="K299" s="8" t="str">
        <f>VLOOKUP(F299,[1]characters!$A:$K,11,FALSE)</f>
        <v>balance</v>
      </c>
      <c r="L299" s="8" t="str">
        <f>VLOOKUP(F299,[1]characters!$A:$M,13,FALSE)</f>
        <v>god</v>
      </c>
      <c r="M299" s="65"/>
      <c r="N299" s="16">
        <f>VLOOKUP(D299,gacha_300_base!A:B,2,FALSE)</f>
        <v>2790</v>
      </c>
      <c r="O299" s="37">
        <f>IFERROR(VLOOKUP($F299,bug_conf_sheet!$A:$H,3,FALSE),VLOOKUP("other",bug_conf_sheet!$A:$H,3,FALSE))</f>
        <v>1</v>
      </c>
      <c r="P299" s="37">
        <f>IFERROR(VLOOKUP($F299,bug_conf_sheet!$A:$H,4,FALSE),VLOOKUP("other",bug_conf_sheet!$A:$H,4,FALSE))</f>
        <v>0</v>
      </c>
      <c r="Q299" s="37">
        <f>IFERROR(VLOOKUP($F299,bug_conf_sheet!$A:$H,5,FALSE),VLOOKUP("other",bug_conf_sheet!$A:$H,5,FALSE))</f>
        <v>0</v>
      </c>
      <c r="R299" s="37">
        <f>IFERROR(VLOOKUP($F299,bug_conf_sheet!$A:$H,6,FALSE),VLOOKUP("other",bug_conf_sheet!$A:$H,6,FALSE))</f>
        <v>0</v>
      </c>
      <c r="S299" s="37">
        <f>IFERROR(VLOOKUP($F299,bug_conf_sheet!$A:$H,7,FALSE),VLOOKUP("other",bug_conf_sheet!$A:$H,7,FALSE))</f>
        <v>0</v>
      </c>
      <c r="T299" s="37">
        <f>IFERROR(VLOOKUP($F299,bug_conf_sheet!$A:$H,8,FALSE),VLOOKUP("other",bug_conf_sheet!$A:$H,8,FALSE))</f>
        <v>1</v>
      </c>
    </row>
    <row r="300" spans="1:20" ht="21" customHeight="1">
      <c r="A300" s="7" t="str">
        <f t="shared" si="22"/>
        <v>3001252</v>
      </c>
      <c r="B300" s="2" t="str">
        <f t="shared" si="24"/>
        <v>3001</v>
      </c>
      <c r="C300" s="8" t="str">
        <f t="shared" si="21"/>
        <v>1PremiumS5</v>
      </c>
      <c r="D300" s="8" t="str">
        <f t="shared" si="23"/>
        <v>1PremiumS5</v>
      </c>
      <c r="E300" s="10">
        <v>1</v>
      </c>
      <c r="F300" s="6">
        <v>252</v>
      </c>
      <c r="G300" s="8" t="str">
        <f>VLOOKUP(F300,[1]characters!$A:$C,3,FALSE)</f>
        <v>強欲の沸騰 マンモン</v>
      </c>
      <c r="H300" s="8" t="str">
        <f>VLOOKUP(F300,[1]characters!$A:$J,10,FALSE)</f>
        <v>PremiumS</v>
      </c>
      <c r="I300" s="8">
        <f>VLOOKUP(F300,[1]characters!$A:$I,9,FALSE)</f>
        <v>5</v>
      </c>
      <c r="J300" s="8" t="str">
        <f>VLOOKUP(F300,[1]characters!$A:$H,8,FALSE)</f>
        <v>red</v>
      </c>
      <c r="K300" s="8" t="str">
        <f>VLOOKUP(F300,[1]characters!$A:$K,11,FALSE)</f>
        <v>balance</v>
      </c>
      <c r="L300" s="8" t="str">
        <f>VLOOKUP(F300,[1]characters!$A:$M,13,FALSE)</f>
        <v>god</v>
      </c>
      <c r="M300" s="65"/>
      <c r="N300" s="16">
        <f>VLOOKUP(D300,gacha_300_base!A:B,2,FALSE)</f>
        <v>972</v>
      </c>
      <c r="O300" s="37">
        <f>IFERROR(VLOOKUP($F300,bug_conf_sheet!$A:$H,3,FALSE),VLOOKUP("other",bug_conf_sheet!$A:$H,3,FALSE))</f>
        <v>1</v>
      </c>
      <c r="P300" s="37">
        <f>IFERROR(VLOOKUP($F300,bug_conf_sheet!$A:$H,4,FALSE),VLOOKUP("other",bug_conf_sheet!$A:$H,4,FALSE))</f>
        <v>0</v>
      </c>
      <c r="Q300" s="37">
        <f>IFERROR(VLOOKUP($F300,bug_conf_sheet!$A:$H,5,FALSE),VLOOKUP("other",bug_conf_sheet!$A:$H,5,FALSE))</f>
        <v>0</v>
      </c>
      <c r="R300" s="37">
        <f>IFERROR(VLOOKUP($F300,bug_conf_sheet!$A:$H,6,FALSE),VLOOKUP("other",bug_conf_sheet!$A:$H,6,FALSE))</f>
        <v>0</v>
      </c>
      <c r="S300" s="37">
        <f>IFERROR(VLOOKUP($F300,bug_conf_sheet!$A:$H,7,FALSE),VLOOKUP("other",bug_conf_sheet!$A:$H,7,FALSE))</f>
        <v>0</v>
      </c>
      <c r="T300" s="37">
        <f>IFERROR(VLOOKUP($F300,bug_conf_sheet!$A:$H,8,FALSE),VLOOKUP("other",bug_conf_sheet!$A:$H,8,FALSE))</f>
        <v>1</v>
      </c>
    </row>
    <row r="301" spans="1:20" ht="21" customHeight="1">
      <c r="A301" s="7" t="str">
        <f t="shared" si="22"/>
        <v>3001253</v>
      </c>
      <c r="B301" s="2" t="str">
        <f t="shared" si="24"/>
        <v>3001</v>
      </c>
      <c r="C301" s="8" t="str">
        <f t="shared" si="21"/>
        <v>1PremiumS3</v>
      </c>
      <c r="D301" s="8" t="str">
        <f t="shared" si="23"/>
        <v>1PremiumS3</v>
      </c>
      <c r="E301" s="10">
        <v>1</v>
      </c>
      <c r="F301" s="6">
        <v>253</v>
      </c>
      <c r="G301" s="8" t="str">
        <f>VLOOKUP(F301,[1]characters!$A:$C,3,FALSE)</f>
        <v>ベルフェゴール</v>
      </c>
      <c r="H301" s="8" t="str">
        <f>VLOOKUP(F301,[1]characters!$A:$J,10,FALSE)</f>
        <v>PremiumS</v>
      </c>
      <c r="I301" s="8">
        <f>VLOOKUP(F301,[1]characters!$A:$I,9,FALSE)</f>
        <v>3</v>
      </c>
      <c r="J301" s="8" t="str">
        <f>VLOOKUP(F301,[1]characters!$A:$H,8,FALSE)</f>
        <v>green</v>
      </c>
      <c r="K301" s="8" t="str">
        <f>VLOOKUP(F301,[1]characters!$A:$K,11,FALSE)</f>
        <v>technical</v>
      </c>
      <c r="L301" s="8" t="str">
        <f>VLOOKUP(F301,[1]characters!$A:$M,13,FALSE)</f>
        <v>god</v>
      </c>
      <c r="M301" s="65"/>
      <c r="N301" s="16">
        <f>VLOOKUP(D301,gacha_300_base!A:B,2,FALSE)</f>
        <v>11912</v>
      </c>
      <c r="O301" s="37">
        <f>IFERROR(VLOOKUP($F301,bug_conf_sheet!$A:$H,3,FALSE),VLOOKUP("other",bug_conf_sheet!$A:$H,3,FALSE))</f>
        <v>1</v>
      </c>
      <c r="P301" s="37">
        <f>IFERROR(VLOOKUP($F301,bug_conf_sheet!$A:$H,4,FALSE),VLOOKUP("other",bug_conf_sheet!$A:$H,4,FALSE))</f>
        <v>0</v>
      </c>
      <c r="Q301" s="37">
        <f>IFERROR(VLOOKUP($F301,bug_conf_sheet!$A:$H,5,FALSE),VLOOKUP("other",bug_conf_sheet!$A:$H,5,FALSE))</f>
        <v>0</v>
      </c>
      <c r="R301" s="37">
        <f>IFERROR(VLOOKUP($F301,bug_conf_sheet!$A:$H,6,FALSE),VLOOKUP("other",bug_conf_sheet!$A:$H,6,FALSE))</f>
        <v>0</v>
      </c>
      <c r="S301" s="37">
        <f>IFERROR(VLOOKUP($F301,bug_conf_sheet!$A:$H,7,FALSE),VLOOKUP("other",bug_conf_sheet!$A:$H,7,FALSE))</f>
        <v>0</v>
      </c>
      <c r="T301" s="37">
        <f>IFERROR(VLOOKUP($F301,bug_conf_sheet!$A:$H,8,FALSE),VLOOKUP("other",bug_conf_sheet!$A:$H,8,FALSE))</f>
        <v>1</v>
      </c>
    </row>
    <row r="302" spans="1:20" ht="21" customHeight="1">
      <c r="A302" s="7" t="str">
        <f t="shared" si="22"/>
        <v>3001254</v>
      </c>
      <c r="B302" s="2" t="str">
        <f t="shared" si="24"/>
        <v>3001</v>
      </c>
      <c r="C302" s="8" t="str">
        <f t="shared" ref="C302:C365" si="25">E302&amp;H302&amp;I302</f>
        <v>1PremiumS4</v>
      </c>
      <c r="D302" s="8" t="str">
        <f t="shared" si="23"/>
        <v>1PremiumS4</v>
      </c>
      <c r="E302" s="10">
        <v>1</v>
      </c>
      <c r="F302" s="6">
        <v>254</v>
      </c>
      <c r="G302" s="8" t="str">
        <f>VLOOKUP(F302,[1]characters!$A:$C,3,FALSE)</f>
        <v>怠惰 ベルフェゴール</v>
      </c>
      <c r="H302" s="8" t="str">
        <f>VLOOKUP(F302,[1]characters!$A:$J,10,FALSE)</f>
        <v>PremiumS</v>
      </c>
      <c r="I302" s="8">
        <f>VLOOKUP(F302,[1]characters!$A:$I,9,FALSE)</f>
        <v>4</v>
      </c>
      <c r="J302" s="8" t="str">
        <f>VLOOKUP(F302,[1]characters!$A:$H,8,FALSE)</f>
        <v>green</v>
      </c>
      <c r="K302" s="8" t="str">
        <f>VLOOKUP(F302,[1]characters!$A:$K,11,FALSE)</f>
        <v>technical</v>
      </c>
      <c r="L302" s="8" t="str">
        <f>VLOOKUP(F302,[1]characters!$A:$M,13,FALSE)</f>
        <v>god</v>
      </c>
      <c r="M302" s="65"/>
      <c r="N302" s="16">
        <f>VLOOKUP(D302,gacha_300_base!A:B,2,FALSE)</f>
        <v>2790</v>
      </c>
      <c r="O302" s="37">
        <f>IFERROR(VLOOKUP($F302,bug_conf_sheet!$A:$H,3,FALSE),VLOOKUP("other",bug_conf_sheet!$A:$H,3,FALSE))</f>
        <v>1</v>
      </c>
      <c r="P302" s="37">
        <f>IFERROR(VLOOKUP($F302,bug_conf_sheet!$A:$H,4,FALSE),VLOOKUP("other",bug_conf_sheet!$A:$H,4,FALSE))</f>
        <v>0</v>
      </c>
      <c r="Q302" s="37">
        <f>IFERROR(VLOOKUP($F302,bug_conf_sheet!$A:$H,5,FALSE),VLOOKUP("other",bug_conf_sheet!$A:$H,5,FALSE))</f>
        <v>0</v>
      </c>
      <c r="R302" s="37">
        <f>IFERROR(VLOOKUP($F302,bug_conf_sheet!$A:$H,6,FALSE),VLOOKUP("other",bug_conf_sheet!$A:$H,6,FALSE))</f>
        <v>0</v>
      </c>
      <c r="S302" s="37">
        <f>IFERROR(VLOOKUP($F302,bug_conf_sheet!$A:$H,7,FALSE),VLOOKUP("other",bug_conf_sheet!$A:$H,7,FALSE))</f>
        <v>0</v>
      </c>
      <c r="T302" s="37">
        <f>IFERROR(VLOOKUP($F302,bug_conf_sheet!$A:$H,8,FALSE),VLOOKUP("other",bug_conf_sheet!$A:$H,8,FALSE))</f>
        <v>1</v>
      </c>
    </row>
    <row r="303" spans="1:20" ht="21" customHeight="1">
      <c r="A303" s="7" t="str">
        <f t="shared" ref="A303:A366" si="26">B303&amp;F303</f>
        <v>3001255</v>
      </c>
      <c r="B303" s="2" t="str">
        <f t="shared" si="24"/>
        <v>3001</v>
      </c>
      <c r="C303" s="8" t="str">
        <f t="shared" si="25"/>
        <v>1PremiumS5</v>
      </c>
      <c r="D303" s="8" t="str">
        <f t="shared" si="23"/>
        <v>1PremiumS5</v>
      </c>
      <c r="E303" s="10">
        <v>1</v>
      </c>
      <c r="F303" s="6">
        <v>255</v>
      </c>
      <c r="G303" s="8" t="str">
        <f>VLOOKUP(F303,[1]characters!$A:$C,3,FALSE)</f>
        <v>怠惰の頂点 ベルフェゴール</v>
      </c>
      <c r="H303" s="8" t="str">
        <f>VLOOKUP(F303,[1]characters!$A:$J,10,FALSE)</f>
        <v>PremiumS</v>
      </c>
      <c r="I303" s="8">
        <f>VLOOKUP(F303,[1]characters!$A:$I,9,FALSE)</f>
        <v>5</v>
      </c>
      <c r="J303" s="8" t="str">
        <f>VLOOKUP(F303,[1]characters!$A:$H,8,FALSE)</f>
        <v>green</v>
      </c>
      <c r="K303" s="8" t="str">
        <f>VLOOKUP(F303,[1]characters!$A:$K,11,FALSE)</f>
        <v>technical</v>
      </c>
      <c r="L303" s="8" t="str">
        <f>VLOOKUP(F303,[1]characters!$A:$M,13,FALSE)</f>
        <v>god</v>
      </c>
      <c r="M303" s="65"/>
      <c r="N303" s="16">
        <f>VLOOKUP(D303,gacha_300_base!A:B,2,FALSE)</f>
        <v>972</v>
      </c>
      <c r="O303" s="37">
        <f>IFERROR(VLOOKUP($F303,bug_conf_sheet!$A:$H,3,FALSE),VLOOKUP("other",bug_conf_sheet!$A:$H,3,FALSE))</f>
        <v>1</v>
      </c>
      <c r="P303" s="37">
        <f>IFERROR(VLOOKUP($F303,bug_conf_sheet!$A:$H,4,FALSE),VLOOKUP("other",bug_conf_sheet!$A:$H,4,FALSE))</f>
        <v>0</v>
      </c>
      <c r="Q303" s="37">
        <f>IFERROR(VLOOKUP($F303,bug_conf_sheet!$A:$H,5,FALSE),VLOOKUP("other",bug_conf_sheet!$A:$H,5,FALSE))</f>
        <v>0</v>
      </c>
      <c r="R303" s="37">
        <f>IFERROR(VLOOKUP($F303,bug_conf_sheet!$A:$H,6,FALSE),VLOOKUP("other",bug_conf_sheet!$A:$H,6,FALSE))</f>
        <v>0</v>
      </c>
      <c r="S303" s="37">
        <f>IFERROR(VLOOKUP($F303,bug_conf_sheet!$A:$H,7,FALSE),VLOOKUP("other",bug_conf_sheet!$A:$H,7,FALSE))</f>
        <v>0</v>
      </c>
      <c r="T303" s="37">
        <f>IFERROR(VLOOKUP($F303,bug_conf_sheet!$A:$H,8,FALSE),VLOOKUP("other",bug_conf_sheet!$A:$H,8,FALSE))</f>
        <v>1</v>
      </c>
    </row>
    <row r="304" spans="1:20" ht="21" customHeight="1">
      <c r="A304" s="7" t="str">
        <f t="shared" si="26"/>
        <v>3001256</v>
      </c>
      <c r="B304" s="2" t="str">
        <f t="shared" si="24"/>
        <v>3001</v>
      </c>
      <c r="C304" s="8" t="str">
        <f t="shared" si="25"/>
        <v>1PremiumS3</v>
      </c>
      <c r="D304" s="8" t="str">
        <f t="shared" si="23"/>
        <v>1PremiumS3</v>
      </c>
      <c r="E304" s="10">
        <v>1</v>
      </c>
      <c r="F304" s="6">
        <v>256</v>
      </c>
      <c r="G304" s="8" t="str">
        <f>VLOOKUP(F304,[1]characters!$A:$C,3,FALSE)</f>
        <v>アスモデウス</v>
      </c>
      <c r="H304" s="8" t="str">
        <f>VLOOKUP(F304,[1]characters!$A:$J,10,FALSE)</f>
        <v>PremiumS</v>
      </c>
      <c r="I304" s="8">
        <f>VLOOKUP(F304,[1]characters!$A:$I,9,FALSE)</f>
        <v>3</v>
      </c>
      <c r="J304" s="8" t="str">
        <f>VLOOKUP(F304,[1]characters!$A:$H,8,FALSE)</f>
        <v>blue</v>
      </c>
      <c r="K304" s="8" t="str">
        <f>VLOOKUP(F304,[1]characters!$A:$K,11,FALSE)</f>
        <v>attack</v>
      </c>
      <c r="L304" s="8" t="str">
        <f>VLOOKUP(F304,[1]characters!$A:$M,13,FALSE)</f>
        <v>god</v>
      </c>
      <c r="M304" s="65"/>
      <c r="N304" s="16">
        <f>VLOOKUP(D304,gacha_300_base!A:B,2,FALSE)</f>
        <v>11912</v>
      </c>
      <c r="O304" s="37">
        <f>IFERROR(VLOOKUP($F304,bug_conf_sheet!$A:$H,3,FALSE),VLOOKUP("other",bug_conf_sheet!$A:$H,3,FALSE))</f>
        <v>1</v>
      </c>
      <c r="P304" s="37">
        <f>IFERROR(VLOOKUP($F304,bug_conf_sheet!$A:$H,4,FALSE),VLOOKUP("other",bug_conf_sheet!$A:$H,4,FALSE))</f>
        <v>0</v>
      </c>
      <c r="Q304" s="37">
        <f>IFERROR(VLOOKUP($F304,bug_conf_sheet!$A:$H,5,FALSE),VLOOKUP("other",bug_conf_sheet!$A:$H,5,FALSE))</f>
        <v>0</v>
      </c>
      <c r="R304" s="37">
        <f>IFERROR(VLOOKUP($F304,bug_conf_sheet!$A:$H,6,FALSE),VLOOKUP("other",bug_conf_sheet!$A:$H,6,FALSE))</f>
        <v>0</v>
      </c>
      <c r="S304" s="37">
        <f>IFERROR(VLOOKUP($F304,bug_conf_sheet!$A:$H,7,FALSE),VLOOKUP("other",bug_conf_sheet!$A:$H,7,FALSE))</f>
        <v>0</v>
      </c>
      <c r="T304" s="37">
        <f>IFERROR(VLOOKUP($F304,bug_conf_sheet!$A:$H,8,FALSE),VLOOKUP("other",bug_conf_sheet!$A:$H,8,FALSE))</f>
        <v>1</v>
      </c>
    </row>
    <row r="305" spans="1:20" ht="21" customHeight="1">
      <c r="A305" s="7" t="str">
        <f t="shared" si="26"/>
        <v>3001257</v>
      </c>
      <c r="B305" s="2" t="str">
        <f t="shared" si="24"/>
        <v>3001</v>
      </c>
      <c r="C305" s="8" t="str">
        <f t="shared" si="25"/>
        <v>1PremiumS4</v>
      </c>
      <c r="D305" s="8" t="str">
        <f t="shared" si="23"/>
        <v>1PremiumS4</v>
      </c>
      <c r="E305" s="10">
        <v>1</v>
      </c>
      <c r="F305" s="6">
        <v>257</v>
      </c>
      <c r="G305" s="8" t="str">
        <f>VLOOKUP(F305,[1]characters!$A:$C,3,FALSE)</f>
        <v>色欲 アスモデウス</v>
      </c>
      <c r="H305" s="8" t="str">
        <f>VLOOKUP(F305,[1]characters!$A:$J,10,FALSE)</f>
        <v>PremiumS</v>
      </c>
      <c r="I305" s="8">
        <f>VLOOKUP(F305,[1]characters!$A:$I,9,FALSE)</f>
        <v>4</v>
      </c>
      <c r="J305" s="8" t="str">
        <f>VLOOKUP(F305,[1]characters!$A:$H,8,FALSE)</f>
        <v>blue</v>
      </c>
      <c r="K305" s="8" t="str">
        <f>VLOOKUP(F305,[1]characters!$A:$K,11,FALSE)</f>
        <v>attack</v>
      </c>
      <c r="L305" s="8" t="str">
        <f>VLOOKUP(F305,[1]characters!$A:$M,13,FALSE)</f>
        <v>god</v>
      </c>
      <c r="M305" s="65"/>
      <c r="N305" s="16">
        <f>VLOOKUP(D305,gacha_300_base!A:B,2,FALSE)</f>
        <v>2790</v>
      </c>
      <c r="O305" s="37">
        <f>IFERROR(VLOOKUP($F305,bug_conf_sheet!$A:$H,3,FALSE),VLOOKUP("other",bug_conf_sheet!$A:$H,3,FALSE))</f>
        <v>1</v>
      </c>
      <c r="P305" s="37">
        <f>IFERROR(VLOOKUP($F305,bug_conf_sheet!$A:$H,4,FALSE),VLOOKUP("other",bug_conf_sheet!$A:$H,4,FALSE))</f>
        <v>0</v>
      </c>
      <c r="Q305" s="37">
        <f>IFERROR(VLOOKUP($F305,bug_conf_sheet!$A:$H,5,FALSE),VLOOKUP("other",bug_conf_sheet!$A:$H,5,FALSE))</f>
        <v>0</v>
      </c>
      <c r="R305" s="37">
        <f>IFERROR(VLOOKUP($F305,bug_conf_sheet!$A:$H,6,FALSE),VLOOKUP("other",bug_conf_sheet!$A:$H,6,FALSE))</f>
        <v>0</v>
      </c>
      <c r="S305" s="37">
        <f>IFERROR(VLOOKUP($F305,bug_conf_sheet!$A:$H,7,FALSE),VLOOKUP("other",bug_conf_sheet!$A:$H,7,FALSE))</f>
        <v>0</v>
      </c>
      <c r="T305" s="37">
        <f>IFERROR(VLOOKUP($F305,bug_conf_sheet!$A:$H,8,FALSE),VLOOKUP("other",bug_conf_sheet!$A:$H,8,FALSE))</f>
        <v>1</v>
      </c>
    </row>
    <row r="306" spans="1:20" ht="21" customHeight="1">
      <c r="A306" s="7" t="str">
        <f t="shared" si="26"/>
        <v>3001258</v>
      </c>
      <c r="B306" s="2" t="str">
        <f t="shared" si="24"/>
        <v>3001</v>
      </c>
      <c r="C306" s="8" t="str">
        <f t="shared" si="25"/>
        <v>1PremiumS5</v>
      </c>
      <c r="D306" s="8" t="str">
        <f t="shared" si="23"/>
        <v>1PremiumS5</v>
      </c>
      <c r="E306" s="10">
        <v>1</v>
      </c>
      <c r="F306" s="6">
        <v>258</v>
      </c>
      <c r="G306" s="8" t="str">
        <f>VLOOKUP(F306,[1]characters!$A:$C,3,FALSE)</f>
        <v>色欲の源流 アスモデウス</v>
      </c>
      <c r="H306" s="8" t="str">
        <f>VLOOKUP(F306,[1]characters!$A:$J,10,FALSE)</f>
        <v>PremiumS</v>
      </c>
      <c r="I306" s="8">
        <f>VLOOKUP(F306,[1]characters!$A:$I,9,FALSE)</f>
        <v>5</v>
      </c>
      <c r="J306" s="8" t="str">
        <f>VLOOKUP(F306,[1]characters!$A:$H,8,FALSE)</f>
        <v>blue</v>
      </c>
      <c r="K306" s="8" t="str">
        <f>VLOOKUP(F306,[1]characters!$A:$K,11,FALSE)</f>
        <v>attack</v>
      </c>
      <c r="L306" s="8" t="str">
        <f>VLOOKUP(F306,[1]characters!$A:$M,13,FALSE)</f>
        <v>god</v>
      </c>
      <c r="M306" s="65"/>
      <c r="N306" s="16">
        <f>VLOOKUP(D306,gacha_300_base!A:B,2,FALSE)</f>
        <v>972</v>
      </c>
      <c r="O306" s="37">
        <f>IFERROR(VLOOKUP($F306,bug_conf_sheet!$A:$H,3,FALSE),VLOOKUP("other",bug_conf_sheet!$A:$H,3,FALSE))</f>
        <v>1</v>
      </c>
      <c r="P306" s="37">
        <f>IFERROR(VLOOKUP($F306,bug_conf_sheet!$A:$H,4,FALSE),VLOOKUP("other",bug_conf_sheet!$A:$H,4,FALSE))</f>
        <v>0</v>
      </c>
      <c r="Q306" s="37">
        <f>IFERROR(VLOOKUP($F306,bug_conf_sheet!$A:$H,5,FALSE),VLOOKUP("other",bug_conf_sheet!$A:$H,5,FALSE))</f>
        <v>0</v>
      </c>
      <c r="R306" s="37">
        <f>IFERROR(VLOOKUP($F306,bug_conf_sheet!$A:$H,6,FALSE),VLOOKUP("other",bug_conf_sheet!$A:$H,6,FALSE))</f>
        <v>0</v>
      </c>
      <c r="S306" s="37">
        <f>IFERROR(VLOOKUP($F306,bug_conf_sheet!$A:$H,7,FALSE),VLOOKUP("other",bug_conf_sheet!$A:$H,7,FALSE))</f>
        <v>0</v>
      </c>
      <c r="T306" s="37">
        <f>IFERROR(VLOOKUP($F306,bug_conf_sheet!$A:$H,8,FALSE),VLOOKUP("other",bug_conf_sheet!$A:$H,8,FALSE))</f>
        <v>1</v>
      </c>
    </row>
    <row r="307" spans="1:20" ht="21" customHeight="1">
      <c r="A307" s="7" t="str">
        <f t="shared" si="26"/>
        <v>3001259</v>
      </c>
      <c r="B307" s="2" t="str">
        <f t="shared" si="24"/>
        <v>3001</v>
      </c>
      <c r="C307" s="8" t="str">
        <f t="shared" si="25"/>
        <v>1PremiumS3</v>
      </c>
      <c r="D307" s="8" t="str">
        <f t="shared" si="23"/>
        <v>1PremiumS3</v>
      </c>
      <c r="E307" s="10">
        <v>1</v>
      </c>
      <c r="F307" s="6">
        <v>259</v>
      </c>
      <c r="G307" s="8" t="str">
        <f>VLOOKUP(F307,[1]characters!$A:$C,3,FALSE)</f>
        <v>ウロボロス</v>
      </c>
      <c r="H307" s="8" t="str">
        <f>VLOOKUP(F307,[1]characters!$A:$J,10,FALSE)</f>
        <v>PremiumS</v>
      </c>
      <c r="I307" s="8">
        <f>VLOOKUP(F307,[1]characters!$A:$I,9,FALSE)</f>
        <v>3</v>
      </c>
      <c r="J307" s="8" t="str">
        <f>VLOOKUP(F307,[1]characters!$A:$H,8,FALSE)</f>
        <v>yellow</v>
      </c>
      <c r="K307" s="8" t="str">
        <f>VLOOKUP(F307,[1]characters!$A:$K,11,FALSE)</f>
        <v>balance</v>
      </c>
      <c r="L307" s="8" t="str">
        <f>VLOOKUP(F307,[1]characters!$A:$M,13,FALSE)</f>
        <v>dragon</v>
      </c>
      <c r="M307" s="65"/>
      <c r="N307" s="16">
        <f>VLOOKUP(D307,gacha_300_base!A:B,2,FALSE)</f>
        <v>11912</v>
      </c>
      <c r="O307" s="37">
        <f>IFERROR(VLOOKUP($F307,bug_conf_sheet!$A:$H,3,FALSE),VLOOKUP("other",bug_conf_sheet!$A:$H,3,FALSE))</f>
        <v>1</v>
      </c>
      <c r="P307" s="37">
        <f>IFERROR(VLOOKUP($F307,bug_conf_sheet!$A:$H,4,FALSE),VLOOKUP("other",bug_conf_sheet!$A:$H,4,FALSE))</f>
        <v>0</v>
      </c>
      <c r="Q307" s="37">
        <f>IFERROR(VLOOKUP($F307,bug_conf_sheet!$A:$H,5,FALSE),VLOOKUP("other",bug_conf_sheet!$A:$H,5,FALSE))</f>
        <v>0</v>
      </c>
      <c r="R307" s="37">
        <f>IFERROR(VLOOKUP($F307,bug_conf_sheet!$A:$H,6,FALSE),VLOOKUP("other",bug_conf_sheet!$A:$H,6,FALSE))</f>
        <v>0</v>
      </c>
      <c r="S307" s="37">
        <f>IFERROR(VLOOKUP($F307,bug_conf_sheet!$A:$H,7,FALSE),VLOOKUP("other",bug_conf_sheet!$A:$H,7,FALSE))</f>
        <v>0</v>
      </c>
      <c r="T307" s="37">
        <f>IFERROR(VLOOKUP($F307,bug_conf_sheet!$A:$H,8,FALSE),VLOOKUP("other",bug_conf_sheet!$A:$H,8,FALSE))</f>
        <v>1</v>
      </c>
    </row>
    <row r="308" spans="1:20" ht="21" customHeight="1">
      <c r="A308" s="7" t="str">
        <f t="shared" si="26"/>
        <v>3001260</v>
      </c>
      <c r="B308" s="2" t="str">
        <f t="shared" si="24"/>
        <v>3001</v>
      </c>
      <c r="C308" s="8" t="str">
        <f t="shared" si="25"/>
        <v>1PremiumS4</v>
      </c>
      <c r="D308" s="8" t="str">
        <f t="shared" si="23"/>
        <v>1PremiumS4</v>
      </c>
      <c r="E308" s="10">
        <v>1</v>
      </c>
      <c r="F308" s="9">
        <v>260</v>
      </c>
      <c r="G308" s="8" t="str">
        <f>VLOOKUP(F308,[1]characters!$A:$C,3,FALSE)</f>
        <v>輪廻 ウロボロス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yellow</v>
      </c>
      <c r="K308" s="8" t="str">
        <f>VLOOKUP(F308,[1]characters!$A:$K,11,FALSE)</f>
        <v>balance</v>
      </c>
      <c r="L308" s="8" t="str">
        <f>VLOOKUP(F308,[1]characters!$A:$M,13,FALSE)</f>
        <v>dragon</v>
      </c>
      <c r="M308" s="65"/>
      <c r="N308" s="16">
        <f>VLOOKUP(D308,gacha_300_base!A:B,2,FALSE)</f>
        <v>2790</v>
      </c>
      <c r="O308" s="37">
        <f>IFERROR(VLOOKUP($F308,bug_conf_sheet!$A:$H,3,FALSE),VLOOKUP("other",bug_conf_sheet!$A:$H,3,FALSE))</f>
        <v>1</v>
      </c>
      <c r="P308" s="37">
        <f>IFERROR(VLOOKUP($F308,bug_conf_sheet!$A:$H,4,FALSE),VLOOKUP("other",bug_conf_sheet!$A:$H,4,FALSE))</f>
        <v>0</v>
      </c>
      <c r="Q308" s="37">
        <f>IFERROR(VLOOKUP($F308,bug_conf_sheet!$A:$H,5,FALSE),VLOOKUP("other",bug_conf_sheet!$A:$H,5,FALSE))</f>
        <v>0</v>
      </c>
      <c r="R308" s="37">
        <f>IFERROR(VLOOKUP($F308,bug_conf_sheet!$A:$H,6,FALSE),VLOOKUP("other",bug_conf_sheet!$A:$H,6,FALSE))</f>
        <v>0</v>
      </c>
      <c r="S308" s="37">
        <f>IFERROR(VLOOKUP($F308,bug_conf_sheet!$A:$H,7,FALSE),VLOOKUP("other",bug_conf_sheet!$A:$H,7,FALSE))</f>
        <v>0</v>
      </c>
      <c r="T308" s="37">
        <f>IFERROR(VLOOKUP($F308,bug_conf_sheet!$A:$H,8,FALSE),VLOOKUP("other",bug_conf_sheet!$A:$H,8,FALSE))</f>
        <v>1</v>
      </c>
    </row>
    <row r="309" spans="1:20" ht="21" customHeight="1">
      <c r="A309" s="7" t="str">
        <f t="shared" si="26"/>
        <v>3001261</v>
      </c>
      <c r="B309" s="2" t="str">
        <f t="shared" si="24"/>
        <v>3001</v>
      </c>
      <c r="C309" s="8" t="str">
        <f t="shared" si="25"/>
        <v>1PremiumS5</v>
      </c>
      <c r="D309" s="8" t="str">
        <f t="shared" si="23"/>
        <v>1PremiumS5</v>
      </c>
      <c r="E309" s="10">
        <v>1</v>
      </c>
      <c r="F309" s="9">
        <v>261</v>
      </c>
      <c r="G309" s="8" t="str">
        <f>VLOOKUP(F309,[1]characters!$A:$C,3,FALSE)</f>
        <v>輪廻の蛇龍 ウロボロス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yellow</v>
      </c>
      <c r="K309" s="8" t="str">
        <f>VLOOKUP(F309,[1]characters!$A:$K,11,FALSE)</f>
        <v>balance</v>
      </c>
      <c r="L309" s="8" t="str">
        <f>VLOOKUP(F309,[1]characters!$A:$M,13,FALSE)</f>
        <v>dragon</v>
      </c>
      <c r="M309" s="65"/>
      <c r="N309" s="16">
        <f>VLOOKUP(D309,gacha_300_base!A:B,2,FALSE)</f>
        <v>972</v>
      </c>
      <c r="O309" s="37">
        <f>IFERROR(VLOOKUP($F309,bug_conf_sheet!$A:$H,3,FALSE),VLOOKUP("other",bug_conf_sheet!$A:$H,3,FALSE))</f>
        <v>1</v>
      </c>
      <c r="P309" s="37">
        <f>IFERROR(VLOOKUP($F309,bug_conf_sheet!$A:$H,4,FALSE),VLOOKUP("other",bug_conf_sheet!$A:$H,4,FALSE))</f>
        <v>0</v>
      </c>
      <c r="Q309" s="37">
        <f>IFERROR(VLOOKUP($F309,bug_conf_sheet!$A:$H,5,FALSE),VLOOKUP("other",bug_conf_sheet!$A:$H,5,FALSE))</f>
        <v>0</v>
      </c>
      <c r="R309" s="37">
        <f>IFERROR(VLOOKUP($F309,bug_conf_sheet!$A:$H,6,FALSE),VLOOKUP("other",bug_conf_sheet!$A:$H,6,FALSE))</f>
        <v>0</v>
      </c>
      <c r="S309" s="37">
        <f>IFERROR(VLOOKUP($F309,bug_conf_sheet!$A:$H,7,FALSE),VLOOKUP("other",bug_conf_sheet!$A:$H,7,FALSE))</f>
        <v>0</v>
      </c>
      <c r="T309" s="37">
        <f>IFERROR(VLOOKUP($F309,bug_conf_sheet!$A:$H,8,FALSE),VLOOKUP("other",bug_conf_sheet!$A:$H,8,FALSE))</f>
        <v>1</v>
      </c>
    </row>
    <row r="310" spans="1:20" ht="21" customHeight="1">
      <c r="A310" s="7" t="str">
        <f t="shared" si="26"/>
        <v>3001320</v>
      </c>
      <c r="B310" s="2" t="str">
        <f t="shared" si="24"/>
        <v>3001</v>
      </c>
      <c r="C310" s="8" t="str">
        <f t="shared" si="25"/>
        <v>1PremiumSS4</v>
      </c>
      <c r="D310" s="8" t="str">
        <f t="shared" si="23"/>
        <v>1PremiumSS4</v>
      </c>
      <c r="E310" s="10">
        <v>1</v>
      </c>
      <c r="F310" s="6">
        <v>320</v>
      </c>
      <c r="G310" s="8" t="str">
        <f>VLOOKUP(F310,[1]characters!$A:$C,3,FALSE)</f>
        <v>烈志士 近藤勇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red</v>
      </c>
      <c r="K310" s="8" t="str">
        <f>VLOOKUP(F310,[1]characters!$A:$K,11,FALSE)</f>
        <v>hp</v>
      </c>
      <c r="L310" s="8" t="str">
        <f>VLOOKUP(F310,[1]characters!$A:$M,13,FALSE)</f>
        <v>human</v>
      </c>
      <c r="M310" s="65"/>
      <c r="N310" s="16">
        <f>VLOOKUP(D310,gacha_300_base!A:B,2,FALSE)</f>
        <v>1705</v>
      </c>
      <c r="O310" s="37">
        <f>IFERROR(VLOOKUP($F310,bug_conf_sheet!$A:$H,3,FALSE),VLOOKUP("other",bug_conf_sheet!$A:$H,3,FALSE))</f>
        <v>1</v>
      </c>
      <c r="P310" s="37">
        <f>IFERROR(VLOOKUP($F310,bug_conf_sheet!$A:$H,4,FALSE),VLOOKUP("other",bug_conf_sheet!$A:$H,4,FALSE))</f>
        <v>0</v>
      </c>
      <c r="Q310" s="37">
        <f>IFERROR(VLOOKUP($F310,bug_conf_sheet!$A:$H,5,FALSE),VLOOKUP("other",bug_conf_sheet!$A:$H,5,FALSE))</f>
        <v>0</v>
      </c>
      <c r="R310" s="37">
        <f>IFERROR(VLOOKUP($F310,bug_conf_sheet!$A:$H,6,FALSE),VLOOKUP("other",bug_conf_sheet!$A:$H,6,FALSE))</f>
        <v>0</v>
      </c>
      <c r="S310" s="37">
        <f>IFERROR(VLOOKUP($F310,bug_conf_sheet!$A:$H,7,FALSE),VLOOKUP("other",bug_conf_sheet!$A:$H,7,FALSE))</f>
        <v>0</v>
      </c>
      <c r="T310" s="37">
        <f>IFERROR(VLOOKUP($F310,bug_conf_sheet!$A:$H,8,FALSE),VLOOKUP("other",bug_conf_sheet!$A:$H,8,FALSE))</f>
        <v>1</v>
      </c>
    </row>
    <row r="311" spans="1:20" ht="21" customHeight="1">
      <c r="A311" s="7" t="str">
        <f t="shared" si="26"/>
        <v>3001321</v>
      </c>
      <c r="B311" s="2" t="str">
        <f t="shared" si="24"/>
        <v>3001</v>
      </c>
      <c r="C311" s="8" t="str">
        <f t="shared" si="25"/>
        <v>1PremiumSS5</v>
      </c>
      <c r="D311" s="8" t="str">
        <f t="shared" si="23"/>
        <v>1PremiumSS5</v>
      </c>
      <c r="E311" s="10">
        <v>1</v>
      </c>
      <c r="F311" s="6">
        <v>321</v>
      </c>
      <c r="G311" s="8" t="str">
        <f>VLOOKUP(F311,[1]characters!$A:$C,3,FALSE)</f>
        <v>巌鉄の烈志士 近藤勇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red</v>
      </c>
      <c r="K311" s="8" t="str">
        <f>VLOOKUP(F311,[1]characters!$A:$K,11,FALSE)</f>
        <v>hp</v>
      </c>
      <c r="L311" s="8" t="str">
        <f>VLOOKUP(F311,[1]characters!$A:$M,13,FALSE)</f>
        <v>human</v>
      </c>
      <c r="M311" s="65"/>
      <c r="N311" s="16">
        <f>VLOOKUP(D311,gacha_300_base!A:B,2,FALSE)</f>
        <v>113</v>
      </c>
      <c r="O311" s="37">
        <f>IFERROR(VLOOKUP($F311,bug_conf_sheet!$A:$H,3,FALSE),VLOOKUP("other",bug_conf_sheet!$A:$H,3,FALSE))</f>
        <v>1</v>
      </c>
      <c r="P311" s="37">
        <f>IFERROR(VLOOKUP($F311,bug_conf_sheet!$A:$H,4,FALSE),VLOOKUP("other",bug_conf_sheet!$A:$H,4,FALSE))</f>
        <v>0</v>
      </c>
      <c r="Q311" s="37">
        <f>IFERROR(VLOOKUP($F311,bug_conf_sheet!$A:$H,5,FALSE),VLOOKUP("other",bug_conf_sheet!$A:$H,5,FALSE))</f>
        <v>0</v>
      </c>
      <c r="R311" s="37">
        <f>IFERROR(VLOOKUP($F311,bug_conf_sheet!$A:$H,6,FALSE),VLOOKUP("other",bug_conf_sheet!$A:$H,6,FALSE))</f>
        <v>0</v>
      </c>
      <c r="S311" s="37">
        <f>IFERROR(VLOOKUP($F311,bug_conf_sheet!$A:$H,7,FALSE),VLOOKUP("other",bug_conf_sheet!$A:$H,7,FALSE))</f>
        <v>0</v>
      </c>
      <c r="T311" s="37">
        <f>IFERROR(VLOOKUP($F311,bug_conf_sheet!$A:$H,8,FALSE),VLOOKUP("other",bug_conf_sheet!$A:$H,8,FALSE))</f>
        <v>1</v>
      </c>
    </row>
    <row r="312" spans="1:20" ht="21" customHeight="1">
      <c r="A312" s="7" t="str">
        <f t="shared" si="26"/>
        <v>3001322</v>
      </c>
      <c r="B312" s="2" t="str">
        <f t="shared" si="24"/>
        <v>3001</v>
      </c>
      <c r="C312" s="8" t="str">
        <f t="shared" si="25"/>
        <v>1PremiumSS4</v>
      </c>
      <c r="D312" s="8" t="str">
        <f t="shared" si="23"/>
        <v>1PremiumSS4</v>
      </c>
      <c r="E312" s="10">
        <v>1</v>
      </c>
      <c r="F312" s="6">
        <v>322</v>
      </c>
      <c r="G312" s="8" t="str">
        <f>VLOOKUP(F312,[1]characters!$A:$C,3,FALSE)</f>
        <v>愛志士 土方歳三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green</v>
      </c>
      <c r="K312" s="8" t="str">
        <f>VLOOKUP(F312,[1]characters!$A:$K,11,FALSE)</f>
        <v>attack</v>
      </c>
      <c r="L312" s="8" t="str">
        <f>VLOOKUP(F312,[1]characters!$A:$M,13,FALSE)</f>
        <v>human</v>
      </c>
      <c r="M312" s="65"/>
      <c r="N312" s="16">
        <f>VLOOKUP(D312,gacha_300_base!A:B,2,FALSE)</f>
        <v>1705</v>
      </c>
      <c r="O312" s="37">
        <f>IFERROR(VLOOKUP($F312,bug_conf_sheet!$A:$H,3,FALSE),VLOOKUP("other",bug_conf_sheet!$A:$H,3,FALSE))</f>
        <v>1</v>
      </c>
      <c r="P312" s="37">
        <f>IFERROR(VLOOKUP($F312,bug_conf_sheet!$A:$H,4,FALSE),VLOOKUP("other",bug_conf_sheet!$A:$H,4,FALSE))</f>
        <v>0</v>
      </c>
      <c r="Q312" s="37">
        <f>IFERROR(VLOOKUP($F312,bug_conf_sheet!$A:$H,5,FALSE),VLOOKUP("other",bug_conf_sheet!$A:$H,5,FALSE))</f>
        <v>0</v>
      </c>
      <c r="R312" s="37">
        <f>IFERROR(VLOOKUP($F312,bug_conf_sheet!$A:$H,6,FALSE),VLOOKUP("other",bug_conf_sheet!$A:$H,6,FALSE))</f>
        <v>0</v>
      </c>
      <c r="S312" s="37">
        <f>IFERROR(VLOOKUP($F312,bug_conf_sheet!$A:$H,7,FALSE),VLOOKUP("other",bug_conf_sheet!$A:$H,7,FALSE))</f>
        <v>0</v>
      </c>
      <c r="T312" s="37">
        <f>IFERROR(VLOOKUP($F312,bug_conf_sheet!$A:$H,8,FALSE),VLOOKUP("other",bug_conf_sheet!$A:$H,8,FALSE))</f>
        <v>1</v>
      </c>
    </row>
    <row r="313" spans="1:20" ht="21" customHeight="1">
      <c r="A313" s="7" t="str">
        <f t="shared" si="26"/>
        <v>3001323</v>
      </c>
      <c r="B313" s="2" t="str">
        <f t="shared" si="24"/>
        <v>3001</v>
      </c>
      <c r="C313" s="8" t="str">
        <f t="shared" si="25"/>
        <v>1PremiumSS5</v>
      </c>
      <c r="D313" s="8" t="str">
        <f t="shared" si="23"/>
        <v>1PremiumSS5</v>
      </c>
      <c r="E313" s="10">
        <v>1</v>
      </c>
      <c r="F313" s="6">
        <v>323</v>
      </c>
      <c r="G313" s="8" t="str">
        <f>VLOOKUP(F313,[1]characters!$A:$C,3,FALSE)</f>
        <v>流麗の愛志士 土方歳三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green</v>
      </c>
      <c r="K313" s="8" t="str">
        <f>VLOOKUP(F313,[1]characters!$A:$K,11,FALSE)</f>
        <v>attack</v>
      </c>
      <c r="L313" s="8" t="str">
        <f>VLOOKUP(F313,[1]characters!$A:$M,13,FALSE)</f>
        <v>human</v>
      </c>
      <c r="M313" s="65"/>
      <c r="N313" s="16">
        <f>VLOOKUP(D313,gacha_300_base!A:B,2,FALSE)</f>
        <v>113</v>
      </c>
      <c r="O313" s="37">
        <f>IFERROR(VLOOKUP($F313,bug_conf_sheet!$A:$H,3,FALSE),VLOOKUP("other",bug_conf_sheet!$A:$H,3,FALSE))</f>
        <v>1</v>
      </c>
      <c r="P313" s="37">
        <f>IFERROR(VLOOKUP($F313,bug_conf_sheet!$A:$H,4,FALSE),VLOOKUP("other",bug_conf_sheet!$A:$H,4,FALSE))</f>
        <v>0</v>
      </c>
      <c r="Q313" s="37">
        <f>IFERROR(VLOOKUP($F313,bug_conf_sheet!$A:$H,5,FALSE),VLOOKUP("other",bug_conf_sheet!$A:$H,5,FALSE))</f>
        <v>0</v>
      </c>
      <c r="R313" s="37">
        <f>IFERROR(VLOOKUP($F313,bug_conf_sheet!$A:$H,6,FALSE),VLOOKUP("other",bug_conf_sheet!$A:$H,6,FALSE))</f>
        <v>0</v>
      </c>
      <c r="S313" s="37">
        <f>IFERROR(VLOOKUP($F313,bug_conf_sheet!$A:$H,7,FALSE),VLOOKUP("other",bug_conf_sheet!$A:$H,7,FALSE))</f>
        <v>0</v>
      </c>
      <c r="T313" s="37">
        <f>IFERROR(VLOOKUP($F313,bug_conf_sheet!$A:$H,8,FALSE),VLOOKUP("other",bug_conf_sheet!$A:$H,8,FALSE))</f>
        <v>1</v>
      </c>
    </row>
    <row r="314" spans="1:20" ht="21" customHeight="1">
      <c r="A314" s="7" t="str">
        <f t="shared" si="26"/>
        <v>3001324</v>
      </c>
      <c r="B314" s="2" t="str">
        <f t="shared" si="24"/>
        <v>3001</v>
      </c>
      <c r="C314" s="8" t="str">
        <f t="shared" si="25"/>
        <v>1PremiumSS4</v>
      </c>
      <c r="D314" s="8" t="str">
        <f t="shared" si="23"/>
        <v>1PremiumSS4</v>
      </c>
      <c r="E314" s="10">
        <v>1</v>
      </c>
      <c r="F314" s="6">
        <v>324</v>
      </c>
      <c r="G314" s="8" t="str">
        <f>VLOOKUP(F314,[1]characters!$A:$C,3,FALSE)</f>
        <v>凛志士 沖田総司</v>
      </c>
      <c r="H314" s="8" t="str">
        <f>VLOOKUP(F314,[1]characters!$A:$J,10,FALSE)</f>
        <v>PremiumSS</v>
      </c>
      <c r="I314" s="8">
        <f>VLOOKUP(F314,[1]characters!$A:$I,9,FALSE)</f>
        <v>4</v>
      </c>
      <c r="J314" s="8" t="str">
        <f>VLOOKUP(F314,[1]characters!$A:$H,8,FALSE)</f>
        <v>blue</v>
      </c>
      <c r="K314" s="8" t="str">
        <f>VLOOKUP(F314,[1]characters!$A:$K,11,FALSE)</f>
        <v>balance</v>
      </c>
      <c r="L314" s="8" t="str">
        <f>VLOOKUP(F314,[1]characters!$A:$M,13,FALSE)</f>
        <v>human</v>
      </c>
      <c r="M314" s="65"/>
      <c r="N314" s="16">
        <f>VLOOKUP(D314,gacha_300_base!A:B,2,FALSE)</f>
        <v>1705</v>
      </c>
      <c r="O314" s="37">
        <f>IFERROR(VLOOKUP($F314,bug_conf_sheet!$A:$H,3,FALSE),VLOOKUP("other",bug_conf_sheet!$A:$H,3,FALSE))</f>
        <v>1</v>
      </c>
      <c r="P314" s="37">
        <f>IFERROR(VLOOKUP($F314,bug_conf_sheet!$A:$H,4,FALSE),VLOOKUP("other",bug_conf_sheet!$A:$H,4,FALSE))</f>
        <v>0</v>
      </c>
      <c r="Q314" s="37">
        <f>IFERROR(VLOOKUP($F314,bug_conf_sheet!$A:$H,5,FALSE),VLOOKUP("other",bug_conf_sheet!$A:$H,5,FALSE))</f>
        <v>0</v>
      </c>
      <c r="R314" s="37">
        <f>IFERROR(VLOOKUP($F314,bug_conf_sheet!$A:$H,6,FALSE),VLOOKUP("other",bug_conf_sheet!$A:$H,6,FALSE))</f>
        <v>0</v>
      </c>
      <c r="S314" s="37">
        <f>IFERROR(VLOOKUP($F314,bug_conf_sheet!$A:$H,7,FALSE),VLOOKUP("other",bug_conf_sheet!$A:$H,7,FALSE))</f>
        <v>0</v>
      </c>
      <c r="T314" s="37">
        <f>IFERROR(VLOOKUP($F314,bug_conf_sheet!$A:$H,8,FALSE),VLOOKUP("other",bug_conf_sheet!$A:$H,8,FALSE))</f>
        <v>1</v>
      </c>
    </row>
    <row r="315" spans="1:20" s="14" customFormat="1" ht="21" customHeight="1" thickBot="1">
      <c r="A315" s="7" t="str">
        <f t="shared" si="26"/>
        <v>3001325</v>
      </c>
      <c r="B315" s="2" t="str">
        <f t="shared" si="24"/>
        <v>3001</v>
      </c>
      <c r="C315" s="8" t="str">
        <f t="shared" si="25"/>
        <v>1PremiumSS5</v>
      </c>
      <c r="D315" s="8" t="str">
        <f t="shared" si="23"/>
        <v>1PremiumSS5</v>
      </c>
      <c r="E315" s="10">
        <v>1</v>
      </c>
      <c r="F315" s="6">
        <v>325</v>
      </c>
      <c r="G315" s="8" t="str">
        <f>VLOOKUP(F315,[1]characters!$A:$C,3,FALSE)</f>
        <v>天賦の凛志士 沖田総司</v>
      </c>
      <c r="H315" s="8" t="str">
        <f>VLOOKUP(F315,[1]characters!$A:$J,10,FALSE)</f>
        <v>PremiumSS</v>
      </c>
      <c r="I315" s="8">
        <f>VLOOKUP(F315,[1]characters!$A:$I,9,FALSE)</f>
        <v>5</v>
      </c>
      <c r="J315" s="8" t="str">
        <f>VLOOKUP(F315,[1]characters!$A:$H,8,FALSE)</f>
        <v>blue</v>
      </c>
      <c r="K315" s="8" t="str">
        <f>VLOOKUP(F315,[1]characters!$A:$K,11,FALSE)</f>
        <v>balance</v>
      </c>
      <c r="L315" s="8" t="str">
        <f>VLOOKUP(F315,[1]characters!$A:$M,13,FALSE)</f>
        <v>human</v>
      </c>
      <c r="M315" s="65"/>
      <c r="N315" s="16">
        <f>VLOOKUP(D315,gacha_300_base!A:B,2,FALSE)</f>
        <v>113</v>
      </c>
      <c r="O315" s="37">
        <f>IFERROR(VLOOKUP($F315,bug_conf_sheet!$A:$H,3,FALSE),VLOOKUP("other",bug_conf_sheet!$A:$H,3,FALSE))</f>
        <v>1</v>
      </c>
      <c r="P315" s="37">
        <f>IFERROR(VLOOKUP($F315,bug_conf_sheet!$A:$H,4,FALSE),VLOOKUP("other",bug_conf_sheet!$A:$H,4,FALSE))</f>
        <v>0</v>
      </c>
      <c r="Q315" s="37">
        <f>IFERROR(VLOOKUP($F315,bug_conf_sheet!$A:$H,5,FALSE),VLOOKUP("other",bug_conf_sheet!$A:$H,5,FALSE))</f>
        <v>0</v>
      </c>
      <c r="R315" s="37">
        <f>IFERROR(VLOOKUP($F315,bug_conf_sheet!$A:$H,6,FALSE),VLOOKUP("other",bug_conf_sheet!$A:$H,6,FALSE))</f>
        <v>0</v>
      </c>
      <c r="S315" s="37">
        <f>IFERROR(VLOOKUP($F315,bug_conf_sheet!$A:$H,7,FALSE),VLOOKUP("other",bug_conf_sheet!$A:$H,7,FALSE))</f>
        <v>0</v>
      </c>
      <c r="T315" s="37">
        <f>IFERROR(VLOOKUP($F315,bug_conf_sheet!$A:$H,8,FALSE),VLOOKUP("other",bug_conf_sheet!$A:$H,8,FALSE))</f>
        <v>1</v>
      </c>
    </row>
    <row r="316" spans="1:20" ht="21" customHeight="1">
      <c r="A316" s="7" t="str">
        <f t="shared" si="26"/>
        <v>3001326</v>
      </c>
      <c r="B316" s="2" t="str">
        <f t="shared" si="24"/>
        <v>3001</v>
      </c>
      <c r="C316" s="8" t="str">
        <f t="shared" si="25"/>
        <v>1PremiumSS4</v>
      </c>
      <c r="D316" s="8" t="str">
        <f t="shared" si="23"/>
        <v>1PremiumSS4</v>
      </c>
      <c r="E316" s="10">
        <v>1</v>
      </c>
      <c r="F316" s="6">
        <v>326</v>
      </c>
      <c r="G316" s="8" t="str">
        <f>VLOOKUP(F316,[1]characters!$A:$C,3,FALSE)</f>
        <v>妖志士 斎藤一</v>
      </c>
      <c r="H316" s="8" t="str">
        <f>VLOOKUP(F316,[1]characters!$A:$J,10,FALSE)</f>
        <v>PremiumSS</v>
      </c>
      <c r="I316" s="8">
        <f>VLOOKUP(F316,[1]characters!$A:$I,9,FALSE)</f>
        <v>4</v>
      </c>
      <c r="J316" s="8" t="str">
        <f>VLOOKUP(F316,[1]characters!$A:$H,8,FALSE)</f>
        <v>yellow</v>
      </c>
      <c r="K316" s="8" t="str">
        <f>VLOOKUP(F316,[1]characters!$A:$K,11,FALSE)</f>
        <v>technical</v>
      </c>
      <c r="L316" s="8" t="str">
        <f>VLOOKUP(F316,[1]characters!$A:$M,13,FALSE)</f>
        <v>human</v>
      </c>
      <c r="M316" s="65"/>
      <c r="N316" s="16">
        <f>VLOOKUP(D316,gacha_300_base!A:B,2,FALSE)</f>
        <v>1705</v>
      </c>
      <c r="O316" s="37">
        <f>IFERROR(VLOOKUP($F316,bug_conf_sheet!$A:$H,3,FALSE),VLOOKUP("other",bug_conf_sheet!$A:$H,3,FALSE))</f>
        <v>1</v>
      </c>
      <c r="P316" s="37">
        <f>IFERROR(VLOOKUP($F316,bug_conf_sheet!$A:$H,4,FALSE),VLOOKUP("other",bug_conf_sheet!$A:$H,4,FALSE))</f>
        <v>0</v>
      </c>
      <c r="Q316" s="37">
        <f>IFERROR(VLOOKUP($F316,bug_conf_sheet!$A:$H,5,FALSE),VLOOKUP("other",bug_conf_sheet!$A:$H,5,FALSE))</f>
        <v>0</v>
      </c>
      <c r="R316" s="37">
        <f>IFERROR(VLOOKUP($F316,bug_conf_sheet!$A:$H,6,FALSE),VLOOKUP("other",bug_conf_sheet!$A:$H,6,FALSE))</f>
        <v>0</v>
      </c>
      <c r="S316" s="37">
        <f>IFERROR(VLOOKUP($F316,bug_conf_sheet!$A:$H,7,FALSE),VLOOKUP("other",bug_conf_sheet!$A:$H,7,FALSE))</f>
        <v>0</v>
      </c>
      <c r="T316" s="37">
        <f>IFERROR(VLOOKUP($F316,bug_conf_sheet!$A:$H,8,FALSE),VLOOKUP("other",bug_conf_sheet!$A:$H,8,FALSE))</f>
        <v>1</v>
      </c>
    </row>
    <row r="317" spans="1:20" ht="21" customHeight="1">
      <c r="A317" s="7" t="str">
        <f t="shared" si="26"/>
        <v>3001327</v>
      </c>
      <c r="B317" s="2" t="str">
        <f t="shared" si="24"/>
        <v>3001</v>
      </c>
      <c r="C317" s="8" t="str">
        <f t="shared" si="25"/>
        <v>1PremiumSS5</v>
      </c>
      <c r="D317" s="8" t="str">
        <f t="shared" si="23"/>
        <v>1PremiumSS5</v>
      </c>
      <c r="E317" s="10">
        <v>1</v>
      </c>
      <c r="F317" s="6">
        <v>327</v>
      </c>
      <c r="G317" s="8" t="str">
        <f>VLOOKUP(F317,[1]characters!$A:$C,3,FALSE)</f>
        <v>千殺の妖志士 斎藤一</v>
      </c>
      <c r="H317" s="8" t="str">
        <f>VLOOKUP(F317,[1]characters!$A:$J,10,FALSE)</f>
        <v>PremiumSS</v>
      </c>
      <c r="I317" s="8">
        <f>VLOOKUP(F317,[1]characters!$A:$I,9,FALSE)</f>
        <v>5</v>
      </c>
      <c r="J317" s="8" t="str">
        <f>VLOOKUP(F317,[1]characters!$A:$H,8,FALSE)</f>
        <v>yellow</v>
      </c>
      <c r="K317" s="8" t="str">
        <f>VLOOKUP(F317,[1]characters!$A:$K,11,FALSE)</f>
        <v>technical</v>
      </c>
      <c r="L317" s="8" t="str">
        <f>VLOOKUP(F317,[1]characters!$A:$M,13,FALSE)</f>
        <v>human</v>
      </c>
      <c r="M317" s="65"/>
      <c r="N317" s="16">
        <f>VLOOKUP(D317,gacha_300_base!A:B,2,FALSE)</f>
        <v>113</v>
      </c>
      <c r="O317" s="37">
        <f>IFERROR(VLOOKUP($F317,bug_conf_sheet!$A:$H,3,FALSE),VLOOKUP("other",bug_conf_sheet!$A:$H,3,FALSE))</f>
        <v>1</v>
      </c>
      <c r="P317" s="37">
        <f>IFERROR(VLOOKUP($F317,bug_conf_sheet!$A:$H,4,FALSE),VLOOKUP("other",bug_conf_sheet!$A:$H,4,FALSE))</f>
        <v>0</v>
      </c>
      <c r="Q317" s="37">
        <f>IFERROR(VLOOKUP($F317,bug_conf_sheet!$A:$H,5,FALSE),VLOOKUP("other",bug_conf_sheet!$A:$H,5,FALSE))</f>
        <v>0</v>
      </c>
      <c r="R317" s="37">
        <f>IFERROR(VLOOKUP($F317,bug_conf_sheet!$A:$H,6,FALSE),VLOOKUP("other",bug_conf_sheet!$A:$H,6,FALSE))</f>
        <v>0</v>
      </c>
      <c r="S317" s="37">
        <f>IFERROR(VLOOKUP($F317,bug_conf_sheet!$A:$H,7,FALSE),VLOOKUP("other",bug_conf_sheet!$A:$H,7,FALSE))</f>
        <v>0</v>
      </c>
      <c r="T317" s="37">
        <f>IFERROR(VLOOKUP($F317,bug_conf_sheet!$A:$H,8,FALSE),VLOOKUP("other",bug_conf_sheet!$A:$H,8,FALSE))</f>
        <v>1</v>
      </c>
    </row>
    <row r="318" spans="1:20" ht="21" customHeight="1">
      <c r="A318" s="7" t="str">
        <f t="shared" si="26"/>
        <v>3001380</v>
      </c>
      <c r="B318" s="2" t="str">
        <f t="shared" si="24"/>
        <v>3001</v>
      </c>
      <c r="C318" s="8" t="str">
        <f t="shared" si="25"/>
        <v>1PremiumS3</v>
      </c>
      <c r="D318" s="8" t="str">
        <f t="shared" si="23"/>
        <v>1PremiumS3</v>
      </c>
      <c r="E318" s="10">
        <v>1</v>
      </c>
      <c r="F318" s="6">
        <v>380</v>
      </c>
      <c r="G318" s="8" t="str">
        <f>VLOOKUP(F318,[1]characters!$A:$C,3,FALSE)</f>
        <v>バハムート</v>
      </c>
      <c r="H318" s="8" t="str">
        <f>VLOOKUP(F318,[1]characters!$A:$J,10,FALSE)</f>
        <v>PremiumS</v>
      </c>
      <c r="I318" s="8">
        <f>VLOOKUP(F318,[1]characters!$A:$I,9,FALSE)</f>
        <v>3</v>
      </c>
      <c r="J318" s="8" t="str">
        <f>VLOOKUP(F318,[1]characters!$A:$H,8,FALSE)</f>
        <v>red</v>
      </c>
      <c r="K318" s="8" t="str">
        <f>VLOOKUP(F318,[1]characters!$A:$K,11,FALSE)</f>
        <v>technical</v>
      </c>
      <c r="L318" s="8" t="str">
        <f>VLOOKUP(F318,[1]characters!$A:$M,13,FALSE)</f>
        <v>dragon</v>
      </c>
      <c r="M318" s="65"/>
      <c r="N318" s="16">
        <f>VLOOKUP(D318,gacha_300_base!A:B,2,FALSE)</f>
        <v>11912</v>
      </c>
      <c r="O318" s="37">
        <f>IFERROR(VLOOKUP($F318,bug_conf_sheet!$A:$H,3,FALSE),VLOOKUP("other",bug_conf_sheet!$A:$H,3,FALSE))</f>
        <v>1</v>
      </c>
      <c r="P318" s="37">
        <f>IFERROR(VLOOKUP($F318,bug_conf_sheet!$A:$H,4,FALSE),VLOOKUP("other",bug_conf_sheet!$A:$H,4,FALSE))</f>
        <v>0</v>
      </c>
      <c r="Q318" s="37">
        <f>IFERROR(VLOOKUP($F318,bug_conf_sheet!$A:$H,5,FALSE),VLOOKUP("other",bug_conf_sheet!$A:$H,5,FALSE))</f>
        <v>0</v>
      </c>
      <c r="R318" s="37">
        <f>IFERROR(VLOOKUP($F318,bug_conf_sheet!$A:$H,6,FALSE),VLOOKUP("other",bug_conf_sheet!$A:$H,6,FALSE))</f>
        <v>0</v>
      </c>
      <c r="S318" s="37">
        <f>IFERROR(VLOOKUP($F318,bug_conf_sheet!$A:$H,7,FALSE),VLOOKUP("other",bug_conf_sheet!$A:$H,7,FALSE))</f>
        <v>0</v>
      </c>
      <c r="T318" s="37">
        <f>IFERROR(VLOOKUP($F318,bug_conf_sheet!$A:$H,8,FALSE),VLOOKUP("other",bug_conf_sheet!$A:$H,8,FALSE))</f>
        <v>1</v>
      </c>
    </row>
    <row r="319" spans="1:20" ht="21" customHeight="1">
      <c r="A319" s="7" t="str">
        <f t="shared" si="26"/>
        <v>3001381</v>
      </c>
      <c r="B319" s="2" t="str">
        <f t="shared" si="24"/>
        <v>3001</v>
      </c>
      <c r="C319" s="8" t="str">
        <f t="shared" si="25"/>
        <v>1PremiumS4</v>
      </c>
      <c r="D319" s="8" t="str">
        <f t="shared" si="23"/>
        <v>1PremiumS4</v>
      </c>
      <c r="E319" s="10">
        <v>1</v>
      </c>
      <c r="F319" s="6">
        <v>381</v>
      </c>
      <c r="G319" s="8" t="str">
        <f>VLOOKUP(F319,[1]characters!$A:$C,3,FALSE)</f>
        <v>肉食の恋火 バハムート</v>
      </c>
      <c r="H319" s="8" t="str">
        <f>VLOOKUP(F319,[1]characters!$A:$J,10,FALSE)</f>
        <v>PremiumS</v>
      </c>
      <c r="I319" s="8">
        <f>VLOOKUP(F319,[1]characters!$A:$I,9,FALSE)</f>
        <v>4</v>
      </c>
      <c r="J319" s="8" t="str">
        <f>VLOOKUP(F319,[1]characters!$A:$H,8,FALSE)</f>
        <v>red</v>
      </c>
      <c r="K319" s="8" t="str">
        <f>VLOOKUP(F319,[1]characters!$A:$K,11,FALSE)</f>
        <v>technical</v>
      </c>
      <c r="L319" s="8" t="str">
        <f>VLOOKUP(F319,[1]characters!$A:$M,13,FALSE)</f>
        <v>dragon</v>
      </c>
      <c r="M319" s="65"/>
      <c r="N319" s="16">
        <f>VLOOKUP(D319,gacha_300_base!A:B,2,FALSE)</f>
        <v>2790</v>
      </c>
      <c r="O319" s="37">
        <f>IFERROR(VLOOKUP($F319,bug_conf_sheet!$A:$H,3,FALSE),VLOOKUP("other",bug_conf_sheet!$A:$H,3,FALSE))</f>
        <v>1</v>
      </c>
      <c r="P319" s="37">
        <f>IFERROR(VLOOKUP($F319,bug_conf_sheet!$A:$H,4,FALSE),VLOOKUP("other",bug_conf_sheet!$A:$H,4,FALSE))</f>
        <v>0</v>
      </c>
      <c r="Q319" s="37">
        <f>IFERROR(VLOOKUP($F319,bug_conf_sheet!$A:$H,5,FALSE),VLOOKUP("other",bug_conf_sheet!$A:$H,5,FALSE))</f>
        <v>0</v>
      </c>
      <c r="R319" s="37">
        <f>IFERROR(VLOOKUP($F319,bug_conf_sheet!$A:$H,6,FALSE),VLOOKUP("other",bug_conf_sheet!$A:$H,6,FALSE))</f>
        <v>0</v>
      </c>
      <c r="S319" s="37">
        <f>IFERROR(VLOOKUP($F319,bug_conf_sheet!$A:$H,7,FALSE),VLOOKUP("other",bug_conf_sheet!$A:$H,7,FALSE))</f>
        <v>0</v>
      </c>
      <c r="T319" s="37">
        <f>IFERROR(VLOOKUP($F319,bug_conf_sheet!$A:$H,8,FALSE),VLOOKUP("other",bug_conf_sheet!$A:$H,8,FALSE))</f>
        <v>1</v>
      </c>
    </row>
    <row r="320" spans="1:20" ht="21" customHeight="1">
      <c r="A320" s="7" t="str">
        <f t="shared" si="26"/>
        <v>3001382</v>
      </c>
      <c r="B320" s="2" t="str">
        <f t="shared" si="24"/>
        <v>3001</v>
      </c>
      <c r="C320" s="8" t="str">
        <f t="shared" si="25"/>
        <v>1PremiumS5</v>
      </c>
      <c r="D320" s="8" t="str">
        <f t="shared" si="23"/>
        <v>1PremiumS5</v>
      </c>
      <c r="E320" s="10">
        <v>1</v>
      </c>
      <c r="F320" s="6">
        <v>382</v>
      </c>
      <c r="G320" s="8" t="str">
        <f>VLOOKUP(F320,[1]characters!$A:$C,3,FALSE)</f>
        <v>激情の愛炎 バハムート</v>
      </c>
      <c r="H320" s="8" t="str">
        <f>VLOOKUP(F320,[1]characters!$A:$J,10,FALSE)</f>
        <v>PremiumS</v>
      </c>
      <c r="I320" s="8">
        <f>VLOOKUP(F320,[1]characters!$A:$I,9,FALSE)</f>
        <v>5</v>
      </c>
      <c r="J320" s="8" t="str">
        <f>VLOOKUP(F320,[1]characters!$A:$H,8,FALSE)</f>
        <v>red</v>
      </c>
      <c r="K320" s="8" t="str">
        <f>VLOOKUP(F320,[1]characters!$A:$K,11,FALSE)</f>
        <v>technical</v>
      </c>
      <c r="L320" s="8" t="str">
        <f>VLOOKUP(F320,[1]characters!$A:$M,13,FALSE)</f>
        <v>dragon</v>
      </c>
      <c r="M320" s="65"/>
      <c r="N320" s="16">
        <f>VLOOKUP(D320,gacha_300_base!A:B,2,FALSE)</f>
        <v>972</v>
      </c>
      <c r="O320" s="37">
        <f>IFERROR(VLOOKUP($F320,bug_conf_sheet!$A:$H,3,FALSE),VLOOKUP("other",bug_conf_sheet!$A:$H,3,FALSE))</f>
        <v>1</v>
      </c>
      <c r="P320" s="37">
        <f>IFERROR(VLOOKUP($F320,bug_conf_sheet!$A:$H,4,FALSE),VLOOKUP("other",bug_conf_sheet!$A:$H,4,FALSE))</f>
        <v>0</v>
      </c>
      <c r="Q320" s="37">
        <f>IFERROR(VLOOKUP($F320,bug_conf_sheet!$A:$H,5,FALSE),VLOOKUP("other",bug_conf_sheet!$A:$H,5,FALSE))</f>
        <v>0</v>
      </c>
      <c r="R320" s="37">
        <f>IFERROR(VLOOKUP($F320,bug_conf_sheet!$A:$H,6,FALSE),VLOOKUP("other",bug_conf_sheet!$A:$H,6,FALSE))</f>
        <v>0</v>
      </c>
      <c r="S320" s="37">
        <f>IFERROR(VLOOKUP($F320,bug_conf_sheet!$A:$H,7,FALSE),VLOOKUP("other",bug_conf_sheet!$A:$H,7,FALSE))</f>
        <v>0</v>
      </c>
      <c r="T320" s="37">
        <f>IFERROR(VLOOKUP($F320,bug_conf_sheet!$A:$H,8,FALSE),VLOOKUP("other",bug_conf_sheet!$A:$H,8,FALSE))</f>
        <v>1</v>
      </c>
    </row>
    <row r="321" spans="1:20" ht="21" customHeight="1">
      <c r="A321" s="7" t="str">
        <f t="shared" si="26"/>
        <v>3001383</v>
      </c>
      <c r="B321" s="2" t="str">
        <f t="shared" si="24"/>
        <v>3001</v>
      </c>
      <c r="C321" s="8" t="str">
        <f t="shared" si="25"/>
        <v>1PremiumSS4</v>
      </c>
      <c r="D321" s="8" t="str">
        <f t="shared" si="23"/>
        <v>1PremiumSS4</v>
      </c>
      <c r="E321" s="10">
        <v>1</v>
      </c>
      <c r="F321" s="6">
        <v>383</v>
      </c>
      <c r="G321" s="8" t="str">
        <f>VLOOKUP(F321,[1]characters!$A:$C,3,FALSE)</f>
        <v>酒宴の蟒蛇 ヤマタノオロチ</v>
      </c>
      <c r="H321" s="8" t="str">
        <f>VLOOKUP(F321,[1]characters!$A:$J,10,FALSE)</f>
        <v>PremiumSS</v>
      </c>
      <c r="I321" s="8">
        <f>VLOOKUP(F321,[1]characters!$A:$I,9,FALSE)</f>
        <v>4</v>
      </c>
      <c r="J321" s="8" t="str">
        <f>VLOOKUP(F321,[1]characters!$A:$H,8,FALSE)</f>
        <v>green</v>
      </c>
      <c r="K321" s="8" t="str">
        <f>VLOOKUP(F321,[1]characters!$A:$K,11,FALSE)</f>
        <v>hp</v>
      </c>
      <c r="L321" s="8" t="str">
        <f>VLOOKUP(F321,[1]characters!$A:$M,13,FALSE)</f>
        <v>dragon</v>
      </c>
      <c r="M321" s="65"/>
      <c r="N321" s="16">
        <f>VLOOKUP(D321,gacha_300_base!A:B,2,FALSE)</f>
        <v>1705</v>
      </c>
      <c r="O321" s="37">
        <f>IFERROR(VLOOKUP($F321,bug_conf_sheet!$A:$H,3,FALSE),VLOOKUP("other",bug_conf_sheet!$A:$H,3,FALSE))</f>
        <v>1</v>
      </c>
      <c r="P321" s="37">
        <f>IFERROR(VLOOKUP($F321,bug_conf_sheet!$A:$H,4,FALSE),VLOOKUP("other",bug_conf_sheet!$A:$H,4,FALSE))</f>
        <v>0</v>
      </c>
      <c r="Q321" s="37">
        <f>IFERROR(VLOOKUP($F321,bug_conf_sheet!$A:$H,5,FALSE),VLOOKUP("other",bug_conf_sheet!$A:$H,5,FALSE))</f>
        <v>0</v>
      </c>
      <c r="R321" s="37">
        <f>IFERROR(VLOOKUP($F321,bug_conf_sheet!$A:$H,6,FALSE),VLOOKUP("other",bug_conf_sheet!$A:$H,6,FALSE))</f>
        <v>0</v>
      </c>
      <c r="S321" s="37">
        <f>IFERROR(VLOOKUP($F321,bug_conf_sheet!$A:$H,7,FALSE),VLOOKUP("other",bug_conf_sheet!$A:$H,7,FALSE))</f>
        <v>0</v>
      </c>
      <c r="T321" s="37">
        <f>IFERROR(VLOOKUP($F321,bug_conf_sheet!$A:$H,8,FALSE),VLOOKUP("other",bug_conf_sheet!$A:$H,8,FALSE))</f>
        <v>1</v>
      </c>
    </row>
    <row r="322" spans="1:20" ht="21" customHeight="1">
      <c r="A322" s="7" t="str">
        <f t="shared" si="26"/>
        <v>3001384</v>
      </c>
      <c r="B322" s="2" t="str">
        <f t="shared" si="24"/>
        <v>3001</v>
      </c>
      <c r="C322" s="8" t="str">
        <f t="shared" si="25"/>
        <v>1PremiumSS5</v>
      </c>
      <c r="D322" s="8" t="str">
        <f t="shared" ref="D322:D385" si="27">E322&amp;H322&amp;I322</f>
        <v>1PremiumSS5</v>
      </c>
      <c r="E322" s="10">
        <v>1</v>
      </c>
      <c r="F322" s="6">
        <v>384</v>
      </c>
      <c r="G322" s="8" t="str">
        <f>VLOOKUP(F322,[1]characters!$A:$C,3,FALSE)</f>
        <v>破国の呑龍 ヤマタノオロチ</v>
      </c>
      <c r="H322" s="8" t="str">
        <f>VLOOKUP(F322,[1]characters!$A:$J,10,FALSE)</f>
        <v>PremiumSS</v>
      </c>
      <c r="I322" s="8">
        <f>VLOOKUP(F322,[1]characters!$A:$I,9,FALSE)</f>
        <v>5</v>
      </c>
      <c r="J322" s="8" t="str">
        <f>VLOOKUP(F322,[1]characters!$A:$H,8,FALSE)</f>
        <v>green</v>
      </c>
      <c r="K322" s="8" t="str">
        <f>VLOOKUP(F322,[1]characters!$A:$K,11,FALSE)</f>
        <v>hp</v>
      </c>
      <c r="L322" s="8" t="str">
        <f>VLOOKUP(F322,[1]characters!$A:$M,13,FALSE)</f>
        <v>dragon</v>
      </c>
      <c r="M322" s="65"/>
      <c r="N322" s="16">
        <f>VLOOKUP(D322,gacha_300_base!A:B,2,FALSE)</f>
        <v>113</v>
      </c>
      <c r="O322" s="37">
        <f>IFERROR(VLOOKUP($F322,bug_conf_sheet!$A:$H,3,FALSE),VLOOKUP("other",bug_conf_sheet!$A:$H,3,FALSE))</f>
        <v>1</v>
      </c>
      <c r="P322" s="37">
        <f>IFERROR(VLOOKUP($F322,bug_conf_sheet!$A:$H,4,FALSE),VLOOKUP("other",bug_conf_sheet!$A:$H,4,FALSE))</f>
        <v>0</v>
      </c>
      <c r="Q322" s="37">
        <f>IFERROR(VLOOKUP($F322,bug_conf_sheet!$A:$H,5,FALSE),VLOOKUP("other",bug_conf_sheet!$A:$H,5,FALSE))</f>
        <v>0</v>
      </c>
      <c r="R322" s="37">
        <f>IFERROR(VLOOKUP($F322,bug_conf_sheet!$A:$H,6,FALSE),VLOOKUP("other",bug_conf_sheet!$A:$H,6,FALSE))</f>
        <v>0</v>
      </c>
      <c r="S322" s="37">
        <f>IFERROR(VLOOKUP($F322,bug_conf_sheet!$A:$H,7,FALSE),VLOOKUP("other",bug_conf_sheet!$A:$H,7,FALSE))</f>
        <v>0</v>
      </c>
      <c r="T322" s="37">
        <f>IFERROR(VLOOKUP($F322,bug_conf_sheet!$A:$H,8,FALSE),VLOOKUP("other",bug_conf_sheet!$A:$H,8,FALSE))</f>
        <v>1</v>
      </c>
    </row>
    <row r="323" spans="1:20" ht="21" customHeight="1">
      <c r="A323" s="7" t="str">
        <f t="shared" si="26"/>
        <v>3001385</v>
      </c>
      <c r="B323" s="2" t="str">
        <f t="shared" ref="B323:B386" si="28">300&amp;E323</f>
        <v>3001</v>
      </c>
      <c r="C323" s="8" t="str">
        <f t="shared" si="25"/>
        <v>1PremiumSS4</v>
      </c>
      <c r="D323" s="8" t="str">
        <f t="shared" si="27"/>
        <v>1PremiumSS4</v>
      </c>
      <c r="E323" s="10">
        <v>1</v>
      </c>
      <c r="F323" s="6">
        <v>385</v>
      </c>
      <c r="G323" s="8" t="str">
        <f>VLOOKUP(F323,[1]characters!$A:$C,3,FALSE)</f>
        <v>波烈の出奔 リヴァイアサン</v>
      </c>
      <c r="H323" s="8" t="str">
        <f>VLOOKUP(F323,[1]characters!$A:$J,10,FALSE)</f>
        <v>PremiumSS</v>
      </c>
      <c r="I323" s="8">
        <f>VLOOKUP(F323,[1]characters!$A:$I,9,FALSE)</f>
        <v>4</v>
      </c>
      <c r="J323" s="8" t="str">
        <f>VLOOKUP(F323,[1]characters!$A:$H,8,FALSE)</f>
        <v>blue</v>
      </c>
      <c r="K323" s="8" t="str">
        <f>VLOOKUP(F323,[1]characters!$A:$K,11,FALSE)</f>
        <v>balance</v>
      </c>
      <c r="L323" s="8" t="str">
        <f>VLOOKUP(F323,[1]characters!$A:$M,13,FALSE)</f>
        <v>dragon</v>
      </c>
      <c r="M323" s="65"/>
      <c r="N323" s="16">
        <f>VLOOKUP(D323,gacha_300_base!A:B,2,FALSE)</f>
        <v>1705</v>
      </c>
      <c r="O323" s="37">
        <f>IFERROR(VLOOKUP($F323,bug_conf_sheet!$A:$H,3,FALSE),VLOOKUP("other",bug_conf_sheet!$A:$H,3,FALSE))</f>
        <v>1</v>
      </c>
      <c r="P323" s="37">
        <f>IFERROR(VLOOKUP($F323,bug_conf_sheet!$A:$H,4,FALSE),VLOOKUP("other",bug_conf_sheet!$A:$H,4,FALSE))</f>
        <v>0</v>
      </c>
      <c r="Q323" s="37">
        <f>IFERROR(VLOOKUP($F323,bug_conf_sheet!$A:$H,5,FALSE),VLOOKUP("other",bug_conf_sheet!$A:$H,5,FALSE))</f>
        <v>0</v>
      </c>
      <c r="R323" s="37">
        <f>IFERROR(VLOOKUP($F323,bug_conf_sheet!$A:$H,6,FALSE),VLOOKUP("other",bug_conf_sheet!$A:$H,6,FALSE))</f>
        <v>0</v>
      </c>
      <c r="S323" s="37">
        <f>IFERROR(VLOOKUP($F323,bug_conf_sheet!$A:$H,7,FALSE),VLOOKUP("other",bug_conf_sheet!$A:$H,7,FALSE))</f>
        <v>0</v>
      </c>
      <c r="T323" s="37">
        <f>IFERROR(VLOOKUP($F323,bug_conf_sheet!$A:$H,8,FALSE),VLOOKUP("other",bug_conf_sheet!$A:$H,8,FALSE))</f>
        <v>1</v>
      </c>
    </row>
    <row r="324" spans="1:20" ht="21" customHeight="1">
      <c r="A324" s="7" t="str">
        <f t="shared" si="26"/>
        <v>3001386</v>
      </c>
      <c r="B324" s="2" t="str">
        <f t="shared" si="28"/>
        <v>3001</v>
      </c>
      <c r="C324" s="8" t="str">
        <f t="shared" si="25"/>
        <v>1PremiumSS5</v>
      </c>
      <c r="D324" s="8" t="str">
        <f t="shared" si="27"/>
        <v>1PremiumSS5</v>
      </c>
      <c r="E324" s="10">
        <v>1</v>
      </c>
      <c r="F324" s="6">
        <v>386</v>
      </c>
      <c r="G324" s="8" t="str">
        <f>VLOOKUP(F324,[1]characters!$A:$C,3,FALSE)</f>
        <v>氾乱の海龍 リヴァイアサン</v>
      </c>
      <c r="H324" s="8" t="str">
        <f>VLOOKUP(F324,[1]characters!$A:$J,10,FALSE)</f>
        <v>PremiumSS</v>
      </c>
      <c r="I324" s="8">
        <f>VLOOKUP(F324,[1]characters!$A:$I,9,FALSE)</f>
        <v>5</v>
      </c>
      <c r="J324" s="8" t="str">
        <f>VLOOKUP(F324,[1]characters!$A:$H,8,FALSE)</f>
        <v>blue</v>
      </c>
      <c r="K324" s="8" t="str">
        <f>VLOOKUP(F324,[1]characters!$A:$K,11,FALSE)</f>
        <v>balance</v>
      </c>
      <c r="L324" s="8" t="str">
        <f>VLOOKUP(F324,[1]characters!$A:$M,13,FALSE)</f>
        <v>dragon</v>
      </c>
      <c r="M324" s="65"/>
      <c r="N324" s="16">
        <f>VLOOKUP(D324,gacha_300_base!A:B,2,FALSE)</f>
        <v>113</v>
      </c>
      <c r="O324" s="37">
        <f>IFERROR(VLOOKUP($F324,bug_conf_sheet!$A:$H,3,FALSE),VLOOKUP("other",bug_conf_sheet!$A:$H,3,FALSE))</f>
        <v>1</v>
      </c>
      <c r="P324" s="37">
        <f>IFERROR(VLOOKUP($F324,bug_conf_sheet!$A:$H,4,FALSE),VLOOKUP("other",bug_conf_sheet!$A:$H,4,FALSE))</f>
        <v>0</v>
      </c>
      <c r="Q324" s="37">
        <f>IFERROR(VLOOKUP($F324,bug_conf_sheet!$A:$H,5,FALSE),VLOOKUP("other",bug_conf_sheet!$A:$H,5,FALSE))</f>
        <v>0</v>
      </c>
      <c r="R324" s="37">
        <f>IFERROR(VLOOKUP($F324,bug_conf_sheet!$A:$H,6,FALSE),VLOOKUP("other",bug_conf_sheet!$A:$H,6,FALSE))</f>
        <v>0</v>
      </c>
      <c r="S324" s="37">
        <f>IFERROR(VLOOKUP($F324,bug_conf_sheet!$A:$H,7,FALSE),VLOOKUP("other",bug_conf_sheet!$A:$H,7,FALSE))</f>
        <v>0</v>
      </c>
      <c r="T324" s="37">
        <f>IFERROR(VLOOKUP($F324,bug_conf_sheet!$A:$H,8,FALSE),VLOOKUP("other",bug_conf_sheet!$A:$H,8,FALSE))</f>
        <v>1</v>
      </c>
    </row>
    <row r="325" spans="1:20" ht="21" customHeight="1">
      <c r="A325" s="7" t="str">
        <f t="shared" si="26"/>
        <v>3001387</v>
      </c>
      <c r="B325" s="2" t="str">
        <f t="shared" si="28"/>
        <v>3001</v>
      </c>
      <c r="C325" s="8" t="str">
        <f t="shared" si="25"/>
        <v>1PremiumS3</v>
      </c>
      <c r="D325" s="8" t="str">
        <f t="shared" si="27"/>
        <v>1PremiumS3</v>
      </c>
      <c r="E325" s="10">
        <v>1</v>
      </c>
      <c r="F325" s="6">
        <v>387</v>
      </c>
      <c r="G325" s="8" t="str">
        <f>VLOOKUP(F325,[1]characters!$A:$C,3,FALSE)</f>
        <v>スフィンクス</v>
      </c>
      <c r="H325" s="8" t="str">
        <f>VLOOKUP(F325,[1]characters!$A:$J,10,FALSE)</f>
        <v>PremiumS</v>
      </c>
      <c r="I325" s="8">
        <f>VLOOKUP(F325,[1]characters!$A:$I,9,FALSE)</f>
        <v>3</v>
      </c>
      <c r="J325" s="8" t="str">
        <f>VLOOKUP(F325,[1]characters!$A:$H,8,FALSE)</f>
        <v>yellow</v>
      </c>
      <c r="K325" s="8" t="str">
        <f>VLOOKUP(F325,[1]characters!$A:$K,11,FALSE)</f>
        <v>heal</v>
      </c>
      <c r="L325" s="8" t="str">
        <f>VLOOKUP(F325,[1]characters!$A:$M,13,FALSE)</f>
        <v>animal</v>
      </c>
      <c r="M325" s="65"/>
      <c r="N325" s="16">
        <f>VLOOKUP(D325,gacha_300_base!A:B,2,FALSE)</f>
        <v>11912</v>
      </c>
      <c r="O325" s="37">
        <f>IFERROR(VLOOKUP($F325,bug_conf_sheet!$A:$H,3,FALSE),VLOOKUP("other",bug_conf_sheet!$A:$H,3,FALSE))</f>
        <v>1</v>
      </c>
      <c r="P325" s="37">
        <f>IFERROR(VLOOKUP($F325,bug_conf_sheet!$A:$H,4,FALSE),VLOOKUP("other",bug_conf_sheet!$A:$H,4,FALSE))</f>
        <v>0</v>
      </c>
      <c r="Q325" s="37">
        <f>IFERROR(VLOOKUP($F325,bug_conf_sheet!$A:$H,5,FALSE),VLOOKUP("other",bug_conf_sheet!$A:$H,5,FALSE))</f>
        <v>0</v>
      </c>
      <c r="R325" s="37">
        <f>IFERROR(VLOOKUP($F325,bug_conf_sheet!$A:$H,6,FALSE),VLOOKUP("other",bug_conf_sheet!$A:$H,6,FALSE))</f>
        <v>0</v>
      </c>
      <c r="S325" s="37">
        <f>IFERROR(VLOOKUP($F325,bug_conf_sheet!$A:$H,7,FALSE),VLOOKUP("other",bug_conf_sheet!$A:$H,7,FALSE))</f>
        <v>0</v>
      </c>
      <c r="T325" s="37">
        <f>IFERROR(VLOOKUP($F325,bug_conf_sheet!$A:$H,8,FALSE),VLOOKUP("other",bug_conf_sheet!$A:$H,8,FALSE))</f>
        <v>1</v>
      </c>
    </row>
    <row r="326" spans="1:20" ht="21" customHeight="1">
      <c r="A326" s="7" t="str">
        <f t="shared" si="26"/>
        <v>3001388</v>
      </c>
      <c r="B326" s="2" t="str">
        <f t="shared" si="28"/>
        <v>3001</v>
      </c>
      <c r="C326" s="8" t="str">
        <f t="shared" si="25"/>
        <v>1PremiumS4</v>
      </c>
      <c r="D326" s="8" t="str">
        <f t="shared" si="27"/>
        <v>1PremiumS4</v>
      </c>
      <c r="E326" s="10">
        <v>1</v>
      </c>
      <c r="F326" s="6">
        <v>388</v>
      </c>
      <c r="G326" s="8" t="str">
        <f>VLOOKUP(F326,[1]characters!$A:$C,3,FALSE)</f>
        <v>神円の恋姫 スフィンクス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heal</v>
      </c>
      <c r="L326" s="8" t="str">
        <f>VLOOKUP(F326,[1]characters!$A:$M,13,FALSE)</f>
        <v>animal</v>
      </c>
      <c r="M326" s="65"/>
      <c r="N326" s="16">
        <f>VLOOKUP(D326,gacha_300_base!A:B,2,FALSE)</f>
        <v>2790</v>
      </c>
      <c r="O326" s="37">
        <f>IFERROR(VLOOKUP($F326,bug_conf_sheet!$A:$H,3,FALSE),VLOOKUP("other",bug_conf_sheet!$A:$H,3,FALSE))</f>
        <v>1</v>
      </c>
      <c r="P326" s="37">
        <f>IFERROR(VLOOKUP($F326,bug_conf_sheet!$A:$H,4,FALSE),VLOOKUP("other",bug_conf_sheet!$A:$H,4,FALSE))</f>
        <v>0</v>
      </c>
      <c r="Q326" s="37">
        <f>IFERROR(VLOOKUP($F326,bug_conf_sheet!$A:$H,5,FALSE),VLOOKUP("other",bug_conf_sheet!$A:$H,5,FALSE))</f>
        <v>0</v>
      </c>
      <c r="R326" s="37">
        <f>IFERROR(VLOOKUP($F326,bug_conf_sheet!$A:$H,6,FALSE),VLOOKUP("other",bug_conf_sheet!$A:$H,6,FALSE))</f>
        <v>0</v>
      </c>
      <c r="S326" s="37">
        <f>IFERROR(VLOOKUP($F326,bug_conf_sheet!$A:$H,7,FALSE),VLOOKUP("other",bug_conf_sheet!$A:$H,7,FALSE))</f>
        <v>0</v>
      </c>
      <c r="T326" s="37">
        <f>IFERROR(VLOOKUP($F326,bug_conf_sheet!$A:$H,8,FALSE),VLOOKUP("other",bug_conf_sheet!$A:$H,8,FALSE))</f>
        <v>1</v>
      </c>
    </row>
    <row r="327" spans="1:20" ht="21" customHeight="1">
      <c r="A327" s="7" t="str">
        <f t="shared" si="26"/>
        <v>3001389</v>
      </c>
      <c r="B327" s="2" t="str">
        <f t="shared" si="28"/>
        <v>3001</v>
      </c>
      <c r="C327" s="8" t="str">
        <f t="shared" si="25"/>
        <v>1PremiumS5</v>
      </c>
      <c r="D327" s="8" t="str">
        <f t="shared" si="27"/>
        <v>1PremiumS5</v>
      </c>
      <c r="E327" s="10">
        <v>1</v>
      </c>
      <c r="F327" s="6">
        <v>389</v>
      </c>
      <c r="G327" s="8" t="str">
        <f>VLOOKUP(F327,[1]characters!$A:$C,3,FALSE)</f>
        <v>操神の愛姫 スフィンクス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heal</v>
      </c>
      <c r="L327" s="8" t="str">
        <f>VLOOKUP(F327,[1]characters!$A:$M,13,FALSE)</f>
        <v>animal</v>
      </c>
      <c r="M327" s="65"/>
      <c r="N327" s="16">
        <f>VLOOKUP(D327,gacha_300_base!A:B,2,FALSE)</f>
        <v>972</v>
      </c>
      <c r="O327" s="37">
        <f>IFERROR(VLOOKUP($F327,bug_conf_sheet!$A:$H,3,FALSE),VLOOKUP("other",bug_conf_sheet!$A:$H,3,FALSE))</f>
        <v>1</v>
      </c>
      <c r="P327" s="37">
        <f>IFERROR(VLOOKUP($F327,bug_conf_sheet!$A:$H,4,FALSE),VLOOKUP("other",bug_conf_sheet!$A:$H,4,FALSE))</f>
        <v>0</v>
      </c>
      <c r="Q327" s="37">
        <f>IFERROR(VLOOKUP($F327,bug_conf_sheet!$A:$H,5,FALSE),VLOOKUP("other",bug_conf_sheet!$A:$H,5,FALSE))</f>
        <v>0</v>
      </c>
      <c r="R327" s="37">
        <f>IFERROR(VLOOKUP($F327,bug_conf_sheet!$A:$H,6,FALSE),VLOOKUP("other",bug_conf_sheet!$A:$H,6,FALSE))</f>
        <v>0</v>
      </c>
      <c r="S327" s="37">
        <f>IFERROR(VLOOKUP($F327,bug_conf_sheet!$A:$H,7,FALSE),VLOOKUP("other",bug_conf_sheet!$A:$H,7,FALSE))</f>
        <v>0</v>
      </c>
      <c r="T327" s="37">
        <f>IFERROR(VLOOKUP($F327,bug_conf_sheet!$A:$H,8,FALSE),VLOOKUP("other",bug_conf_sheet!$A:$H,8,FALSE))</f>
        <v>1</v>
      </c>
    </row>
    <row r="328" spans="1:20" ht="21" customHeight="1">
      <c r="A328" s="7" t="str">
        <f t="shared" si="26"/>
        <v>3001390</v>
      </c>
      <c r="B328" s="2" t="str">
        <f t="shared" si="28"/>
        <v>3001</v>
      </c>
      <c r="C328" s="8" t="str">
        <f t="shared" si="25"/>
        <v>1PremiumSS4</v>
      </c>
      <c r="D328" s="8" t="str">
        <f t="shared" si="27"/>
        <v>1PremiumSS4</v>
      </c>
      <c r="E328" s="10">
        <v>1</v>
      </c>
      <c r="F328" s="6">
        <v>390</v>
      </c>
      <c r="G328" s="8" t="str">
        <f>VLOOKUP(F328,[1]characters!$A:$C,3,FALSE)</f>
        <v>華環の旅客 親指姫</v>
      </c>
      <c r="H328" s="8" t="str">
        <f>VLOOKUP(F328,[1]characters!$A:$J,10,FALSE)</f>
        <v>PremiumSS</v>
      </c>
      <c r="I328" s="8">
        <f>VLOOKUP(F328,[1]characters!$A:$I,9,FALSE)</f>
        <v>4</v>
      </c>
      <c r="J328" s="8" t="str">
        <f>VLOOKUP(F328,[1]characters!$A:$H,8,FALSE)</f>
        <v>red</v>
      </c>
      <c r="K328" s="8" t="str">
        <f>VLOOKUP(F328,[1]characters!$A:$K,11,FALSE)</f>
        <v>heal</v>
      </c>
      <c r="L328" s="8" t="str">
        <f>VLOOKUP(F328,[1]characters!$A:$M,13,FALSE)</f>
        <v>human</v>
      </c>
      <c r="M328" s="65"/>
      <c r="N328" s="16">
        <f>VLOOKUP(D328,gacha_300_base!A:B,2,FALSE)</f>
        <v>1705</v>
      </c>
      <c r="O328" s="37">
        <f>IFERROR(VLOOKUP($F328,bug_conf_sheet!$A:$H,3,FALSE),VLOOKUP("other",bug_conf_sheet!$A:$H,3,FALSE))</f>
        <v>1</v>
      </c>
      <c r="P328" s="37">
        <f>IFERROR(VLOOKUP($F328,bug_conf_sheet!$A:$H,4,FALSE),VLOOKUP("other",bug_conf_sheet!$A:$H,4,FALSE))</f>
        <v>0</v>
      </c>
      <c r="Q328" s="37">
        <f>IFERROR(VLOOKUP($F328,bug_conf_sheet!$A:$H,5,FALSE),VLOOKUP("other",bug_conf_sheet!$A:$H,5,FALSE))</f>
        <v>0</v>
      </c>
      <c r="R328" s="37">
        <f>IFERROR(VLOOKUP($F328,bug_conf_sheet!$A:$H,6,FALSE),VLOOKUP("other",bug_conf_sheet!$A:$H,6,FALSE))</f>
        <v>0</v>
      </c>
      <c r="S328" s="37">
        <f>IFERROR(VLOOKUP($F328,bug_conf_sheet!$A:$H,7,FALSE),VLOOKUP("other",bug_conf_sheet!$A:$H,7,FALSE))</f>
        <v>0</v>
      </c>
      <c r="T328" s="37">
        <f>IFERROR(VLOOKUP($F328,bug_conf_sheet!$A:$H,8,FALSE),VLOOKUP("other",bug_conf_sheet!$A:$H,8,FALSE))</f>
        <v>1</v>
      </c>
    </row>
    <row r="329" spans="1:20" ht="21" customHeight="1">
      <c r="A329" s="7" t="str">
        <f t="shared" si="26"/>
        <v>3001391</v>
      </c>
      <c r="B329" s="2" t="str">
        <f t="shared" si="28"/>
        <v>3001</v>
      </c>
      <c r="C329" s="8" t="str">
        <f t="shared" si="25"/>
        <v>1PremiumSS5</v>
      </c>
      <c r="D329" s="8" t="str">
        <f t="shared" si="27"/>
        <v>1PremiumSS5</v>
      </c>
      <c r="E329" s="10">
        <v>1</v>
      </c>
      <c r="F329" s="6">
        <v>391</v>
      </c>
      <c r="G329" s="8" t="str">
        <f>VLOOKUP(F329,[1]characters!$A:$C,3,FALSE)</f>
        <v>燕翼の旅人 親指姫</v>
      </c>
      <c r="H329" s="8" t="str">
        <f>VLOOKUP(F329,[1]characters!$A:$J,10,FALSE)</f>
        <v>PremiumSS</v>
      </c>
      <c r="I329" s="8">
        <f>VLOOKUP(F329,[1]characters!$A:$I,9,FALSE)</f>
        <v>5</v>
      </c>
      <c r="J329" s="8" t="str">
        <f>VLOOKUP(F329,[1]characters!$A:$H,8,FALSE)</f>
        <v>red</v>
      </c>
      <c r="K329" s="8" t="str">
        <f>VLOOKUP(F329,[1]characters!$A:$K,11,FALSE)</f>
        <v>heal</v>
      </c>
      <c r="L329" s="8" t="str">
        <f>VLOOKUP(F329,[1]characters!$A:$M,13,FALSE)</f>
        <v>human</v>
      </c>
      <c r="M329" s="65"/>
      <c r="N329" s="16">
        <f>VLOOKUP(D329,gacha_300_base!A:B,2,FALSE)</f>
        <v>113</v>
      </c>
      <c r="O329" s="37">
        <f>IFERROR(VLOOKUP($F329,bug_conf_sheet!$A:$H,3,FALSE),VLOOKUP("other",bug_conf_sheet!$A:$H,3,FALSE))</f>
        <v>1</v>
      </c>
      <c r="P329" s="37">
        <f>IFERROR(VLOOKUP($F329,bug_conf_sheet!$A:$H,4,FALSE),VLOOKUP("other",bug_conf_sheet!$A:$H,4,FALSE))</f>
        <v>0</v>
      </c>
      <c r="Q329" s="37">
        <f>IFERROR(VLOOKUP($F329,bug_conf_sheet!$A:$H,5,FALSE),VLOOKUP("other",bug_conf_sheet!$A:$H,5,FALSE))</f>
        <v>0</v>
      </c>
      <c r="R329" s="37">
        <f>IFERROR(VLOOKUP($F329,bug_conf_sheet!$A:$H,6,FALSE),VLOOKUP("other",bug_conf_sheet!$A:$H,6,FALSE))</f>
        <v>0</v>
      </c>
      <c r="S329" s="37">
        <f>IFERROR(VLOOKUP($F329,bug_conf_sheet!$A:$H,7,FALSE),VLOOKUP("other",bug_conf_sheet!$A:$H,7,FALSE))</f>
        <v>0</v>
      </c>
      <c r="T329" s="37">
        <f>IFERROR(VLOOKUP($F329,bug_conf_sheet!$A:$H,8,FALSE),VLOOKUP("other",bug_conf_sheet!$A:$H,8,FALSE))</f>
        <v>1</v>
      </c>
    </row>
    <row r="330" spans="1:20" ht="21" customHeight="1">
      <c r="A330" s="7" t="str">
        <f t="shared" si="26"/>
        <v>3001392</v>
      </c>
      <c r="B330" s="2" t="str">
        <f t="shared" si="28"/>
        <v>3001</v>
      </c>
      <c r="C330" s="8" t="str">
        <f t="shared" si="25"/>
        <v>1PremiumS3</v>
      </c>
      <c r="D330" s="8" t="str">
        <f t="shared" si="27"/>
        <v>1PremiumS3</v>
      </c>
      <c r="E330" s="10">
        <v>1</v>
      </c>
      <c r="F330" s="6">
        <v>392</v>
      </c>
      <c r="G330" s="8" t="str">
        <f>VLOOKUP(F330,[1]characters!$A:$C,3,FALSE)</f>
        <v>ピーターパン</v>
      </c>
      <c r="H330" s="8" t="str">
        <f>VLOOKUP(F330,[1]characters!$A:$J,10,FALSE)</f>
        <v>PremiumS</v>
      </c>
      <c r="I330" s="8">
        <f>VLOOKUP(F330,[1]characters!$A:$I,9,FALSE)</f>
        <v>3</v>
      </c>
      <c r="J330" s="8" t="str">
        <f>VLOOKUP(F330,[1]characters!$A:$H,8,FALSE)</f>
        <v>green</v>
      </c>
      <c r="K330" s="8" t="str">
        <f>VLOOKUP(F330,[1]characters!$A:$K,11,FALSE)</f>
        <v>attack</v>
      </c>
      <c r="L330" s="8" t="str">
        <f>VLOOKUP(F330,[1]characters!$A:$M,13,FALSE)</f>
        <v>human</v>
      </c>
      <c r="M330" s="65"/>
      <c r="N330" s="16">
        <f>VLOOKUP(D330,gacha_300_base!A:B,2,FALSE)</f>
        <v>11912</v>
      </c>
      <c r="O330" s="37">
        <f>IFERROR(VLOOKUP($F330,bug_conf_sheet!$A:$H,3,FALSE),VLOOKUP("other",bug_conf_sheet!$A:$H,3,FALSE))</f>
        <v>1</v>
      </c>
      <c r="P330" s="37">
        <f>IFERROR(VLOOKUP($F330,bug_conf_sheet!$A:$H,4,FALSE),VLOOKUP("other",bug_conf_sheet!$A:$H,4,FALSE))</f>
        <v>0</v>
      </c>
      <c r="Q330" s="37">
        <f>IFERROR(VLOOKUP($F330,bug_conf_sheet!$A:$H,5,FALSE),VLOOKUP("other",bug_conf_sheet!$A:$H,5,FALSE))</f>
        <v>0</v>
      </c>
      <c r="R330" s="37">
        <f>IFERROR(VLOOKUP($F330,bug_conf_sheet!$A:$H,6,FALSE),VLOOKUP("other",bug_conf_sheet!$A:$H,6,FALSE))</f>
        <v>0</v>
      </c>
      <c r="S330" s="37">
        <f>IFERROR(VLOOKUP($F330,bug_conf_sheet!$A:$H,7,FALSE),VLOOKUP("other",bug_conf_sheet!$A:$H,7,FALSE))</f>
        <v>0</v>
      </c>
      <c r="T330" s="37">
        <f>IFERROR(VLOOKUP($F330,bug_conf_sheet!$A:$H,8,FALSE),VLOOKUP("other",bug_conf_sheet!$A:$H,8,FALSE))</f>
        <v>1</v>
      </c>
    </row>
    <row r="331" spans="1:20" ht="21" customHeight="1">
      <c r="A331" s="7" t="str">
        <f t="shared" si="26"/>
        <v>3001393</v>
      </c>
      <c r="B331" s="2" t="str">
        <f t="shared" si="28"/>
        <v>3001</v>
      </c>
      <c r="C331" s="8" t="str">
        <f t="shared" si="25"/>
        <v>1PremiumS4</v>
      </c>
      <c r="D331" s="8" t="str">
        <f t="shared" si="27"/>
        <v>1PremiumS4</v>
      </c>
      <c r="E331" s="10">
        <v>1</v>
      </c>
      <c r="F331" s="6">
        <v>393</v>
      </c>
      <c r="G331" s="8" t="str">
        <f>VLOOKUP(F331,[1]characters!$A:$C,3,FALSE)</f>
        <v>影縫い ピーターパン</v>
      </c>
      <c r="H331" s="8" t="str">
        <f>VLOOKUP(F331,[1]characters!$A:$J,10,FALSE)</f>
        <v>PremiumS</v>
      </c>
      <c r="I331" s="8">
        <f>VLOOKUP(F331,[1]characters!$A:$I,9,FALSE)</f>
        <v>4</v>
      </c>
      <c r="J331" s="8" t="str">
        <f>VLOOKUP(F331,[1]characters!$A:$H,8,FALSE)</f>
        <v>green</v>
      </c>
      <c r="K331" s="8" t="str">
        <f>VLOOKUP(F331,[1]characters!$A:$K,11,FALSE)</f>
        <v>attack</v>
      </c>
      <c r="L331" s="8" t="str">
        <f>VLOOKUP(F331,[1]characters!$A:$M,13,FALSE)</f>
        <v>human</v>
      </c>
      <c r="M331" s="65"/>
      <c r="N331" s="16">
        <f>VLOOKUP(D331,gacha_300_base!A:B,2,FALSE)</f>
        <v>2790</v>
      </c>
      <c r="O331" s="37">
        <f>IFERROR(VLOOKUP($F331,bug_conf_sheet!$A:$H,3,FALSE),VLOOKUP("other",bug_conf_sheet!$A:$H,3,FALSE))</f>
        <v>1</v>
      </c>
      <c r="P331" s="37">
        <f>IFERROR(VLOOKUP($F331,bug_conf_sheet!$A:$H,4,FALSE),VLOOKUP("other",bug_conf_sheet!$A:$H,4,FALSE))</f>
        <v>0</v>
      </c>
      <c r="Q331" s="37">
        <f>IFERROR(VLOOKUP($F331,bug_conf_sheet!$A:$H,5,FALSE),VLOOKUP("other",bug_conf_sheet!$A:$H,5,FALSE))</f>
        <v>0</v>
      </c>
      <c r="R331" s="37">
        <f>IFERROR(VLOOKUP($F331,bug_conf_sheet!$A:$H,6,FALSE),VLOOKUP("other",bug_conf_sheet!$A:$H,6,FALSE))</f>
        <v>0</v>
      </c>
      <c r="S331" s="37">
        <f>IFERROR(VLOOKUP($F331,bug_conf_sheet!$A:$H,7,FALSE),VLOOKUP("other",bug_conf_sheet!$A:$H,7,FALSE))</f>
        <v>0</v>
      </c>
      <c r="T331" s="37">
        <f>IFERROR(VLOOKUP($F331,bug_conf_sheet!$A:$H,8,FALSE),VLOOKUP("other",bug_conf_sheet!$A:$H,8,FALSE))</f>
        <v>1</v>
      </c>
    </row>
    <row r="332" spans="1:20" ht="21" customHeight="1">
      <c r="A332" s="7" t="str">
        <f t="shared" si="26"/>
        <v>3001394</v>
      </c>
      <c r="B332" s="2" t="str">
        <f t="shared" si="28"/>
        <v>3001</v>
      </c>
      <c r="C332" s="8" t="str">
        <f t="shared" si="25"/>
        <v>1PremiumS5</v>
      </c>
      <c r="D332" s="8" t="str">
        <f t="shared" si="27"/>
        <v>1PremiumS5</v>
      </c>
      <c r="E332" s="10">
        <v>1</v>
      </c>
      <c r="F332" s="6">
        <v>394</v>
      </c>
      <c r="G332" s="8" t="str">
        <f>VLOOKUP(F332,[1]characters!$A:$C,3,FALSE)</f>
        <v>影求の悪童 ピーターパン</v>
      </c>
      <c r="H332" s="8" t="str">
        <f>VLOOKUP(F332,[1]characters!$A:$J,10,FALSE)</f>
        <v>PremiumS</v>
      </c>
      <c r="I332" s="8">
        <f>VLOOKUP(F332,[1]characters!$A:$I,9,FALSE)</f>
        <v>5</v>
      </c>
      <c r="J332" s="8" t="str">
        <f>VLOOKUP(F332,[1]characters!$A:$H,8,FALSE)</f>
        <v>green</v>
      </c>
      <c r="K332" s="8" t="str">
        <f>VLOOKUP(F332,[1]characters!$A:$K,11,FALSE)</f>
        <v>attack</v>
      </c>
      <c r="L332" s="8" t="str">
        <f>VLOOKUP(F332,[1]characters!$A:$M,13,FALSE)</f>
        <v>human</v>
      </c>
      <c r="M332" s="65"/>
      <c r="N332" s="16">
        <f>VLOOKUP(D332,gacha_300_base!A:B,2,FALSE)</f>
        <v>972</v>
      </c>
      <c r="O332" s="37">
        <f>IFERROR(VLOOKUP($F332,bug_conf_sheet!$A:$H,3,FALSE),VLOOKUP("other",bug_conf_sheet!$A:$H,3,FALSE))</f>
        <v>1</v>
      </c>
      <c r="P332" s="37">
        <f>IFERROR(VLOOKUP($F332,bug_conf_sheet!$A:$H,4,FALSE),VLOOKUP("other",bug_conf_sheet!$A:$H,4,FALSE))</f>
        <v>0</v>
      </c>
      <c r="Q332" s="37">
        <f>IFERROR(VLOOKUP($F332,bug_conf_sheet!$A:$H,5,FALSE),VLOOKUP("other",bug_conf_sheet!$A:$H,5,FALSE))</f>
        <v>0</v>
      </c>
      <c r="R332" s="37">
        <f>IFERROR(VLOOKUP($F332,bug_conf_sheet!$A:$H,6,FALSE),VLOOKUP("other",bug_conf_sheet!$A:$H,6,FALSE))</f>
        <v>0</v>
      </c>
      <c r="S332" s="37">
        <f>IFERROR(VLOOKUP($F332,bug_conf_sheet!$A:$H,7,FALSE),VLOOKUP("other",bug_conf_sheet!$A:$H,7,FALSE))</f>
        <v>0</v>
      </c>
      <c r="T332" s="37">
        <f>IFERROR(VLOOKUP($F332,bug_conf_sheet!$A:$H,8,FALSE),VLOOKUP("other",bug_conf_sheet!$A:$H,8,FALSE))</f>
        <v>1</v>
      </c>
    </row>
    <row r="333" spans="1:20" ht="21" customHeight="1">
      <c r="A333" s="7" t="str">
        <f t="shared" si="26"/>
        <v>3001395</v>
      </c>
      <c r="B333" s="2" t="str">
        <f t="shared" si="28"/>
        <v>3001</v>
      </c>
      <c r="C333" s="8" t="str">
        <f t="shared" si="25"/>
        <v>1PremiumS3</v>
      </c>
      <c r="D333" s="8" t="str">
        <f t="shared" si="27"/>
        <v>1PremiumS3</v>
      </c>
      <c r="E333" s="10">
        <v>1</v>
      </c>
      <c r="F333" s="6">
        <v>395</v>
      </c>
      <c r="G333" s="8" t="str">
        <f>VLOOKUP(F333,[1]characters!$A:$C,3,FALSE)</f>
        <v>乙姫</v>
      </c>
      <c r="H333" s="8" t="str">
        <f>VLOOKUP(F333,[1]characters!$A:$J,10,FALSE)</f>
        <v>PremiumS</v>
      </c>
      <c r="I333" s="8">
        <f>VLOOKUP(F333,[1]characters!$A:$I,9,FALSE)</f>
        <v>3</v>
      </c>
      <c r="J333" s="8" t="str">
        <f>VLOOKUP(F333,[1]characters!$A:$H,8,FALSE)</f>
        <v>blue</v>
      </c>
      <c r="K333" s="8" t="str">
        <f>VLOOKUP(F333,[1]characters!$A:$K,11,FALSE)</f>
        <v>hp</v>
      </c>
      <c r="L333" s="8" t="str">
        <f>VLOOKUP(F333,[1]characters!$A:$M,13,FALSE)</f>
        <v>human</v>
      </c>
      <c r="M333" s="65"/>
      <c r="N333" s="16">
        <f>VLOOKUP(D333,gacha_300_base!A:B,2,FALSE)</f>
        <v>11912</v>
      </c>
      <c r="O333" s="37">
        <f>IFERROR(VLOOKUP($F333,bug_conf_sheet!$A:$H,3,FALSE),VLOOKUP("other",bug_conf_sheet!$A:$H,3,FALSE))</f>
        <v>1</v>
      </c>
      <c r="P333" s="37">
        <f>IFERROR(VLOOKUP($F333,bug_conf_sheet!$A:$H,4,FALSE),VLOOKUP("other",bug_conf_sheet!$A:$H,4,FALSE))</f>
        <v>0</v>
      </c>
      <c r="Q333" s="37">
        <f>IFERROR(VLOOKUP($F333,bug_conf_sheet!$A:$H,5,FALSE),VLOOKUP("other",bug_conf_sheet!$A:$H,5,FALSE))</f>
        <v>0</v>
      </c>
      <c r="R333" s="37">
        <f>IFERROR(VLOOKUP($F333,bug_conf_sheet!$A:$H,6,FALSE),VLOOKUP("other",bug_conf_sheet!$A:$H,6,FALSE))</f>
        <v>0</v>
      </c>
      <c r="S333" s="37">
        <f>IFERROR(VLOOKUP($F333,bug_conf_sheet!$A:$H,7,FALSE),VLOOKUP("other",bug_conf_sheet!$A:$H,7,FALSE))</f>
        <v>0</v>
      </c>
      <c r="T333" s="37">
        <f>IFERROR(VLOOKUP($F333,bug_conf_sheet!$A:$H,8,FALSE),VLOOKUP("other",bug_conf_sheet!$A:$H,8,FALSE))</f>
        <v>1</v>
      </c>
    </row>
    <row r="334" spans="1:20" ht="21" customHeight="1">
      <c r="A334" s="7" t="str">
        <f t="shared" si="26"/>
        <v>3001396</v>
      </c>
      <c r="B334" s="2" t="str">
        <f t="shared" si="28"/>
        <v>3001</v>
      </c>
      <c r="C334" s="8" t="str">
        <f t="shared" si="25"/>
        <v>1PremiumS4</v>
      </c>
      <c r="D334" s="8" t="str">
        <f t="shared" si="27"/>
        <v>1PremiumS4</v>
      </c>
      <c r="E334" s="10">
        <v>1</v>
      </c>
      <c r="F334" s="6">
        <v>396</v>
      </c>
      <c r="G334" s="8" t="str">
        <f>VLOOKUP(F334,[1]characters!$A:$C,3,FALSE)</f>
        <v>竜宮の水雷 乙姫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blue</v>
      </c>
      <c r="K334" s="8" t="str">
        <f>VLOOKUP(F334,[1]characters!$A:$K,11,FALSE)</f>
        <v>hp</v>
      </c>
      <c r="L334" s="8" t="str">
        <f>VLOOKUP(F334,[1]characters!$A:$M,13,FALSE)</f>
        <v>human</v>
      </c>
      <c r="M334" s="65"/>
      <c r="N334" s="16">
        <f>VLOOKUP(D334,gacha_300_base!A:B,2,FALSE)</f>
        <v>2790</v>
      </c>
      <c r="O334" s="37">
        <f>IFERROR(VLOOKUP($F334,bug_conf_sheet!$A:$H,3,FALSE),VLOOKUP("other",bug_conf_sheet!$A:$H,3,FALSE))</f>
        <v>1</v>
      </c>
      <c r="P334" s="37">
        <f>IFERROR(VLOOKUP($F334,bug_conf_sheet!$A:$H,4,FALSE),VLOOKUP("other",bug_conf_sheet!$A:$H,4,FALSE))</f>
        <v>0</v>
      </c>
      <c r="Q334" s="37">
        <f>IFERROR(VLOOKUP($F334,bug_conf_sheet!$A:$H,5,FALSE),VLOOKUP("other",bug_conf_sheet!$A:$H,5,FALSE))</f>
        <v>0</v>
      </c>
      <c r="R334" s="37">
        <f>IFERROR(VLOOKUP($F334,bug_conf_sheet!$A:$H,6,FALSE),VLOOKUP("other",bug_conf_sheet!$A:$H,6,FALSE))</f>
        <v>0</v>
      </c>
      <c r="S334" s="37">
        <f>IFERROR(VLOOKUP($F334,bug_conf_sheet!$A:$H,7,FALSE),VLOOKUP("other",bug_conf_sheet!$A:$H,7,FALSE))</f>
        <v>0</v>
      </c>
      <c r="T334" s="37">
        <f>IFERROR(VLOOKUP($F334,bug_conf_sheet!$A:$H,8,FALSE),VLOOKUP("other",bug_conf_sheet!$A:$H,8,FALSE))</f>
        <v>1</v>
      </c>
    </row>
    <row r="335" spans="1:20" ht="21" customHeight="1">
      <c r="A335" s="7" t="str">
        <f t="shared" si="26"/>
        <v>3001397</v>
      </c>
      <c r="B335" s="2" t="str">
        <f t="shared" si="28"/>
        <v>3001</v>
      </c>
      <c r="C335" s="8" t="str">
        <f t="shared" si="25"/>
        <v>1PremiumS5</v>
      </c>
      <c r="D335" s="8" t="str">
        <f t="shared" si="27"/>
        <v>1PremiumS5</v>
      </c>
      <c r="E335" s="10">
        <v>1</v>
      </c>
      <c r="F335" s="6">
        <v>397</v>
      </c>
      <c r="G335" s="8" t="str">
        <f>VLOOKUP(F335,[1]characters!$A:$C,3,FALSE)</f>
        <v>禁断の追箱 乙姫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blue</v>
      </c>
      <c r="K335" s="8" t="str">
        <f>VLOOKUP(F335,[1]characters!$A:$K,11,FALSE)</f>
        <v>hp</v>
      </c>
      <c r="L335" s="8" t="str">
        <f>VLOOKUP(F335,[1]characters!$A:$M,13,FALSE)</f>
        <v>human</v>
      </c>
      <c r="M335" s="65"/>
      <c r="N335" s="16">
        <f>VLOOKUP(D335,gacha_300_base!A:B,2,FALSE)</f>
        <v>972</v>
      </c>
      <c r="O335" s="37">
        <f>IFERROR(VLOOKUP($F335,bug_conf_sheet!$A:$H,3,FALSE),VLOOKUP("other",bug_conf_sheet!$A:$H,3,FALSE))</f>
        <v>1</v>
      </c>
      <c r="P335" s="37">
        <f>IFERROR(VLOOKUP($F335,bug_conf_sheet!$A:$H,4,FALSE),VLOOKUP("other",bug_conf_sheet!$A:$H,4,FALSE))</f>
        <v>0</v>
      </c>
      <c r="Q335" s="37">
        <f>IFERROR(VLOOKUP($F335,bug_conf_sheet!$A:$H,5,FALSE),VLOOKUP("other",bug_conf_sheet!$A:$H,5,FALSE))</f>
        <v>0</v>
      </c>
      <c r="R335" s="37">
        <f>IFERROR(VLOOKUP($F335,bug_conf_sheet!$A:$H,6,FALSE),VLOOKUP("other",bug_conf_sheet!$A:$H,6,FALSE))</f>
        <v>0</v>
      </c>
      <c r="S335" s="37">
        <f>IFERROR(VLOOKUP($F335,bug_conf_sheet!$A:$H,7,FALSE),VLOOKUP("other",bug_conf_sheet!$A:$H,7,FALSE))</f>
        <v>0</v>
      </c>
      <c r="T335" s="37">
        <f>IFERROR(VLOOKUP($F335,bug_conf_sheet!$A:$H,8,FALSE),VLOOKUP("other",bug_conf_sheet!$A:$H,8,FALSE))</f>
        <v>1</v>
      </c>
    </row>
    <row r="336" spans="1:20" ht="21" customHeight="1">
      <c r="A336" s="7" t="str">
        <f t="shared" si="26"/>
        <v>3001398</v>
      </c>
      <c r="B336" s="2" t="str">
        <f t="shared" si="28"/>
        <v>3001</v>
      </c>
      <c r="C336" s="8" t="str">
        <f t="shared" si="25"/>
        <v>1PremiumSS4</v>
      </c>
      <c r="D336" s="8" t="str">
        <f t="shared" si="27"/>
        <v>1PremiumSS4</v>
      </c>
      <c r="E336" s="10">
        <v>1</v>
      </c>
      <c r="F336" s="6">
        <v>398</v>
      </c>
      <c r="G336" s="8" t="str">
        <f>VLOOKUP(F336,[1]characters!$A:$C,3,FALSE)</f>
        <v>ヘンゼル＆グレーテル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yellow</v>
      </c>
      <c r="K336" s="8" t="str">
        <f>VLOOKUP(F336,[1]characters!$A:$K,11,FALSE)</f>
        <v>balance</v>
      </c>
      <c r="L336" s="8" t="str">
        <f>VLOOKUP(F336,[1]characters!$A:$M,13,FALSE)</f>
        <v>human</v>
      </c>
      <c r="M336" s="65"/>
      <c r="N336" s="16">
        <f>VLOOKUP(D336,gacha_300_base!A:B,2,FALSE)</f>
        <v>1705</v>
      </c>
      <c r="O336" s="37">
        <f>IFERROR(VLOOKUP($F336,bug_conf_sheet!$A:$H,3,FALSE),VLOOKUP("other",bug_conf_sheet!$A:$H,3,FALSE))</f>
        <v>1</v>
      </c>
      <c r="P336" s="37">
        <f>IFERROR(VLOOKUP($F336,bug_conf_sheet!$A:$H,4,FALSE),VLOOKUP("other",bug_conf_sheet!$A:$H,4,FALSE))</f>
        <v>0</v>
      </c>
      <c r="Q336" s="37">
        <f>IFERROR(VLOOKUP($F336,bug_conf_sheet!$A:$H,5,FALSE),VLOOKUP("other",bug_conf_sheet!$A:$H,5,FALSE))</f>
        <v>0</v>
      </c>
      <c r="R336" s="37">
        <f>IFERROR(VLOOKUP($F336,bug_conf_sheet!$A:$H,6,FALSE),VLOOKUP("other",bug_conf_sheet!$A:$H,6,FALSE))</f>
        <v>0</v>
      </c>
      <c r="S336" s="37">
        <f>IFERROR(VLOOKUP($F336,bug_conf_sheet!$A:$H,7,FALSE),VLOOKUP("other",bug_conf_sheet!$A:$H,7,FALSE))</f>
        <v>0</v>
      </c>
      <c r="T336" s="37">
        <f>IFERROR(VLOOKUP($F336,bug_conf_sheet!$A:$H,8,FALSE),VLOOKUP("other",bug_conf_sheet!$A:$H,8,FALSE))</f>
        <v>1</v>
      </c>
    </row>
    <row r="337" spans="1:20" ht="21" customHeight="1">
      <c r="A337" s="7" t="str">
        <f t="shared" si="26"/>
        <v>3001399</v>
      </c>
      <c r="B337" s="2" t="str">
        <f t="shared" si="28"/>
        <v>3001</v>
      </c>
      <c r="C337" s="8" t="str">
        <f t="shared" si="25"/>
        <v>1PremiumSS5</v>
      </c>
      <c r="D337" s="8" t="str">
        <f t="shared" si="27"/>
        <v>1PremiumSS5</v>
      </c>
      <c r="E337" s="10">
        <v>1</v>
      </c>
      <c r="F337" s="6">
        <v>399</v>
      </c>
      <c r="G337" s="8" t="str">
        <f>VLOOKUP(F337,[1]characters!$A:$C,3,FALSE)</f>
        <v>信愛の兄妹 ヘンゼル＆グレーテル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yellow</v>
      </c>
      <c r="K337" s="8" t="str">
        <f>VLOOKUP(F337,[1]characters!$A:$K,11,FALSE)</f>
        <v>balance</v>
      </c>
      <c r="L337" s="8" t="str">
        <f>VLOOKUP(F337,[1]characters!$A:$M,13,FALSE)</f>
        <v>human</v>
      </c>
      <c r="M337" s="65"/>
      <c r="N337" s="16">
        <f>VLOOKUP(D337,gacha_300_base!A:B,2,FALSE)</f>
        <v>113</v>
      </c>
      <c r="O337" s="37">
        <f>IFERROR(VLOOKUP($F337,bug_conf_sheet!$A:$H,3,FALSE),VLOOKUP("other",bug_conf_sheet!$A:$H,3,FALSE))</f>
        <v>1</v>
      </c>
      <c r="P337" s="37">
        <f>IFERROR(VLOOKUP($F337,bug_conf_sheet!$A:$H,4,FALSE),VLOOKUP("other",bug_conf_sheet!$A:$H,4,FALSE))</f>
        <v>0</v>
      </c>
      <c r="Q337" s="37">
        <f>IFERROR(VLOOKUP($F337,bug_conf_sheet!$A:$H,5,FALSE),VLOOKUP("other",bug_conf_sheet!$A:$H,5,FALSE))</f>
        <v>0</v>
      </c>
      <c r="R337" s="37">
        <f>IFERROR(VLOOKUP($F337,bug_conf_sheet!$A:$H,6,FALSE),VLOOKUP("other",bug_conf_sheet!$A:$H,6,FALSE))</f>
        <v>0</v>
      </c>
      <c r="S337" s="37">
        <f>IFERROR(VLOOKUP($F337,bug_conf_sheet!$A:$H,7,FALSE),VLOOKUP("other",bug_conf_sheet!$A:$H,7,FALSE))</f>
        <v>0</v>
      </c>
      <c r="T337" s="37">
        <f>IFERROR(VLOOKUP($F337,bug_conf_sheet!$A:$H,8,FALSE),VLOOKUP("other",bug_conf_sheet!$A:$H,8,FALSE))</f>
        <v>1</v>
      </c>
    </row>
    <row r="338" spans="1:20" ht="21" customHeight="1">
      <c r="A338" s="7" t="str">
        <f t="shared" si="26"/>
        <v>3001400</v>
      </c>
      <c r="B338" s="2" t="str">
        <f t="shared" si="28"/>
        <v>3001</v>
      </c>
      <c r="C338" s="8" t="str">
        <f t="shared" si="25"/>
        <v>1PremiumS3</v>
      </c>
      <c r="D338" s="8" t="str">
        <f t="shared" si="27"/>
        <v>1PremiumS3</v>
      </c>
      <c r="E338" s="10">
        <v>1</v>
      </c>
      <c r="F338" s="6">
        <v>400</v>
      </c>
      <c r="G338" s="8" t="str">
        <f>VLOOKUP(F338,[1]characters!$A:$C,3,FALSE)</f>
        <v>フェンリル</v>
      </c>
      <c r="H338" s="8" t="str">
        <f>VLOOKUP(F338,[1]characters!$A:$J,10,FALSE)</f>
        <v>PremiumS</v>
      </c>
      <c r="I338" s="8">
        <f>VLOOKUP(F338,[1]characters!$A:$I,9,FALSE)</f>
        <v>3</v>
      </c>
      <c r="J338" s="8" t="str">
        <f>VLOOKUP(F338,[1]characters!$A:$H,8,FALSE)</f>
        <v>red</v>
      </c>
      <c r="K338" s="8" t="str">
        <f>VLOOKUP(F338,[1]characters!$A:$K,11,FALSE)</f>
        <v>attack</v>
      </c>
      <c r="L338" s="8" t="str">
        <f>VLOOKUP(F338,[1]characters!$A:$M,13,FALSE)</f>
        <v>animal</v>
      </c>
      <c r="M338" s="65"/>
      <c r="N338" s="16">
        <f>VLOOKUP(D338,gacha_300_base!A:B,2,FALSE)</f>
        <v>11912</v>
      </c>
      <c r="O338" s="37">
        <f>IFERROR(VLOOKUP($F338,bug_conf_sheet!$A:$H,3,FALSE),VLOOKUP("other",bug_conf_sheet!$A:$H,3,FALSE))</f>
        <v>1</v>
      </c>
      <c r="P338" s="37">
        <f>IFERROR(VLOOKUP($F338,bug_conf_sheet!$A:$H,4,FALSE),VLOOKUP("other",bug_conf_sheet!$A:$H,4,FALSE))</f>
        <v>0</v>
      </c>
      <c r="Q338" s="37">
        <f>IFERROR(VLOOKUP($F338,bug_conf_sheet!$A:$H,5,FALSE),VLOOKUP("other",bug_conf_sheet!$A:$H,5,FALSE))</f>
        <v>0</v>
      </c>
      <c r="R338" s="37">
        <f>IFERROR(VLOOKUP($F338,bug_conf_sheet!$A:$H,6,FALSE),VLOOKUP("other",bug_conf_sheet!$A:$H,6,FALSE))</f>
        <v>0</v>
      </c>
      <c r="S338" s="37">
        <f>IFERROR(VLOOKUP($F338,bug_conf_sheet!$A:$H,7,FALSE),VLOOKUP("other",bug_conf_sheet!$A:$H,7,FALSE))</f>
        <v>0</v>
      </c>
      <c r="T338" s="37">
        <f>IFERROR(VLOOKUP($F338,bug_conf_sheet!$A:$H,8,FALSE),VLOOKUP("other",bug_conf_sheet!$A:$H,8,FALSE))</f>
        <v>1</v>
      </c>
    </row>
    <row r="339" spans="1:20" ht="21" customHeight="1">
      <c r="A339" s="7" t="str">
        <f t="shared" si="26"/>
        <v>3001401</v>
      </c>
      <c r="B339" s="2" t="str">
        <f t="shared" si="28"/>
        <v>3001</v>
      </c>
      <c r="C339" s="8" t="str">
        <f t="shared" si="25"/>
        <v>1PremiumS4</v>
      </c>
      <c r="D339" s="8" t="str">
        <f t="shared" si="27"/>
        <v>1PremiumS4</v>
      </c>
      <c r="E339" s="10">
        <v>1</v>
      </c>
      <c r="F339" s="6">
        <v>401</v>
      </c>
      <c r="G339" s="8" t="str">
        <f>VLOOKUP(F339,[1]characters!$A:$C,3,FALSE)</f>
        <v>紅銀の孤狼 フェンリル</v>
      </c>
      <c r="H339" s="8" t="str">
        <f>VLOOKUP(F339,[1]characters!$A:$J,10,FALSE)</f>
        <v>PremiumS</v>
      </c>
      <c r="I339" s="8">
        <f>VLOOKUP(F339,[1]characters!$A:$I,9,FALSE)</f>
        <v>4</v>
      </c>
      <c r="J339" s="8" t="str">
        <f>VLOOKUP(F339,[1]characters!$A:$H,8,FALSE)</f>
        <v>red</v>
      </c>
      <c r="K339" s="8" t="str">
        <f>VLOOKUP(F339,[1]characters!$A:$K,11,FALSE)</f>
        <v>attack</v>
      </c>
      <c r="L339" s="8" t="str">
        <f>VLOOKUP(F339,[1]characters!$A:$M,13,FALSE)</f>
        <v>animal</v>
      </c>
      <c r="M339" s="65"/>
      <c r="N339" s="16">
        <f>VLOOKUP(D339,gacha_300_base!A:B,2,FALSE)</f>
        <v>2790</v>
      </c>
      <c r="O339" s="37">
        <f>IFERROR(VLOOKUP($F339,bug_conf_sheet!$A:$H,3,FALSE),VLOOKUP("other",bug_conf_sheet!$A:$H,3,FALSE))</f>
        <v>1</v>
      </c>
      <c r="P339" s="37">
        <f>IFERROR(VLOOKUP($F339,bug_conf_sheet!$A:$H,4,FALSE),VLOOKUP("other",bug_conf_sheet!$A:$H,4,FALSE))</f>
        <v>0</v>
      </c>
      <c r="Q339" s="37">
        <f>IFERROR(VLOOKUP($F339,bug_conf_sheet!$A:$H,5,FALSE),VLOOKUP("other",bug_conf_sheet!$A:$H,5,FALSE))</f>
        <v>0</v>
      </c>
      <c r="R339" s="37">
        <f>IFERROR(VLOOKUP($F339,bug_conf_sheet!$A:$H,6,FALSE),VLOOKUP("other",bug_conf_sheet!$A:$H,6,FALSE))</f>
        <v>0</v>
      </c>
      <c r="S339" s="37">
        <f>IFERROR(VLOOKUP($F339,bug_conf_sheet!$A:$H,7,FALSE),VLOOKUP("other",bug_conf_sheet!$A:$H,7,FALSE))</f>
        <v>0</v>
      </c>
      <c r="T339" s="37">
        <f>IFERROR(VLOOKUP($F339,bug_conf_sheet!$A:$H,8,FALSE),VLOOKUP("other",bug_conf_sheet!$A:$H,8,FALSE))</f>
        <v>1</v>
      </c>
    </row>
    <row r="340" spans="1:20" ht="21" customHeight="1">
      <c r="A340" s="7" t="str">
        <f t="shared" si="26"/>
        <v>3001402</v>
      </c>
      <c r="B340" s="2" t="str">
        <f t="shared" si="28"/>
        <v>3001</v>
      </c>
      <c r="C340" s="8" t="str">
        <f t="shared" si="25"/>
        <v>1PremiumS5</v>
      </c>
      <c r="D340" s="8" t="str">
        <f t="shared" si="27"/>
        <v>1PremiumS5</v>
      </c>
      <c r="E340" s="10">
        <v>1</v>
      </c>
      <c r="F340" s="6">
        <v>402</v>
      </c>
      <c r="G340" s="8" t="str">
        <f>VLOOKUP(F340,[1]characters!$A:$C,3,FALSE)</f>
        <v>天災の神狼 フェンリル</v>
      </c>
      <c r="H340" s="8" t="str">
        <f>VLOOKUP(F340,[1]characters!$A:$J,10,FALSE)</f>
        <v>PremiumS</v>
      </c>
      <c r="I340" s="8">
        <f>VLOOKUP(F340,[1]characters!$A:$I,9,FALSE)</f>
        <v>5</v>
      </c>
      <c r="J340" s="8" t="str">
        <f>VLOOKUP(F340,[1]characters!$A:$H,8,FALSE)</f>
        <v>red</v>
      </c>
      <c r="K340" s="8" t="str">
        <f>VLOOKUP(F340,[1]characters!$A:$K,11,FALSE)</f>
        <v>attack</v>
      </c>
      <c r="L340" s="8" t="str">
        <f>VLOOKUP(F340,[1]characters!$A:$M,13,FALSE)</f>
        <v>animal</v>
      </c>
      <c r="M340" s="65"/>
      <c r="N340" s="16">
        <f>VLOOKUP(D340,gacha_300_base!A:B,2,FALSE)</f>
        <v>972</v>
      </c>
      <c r="O340" s="37">
        <f>IFERROR(VLOOKUP($F340,bug_conf_sheet!$A:$H,3,FALSE),VLOOKUP("other",bug_conf_sheet!$A:$H,3,FALSE))</f>
        <v>1</v>
      </c>
      <c r="P340" s="37">
        <f>IFERROR(VLOOKUP($F340,bug_conf_sheet!$A:$H,4,FALSE),VLOOKUP("other",bug_conf_sheet!$A:$H,4,FALSE))</f>
        <v>0</v>
      </c>
      <c r="Q340" s="37">
        <f>IFERROR(VLOOKUP($F340,bug_conf_sheet!$A:$H,5,FALSE),VLOOKUP("other",bug_conf_sheet!$A:$H,5,FALSE))</f>
        <v>0</v>
      </c>
      <c r="R340" s="37">
        <f>IFERROR(VLOOKUP($F340,bug_conf_sheet!$A:$H,6,FALSE),VLOOKUP("other",bug_conf_sheet!$A:$H,6,FALSE))</f>
        <v>0</v>
      </c>
      <c r="S340" s="37">
        <f>IFERROR(VLOOKUP($F340,bug_conf_sheet!$A:$H,7,FALSE),VLOOKUP("other",bug_conf_sheet!$A:$H,7,FALSE))</f>
        <v>0</v>
      </c>
      <c r="T340" s="37">
        <f>IFERROR(VLOOKUP($F340,bug_conf_sheet!$A:$H,8,FALSE),VLOOKUP("other",bug_conf_sheet!$A:$H,8,FALSE))</f>
        <v>1</v>
      </c>
    </row>
    <row r="341" spans="1:20" ht="21" customHeight="1">
      <c r="A341" s="7" t="str">
        <f t="shared" si="26"/>
        <v>3001403</v>
      </c>
      <c r="B341" s="2" t="str">
        <f t="shared" si="28"/>
        <v>3001</v>
      </c>
      <c r="C341" s="8" t="str">
        <f t="shared" si="25"/>
        <v>1PremiumSS4</v>
      </c>
      <c r="D341" s="8" t="str">
        <f t="shared" si="27"/>
        <v>1PremiumSS4</v>
      </c>
      <c r="E341" s="10">
        <v>1</v>
      </c>
      <c r="F341" s="6">
        <v>403</v>
      </c>
      <c r="G341" s="8" t="str">
        <f>VLOOKUP(F341,[1]characters!$A:$C,3,FALSE)</f>
        <v>静撃の翠眼 八咫烏</v>
      </c>
      <c r="H341" s="8" t="str">
        <f>VLOOKUP(F341,[1]characters!$A:$J,10,FALSE)</f>
        <v>PremiumSS</v>
      </c>
      <c r="I341" s="8">
        <f>VLOOKUP(F341,[1]characters!$A:$I,9,FALSE)</f>
        <v>4</v>
      </c>
      <c r="J341" s="8" t="str">
        <f>VLOOKUP(F341,[1]characters!$A:$H,8,FALSE)</f>
        <v>green</v>
      </c>
      <c r="K341" s="8" t="str">
        <f>VLOOKUP(F341,[1]characters!$A:$K,11,FALSE)</f>
        <v>balance</v>
      </c>
      <c r="L341" s="8" t="str">
        <f>VLOOKUP(F341,[1]characters!$A:$M,13,FALSE)</f>
        <v>animal</v>
      </c>
      <c r="M341" s="65"/>
      <c r="N341" s="16">
        <f>VLOOKUP(D341,gacha_300_base!A:B,2,FALSE)</f>
        <v>1705</v>
      </c>
      <c r="O341" s="37">
        <f>IFERROR(VLOOKUP($F341,bug_conf_sheet!$A:$H,3,FALSE),VLOOKUP("other",bug_conf_sheet!$A:$H,3,FALSE))</f>
        <v>1</v>
      </c>
      <c r="P341" s="37">
        <f>IFERROR(VLOOKUP($F341,bug_conf_sheet!$A:$H,4,FALSE),VLOOKUP("other",bug_conf_sheet!$A:$H,4,FALSE))</f>
        <v>0</v>
      </c>
      <c r="Q341" s="37">
        <f>IFERROR(VLOOKUP($F341,bug_conf_sheet!$A:$H,5,FALSE),VLOOKUP("other",bug_conf_sheet!$A:$H,5,FALSE))</f>
        <v>0</v>
      </c>
      <c r="R341" s="37">
        <f>IFERROR(VLOOKUP($F341,bug_conf_sheet!$A:$H,6,FALSE),VLOOKUP("other",bug_conf_sheet!$A:$H,6,FALSE))</f>
        <v>0</v>
      </c>
      <c r="S341" s="37">
        <f>IFERROR(VLOOKUP($F341,bug_conf_sheet!$A:$H,7,FALSE),VLOOKUP("other",bug_conf_sheet!$A:$H,7,FALSE))</f>
        <v>0</v>
      </c>
      <c r="T341" s="37">
        <f>IFERROR(VLOOKUP($F341,bug_conf_sheet!$A:$H,8,FALSE),VLOOKUP("other",bug_conf_sheet!$A:$H,8,FALSE))</f>
        <v>1</v>
      </c>
    </row>
    <row r="342" spans="1:20" ht="21" customHeight="1">
      <c r="A342" s="7" t="str">
        <f t="shared" si="26"/>
        <v>3001404</v>
      </c>
      <c r="B342" s="2" t="str">
        <f t="shared" si="28"/>
        <v>3001</v>
      </c>
      <c r="C342" s="8" t="str">
        <f t="shared" si="25"/>
        <v>1PremiumSS5</v>
      </c>
      <c r="D342" s="8" t="str">
        <f t="shared" si="27"/>
        <v>1PremiumSS5</v>
      </c>
      <c r="E342" s="10">
        <v>1</v>
      </c>
      <c r="F342" s="6">
        <v>404</v>
      </c>
      <c r="G342" s="8" t="str">
        <f>VLOOKUP(F342,[1]characters!$A:$C,3,FALSE)</f>
        <v>空襲の神眼 八咫烏</v>
      </c>
      <c r="H342" s="8" t="str">
        <f>VLOOKUP(F342,[1]characters!$A:$J,10,FALSE)</f>
        <v>PremiumSS</v>
      </c>
      <c r="I342" s="8">
        <f>VLOOKUP(F342,[1]characters!$A:$I,9,FALSE)</f>
        <v>5</v>
      </c>
      <c r="J342" s="8" t="str">
        <f>VLOOKUP(F342,[1]characters!$A:$H,8,FALSE)</f>
        <v>green</v>
      </c>
      <c r="K342" s="8" t="str">
        <f>VLOOKUP(F342,[1]characters!$A:$K,11,FALSE)</f>
        <v>balance</v>
      </c>
      <c r="L342" s="8" t="str">
        <f>VLOOKUP(F342,[1]characters!$A:$M,13,FALSE)</f>
        <v>animal</v>
      </c>
      <c r="M342" s="65"/>
      <c r="N342" s="16">
        <f>VLOOKUP(D342,gacha_300_base!A:B,2,FALSE)</f>
        <v>113</v>
      </c>
      <c r="O342" s="37">
        <f>IFERROR(VLOOKUP($F342,bug_conf_sheet!$A:$H,3,FALSE),VLOOKUP("other",bug_conf_sheet!$A:$H,3,FALSE))</f>
        <v>1</v>
      </c>
      <c r="P342" s="37">
        <f>IFERROR(VLOOKUP($F342,bug_conf_sheet!$A:$H,4,FALSE),VLOOKUP("other",bug_conf_sheet!$A:$H,4,FALSE))</f>
        <v>0</v>
      </c>
      <c r="Q342" s="37">
        <f>IFERROR(VLOOKUP($F342,bug_conf_sheet!$A:$H,5,FALSE),VLOOKUP("other",bug_conf_sheet!$A:$H,5,FALSE))</f>
        <v>0</v>
      </c>
      <c r="R342" s="37">
        <f>IFERROR(VLOOKUP($F342,bug_conf_sheet!$A:$H,6,FALSE),VLOOKUP("other",bug_conf_sheet!$A:$H,6,FALSE))</f>
        <v>0</v>
      </c>
      <c r="S342" s="37">
        <f>IFERROR(VLOOKUP($F342,bug_conf_sheet!$A:$H,7,FALSE),VLOOKUP("other",bug_conf_sheet!$A:$H,7,FALSE))</f>
        <v>0</v>
      </c>
      <c r="T342" s="37">
        <f>IFERROR(VLOOKUP($F342,bug_conf_sheet!$A:$H,8,FALSE),VLOOKUP("other",bug_conf_sheet!$A:$H,8,FALSE))</f>
        <v>1</v>
      </c>
    </row>
    <row r="343" spans="1:20" ht="21" customHeight="1">
      <c r="A343" s="7" t="str">
        <f t="shared" si="26"/>
        <v>3001405</v>
      </c>
      <c r="B343" s="2" t="str">
        <f t="shared" si="28"/>
        <v>3001</v>
      </c>
      <c r="C343" s="8" t="str">
        <f t="shared" si="25"/>
        <v>1PremiumS3</v>
      </c>
      <c r="D343" s="8" t="str">
        <f t="shared" si="27"/>
        <v>1PremiumS3</v>
      </c>
      <c r="E343" s="10">
        <v>1</v>
      </c>
      <c r="F343" s="6">
        <v>405</v>
      </c>
      <c r="G343" s="8" t="str">
        <f>VLOOKUP(F343,[1]characters!$A:$C,3,FALSE)</f>
        <v>エキドナ</v>
      </c>
      <c r="H343" s="8" t="str">
        <f>VLOOKUP(F343,[1]characters!$A:$J,10,FALSE)</f>
        <v>PremiumS</v>
      </c>
      <c r="I343" s="8">
        <f>VLOOKUP(F343,[1]characters!$A:$I,9,FALSE)</f>
        <v>3</v>
      </c>
      <c r="J343" s="8" t="str">
        <f>VLOOKUP(F343,[1]characters!$A:$H,8,FALSE)</f>
        <v>blue</v>
      </c>
      <c r="K343" s="8" t="str">
        <f>VLOOKUP(F343,[1]characters!$A:$K,11,FALSE)</f>
        <v>technical</v>
      </c>
      <c r="L343" s="8" t="str">
        <f>VLOOKUP(F343,[1]characters!$A:$M,13,FALSE)</f>
        <v>animal</v>
      </c>
      <c r="M343" s="65"/>
      <c r="N343" s="16">
        <f>VLOOKUP(D343,gacha_300_base!A:B,2,FALSE)</f>
        <v>11912</v>
      </c>
      <c r="O343" s="37">
        <f>IFERROR(VLOOKUP($F343,bug_conf_sheet!$A:$H,3,FALSE),VLOOKUP("other",bug_conf_sheet!$A:$H,3,FALSE))</f>
        <v>1</v>
      </c>
      <c r="P343" s="37">
        <f>IFERROR(VLOOKUP($F343,bug_conf_sheet!$A:$H,4,FALSE),VLOOKUP("other",bug_conf_sheet!$A:$H,4,FALSE))</f>
        <v>0</v>
      </c>
      <c r="Q343" s="37">
        <f>IFERROR(VLOOKUP($F343,bug_conf_sheet!$A:$H,5,FALSE),VLOOKUP("other",bug_conf_sheet!$A:$H,5,FALSE))</f>
        <v>0</v>
      </c>
      <c r="R343" s="37">
        <f>IFERROR(VLOOKUP($F343,bug_conf_sheet!$A:$H,6,FALSE),VLOOKUP("other",bug_conf_sheet!$A:$H,6,FALSE))</f>
        <v>0</v>
      </c>
      <c r="S343" s="37">
        <f>IFERROR(VLOOKUP($F343,bug_conf_sheet!$A:$H,7,FALSE),VLOOKUP("other",bug_conf_sheet!$A:$H,7,FALSE))</f>
        <v>0</v>
      </c>
      <c r="T343" s="37">
        <f>IFERROR(VLOOKUP($F343,bug_conf_sheet!$A:$H,8,FALSE),VLOOKUP("other",bug_conf_sheet!$A:$H,8,FALSE))</f>
        <v>1</v>
      </c>
    </row>
    <row r="344" spans="1:20" ht="21" customHeight="1">
      <c r="A344" s="7" t="str">
        <f t="shared" si="26"/>
        <v>3001406</v>
      </c>
      <c r="B344" s="2" t="str">
        <f t="shared" si="28"/>
        <v>3001</v>
      </c>
      <c r="C344" s="8" t="str">
        <f t="shared" si="25"/>
        <v>1PremiumS4</v>
      </c>
      <c r="D344" s="8" t="str">
        <f t="shared" si="27"/>
        <v>1PremiumS4</v>
      </c>
      <c r="E344" s="10">
        <v>1</v>
      </c>
      <c r="F344" s="6">
        <v>406</v>
      </c>
      <c r="G344" s="8" t="str">
        <f>VLOOKUP(F344,[1]characters!$A:$C,3,FALSE)</f>
        <v>美笑の蒼蛇 エキドナ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blue</v>
      </c>
      <c r="K344" s="8" t="str">
        <f>VLOOKUP(F344,[1]characters!$A:$K,11,FALSE)</f>
        <v>technical</v>
      </c>
      <c r="L344" s="8" t="str">
        <f>VLOOKUP(F344,[1]characters!$A:$M,13,FALSE)</f>
        <v>animal</v>
      </c>
      <c r="M344" s="65"/>
      <c r="N344" s="16">
        <f>VLOOKUP(D344,gacha_300_base!A:B,2,FALSE)</f>
        <v>2790</v>
      </c>
      <c r="O344" s="37">
        <f>IFERROR(VLOOKUP($F344,bug_conf_sheet!$A:$H,3,FALSE),VLOOKUP("other",bug_conf_sheet!$A:$H,3,FALSE))</f>
        <v>1</v>
      </c>
      <c r="P344" s="37">
        <f>IFERROR(VLOOKUP($F344,bug_conf_sheet!$A:$H,4,FALSE),VLOOKUP("other",bug_conf_sheet!$A:$H,4,FALSE))</f>
        <v>0</v>
      </c>
      <c r="Q344" s="37">
        <f>IFERROR(VLOOKUP($F344,bug_conf_sheet!$A:$H,5,FALSE),VLOOKUP("other",bug_conf_sheet!$A:$H,5,FALSE))</f>
        <v>0</v>
      </c>
      <c r="R344" s="37">
        <f>IFERROR(VLOOKUP($F344,bug_conf_sheet!$A:$H,6,FALSE),VLOOKUP("other",bug_conf_sheet!$A:$H,6,FALSE))</f>
        <v>0</v>
      </c>
      <c r="S344" s="37">
        <f>IFERROR(VLOOKUP($F344,bug_conf_sheet!$A:$H,7,FALSE),VLOOKUP("other",bug_conf_sheet!$A:$H,7,FALSE))</f>
        <v>0</v>
      </c>
      <c r="T344" s="37">
        <f>IFERROR(VLOOKUP($F344,bug_conf_sheet!$A:$H,8,FALSE),VLOOKUP("other",bug_conf_sheet!$A:$H,8,FALSE))</f>
        <v>1</v>
      </c>
    </row>
    <row r="345" spans="1:20" ht="21" customHeight="1">
      <c r="A345" s="7" t="str">
        <f t="shared" si="26"/>
        <v>3001407</v>
      </c>
      <c r="B345" s="2" t="str">
        <f t="shared" si="28"/>
        <v>3001</v>
      </c>
      <c r="C345" s="8" t="str">
        <f t="shared" si="25"/>
        <v>1PremiumS5</v>
      </c>
      <c r="D345" s="8" t="str">
        <f t="shared" si="27"/>
        <v>1PremiumS5</v>
      </c>
      <c r="E345" s="10">
        <v>1</v>
      </c>
      <c r="F345" s="6">
        <v>407</v>
      </c>
      <c r="G345" s="8" t="str">
        <f>VLOOKUP(F345,[1]characters!$A:$C,3,FALSE)</f>
        <v>蠱惑の飛刀 エキドナ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blue</v>
      </c>
      <c r="K345" s="8" t="str">
        <f>VLOOKUP(F345,[1]characters!$A:$K,11,FALSE)</f>
        <v>technical</v>
      </c>
      <c r="L345" s="8" t="str">
        <f>VLOOKUP(F345,[1]characters!$A:$M,13,FALSE)</f>
        <v>animal</v>
      </c>
      <c r="M345" s="65"/>
      <c r="N345" s="16">
        <f>VLOOKUP(D345,gacha_300_base!A:B,2,FALSE)</f>
        <v>972</v>
      </c>
      <c r="O345" s="37">
        <f>IFERROR(VLOOKUP($F345,bug_conf_sheet!$A:$H,3,FALSE),VLOOKUP("other",bug_conf_sheet!$A:$H,3,FALSE))</f>
        <v>1</v>
      </c>
      <c r="P345" s="37">
        <f>IFERROR(VLOOKUP($F345,bug_conf_sheet!$A:$H,4,FALSE),VLOOKUP("other",bug_conf_sheet!$A:$H,4,FALSE))</f>
        <v>0</v>
      </c>
      <c r="Q345" s="37">
        <f>IFERROR(VLOOKUP($F345,bug_conf_sheet!$A:$H,5,FALSE),VLOOKUP("other",bug_conf_sheet!$A:$H,5,FALSE))</f>
        <v>0</v>
      </c>
      <c r="R345" s="37">
        <f>IFERROR(VLOOKUP($F345,bug_conf_sheet!$A:$H,6,FALSE),VLOOKUP("other",bug_conf_sheet!$A:$H,6,FALSE))</f>
        <v>0</v>
      </c>
      <c r="S345" s="37">
        <f>IFERROR(VLOOKUP($F345,bug_conf_sheet!$A:$H,7,FALSE),VLOOKUP("other",bug_conf_sheet!$A:$H,7,FALSE))</f>
        <v>0</v>
      </c>
      <c r="T345" s="37">
        <f>IFERROR(VLOOKUP($F345,bug_conf_sheet!$A:$H,8,FALSE),VLOOKUP("other",bug_conf_sheet!$A:$H,8,FALSE))</f>
        <v>1</v>
      </c>
    </row>
    <row r="346" spans="1:20" ht="21" customHeight="1">
      <c r="A346" s="7" t="str">
        <f t="shared" si="26"/>
        <v>3001408</v>
      </c>
      <c r="B346" s="2" t="str">
        <f t="shared" si="28"/>
        <v>3001</v>
      </c>
      <c r="C346" s="8" t="str">
        <f t="shared" si="25"/>
        <v>1PremiumSS4</v>
      </c>
      <c r="D346" s="8" t="str">
        <f t="shared" si="27"/>
        <v>1PremiumSS4</v>
      </c>
      <c r="E346" s="10">
        <v>1</v>
      </c>
      <c r="F346" s="6">
        <v>408</v>
      </c>
      <c r="G346" s="8" t="str">
        <f>VLOOKUP(F346,[1]characters!$A:$C,3,FALSE)</f>
        <v>皇魔 アスタロト</v>
      </c>
      <c r="H346" s="8" t="str">
        <f>VLOOKUP(F346,[1]characters!$A:$J,10,FALSE)</f>
        <v>PremiumSS</v>
      </c>
      <c r="I346" s="8">
        <f>VLOOKUP(F346,[1]characters!$A:$I,9,FALSE)</f>
        <v>4</v>
      </c>
      <c r="J346" s="8" t="str">
        <f>VLOOKUP(F346,[1]characters!$A:$H,8,FALSE)</f>
        <v>yellow</v>
      </c>
      <c r="K346" s="8" t="str">
        <f>VLOOKUP(F346,[1]characters!$A:$K,11,FALSE)</f>
        <v>attack</v>
      </c>
      <c r="L346" s="8" t="str">
        <f>VLOOKUP(F346,[1]characters!$A:$M,13,FALSE)</f>
        <v>god</v>
      </c>
      <c r="M346" s="65"/>
      <c r="N346" s="16">
        <f>VLOOKUP(D346,gacha_300_base!A:B,2,FALSE)</f>
        <v>1705</v>
      </c>
      <c r="O346" s="37">
        <f>IFERROR(VLOOKUP($F346,bug_conf_sheet!$A:$H,3,FALSE),VLOOKUP("other",bug_conf_sheet!$A:$H,3,FALSE))</f>
        <v>1</v>
      </c>
      <c r="P346" s="37">
        <f>IFERROR(VLOOKUP($F346,bug_conf_sheet!$A:$H,4,FALSE),VLOOKUP("other",bug_conf_sheet!$A:$H,4,FALSE))</f>
        <v>0</v>
      </c>
      <c r="Q346" s="37">
        <f>IFERROR(VLOOKUP($F346,bug_conf_sheet!$A:$H,5,FALSE),VLOOKUP("other",bug_conf_sheet!$A:$H,5,FALSE))</f>
        <v>0</v>
      </c>
      <c r="R346" s="37">
        <f>IFERROR(VLOOKUP($F346,bug_conf_sheet!$A:$H,6,FALSE),VLOOKUP("other",bug_conf_sheet!$A:$H,6,FALSE))</f>
        <v>0</v>
      </c>
      <c r="S346" s="37">
        <f>IFERROR(VLOOKUP($F346,bug_conf_sheet!$A:$H,7,FALSE),VLOOKUP("other",bug_conf_sheet!$A:$H,7,FALSE))</f>
        <v>0</v>
      </c>
      <c r="T346" s="37">
        <f>IFERROR(VLOOKUP($F346,bug_conf_sheet!$A:$H,8,FALSE),VLOOKUP("other",bug_conf_sheet!$A:$H,8,FALSE))</f>
        <v>1</v>
      </c>
    </row>
    <row r="347" spans="1:20" ht="21" customHeight="1">
      <c r="A347" s="7" t="str">
        <f t="shared" si="26"/>
        <v>3001409</v>
      </c>
      <c r="B347" s="2" t="str">
        <f t="shared" si="28"/>
        <v>3001</v>
      </c>
      <c r="C347" s="8" t="str">
        <f t="shared" si="25"/>
        <v>1PremiumSS5</v>
      </c>
      <c r="D347" s="8" t="str">
        <f t="shared" si="27"/>
        <v>1PremiumSS5</v>
      </c>
      <c r="E347" s="10">
        <v>1</v>
      </c>
      <c r="F347" s="6">
        <v>409</v>
      </c>
      <c r="G347" s="8" t="str">
        <f>VLOOKUP(F347,[1]characters!$A:$C,3,FALSE)</f>
        <v>天眼の皇貴魔 アスタロト</v>
      </c>
      <c r="H347" s="8" t="str">
        <f>VLOOKUP(F347,[1]characters!$A:$J,10,FALSE)</f>
        <v>PremiumSS</v>
      </c>
      <c r="I347" s="8">
        <f>VLOOKUP(F347,[1]characters!$A:$I,9,FALSE)</f>
        <v>5</v>
      </c>
      <c r="J347" s="8" t="str">
        <f>VLOOKUP(F347,[1]characters!$A:$H,8,FALSE)</f>
        <v>yellow</v>
      </c>
      <c r="K347" s="8" t="str">
        <f>VLOOKUP(F347,[1]characters!$A:$K,11,FALSE)</f>
        <v>attack</v>
      </c>
      <c r="L347" s="8" t="str">
        <f>VLOOKUP(F347,[1]characters!$A:$M,13,FALSE)</f>
        <v>god</v>
      </c>
      <c r="M347" s="65"/>
      <c r="N347" s="16">
        <f>VLOOKUP(D347,gacha_300_base!A:B,2,FALSE)</f>
        <v>113</v>
      </c>
      <c r="O347" s="37">
        <f>IFERROR(VLOOKUP($F347,bug_conf_sheet!$A:$H,3,FALSE),VLOOKUP("other",bug_conf_sheet!$A:$H,3,FALSE))</f>
        <v>1</v>
      </c>
      <c r="P347" s="37">
        <f>IFERROR(VLOOKUP($F347,bug_conf_sheet!$A:$H,4,FALSE),VLOOKUP("other",bug_conf_sheet!$A:$H,4,FALSE))</f>
        <v>0</v>
      </c>
      <c r="Q347" s="37">
        <f>IFERROR(VLOOKUP($F347,bug_conf_sheet!$A:$H,5,FALSE),VLOOKUP("other",bug_conf_sheet!$A:$H,5,FALSE))</f>
        <v>0</v>
      </c>
      <c r="R347" s="37">
        <f>IFERROR(VLOOKUP($F347,bug_conf_sheet!$A:$H,6,FALSE),VLOOKUP("other",bug_conf_sheet!$A:$H,6,FALSE))</f>
        <v>0</v>
      </c>
      <c r="S347" s="37">
        <f>IFERROR(VLOOKUP($F347,bug_conf_sheet!$A:$H,7,FALSE),VLOOKUP("other",bug_conf_sheet!$A:$H,7,FALSE))</f>
        <v>0</v>
      </c>
      <c r="T347" s="37">
        <f>IFERROR(VLOOKUP($F347,bug_conf_sheet!$A:$H,8,FALSE),VLOOKUP("other",bug_conf_sheet!$A:$H,8,FALSE))</f>
        <v>1</v>
      </c>
    </row>
    <row r="348" spans="1:20" ht="21" customHeight="1">
      <c r="A348" s="7" t="str">
        <f t="shared" si="26"/>
        <v>3001434</v>
      </c>
      <c r="B348" s="2" t="str">
        <f t="shared" si="28"/>
        <v>3001</v>
      </c>
      <c r="C348" s="8" t="str">
        <f t="shared" si="25"/>
        <v>1PremiumSS4</v>
      </c>
      <c r="D348" s="8" t="str">
        <f t="shared" si="27"/>
        <v>1PremiumSS4</v>
      </c>
      <c r="E348" s="10">
        <v>1</v>
      </c>
      <c r="F348" s="6">
        <v>434</v>
      </c>
      <c r="G348" s="8" t="str">
        <f>VLOOKUP(F348,[1]characters!$A:$C,3,FALSE)</f>
        <v>D.R.T.H.</v>
      </c>
      <c r="H348" s="8" t="str">
        <f>VLOOKUP(F348,[1]characters!$A:$J,10,FALSE)</f>
        <v>PremiumSS</v>
      </c>
      <c r="I348" s="8">
        <f>VLOOKUP(F348,[1]characters!$A:$I,9,FALSE)</f>
        <v>4</v>
      </c>
      <c r="J348" s="8" t="str">
        <f>VLOOKUP(F348,[1]characters!$A:$H,8,FALSE)</f>
        <v>red</v>
      </c>
      <c r="K348" s="8" t="str">
        <f>VLOOKUP(F348,[1]characters!$A:$K,11,FALSE)</f>
        <v>balance</v>
      </c>
      <c r="L348" s="8" t="str">
        <f>VLOOKUP(F348,[1]characters!$A:$M,13,FALSE)</f>
        <v>human</v>
      </c>
      <c r="M348" s="65"/>
      <c r="N348" s="16">
        <f>VLOOKUP(D348,gacha_300_base!A:B,2,FALSE)</f>
        <v>1705</v>
      </c>
      <c r="O348" s="37">
        <f>IFERROR(VLOOKUP($F348,bug_conf_sheet!$A:$H,3,FALSE),VLOOKUP("other",bug_conf_sheet!$A:$H,3,FALSE))</f>
        <v>1</v>
      </c>
      <c r="P348" s="37">
        <f>IFERROR(VLOOKUP($F348,bug_conf_sheet!$A:$H,4,FALSE),VLOOKUP("other",bug_conf_sheet!$A:$H,4,FALSE))</f>
        <v>0</v>
      </c>
      <c r="Q348" s="37">
        <f>IFERROR(VLOOKUP($F348,bug_conf_sheet!$A:$H,5,FALSE),VLOOKUP("other",bug_conf_sheet!$A:$H,5,FALSE))</f>
        <v>0</v>
      </c>
      <c r="R348" s="37">
        <f>IFERROR(VLOOKUP($F348,bug_conf_sheet!$A:$H,6,FALSE),VLOOKUP("other",bug_conf_sheet!$A:$H,6,FALSE))</f>
        <v>0</v>
      </c>
      <c r="S348" s="37">
        <f>IFERROR(VLOOKUP($F348,bug_conf_sheet!$A:$H,7,FALSE),VLOOKUP("other",bug_conf_sheet!$A:$H,7,FALSE))</f>
        <v>0</v>
      </c>
      <c r="T348" s="37">
        <f>IFERROR(VLOOKUP($F348,bug_conf_sheet!$A:$H,8,FALSE),VLOOKUP("other",bug_conf_sheet!$A:$H,8,FALSE))</f>
        <v>1</v>
      </c>
    </row>
    <row r="349" spans="1:20" ht="21" customHeight="1">
      <c r="A349" s="7" t="str">
        <f t="shared" si="26"/>
        <v>3001435</v>
      </c>
      <c r="B349" s="2" t="str">
        <f t="shared" si="28"/>
        <v>3001</v>
      </c>
      <c r="C349" s="8" t="str">
        <f t="shared" si="25"/>
        <v>1PremiumSS5</v>
      </c>
      <c r="D349" s="8" t="str">
        <f t="shared" si="27"/>
        <v>1PremiumSS5</v>
      </c>
      <c r="E349" s="10">
        <v>1</v>
      </c>
      <c r="F349" s="6">
        <v>435</v>
      </c>
      <c r="G349" s="8" t="str">
        <f>VLOOKUP(F349,[1]characters!$A:$C,3,FALSE)</f>
        <v>曝弾の密偵 D.R.T.H.</v>
      </c>
      <c r="H349" s="8" t="str">
        <f>VLOOKUP(F349,[1]characters!$A:$J,10,FALSE)</f>
        <v>PremiumSS</v>
      </c>
      <c r="I349" s="8">
        <f>VLOOKUP(F349,[1]characters!$A:$I,9,FALSE)</f>
        <v>5</v>
      </c>
      <c r="J349" s="8" t="str">
        <f>VLOOKUP(F349,[1]characters!$A:$H,8,FALSE)</f>
        <v>red</v>
      </c>
      <c r="K349" s="8" t="str">
        <f>VLOOKUP(F349,[1]characters!$A:$K,11,FALSE)</f>
        <v>balance</v>
      </c>
      <c r="L349" s="8" t="str">
        <f>VLOOKUP(F349,[1]characters!$A:$M,13,FALSE)</f>
        <v>human</v>
      </c>
      <c r="M349" s="65"/>
      <c r="N349" s="16">
        <f>VLOOKUP(D349,gacha_300_base!A:B,2,FALSE)</f>
        <v>113</v>
      </c>
      <c r="O349" s="37">
        <f>IFERROR(VLOOKUP($F349,bug_conf_sheet!$A:$H,3,FALSE),VLOOKUP("other",bug_conf_sheet!$A:$H,3,FALSE))</f>
        <v>1</v>
      </c>
      <c r="P349" s="37">
        <f>IFERROR(VLOOKUP($F349,bug_conf_sheet!$A:$H,4,FALSE),VLOOKUP("other",bug_conf_sheet!$A:$H,4,FALSE))</f>
        <v>0</v>
      </c>
      <c r="Q349" s="37">
        <f>IFERROR(VLOOKUP($F349,bug_conf_sheet!$A:$H,5,FALSE),VLOOKUP("other",bug_conf_sheet!$A:$H,5,FALSE))</f>
        <v>0</v>
      </c>
      <c r="R349" s="37">
        <f>IFERROR(VLOOKUP($F349,bug_conf_sheet!$A:$H,6,FALSE),VLOOKUP("other",bug_conf_sheet!$A:$H,6,FALSE))</f>
        <v>0</v>
      </c>
      <c r="S349" s="37">
        <f>IFERROR(VLOOKUP($F349,bug_conf_sheet!$A:$H,7,FALSE),VLOOKUP("other",bug_conf_sheet!$A:$H,7,FALSE))</f>
        <v>0</v>
      </c>
      <c r="T349" s="37">
        <f>IFERROR(VLOOKUP($F349,bug_conf_sheet!$A:$H,8,FALSE),VLOOKUP("other",bug_conf_sheet!$A:$H,8,FALSE))</f>
        <v>1</v>
      </c>
    </row>
    <row r="350" spans="1:20" ht="21" customHeight="1">
      <c r="A350" s="7" t="str">
        <f t="shared" si="26"/>
        <v>3001436</v>
      </c>
      <c r="B350" s="2" t="str">
        <f t="shared" si="28"/>
        <v>3001</v>
      </c>
      <c r="C350" s="8" t="str">
        <f t="shared" si="25"/>
        <v>1PremiumS3</v>
      </c>
      <c r="D350" s="8" t="str">
        <f t="shared" si="27"/>
        <v>1PremiumS3</v>
      </c>
      <c r="E350" s="10">
        <v>1</v>
      </c>
      <c r="F350" s="6">
        <v>436</v>
      </c>
      <c r="G350" s="8" t="str">
        <f>VLOOKUP(F350,[1]characters!$A:$C,3,FALSE)</f>
        <v>カカシ</v>
      </c>
      <c r="H350" s="8" t="str">
        <f>VLOOKUP(F350,[1]characters!$A:$J,10,FALSE)</f>
        <v>PremiumS</v>
      </c>
      <c r="I350" s="8">
        <f>VLOOKUP(F350,[1]characters!$A:$I,9,FALSE)</f>
        <v>3</v>
      </c>
      <c r="J350" s="8" t="str">
        <f>VLOOKUP(F350,[1]characters!$A:$H,8,FALSE)</f>
        <v>green</v>
      </c>
      <c r="K350" s="8" t="str">
        <f>VLOOKUP(F350,[1]characters!$A:$K,11,FALSE)</f>
        <v>technical</v>
      </c>
      <c r="L350" s="8" t="str">
        <f>VLOOKUP(F350,[1]characters!$A:$M,13,FALSE)</f>
        <v>human</v>
      </c>
      <c r="M350" s="65"/>
      <c r="N350" s="16">
        <f>VLOOKUP(D350,gacha_300_base!A:B,2,FALSE)</f>
        <v>11912</v>
      </c>
      <c r="O350" s="37">
        <f>IFERROR(VLOOKUP($F350,bug_conf_sheet!$A:$H,3,FALSE),VLOOKUP("other",bug_conf_sheet!$A:$H,3,FALSE))</f>
        <v>1</v>
      </c>
      <c r="P350" s="37">
        <f>IFERROR(VLOOKUP($F350,bug_conf_sheet!$A:$H,4,FALSE),VLOOKUP("other",bug_conf_sheet!$A:$H,4,FALSE))</f>
        <v>0</v>
      </c>
      <c r="Q350" s="37">
        <f>IFERROR(VLOOKUP($F350,bug_conf_sheet!$A:$H,5,FALSE),VLOOKUP("other",bug_conf_sheet!$A:$H,5,FALSE))</f>
        <v>0</v>
      </c>
      <c r="R350" s="37">
        <f>IFERROR(VLOOKUP($F350,bug_conf_sheet!$A:$H,6,FALSE),VLOOKUP("other",bug_conf_sheet!$A:$H,6,FALSE))</f>
        <v>0</v>
      </c>
      <c r="S350" s="37">
        <f>IFERROR(VLOOKUP($F350,bug_conf_sheet!$A:$H,7,FALSE),VLOOKUP("other",bug_conf_sheet!$A:$H,7,FALSE))</f>
        <v>0</v>
      </c>
      <c r="T350" s="37">
        <f>IFERROR(VLOOKUP($F350,bug_conf_sheet!$A:$H,8,FALSE),VLOOKUP("other",bug_conf_sheet!$A:$H,8,FALSE))</f>
        <v>1</v>
      </c>
    </row>
    <row r="351" spans="1:20" ht="21" customHeight="1">
      <c r="A351" s="7" t="str">
        <f t="shared" si="26"/>
        <v>3001437</v>
      </c>
      <c r="B351" s="2" t="str">
        <f t="shared" si="28"/>
        <v>3001</v>
      </c>
      <c r="C351" s="8" t="str">
        <f t="shared" si="25"/>
        <v>1PremiumS4</v>
      </c>
      <c r="D351" s="8" t="str">
        <f t="shared" si="27"/>
        <v>1PremiumS4</v>
      </c>
      <c r="E351" s="10">
        <v>1</v>
      </c>
      <c r="F351" s="6">
        <v>437</v>
      </c>
      <c r="G351" s="8" t="str">
        <f>VLOOKUP(F351,[1]characters!$A:$C,3,FALSE)</f>
        <v>忘却者 カカシ</v>
      </c>
      <c r="H351" s="8" t="str">
        <f>VLOOKUP(F351,[1]characters!$A:$J,10,FALSE)</f>
        <v>PremiumS</v>
      </c>
      <c r="I351" s="8">
        <f>VLOOKUP(F351,[1]characters!$A:$I,9,FALSE)</f>
        <v>4</v>
      </c>
      <c r="J351" s="8" t="str">
        <f>VLOOKUP(F351,[1]characters!$A:$H,8,FALSE)</f>
        <v>green</v>
      </c>
      <c r="K351" s="8" t="str">
        <f>VLOOKUP(F351,[1]characters!$A:$K,11,FALSE)</f>
        <v>technical</v>
      </c>
      <c r="L351" s="8" t="str">
        <f>VLOOKUP(F351,[1]characters!$A:$M,13,FALSE)</f>
        <v>human</v>
      </c>
      <c r="M351" s="65"/>
      <c r="N351" s="16">
        <f>VLOOKUP(D351,gacha_300_base!A:B,2,FALSE)</f>
        <v>2790</v>
      </c>
      <c r="O351" s="37">
        <f>IFERROR(VLOOKUP($F351,bug_conf_sheet!$A:$H,3,FALSE),VLOOKUP("other",bug_conf_sheet!$A:$H,3,FALSE))</f>
        <v>1</v>
      </c>
      <c r="P351" s="37">
        <f>IFERROR(VLOOKUP($F351,bug_conf_sheet!$A:$H,4,FALSE),VLOOKUP("other",bug_conf_sheet!$A:$H,4,FALSE))</f>
        <v>0</v>
      </c>
      <c r="Q351" s="37">
        <f>IFERROR(VLOOKUP($F351,bug_conf_sheet!$A:$H,5,FALSE),VLOOKUP("other",bug_conf_sheet!$A:$H,5,FALSE))</f>
        <v>0</v>
      </c>
      <c r="R351" s="37">
        <f>IFERROR(VLOOKUP($F351,bug_conf_sheet!$A:$H,6,FALSE),VLOOKUP("other",bug_conf_sheet!$A:$H,6,FALSE))</f>
        <v>0</v>
      </c>
      <c r="S351" s="37">
        <f>IFERROR(VLOOKUP($F351,bug_conf_sheet!$A:$H,7,FALSE),VLOOKUP("other",bug_conf_sheet!$A:$H,7,FALSE))</f>
        <v>0</v>
      </c>
      <c r="T351" s="37">
        <f>IFERROR(VLOOKUP($F351,bug_conf_sheet!$A:$H,8,FALSE),VLOOKUP("other",bug_conf_sheet!$A:$H,8,FALSE))</f>
        <v>1</v>
      </c>
    </row>
    <row r="352" spans="1:20" ht="21" customHeight="1">
      <c r="A352" s="7" t="str">
        <f t="shared" si="26"/>
        <v>3001438</v>
      </c>
      <c r="B352" s="2" t="str">
        <f t="shared" si="28"/>
        <v>3001</v>
      </c>
      <c r="C352" s="8" t="str">
        <f t="shared" si="25"/>
        <v>1PremiumS5</v>
      </c>
      <c r="D352" s="8" t="str">
        <f t="shared" si="27"/>
        <v>1PremiumS5</v>
      </c>
      <c r="E352" s="10">
        <v>1</v>
      </c>
      <c r="F352" s="6">
        <v>438</v>
      </c>
      <c r="G352" s="8" t="str">
        <f>VLOOKUP(F352,[1]characters!$A:$C,3,FALSE)</f>
        <v>記憶の奪還 カカシ</v>
      </c>
      <c r="H352" s="8" t="str">
        <f>VLOOKUP(F352,[1]characters!$A:$J,10,FALSE)</f>
        <v>PremiumS</v>
      </c>
      <c r="I352" s="8">
        <f>VLOOKUP(F352,[1]characters!$A:$I,9,FALSE)</f>
        <v>5</v>
      </c>
      <c r="J352" s="8" t="str">
        <f>VLOOKUP(F352,[1]characters!$A:$H,8,FALSE)</f>
        <v>green</v>
      </c>
      <c r="K352" s="8" t="str">
        <f>VLOOKUP(F352,[1]characters!$A:$K,11,FALSE)</f>
        <v>technical</v>
      </c>
      <c r="L352" s="8" t="str">
        <f>VLOOKUP(F352,[1]characters!$A:$M,13,FALSE)</f>
        <v>human</v>
      </c>
      <c r="M352" s="65"/>
      <c r="N352" s="16">
        <f>VLOOKUP(D352,gacha_300_base!A:B,2,FALSE)</f>
        <v>972</v>
      </c>
      <c r="O352" s="37">
        <f>IFERROR(VLOOKUP($F352,bug_conf_sheet!$A:$H,3,FALSE),VLOOKUP("other",bug_conf_sheet!$A:$H,3,FALSE))</f>
        <v>1</v>
      </c>
      <c r="P352" s="37">
        <f>IFERROR(VLOOKUP($F352,bug_conf_sheet!$A:$H,4,FALSE),VLOOKUP("other",bug_conf_sheet!$A:$H,4,FALSE))</f>
        <v>0</v>
      </c>
      <c r="Q352" s="37">
        <f>IFERROR(VLOOKUP($F352,bug_conf_sheet!$A:$H,5,FALSE),VLOOKUP("other",bug_conf_sheet!$A:$H,5,FALSE))</f>
        <v>0</v>
      </c>
      <c r="R352" s="37">
        <f>IFERROR(VLOOKUP($F352,bug_conf_sheet!$A:$H,6,FALSE),VLOOKUP("other",bug_conf_sheet!$A:$H,6,FALSE))</f>
        <v>0</v>
      </c>
      <c r="S352" s="37">
        <f>IFERROR(VLOOKUP($F352,bug_conf_sheet!$A:$H,7,FALSE),VLOOKUP("other",bug_conf_sheet!$A:$H,7,FALSE))</f>
        <v>0</v>
      </c>
      <c r="T352" s="37">
        <f>IFERROR(VLOOKUP($F352,bug_conf_sheet!$A:$H,8,FALSE),VLOOKUP("other",bug_conf_sheet!$A:$H,8,FALSE))</f>
        <v>1</v>
      </c>
    </row>
    <row r="353" spans="1:20" ht="21" customHeight="1">
      <c r="A353" s="7" t="str">
        <f t="shared" si="26"/>
        <v>3001439</v>
      </c>
      <c r="B353" s="2" t="str">
        <f t="shared" si="28"/>
        <v>3001</v>
      </c>
      <c r="C353" s="8" t="str">
        <f t="shared" si="25"/>
        <v>1PremiumS3</v>
      </c>
      <c r="D353" s="8" t="str">
        <f t="shared" si="27"/>
        <v>1PremiumS3</v>
      </c>
      <c r="E353" s="10">
        <v>1</v>
      </c>
      <c r="F353" s="6">
        <v>439</v>
      </c>
      <c r="G353" s="8" t="str">
        <f>VLOOKUP(F353,[1]characters!$A:$C,3,FALSE)</f>
        <v>ブリキロガー</v>
      </c>
      <c r="H353" s="8" t="str">
        <f>VLOOKUP(F353,[1]characters!$A:$J,10,FALSE)</f>
        <v>PremiumS</v>
      </c>
      <c r="I353" s="8">
        <f>VLOOKUP(F353,[1]characters!$A:$I,9,FALSE)</f>
        <v>3</v>
      </c>
      <c r="J353" s="8" t="str">
        <f>VLOOKUP(F353,[1]characters!$A:$H,8,FALSE)</f>
        <v>blue</v>
      </c>
      <c r="K353" s="8" t="str">
        <f>VLOOKUP(F353,[1]characters!$A:$K,11,FALSE)</f>
        <v>attack</v>
      </c>
      <c r="L353" s="8" t="str">
        <f>VLOOKUP(F353,[1]characters!$A:$M,13,FALSE)</f>
        <v>machine</v>
      </c>
      <c r="M353" s="65"/>
      <c r="N353" s="16">
        <f>VLOOKUP(D353,gacha_300_base!A:B,2,FALSE)</f>
        <v>11912</v>
      </c>
      <c r="O353" s="37">
        <f>IFERROR(VLOOKUP($F353,bug_conf_sheet!$A:$H,3,FALSE),VLOOKUP("other",bug_conf_sheet!$A:$H,3,FALSE))</f>
        <v>1</v>
      </c>
      <c r="P353" s="37">
        <f>IFERROR(VLOOKUP($F353,bug_conf_sheet!$A:$H,4,FALSE),VLOOKUP("other",bug_conf_sheet!$A:$H,4,FALSE))</f>
        <v>0</v>
      </c>
      <c r="Q353" s="37">
        <f>IFERROR(VLOOKUP($F353,bug_conf_sheet!$A:$H,5,FALSE),VLOOKUP("other",bug_conf_sheet!$A:$H,5,FALSE))</f>
        <v>0</v>
      </c>
      <c r="R353" s="37">
        <f>IFERROR(VLOOKUP($F353,bug_conf_sheet!$A:$H,6,FALSE),VLOOKUP("other",bug_conf_sheet!$A:$H,6,FALSE))</f>
        <v>0</v>
      </c>
      <c r="S353" s="37">
        <f>IFERROR(VLOOKUP($F353,bug_conf_sheet!$A:$H,7,FALSE),VLOOKUP("other",bug_conf_sheet!$A:$H,7,FALSE))</f>
        <v>0</v>
      </c>
      <c r="T353" s="37">
        <f>IFERROR(VLOOKUP($F353,bug_conf_sheet!$A:$H,8,FALSE),VLOOKUP("other",bug_conf_sheet!$A:$H,8,FALSE))</f>
        <v>1</v>
      </c>
    </row>
    <row r="354" spans="1:20" ht="21" customHeight="1">
      <c r="A354" s="7" t="str">
        <f t="shared" si="26"/>
        <v>3001440</v>
      </c>
      <c r="B354" s="2" t="str">
        <f t="shared" si="28"/>
        <v>3001</v>
      </c>
      <c r="C354" s="8" t="str">
        <f t="shared" si="25"/>
        <v>1PremiumS4</v>
      </c>
      <c r="D354" s="8" t="str">
        <f t="shared" si="27"/>
        <v>1PremiumS4</v>
      </c>
      <c r="E354" s="10">
        <v>1</v>
      </c>
      <c r="F354" s="6">
        <v>440</v>
      </c>
      <c r="G354" s="8" t="str">
        <f>VLOOKUP(F354,[1]characters!$A:$C,3,FALSE)</f>
        <v>改良型 ブリキロガー</v>
      </c>
      <c r="H354" s="8" t="str">
        <f>VLOOKUP(F354,[1]characters!$A:$J,10,FALSE)</f>
        <v>PremiumS</v>
      </c>
      <c r="I354" s="8">
        <f>VLOOKUP(F354,[1]characters!$A:$I,9,FALSE)</f>
        <v>4</v>
      </c>
      <c r="J354" s="8" t="str">
        <f>VLOOKUP(F354,[1]characters!$A:$H,8,FALSE)</f>
        <v>blue</v>
      </c>
      <c r="K354" s="8" t="str">
        <f>VLOOKUP(F354,[1]characters!$A:$K,11,FALSE)</f>
        <v>attack</v>
      </c>
      <c r="L354" s="8" t="str">
        <f>VLOOKUP(F354,[1]characters!$A:$M,13,FALSE)</f>
        <v>machine</v>
      </c>
      <c r="M354" s="65"/>
      <c r="N354" s="16">
        <f>VLOOKUP(D354,gacha_300_base!A:B,2,FALSE)</f>
        <v>2790</v>
      </c>
      <c r="O354" s="37">
        <f>IFERROR(VLOOKUP($F354,bug_conf_sheet!$A:$H,3,FALSE),VLOOKUP("other",bug_conf_sheet!$A:$H,3,FALSE))</f>
        <v>1</v>
      </c>
      <c r="P354" s="37">
        <f>IFERROR(VLOOKUP($F354,bug_conf_sheet!$A:$H,4,FALSE),VLOOKUP("other",bug_conf_sheet!$A:$H,4,FALSE))</f>
        <v>0</v>
      </c>
      <c r="Q354" s="37">
        <f>IFERROR(VLOOKUP($F354,bug_conf_sheet!$A:$H,5,FALSE),VLOOKUP("other",bug_conf_sheet!$A:$H,5,FALSE))</f>
        <v>0</v>
      </c>
      <c r="R354" s="37">
        <f>IFERROR(VLOOKUP($F354,bug_conf_sheet!$A:$H,6,FALSE),VLOOKUP("other",bug_conf_sheet!$A:$H,6,FALSE))</f>
        <v>0</v>
      </c>
      <c r="S354" s="37">
        <f>IFERROR(VLOOKUP($F354,bug_conf_sheet!$A:$H,7,FALSE),VLOOKUP("other",bug_conf_sheet!$A:$H,7,FALSE))</f>
        <v>0</v>
      </c>
      <c r="T354" s="37">
        <f>IFERROR(VLOOKUP($F354,bug_conf_sheet!$A:$H,8,FALSE),VLOOKUP("other",bug_conf_sheet!$A:$H,8,FALSE))</f>
        <v>1</v>
      </c>
    </row>
    <row r="355" spans="1:20" ht="21" customHeight="1">
      <c r="A355" s="7" t="str">
        <f t="shared" si="26"/>
        <v>3001441</v>
      </c>
      <c r="B355" s="2" t="str">
        <f t="shared" si="28"/>
        <v>3001</v>
      </c>
      <c r="C355" s="8" t="str">
        <f t="shared" si="25"/>
        <v>1PremiumS5</v>
      </c>
      <c r="D355" s="8" t="str">
        <f t="shared" si="27"/>
        <v>1PremiumS5</v>
      </c>
      <c r="E355" s="10">
        <v>1</v>
      </c>
      <c r="F355" s="6">
        <v>441</v>
      </c>
      <c r="G355" s="8" t="str">
        <f>VLOOKUP(F355,[1]characters!$A:$C,3,FALSE)</f>
        <v>求心の錻装 ブリキロガー</v>
      </c>
      <c r="H355" s="8" t="str">
        <f>VLOOKUP(F355,[1]characters!$A:$J,10,FALSE)</f>
        <v>PremiumS</v>
      </c>
      <c r="I355" s="8">
        <f>VLOOKUP(F355,[1]characters!$A:$I,9,FALSE)</f>
        <v>5</v>
      </c>
      <c r="J355" s="8" t="str">
        <f>VLOOKUP(F355,[1]characters!$A:$H,8,FALSE)</f>
        <v>blue</v>
      </c>
      <c r="K355" s="8" t="str">
        <f>VLOOKUP(F355,[1]characters!$A:$K,11,FALSE)</f>
        <v>attack</v>
      </c>
      <c r="L355" s="8" t="str">
        <f>VLOOKUP(F355,[1]characters!$A:$M,13,FALSE)</f>
        <v>machine</v>
      </c>
      <c r="M355" s="65"/>
      <c r="N355" s="16">
        <f>VLOOKUP(D355,gacha_300_base!A:B,2,FALSE)</f>
        <v>972</v>
      </c>
      <c r="O355" s="37">
        <f>IFERROR(VLOOKUP($F355,bug_conf_sheet!$A:$H,3,FALSE),VLOOKUP("other",bug_conf_sheet!$A:$H,3,FALSE))</f>
        <v>1</v>
      </c>
      <c r="P355" s="37">
        <f>IFERROR(VLOOKUP($F355,bug_conf_sheet!$A:$H,4,FALSE),VLOOKUP("other",bug_conf_sheet!$A:$H,4,FALSE))</f>
        <v>0</v>
      </c>
      <c r="Q355" s="37">
        <f>IFERROR(VLOOKUP($F355,bug_conf_sheet!$A:$H,5,FALSE),VLOOKUP("other",bug_conf_sheet!$A:$H,5,FALSE))</f>
        <v>0</v>
      </c>
      <c r="R355" s="37">
        <f>IFERROR(VLOOKUP($F355,bug_conf_sheet!$A:$H,6,FALSE),VLOOKUP("other",bug_conf_sheet!$A:$H,6,FALSE))</f>
        <v>0</v>
      </c>
      <c r="S355" s="37">
        <f>IFERROR(VLOOKUP($F355,bug_conf_sheet!$A:$H,7,FALSE),VLOOKUP("other",bug_conf_sheet!$A:$H,7,FALSE))</f>
        <v>0</v>
      </c>
      <c r="T355" s="37">
        <f>IFERROR(VLOOKUP($F355,bug_conf_sheet!$A:$H,8,FALSE),VLOOKUP("other",bug_conf_sheet!$A:$H,8,FALSE))</f>
        <v>1</v>
      </c>
    </row>
    <row r="356" spans="1:20" ht="21" customHeight="1">
      <c r="A356" s="7" t="str">
        <f t="shared" si="26"/>
        <v>3001442</v>
      </c>
      <c r="B356" s="2" t="str">
        <f t="shared" si="28"/>
        <v>3001</v>
      </c>
      <c r="C356" s="8" t="str">
        <f t="shared" si="25"/>
        <v>1PremiumSS4</v>
      </c>
      <c r="D356" s="8" t="str">
        <f t="shared" si="27"/>
        <v>1PremiumSS4</v>
      </c>
      <c r="E356" s="10">
        <v>1</v>
      </c>
      <c r="F356" s="6">
        <v>442</v>
      </c>
      <c r="G356" s="8" t="str">
        <f>VLOOKUP(F356,[1]characters!$A:$C,3,FALSE)</f>
        <v>ブレイブリー・ライオン</v>
      </c>
      <c r="H356" s="8" t="str">
        <f>VLOOKUP(F356,[1]characters!$A:$J,10,FALSE)</f>
        <v>PremiumSS</v>
      </c>
      <c r="I356" s="8">
        <f>VLOOKUP(F356,[1]characters!$A:$I,9,FALSE)</f>
        <v>4</v>
      </c>
      <c r="J356" s="8" t="str">
        <f>VLOOKUP(F356,[1]characters!$A:$H,8,FALSE)</f>
        <v>yellow</v>
      </c>
      <c r="K356" s="8" t="str">
        <f>VLOOKUP(F356,[1]characters!$A:$K,11,FALSE)</f>
        <v>hp</v>
      </c>
      <c r="L356" s="8" t="str">
        <f>VLOOKUP(F356,[1]characters!$A:$M,13,FALSE)</f>
        <v>animal</v>
      </c>
      <c r="M356" s="65"/>
      <c r="N356" s="16">
        <f>VLOOKUP(D356,gacha_300_base!A:B,2,FALSE)</f>
        <v>1705</v>
      </c>
      <c r="O356" s="37">
        <f>IFERROR(VLOOKUP($F356,bug_conf_sheet!$A:$H,3,FALSE),VLOOKUP("other",bug_conf_sheet!$A:$H,3,FALSE))</f>
        <v>1</v>
      </c>
      <c r="P356" s="37">
        <f>IFERROR(VLOOKUP($F356,bug_conf_sheet!$A:$H,4,FALSE),VLOOKUP("other",bug_conf_sheet!$A:$H,4,FALSE))</f>
        <v>0</v>
      </c>
      <c r="Q356" s="37">
        <f>IFERROR(VLOOKUP($F356,bug_conf_sheet!$A:$H,5,FALSE),VLOOKUP("other",bug_conf_sheet!$A:$H,5,FALSE))</f>
        <v>0</v>
      </c>
      <c r="R356" s="37">
        <f>IFERROR(VLOOKUP($F356,bug_conf_sheet!$A:$H,6,FALSE),VLOOKUP("other",bug_conf_sheet!$A:$H,6,FALSE))</f>
        <v>0</v>
      </c>
      <c r="S356" s="37">
        <f>IFERROR(VLOOKUP($F356,bug_conf_sheet!$A:$H,7,FALSE),VLOOKUP("other",bug_conf_sheet!$A:$H,7,FALSE))</f>
        <v>0</v>
      </c>
      <c r="T356" s="37">
        <f>IFERROR(VLOOKUP($F356,bug_conf_sheet!$A:$H,8,FALSE),VLOOKUP("other",bug_conf_sheet!$A:$H,8,FALSE))</f>
        <v>1</v>
      </c>
    </row>
    <row r="357" spans="1:20" ht="21" customHeight="1">
      <c r="A357" s="7" t="str">
        <f t="shared" si="26"/>
        <v>3001443</v>
      </c>
      <c r="B357" s="2" t="str">
        <f t="shared" si="28"/>
        <v>3001</v>
      </c>
      <c r="C357" s="8" t="str">
        <f t="shared" si="25"/>
        <v>1PremiumSS5</v>
      </c>
      <c r="D357" s="8" t="str">
        <f t="shared" si="27"/>
        <v>1PremiumSS5</v>
      </c>
      <c r="E357" s="10">
        <v>1</v>
      </c>
      <c r="F357" s="6">
        <v>443</v>
      </c>
      <c r="G357" s="8" t="str">
        <f>VLOOKUP(F357,[1]characters!$A:$C,3,FALSE)</f>
        <v>勇機結集 ブレイブリー・ライオン</v>
      </c>
      <c r="H357" s="8" t="str">
        <f>VLOOKUP(F357,[1]characters!$A:$J,10,FALSE)</f>
        <v>PremiumSS</v>
      </c>
      <c r="I357" s="8">
        <f>VLOOKUP(F357,[1]characters!$A:$I,9,FALSE)</f>
        <v>5</v>
      </c>
      <c r="J357" s="8" t="str">
        <f>VLOOKUP(F357,[1]characters!$A:$H,8,FALSE)</f>
        <v>yellow</v>
      </c>
      <c r="K357" s="8" t="str">
        <f>VLOOKUP(F357,[1]characters!$A:$K,11,FALSE)</f>
        <v>hp</v>
      </c>
      <c r="L357" s="8" t="str">
        <f>VLOOKUP(F357,[1]characters!$A:$M,13,FALSE)</f>
        <v>animal</v>
      </c>
      <c r="M357" s="65"/>
      <c r="N357" s="16">
        <f>VLOOKUP(D357,gacha_300_base!A:B,2,FALSE)</f>
        <v>113</v>
      </c>
      <c r="O357" s="37">
        <f>IFERROR(VLOOKUP($F357,bug_conf_sheet!$A:$H,3,FALSE),VLOOKUP("other",bug_conf_sheet!$A:$H,3,FALSE))</f>
        <v>1</v>
      </c>
      <c r="P357" s="37">
        <f>IFERROR(VLOOKUP($F357,bug_conf_sheet!$A:$H,4,FALSE),VLOOKUP("other",bug_conf_sheet!$A:$H,4,FALSE))</f>
        <v>0</v>
      </c>
      <c r="Q357" s="37">
        <f>IFERROR(VLOOKUP($F357,bug_conf_sheet!$A:$H,5,FALSE),VLOOKUP("other",bug_conf_sheet!$A:$H,5,FALSE))</f>
        <v>0</v>
      </c>
      <c r="R357" s="37">
        <f>IFERROR(VLOOKUP($F357,bug_conf_sheet!$A:$H,6,FALSE),VLOOKUP("other",bug_conf_sheet!$A:$H,6,FALSE))</f>
        <v>0</v>
      </c>
      <c r="S357" s="37">
        <f>IFERROR(VLOOKUP($F357,bug_conf_sheet!$A:$H,7,FALSE),VLOOKUP("other",bug_conf_sheet!$A:$H,7,FALSE))</f>
        <v>0</v>
      </c>
      <c r="T357" s="37">
        <f>IFERROR(VLOOKUP($F357,bug_conf_sheet!$A:$H,8,FALSE),VLOOKUP("other",bug_conf_sheet!$A:$H,8,FALSE))</f>
        <v>1</v>
      </c>
    </row>
    <row r="358" spans="1:20" ht="21" customHeight="1">
      <c r="A358" s="7" t="str">
        <f t="shared" si="26"/>
        <v>3001462</v>
      </c>
      <c r="B358" s="2" t="str">
        <f t="shared" si="28"/>
        <v>3001</v>
      </c>
      <c r="C358" s="8" t="str">
        <f t="shared" si="25"/>
        <v>1PremiumS3</v>
      </c>
      <c r="D358" s="8" t="str">
        <f t="shared" si="27"/>
        <v>1PremiumS3</v>
      </c>
      <c r="E358" s="10">
        <v>1</v>
      </c>
      <c r="F358" s="9">
        <v>462</v>
      </c>
      <c r="G358" s="8" t="str">
        <f>VLOOKUP(F358,[1]characters!$A:$C,3,FALSE)</f>
        <v>ガウェイン</v>
      </c>
      <c r="H358" s="8" t="str">
        <f>VLOOKUP(F358,[1]characters!$A:$J,10,FALSE)</f>
        <v>PremiumS</v>
      </c>
      <c r="I358" s="8">
        <f>VLOOKUP(F358,[1]characters!$A:$I,9,FALSE)</f>
        <v>3</v>
      </c>
      <c r="J358" s="8" t="str">
        <f>VLOOKUP(F358,[1]characters!$A:$H,8,FALSE)</f>
        <v>red</v>
      </c>
      <c r="K358" s="8" t="str">
        <f>VLOOKUP(F358,[1]characters!$A:$K,11,FALSE)</f>
        <v>hp</v>
      </c>
      <c r="L358" s="8" t="str">
        <f>VLOOKUP(F358,[1]characters!$A:$M,13,FALSE)</f>
        <v>human</v>
      </c>
      <c r="M358" s="65"/>
      <c r="N358" s="16">
        <f>VLOOKUP(D358,gacha_300_base!A:B,2,FALSE)</f>
        <v>11912</v>
      </c>
      <c r="O358" s="37">
        <f>IFERROR(VLOOKUP($F358,bug_conf_sheet!$A:$H,3,FALSE),VLOOKUP("other",bug_conf_sheet!$A:$H,3,FALSE))</f>
        <v>1</v>
      </c>
      <c r="P358" s="37">
        <f>IFERROR(VLOOKUP($F358,bug_conf_sheet!$A:$H,4,FALSE),VLOOKUP("other",bug_conf_sheet!$A:$H,4,FALSE))</f>
        <v>0</v>
      </c>
      <c r="Q358" s="37">
        <f>IFERROR(VLOOKUP($F358,bug_conf_sheet!$A:$H,5,FALSE),VLOOKUP("other",bug_conf_sheet!$A:$H,5,FALSE))</f>
        <v>0</v>
      </c>
      <c r="R358" s="37">
        <f>IFERROR(VLOOKUP($F358,bug_conf_sheet!$A:$H,6,FALSE),VLOOKUP("other",bug_conf_sheet!$A:$H,6,FALSE))</f>
        <v>0</v>
      </c>
      <c r="S358" s="37">
        <f>IFERROR(VLOOKUP($F358,bug_conf_sheet!$A:$H,7,FALSE),VLOOKUP("other",bug_conf_sheet!$A:$H,7,FALSE))</f>
        <v>0</v>
      </c>
      <c r="T358" s="37">
        <f>IFERROR(VLOOKUP($F358,bug_conf_sheet!$A:$H,8,FALSE),VLOOKUP("other",bug_conf_sheet!$A:$H,8,FALSE))</f>
        <v>1</v>
      </c>
    </row>
    <row r="359" spans="1:20" ht="21" customHeight="1">
      <c r="A359" s="7" t="str">
        <f t="shared" si="26"/>
        <v>3001463</v>
      </c>
      <c r="B359" s="2" t="str">
        <f t="shared" si="28"/>
        <v>3001</v>
      </c>
      <c r="C359" s="8" t="str">
        <f t="shared" si="25"/>
        <v>1PremiumS4</v>
      </c>
      <c r="D359" s="8" t="str">
        <f t="shared" si="27"/>
        <v>1PremiumS4</v>
      </c>
      <c r="E359" s="10">
        <v>1</v>
      </c>
      <c r="F359" s="9">
        <v>463</v>
      </c>
      <c r="G359" s="8" t="str">
        <f>VLOOKUP(F359,[1]characters!$A:$C,3,FALSE)</f>
        <v>燻銀 ガウェイン</v>
      </c>
      <c r="H359" s="8" t="str">
        <f>VLOOKUP(F359,[1]characters!$A:$J,10,FALSE)</f>
        <v>PremiumS</v>
      </c>
      <c r="I359" s="8">
        <f>VLOOKUP(F359,[1]characters!$A:$I,9,FALSE)</f>
        <v>4</v>
      </c>
      <c r="J359" s="8" t="str">
        <f>VLOOKUP(F359,[1]characters!$A:$H,8,FALSE)</f>
        <v>red</v>
      </c>
      <c r="K359" s="8" t="str">
        <f>VLOOKUP(F359,[1]characters!$A:$K,11,FALSE)</f>
        <v>hp</v>
      </c>
      <c r="L359" s="8" t="str">
        <f>VLOOKUP(F359,[1]characters!$A:$M,13,FALSE)</f>
        <v>human</v>
      </c>
      <c r="M359" s="65"/>
      <c r="N359" s="16">
        <f>VLOOKUP(D359,gacha_300_base!A:B,2,FALSE)</f>
        <v>2790</v>
      </c>
      <c r="O359" s="37">
        <f>IFERROR(VLOOKUP($F359,bug_conf_sheet!$A:$H,3,FALSE),VLOOKUP("other",bug_conf_sheet!$A:$H,3,FALSE))</f>
        <v>1</v>
      </c>
      <c r="P359" s="37">
        <f>IFERROR(VLOOKUP($F359,bug_conf_sheet!$A:$H,4,FALSE),VLOOKUP("other",bug_conf_sheet!$A:$H,4,FALSE))</f>
        <v>0</v>
      </c>
      <c r="Q359" s="37">
        <f>IFERROR(VLOOKUP($F359,bug_conf_sheet!$A:$H,5,FALSE),VLOOKUP("other",bug_conf_sheet!$A:$H,5,FALSE))</f>
        <v>0</v>
      </c>
      <c r="R359" s="37">
        <f>IFERROR(VLOOKUP($F359,bug_conf_sheet!$A:$H,6,FALSE),VLOOKUP("other",bug_conf_sheet!$A:$H,6,FALSE))</f>
        <v>0</v>
      </c>
      <c r="S359" s="37">
        <f>IFERROR(VLOOKUP($F359,bug_conf_sheet!$A:$H,7,FALSE),VLOOKUP("other",bug_conf_sheet!$A:$H,7,FALSE))</f>
        <v>0</v>
      </c>
      <c r="T359" s="37">
        <f>IFERROR(VLOOKUP($F359,bug_conf_sheet!$A:$H,8,FALSE),VLOOKUP("other",bug_conf_sheet!$A:$H,8,FALSE))</f>
        <v>1</v>
      </c>
    </row>
    <row r="360" spans="1:20" ht="21" customHeight="1">
      <c r="A360" s="7" t="str">
        <f t="shared" si="26"/>
        <v>3001464</v>
      </c>
      <c r="B360" s="2" t="str">
        <f t="shared" si="28"/>
        <v>3001</v>
      </c>
      <c r="C360" s="8" t="str">
        <f t="shared" si="25"/>
        <v>1PremiumS5</v>
      </c>
      <c r="D360" s="8" t="str">
        <f t="shared" si="27"/>
        <v>1PremiumS5</v>
      </c>
      <c r="E360" s="10">
        <v>1</v>
      </c>
      <c r="F360" s="9">
        <v>464</v>
      </c>
      <c r="G360" s="8" t="str">
        <f>VLOOKUP(F360,[1]characters!$A:$C,3,FALSE)</f>
        <v>円熟の弾導 ガウェイン</v>
      </c>
      <c r="H360" s="8" t="str">
        <f>VLOOKUP(F360,[1]characters!$A:$J,10,FALSE)</f>
        <v>PremiumS</v>
      </c>
      <c r="I360" s="8">
        <f>VLOOKUP(F360,[1]characters!$A:$I,9,FALSE)</f>
        <v>5</v>
      </c>
      <c r="J360" s="8" t="str">
        <f>VLOOKUP(F360,[1]characters!$A:$H,8,FALSE)</f>
        <v>red</v>
      </c>
      <c r="K360" s="8" t="str">
        <f>VLOOKUP(F360,[1]characters!$A:$K,11,FALSE)</f>
        <v>hp</v>
      </c>
      <c r="L360" s="8" t="str">
        <f>VLOOKUP(F360,[1]characters!$A:$M,13,FALSE)</f>
        <v>human</v>
      </c>
      <c r="M360" s="65"/>
      <c r="N360" s="16">
        <f>VLOOKUP(D360,gacha_300_base!A:B,2,FALSE)</f>
        <v>972</v>
      </c>
      <c r="O360" s="37">
        <f>IFERROR(VLOOKUP($F360,bug_conf_sheet!$A:$H,3,FALSE),VLOOKUP("other",bug_conf_sheet!$A:$H,3,FALSE))</f>
        <v>1</v>
      </c>
      <c r="P360" s="37">
        <f>IFERROR(VLOOKUP($F360,bug_conf_sheet!$A:$H,4,FALSE),VLOOKUP("other",bug_conf_sheet!$A:$H,4,FALSE))</f>
        <v>0</v>
      </c>
      <c r="Q360" s="37">
        <f>IFERROR(VLOOKUP($F360,bug_conf_sheet!$A:$H,5,FALSE),VLOOKUP("other",bug_conf_sheet!$A:$H,5,FALSE))</f>
        <v>0</v>
      </c>
      <c r="R360" s="37">
        <f>IFERROR(VLOOKUP($F360,bug_conf_sheet!$A:$H,6,FALSE),VLOOKUP("other",bug_conf_sheet!$A:$H,6,FALSE))</f>
        <v>0</v>
      </c>
      <c r="S360" s="37">
        <f>IFERROR(VLOOKUP($F360,bug_conf_sheet!$A:$H,7,FALSE),VLOOKUP("other",bug_conf_sheet!$A:$H,7,FALSE))</f>
        <v>0</v>
      </c>
      <c r="T360" s="37">
        <f>IFERROR(VLOOKUP($F360,bug_conf_sheet!$A:$H,8,FALSE),VLOOKUP("other",bug_conf_sheet!$A:$H,8,FALSE))</f>
        <v>1</v>
      </c>
    </row>
    <row r="361" spans="1:20" ht="21" customHeight="1">
      <c r="A361" s="7" t="str">
        <f t="shared" si="26"/>
        <v>3001465</v>
      </c>
      <c r="B361" s="2" t="str">
        <f t="shared" si="28"/>
        <v>3001</v>
      </c>
      <c r="C361" s="8" t="str">
        <f t="shared" si="25"/>
        <v>1PremiumSS4</v>
      </c>
      <c r="D361" s="8" t="str">
        <f t="shared" si="27"/>
        <v>1PremiumSS4</v>
      </c>
      <c r="E361" s="10">
        <v>1</v>
      </c>
      <c r="F361" s="9">
        <v>465</v>
      </c>
      <c r="G361" s="8" t="str">
        <f>VLOOKUP(F361,[1]characters!$A:$C,3,FALSE)</f>
        <v>真撃 ランスロット</v>
      </c>
      <c r="H361" s="8" t="str">
        <f>VLOOKUP(F361,[1]characters!$A:$J,10,FALSE)</f>
        <v>PremiumSS</v>
      </c>
      <c r="I361" s="8">
        <f>VLOOKUP(F361,[1]characters!$A:$I,9,FALSE)</f>
        <v>4</v>
      </c>
      <c r="J361" s="8" t="str">
        <f>VLOOKUP(F361,[1]characters!$A:$H,8,FALSE)</f>
        <v>green</v>
      </c>
      <c r="K361" s="8" t="str">
        <f>VLOOKUP(F361,[1]characters!$A:$K,11,FALSE)</f>
        <v>balance</v>
      </c>
      <c r="L361" s="8" t="str">
        <f>VLOOKUP(F361,[1]characters!$A:$M,13,FALSE)</f>
        <v>human</v>
      </c>
      <c r="M361" s="65"/>
      <c r="N361" s="16">
        <f>VLOOKUP(D361,gacha_300_base!A:B,2,FALSE)</f>
        <v>1705</v>
      </c>
      <c r="O361" s="37">
        <f>IFERROR(VLOOKUP($F361,bug_conf_sheet!$A:$H,3,FALSE),VLOOKUP("other",bug_conf_sheet!$A:$H,3,FALSE))</f>
        <v>1</v>
      </c>
      <c r="P361" s="37">
        <f>IFERROR(VLOOKUP($F361,bug_conf_sheet!$A:$H,4,FALSE),VLOOKUP("other",bug_conf_sheet!$A:$H,4,FALSE))</f>
        <v>0</v>
      </c>
      <c r="Q361" s="37">
        <f>IFERROR(VLOOKUP($F361,bug_conf_sheet!$A:$H,5,FALSE),VLOOKUP("other",bug_conf_sheet!$A:$H,5,FALSE))</f>
        <v>0</v>
      </c>
      <c r="R361" s="37">
        <f>IFERROR(VLOOKUP($F361,bug_conf_sheet!$A:$H,6,FALSE),VLOOKUP("other",bug_conf_sheet!$A:$H,6,FALSE))</f>
        <v>0</v>
      </c>
      <c r="S361" s="37">
        <f>IFERROR(VLOOKUP($F361,bug_conf_sheet!$A:$H,7,FALSE),VLOOKUP("other",bug_conf_sheet!$A:$H,7,FALSE))</f>
        <v>0</v>
      </c>
      <c r="T361" s="37">
        <f>IFERROR(VLOOKUP($F361,bug_conf_sheet!$A:$H,8,FALSE),VLOOKUP("other",bug_conf_sheet!$A:$H,8,FALSE))</f>
        <v>1</v>
      </c>
    </row>
    <row r="362" spans="1:20" s="11" customFormat="1" ht="21" customHeight="1" thickBot="1">
      <c r="A362" s="7" t="str">
        <f t="shared" si="26"/>
        <v>3001466</v>
      </c>
      <c r="B362" s="2" t="str">
        <f t="shared" si="28"/>
        <v>3001</v>
      </c>
      <c r="C362" s="8" t="str">
        <f t="shared" si="25"/>
        <v>1PremiumSS5</v>
      </c>
      <c r="D362" s="8" t="str">
        <f t="shared" si="27"/>
        <v>1PremiumSS5</v>
      </c>
      <c r="E362" s="10">
        <v>1</v>
      </c>
      <c r="F362" s="6">
        <v>466</v>
      </c>
      <c r="G362" s="8" t="str">
        <f>VLOOKUP(F362,[1]characters!$A:$C,3,FALSE)</f>
        <v>真断の勇覇 ランスロット</v>
      </c>
      <c r="H362" s="8" t="str">
        <f>VLOOKUP(F362,[1]characters!$A:$J,10,FALSE)</f>
        <v>PremiumSS</v>
      </c>
      <c r="I362" s="8">
        <f>VLOOKUP(F362,[1]characters!$A:$I,9,FALSE)</f>
        <v>5</v>
      </c>
      <c r="J362" s="8" t="str">
        <f>VLOOKUP(F362,[1]characters!$A:$H,8,FALSE)</f>
        <v>green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65"/>
      <c r="N362" s="16">
        <f>VLOOKUP(D362,gacha_300_base!A:B,2,FALSE)</f>
        <v>113</v>
      </c>
      <c r="O362" s="37">
        <f>IFERROR(VLOOKUP($F362,bug_conf_sheet!$A:$H,3,FALSE),VLOOKUP("other",bug_conf_sheet!$A:$H,3,FALSE))</f>
        <v>1</v>
      </c>
      <c r="P362" s="37">
        <f>IFERROR(VLOOKUP($F362,bug_conf_sheet!$A:$H,4,FALSE),VLOOKUP("other",bug_conf_sheet!$A:$H,4,FALSE))</f>
        <v>0</v>
      </c>
      <c r="Q362" s="37">
        <f>IFERROR(VLOOKUP($F362,bug_conf_sheet!$A:$H,5,FALSE),VLOOKUP("other",bug_conf_sheet!$A:$H,5,FALSE))</f>
        <v>0</v>
      </c>
      <c r="R362" s="37">
        <f>IFERROR(VLOOKUP($F362,bug_conf_sheet!$A:$H,6,FALSE),VLOOKUP("other",bug_conf_sheet!$A:$H,6,FALSE))</f>
        <v>0</v>
      </c>
      <c r="S362" s="37">
        <f>IFERROR(VLOOKUP($F362,bug_conf_sheet!$A:$H,7,FALSE),VLOOKUP("other",bug_conf_sheet!$A:$H,7,FALSE))</f>
        <v>0</v>
      </c>
      <c r="T362" s="37">
        <f>IFERROR(VLOOKUP($F362,bug_conf_sheet!$A:$H,8,FALSE),VLOOKUP("other",bug_conf_sheet!$A:$H,8,FALSE))</f>
        <v>1</v>
      </c>
    </row>
    <row r="363" spans="1:20" ht="21" customHeight="1">
      <c r="A363" s="7" t="str">
        <f t="shared" si="26"/>
        <v>3001467</v>
      </c>
      <c r="B363" s="2" t="str">
        <f t="shared" si="28"/>
        <v>3001</v>
      </c>
      <c r="C363" s="8" t="str">
        <f t="shared" si="25"/>
        <v>1PremiumSS4</v>
      </c>
      <c r="D363" s="8" t="str">
        <f t="shared" si="27"/>
        <v>1PremiumSS4</v>
      </c>
      <c r="E363" s="10">
        <v>1</v>
      </c>
      <c r="F363" s="6">
        <v>467</v>
      </c>
      <c r="G363" s="8" t="str">
        <f>VLOOKUP(F363,[1]characters!$A:$C,3,FALSE)</f>
        <v>報復 モルドレッド</v>
      </c>
      <c r="H363" s="8" t="str">
        <f>VLOOKUP(F363,[1]characters!$A:$J,10,FALSE)</f>
        <v>PremiumSS</v>
      </c>
      <c r="I363" s="8">
        <f>VLOOKUP(F363,[1]characters!$A:$I,9,FALSE)</f>
        <v>4</v>
      </c>
      <c r="J363" s="8" t="str">
        <f>VLOOKUP(F363,[1]characters!$A:$H,8,FALSE)</f>
        <v>blue</v>
      </c>
      <c r="K363" s="8" t="str">
        <f>VLOOKUP(F363,[1]characters!$A:$K,11,FALSE)</f>
        <v>technical</v>
      </c>
      <c r="L363" s="8" t="str">
        <f>VLOOKUP(F363,[1]characters!$A:$M,13,FALSE)</f>
        <v>human</v>
      </c>
      <c r="M363" s="65"/>
      <c r="N363" s="16">
        <f>VLOOKUP(D363,gacha_300_base!A:B,2,FALSE)</f>
        <v>1705</v>
      </c>
      <c r="O363" s="37">
        <f>IFERROR(VLOOKUP($F363,bug_conf_sheet!$A:$H,3,FALSE),VLOOKUP("other",bug_conf_sheet!$A:$H,3,FALSE))</f>
        <v>1</v>
      </c>
      <c r="P363" s="37">
        <f>IFERROR(VLOOKUP($F363,bug_conf_sheet!$A:$H,4,FALSE),VLOOKUP("other",bug_conf_sheet!$A:$H,4,FALSE))</f>
        <v>0</v>
      </c>
      <c r="Q363" s="37">
        <f>IFERROR(VLOOKUP($F363,bug_conf_sheet!$A:$H,5,FALSE),VLOOKUP("other",bug_conf_sheet!$A:$H,5,FALSE))</f>
        <v>0</v>
      </c>
      <c r="R363" s="37">
        <f>IFERROR(VLOOKUP($F363,bug_conf_sheet!$A:$H,6,FALSE),VLOOKUP("other",bug_conf_sheet!$A:$H,6,FALSE))</f>
        <v>0</v>
      </c>
      <c r="S363" s="37">
        <f>IFERROR(VLOOKUP($F363,bug_conf_sheet!$A:$H,7,FALSE),VLOOKUP("other",bug_conf_sheet!$A:$H,7,FALSE))</f>
        <v>0</v>
      </c>
      <c r="T363" s="37">
        <f>IFERROR(VLOOKUP($F363,bug_conf_sheet!$A:$H,8,FALSE),VLOOKUP("other",bug_conf_sheet!$A:$H,8,FALSE))</f>
        <v>1</v>
      </c>
    </row>
    <row r="364" spans="1:20" ht="21" customHeight="1">
      <c r="A364" s="7" t="str">
        <f t="shared" si="26"/>
        <v>3001468</v>
      </c>
      <c r="B364" s="2" t="str">
        <f t="shared" si="28"/>
        <v>3001</v>
      </c>
      <c r="C364" s="8" t="str">
        <f t="shared" si="25"/>
        <v>1PremiumSS5</v>
      </c>
      <c r="D364" s="8" t="str">
        <f t="shared" si="27"/>
        <v>1PremiumSS5</v>
      </c>
      <c r="E364" s="10">
        <v>1</v>
      </c>
      <c r="F364" s="6">
        <v>468</v>
      </c>
      <c r="G364" s="8" t="str">
        <f>VLOOKUP(F364,[1]characters!$A:$C,3,FALSE)</f>
        <v>憎愛の尖鋒 モルドレッド</v>
      </c>
      <c r="H364" s="8" t="str">
        <f>VLOOKUP(F364,[1]characters!$A:$J,10,FALSE)</f>
        <v>PremiumSS</v>
      </c>
      <c r="I364" s="8">
        <f>VLOOKUP(F364,[1]characters!$A:$I,9,FALSE)</f>
        <v>5</v>
      </c>
      <c r="J364" s="8" t="str">
        <f>VLOOKUP(F364,[1]characters!$A:$H,8,FALSE)</f>
        <v>blue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65"/>
      <c r="N364" s="16">
        <f>VLOOKUP(D364,gacha_300_base!A:B,2,FALSE)</f>
        <v>113</v>
      </c>
      <c r="O364" s="37">
        <f>IFERROR(VLOOKUP($F364,bug_conf_sheet!$A:$H,3,FALSE),VLOOKUP("other",bug_conf_sheet!$A:$H,3,FALSE))</f>
        <v>1</v>
      </c>
      <c r="P364" s="37">
        <f>IFERROR(VLOOKUP($F364,bug_conf_sheet!$A:$H,4,FALSE),VLOOKUP("other",bug_conf_sheet!$A:$H,4,FALSE))</f>
        <v>0</v>
      </c>
      <c r="Q364" s="37">
        <f>IFERROR(VLOOKUP($F364,bug_conf_sheet!$A:$H,5,FALSE),VLOOKUP("other",bug_conf_sheet!$A:$H,5,FALSE))</f>
        <v>0</v>
      </c>
      <c r="R364" s="37">
        <f>IFERROR(VLOOKUP($F364,bug_conf_sheet!$A:$H,6,FALSE),VLOOKUP("other",bug_conf_sheet!$A:$H,6,FALSE))</f>
        <v>0</v>
      </c>
      <c r="S364" s="37">
        <f>IFERROR(VLOOKUP($F364,bug_conf_sheet!$A:$H,7,FALSE),VLOOKUP("other",bug_conf_sheet!$A:$H,7,FALSE))</f>
        <v>0</v>
      </c>
      <c r="T364" s="37">
        <f>IFERROR(VLOOKUP($F364,bug_conf_sheet!$A:$H,8,FALSE),VLOOKUP("other",bug_conf_sheet!$A:$H,8,FALSE))</f>
        <v>1</v>
      </c>
    </row>
    <row r="365" spans="1:20" ht="21" customHeight="1">
      <c r="A365" s="7" t="str">
        <f t="shared" si="26"/>
        <v>3001469</v>
      </c>
      <c r="B365" s="2" t="str">
        <f t="shared" si="28"/>
        <v>3001</v>
      </c>
      <c r="C365" s="8" t="str">
        <f t="shared" si="25"/>
        <v>1PremiumS3</v>
      </c>
      <c r="D365" s="8" t="str">
        <f t="shared" si="27"/>
        <v>1PremiumS3</v>
      </c>
      <c r="E365" s="10">
        <v>1</v>
      </c>
      <c r="F365" s="6">
        <v>469</v>
      </c>
      <c r="G365" s="8" t="str">
        <f>VLOOKUP(F365,[1]characters!$A:$C,3,FALSE)</f>
        <v>トリスタン</v>
      </c>
      <c r="H365" s="8" t="str">
        <f>VLOOKUP(F365,[1]characters!$A:$J,10,FALSE)</f>
        <v>PremiumS</v>
      </c>
      <c r="I365" s="8">
        <f>VLOOKUP(F365,[1]characters!$A:$I,9,FALSE)</f>
        <v>3</v>
      </c>
      <c r="J365" s="8" t="str">
        <f>VLOOKUP(F365,[1]characters!$A:$H,8,FALSE)</f>
        <v>yellow</v>
      </c>
      <c r="K365" s="8" t="str">
        <f>VLOOKUP(F365,[1]characters!$A:$K,11,FALSE)</f>
        <v>attack</v>
      </c>
      <c r="L365" s="8" t="str">
        <f>VLOOKUP(F365,[1]characters!$A:$M,13,FALSE)</f>
        <v>human</v>
      </c>
      <c r="M365" s="65"/>
      <c r="N365" s="16">
        <f>VLOOKUP(D365,gacha_300_base!A:B,2,FALSE)</f>
        <v>11912</v>
      </c>
      <c r="O365" s="37">
        <f>IFERROR(VLOOKUP($F365,bug_conf_sheet!$A:$H,3,FALSE),VLOOKUP("other",bug_conf_sheet!$A:$H,3,FALSE))</f>
        <v>1</v>
      </c>
      <c r="P365" s="37">
        <f>IFERROR(VLOOKUP($F365,bug_conf_sheet!$A:$H,4,FALSE),VLOOKUP("other",bug_conf_sheet!$A:$H,4,FALSE))</f>
        <v>0</v>
      </c>
      <c r="Q365" s="37">
        <f>IFERROR(VLOOKUP($F365,bug_conf_sheet!$A:$H,5,FALSE),VLOOKUP("other",bug_conf_sheet!$A:$H,5,FALSE))</f>
        <v>0</v>
      </c>
      <c r="R365" s="37">
        <f>IFERROR(VLOOKUP($F365,bug_conf_sheet!$A:$H,6,FALSE),VLOOKUP("other",bug_conf_sheet!$A:$H,6,FALSE))</f>
        <v>0</v>
      </c>
      <c r="S365" s="37">
        <f>IFERROR(VLOOKUP($F365,bug_conf_sheet!$A:$H,7,FALSE),VLOOKUP("other",bug_conf_sheet!$A:$H,7,FALSE))</f>
        <v>0</v>
      </c>
      <c r="T365" s="37">
        <f>IFERROR(VLOOKUP($F365,bug_conf_sheet!$A:$H,8,FALSE),VLOOKUP("other",bug_conf_sheet!$A:$H,8,FALSE))</f>
        <v>1</v>
      </c>
    </row>
    <row r="366" spans="1:20" ht="21" customHeight="1">
      <c r="A366" s="7" t="str">
        <f t="shared" si="26"/>
        <v>3001470</v>
      </c>
      <c r="B366" s="2" t="str">
        <f t="shared" si="28"/>
        <v>3001</v>
      </c>
      <c r="C366" s="8" t="str">
        <f t="shared" ref="C366:C396" si="29">E366&amp;H366&amp;I366</f>
        <v>1PremiumS4</v>
      </c>
      <c r="D366" s="8" t="str">
        <f t="shared" si="27"/>
        <v>1PremiumS4</v>
      </c>
      <c r="E366" s="10">
        <v>1</v>
      </c>
      <c r="F366" s="6">
        <v>470</v>
      </c>
      <c r="G366" s="8" t="str">
        <f>VLOOKUP(F366,[1]characters!$A:$C,3,FALSE)</f>
        <v>純心 トリスタン</v>
      </c>
      <c r="H366" s="8" t="str">
        <f>VLOOKUP(F366,[1]characters!$A:$J,10,FALSE)</f>
        <v>PremiumS</v>
      </c>
      <c r="I366" s="8">
        <f>VLOOKUP(F366,[1]characters!$A:$I,9,FALSE)</f>
        <v>4</v>
      </c>
      <c r="J366" s="8" t="str">
        <f>VLOOKUP(F366,[1]characters!$A:$H,8,FALSE)</f>
        <v>yellow</v>
      </c>
      <c r="K366" s="8" t="str">
        <f>VLOOKUP(F366,[1]characters!$A:$K,11,FALSE)</f>
        <v>attack</v>
      </c>
      <c r="L366" s="8" t="str">
        <f>VLOOKUP(F366,[1]characters!$A:$M,13,FALSE)</f>
        <v>human</v>
      </c>
      <c r="M366" s="65"/>
      <c r="N366" s="16">
        <f>VLOOKUP(D366,gacha_300_base!A:B,2,FALSE)</f>
        <v>2790</v>
      </c>
      <c r="O366" s="37">
        <f>IFERROR(VLOOKUP($F366,bug_conf_sheet!$A:$H,3,FALSE),VLOOKUP("other",bug_conf_sheet!$A:$H,3,FALSE))</f>
        <v>1</v>
      </c>
      <c r="P366" s="37">
        <f>IFERROR(VLOOKUP($F366,bug_conf_sheet!$A:$H,4,FALSE),VLOOKUP("other",bug_conf_sheet!$A:$H,4,FALSE))</f>
        <v>0</v>
      </c>
      <c r="Q366" s="37">
        <f>IFERROR(VLOOKUP($F366,bug_conf_sheet!$A:$H,5,FALSE),VLOOKUP("other",bug_conf_sheet!$A:$H,5,FALSE))</f>
        <v>0</v>
      </c>
      <c r="R366" s="37">
        <f>IFERROR(VLOOKUP($F366,bug_conf_sheet!$A:$H,6,FALSE),VLOOKUP("other",bug_conf_sheet!$A:$H,6,FALSE))</f>
        <v>0</v>
      </c>
      <c r="S366" s="37">
        <f>IFERROR(VLOOKUP($F366,bug_conf_sheet!$A:$H,7,FALSE),VLOOKUP("other",bug_conf_sheet!$A:$H,7,FALSE))</f>
        <v>0</v>
      </c>
      <c r="T366" s="37">
        <f>IFERROR(VLOOKUP($F366,bug_conf_sheet!$A:$H,8,FALSE),VLOOKUP("other",bug_conf_sheet!$A:$H,8,FALSE))</f>
        <v>1</v>
      </c>
    </row>
    <row r="367" spans="1:20" ht="21" customHeight="1">
      <c r="A367" s="7" t="str">
        <f t="shared" ref="A367:A396" si="30">B367&amp;F367</f>
        <v>3001471</v>
      </c>
      <c r="B367" s="2" t="str">
        <f t="shared" si="28"/>
        <v>3001</v>
      </c>
      <c r="C367" s="8" t="str">
        <f t="shared" si="29"/>
        <v>1PremiumS5</v>
      </c>
      <c r="D367" s="8" t="str">
        <f t="shared" si="27"/>
        <v>1PremiumS5</v>
      </c>
      <c r="E367" s="10">
        <v>1</v>
      </c>
      <c r="F367" s="6">
        <v>471</v>
      </c>
      <c r="G367" s="8" t="str">
        <f>VLOOKUP(F367,[1]characters!$A:$C,3,FALSE)</f>
        <v>不可避の爆激 トリスタン</v>
      </c>
      <c r="H367" s="8" t="str">
        <f>VLOOKUP(F367,[1]characters!$A:$J,10,FALSE)</f>
        <v>PremiumS</v>
      </c>
      <c r="I367" s="8">
        <f>VLOOKUP(F367,[1]characters!$A:$I,9,FALSE)</f>
        <v>5</v>
      </c>
      <c r="J367" s="8" t="str">
        <f>VLOOKUP(F367,[1]characters!$A:$H,8,FALSE)</f>
        <v>yellow</v>
      </c>
      <c r="K367" s="8" t="str">
        <f>VLOOKUP(F367,[1]characters!$A:$K,11,FALSE)</f>
        <v>attack</v>
      </c>
      <c r="L367" s="8" t="str">
        <f>VLOOKUP(F367,[1]characters!$A:$M,13,FALSE)</f>
        <v>human</v>
      </c>
      <c r="M367" s="65"/>
      <c r="N367" s="16">
        <f>VLOOKUP(D367,gacha_300_base!A:B,2,FALSE)</f>
        <v>972</v>
      </c>
      <c r="O367" s="37">
        <f>IFERROR(VLOOKUP($F367,bug_conf_sheet!$A:$H,3,FALSE),VLOOKUP("other",bug_conf_sheet!$A:$H,3,FALSE))</f>
        <v>1</v>
      </c>
      <c r="P367" s="37">
        <f>IFERROR(VLOOKUP($F367,bug_conf_sheet!$A:$H,4,FALSE),VLOOKUP("other",bug_conf_sheet!$A:$H,4,FALSE))</f>
        <v>0</v>
      </c>
      <c r="Q367" s="37">
        <f>IFERROR(VLOOKUP($F367,bug_conf_sheet!$A:$H,5,FALSE),VLOOKUP("other",bug_conf_sheet!$A:$H,5,FALSE))</f>
        <v>0</v>
      </c>
      <c r="R367" s="37">
        <f>IFERROR(VLOOKUP($F367,bug_conf_sheet!$A:$H,6,FALSE),VLOOKUP("other",bug_conf_sheet!$A:$H,6,FALSE))</f>
        <v>0</v>
      </c>
      <c r="S367" s="37">
        <f>IFERROR(VLOOKUP($F367,bug_conf_sheet!$A:$H,7,FALSE),VLOOKUP("other",bug_conf_sheet!$A:$H,7,FALSE))</f>
        <v>0</v>
      </c>
      <c r="T367" s="37">
        <f>IFERROR(VLOOKUP($F367,bug_conf_sheet!$A:$H,8,FALSE),VLOOKUP("other",bug_conf_sheet!$A:$H,8,FALSE))</f>
        <v>1</v>
      </c>
    </row>
    <row r="368" spans="1:20" ht="21" customHeight="1">
      <c r="A368" s="7" t="str">
        <f t="shared" si="30"/>
        <v>3001474</v>
      </c>
      <c r="B368" s="2" t="str">
        <f t="shared" si="28"/>
        <v>3001</v>
      </c>
      <c r="C368" s="8" t="str">
        <f t="shared" si="29"/>
        <v>1PremiumSS4</v>
      </c>
      <c r="D368" s="8" t="str">
        <f t="shared" si="27"/>
        <v>1PremiumSS4</v>
      </c>
      <c r="E368" s="10">
        <v>1</v>
      </c>
      <c r="F368" s="6">
        <v>474</v>
      </c>
      <c r="G368" s="8" t="str">
        <f>VLOOKUP(F368,[1]characters!$A:$C,3,FALSE)</f>
        <v>キング・ドライグ</v>
      </c>
      <c r="H368" s="8" t="str">
        <f>VLOOKUP(F368,[1]characters!$A:$J,10,FALSE)</f>
        <v>PremiumSS</v>
      </c>
      <c r="I368" s="8">
        <f>VLOOKUP(F368,[1]characters!$A:$I,9,FALSE)</f>
        <v>4</v>
      </c>
      <c r="J368" s="8" t="str">
        <f>VLOOKUP(F368,[1]characters!$A:$H,8,FALSE)</f>
        <v>red</v>
      </c>
      <c r="K368" s="8" t="str">
        <f>VLOOKUP(F368,[1]characters!$A:$K,11,FALSE)</f>
        <v>attack</v>
      </c>
      <c r="L368" s="8" t="str">
        <f>VLOOKUP(F368,[1]characters!$A:$M,13,FALSE)</f>
        <v>dragon</v>
      </c>
      <c r="M368" s="65"/>
      <c r="N368" s="16">
        <f>VLOOKUP(D368,gacha_300_base!A:B,2,FALSE)</f>
        <v>1705</v>
      </c>
      <c r="O368" s="37">
        <f>IFERROR(VLOOKUP($F368,bug_conf_sheet!$A:$H,3,FALSE),VLOOKUP("other",bug_conf_sheet!$A:$H,3,FALSE))</f>
        <v>1</v>
      </c>
      <c r="P368" s="37">
        <f>IFERROR(VLOOKUP($F368,bug_conf_sheet!$A:$H,4,FALSE),VLOOKUP("other",bug_conf_sheet!$A:$H,4,FALSE))</f>
        <v>0</v>
      </c>
      <c r="Q368" s="37">
        <f>IFERROR(VLOOKUP($F368,bug_conf_sheet!$A:$H,5,FALSE),VLOOKUP("other",bug_conf_sheet!$A:$H,5,FALSE))</f>
        <v>0</v>
      </c>
      <c r="R368" s="37">
        <f>IFERROR(VLOOKUP($F368,bug_conf_sheet!$A:$H,6,FALSE),VLOOKUP("other",bug_conf_sheet!$A:$H,6,FALSE))</f>
        <v>0</v>
      </c>
      <c r="S368" s="37">
        <f>IFERROR(VLOOKUP($F368,bug_conf_sheet!$A:$H,7,FALSE),VLOOKUP("other",bug_conf_sheet!$A:$H,7,FALSE))</f>
        <v>0</v>
      </c>
      <c r="T368" s="37">
        <f>IFERROR(VLOOKUP($F368,bug_conf_sheet!$A:$H,8,FALSE),VLOOKUP("other",bug_conf_sheet!$A:$H,8,FALSE))</f>
        <v>1</v>
      </c>
    </row>
    <row r="369" spans="1:20" ht="21" customHeight="1">
      <c r="A369" s="7" t="str">
        <f t="shared" si="30"/>
        <v>3001475</v>
      </c>
      <c r="B369" s="2" t="str">
        <f t="shared" si="28"/>
        <v>3001</v>
      </c>
      <c r="C369" s="8" t="str">
        <f t="shared" si="29"/>
        <v>1PremiumSS5</v>
      </c>
      <c r="D369" s="8" t="str">
        <f t="shared" si="27"/>
        <v>1PremiumSS5</v>
      </c>
      <c r="E369" s="10">
        <v>1</v>
      </c>
      <c r="F369" s="6">
        <v>475</v>
      </c>
      <c r="G369" s="8" t="str">
        <f>VLOOKUP(F369,[1]characters!$A:$C,3,FALSE)</f>
        <v>緋王 キング・ドライグ</v>
      </c>
      <c r="H369" s="8" t="str">
        <f>VLOOKUP(F369,[1]characters!$A:$J,10,FALSE)</f>
        <v>PremiumSS</v>
      </c>
      <c r="I369" s="8">
        <f>VLOOKUP(F369,[1]characters!$A:$I,9,FALSE)</f>
        <v>5</v>
      </c>
      <c r="J369" s="8" t="str">
        <f>VLOOKUP(F369,[1]characters!$A:$H,8,FALSE)</f>
        <v>red</v>
      </c>
      <c r="K369" s="8" t="str">
        <f>VLOOKUP(F369,[1]characters!$A:$K,11,FALSE)</f>
        <v>attack</v>
      </c>
      <c r="L369" s="8" t="str">
        <f>VLOOKUP(F369,[1]characters!$A:$M,13,FALSE)</f>
        <v>dragon</v>
      </c>
      <c r="M369" s="65"/>
      <c r="N369" s="16">
        <f>VLOOKUP(D369,gacha_300_base!A:B,2,FALSE)</f>
        <v>113</v>
      </c>
      <c r="O369" s="37">
        <f>IFERROR(VLOOKUP($F369,bug_conf_sheet!$A:$H,3,FALSE),VLOOKUP("other",bug_conf_sheet!$A:$H,3,FALSE))</f>
        <v>1</v>
      </c>
      <c r="P369" s="37">
        <f>IFERROR(VLOOKUP($F369,bug_conf_sheet!$A:$H,4,FALSE),VLOOKUP("other",bug_conf_sheet!$A:$H,4,FALSE))</f>
        <v>0</v>
      </c>
      <c r="Q369" s="37">
        <f>IFERROR(VLOOKUP($F369,bug_conf_sheet!$A:$H,5,FALSE),VLOOKUP("other",bug_conf_sheet!$A:$H,5,FALSE))</f>
        <v>0</v>
      </c>
      <c r="R369" s="37">
        <f>IFERROR(VLOOKUP($F369,bug_conf_sheet!$A:$H,6,FALSE),VLOOKUP("other",bug_conf_sheet!$A:$H,6,FALSE))</f>
        <v>0</v>
      </c>
      <c r="S369" s="37">
        <f>IFERROR(VLOOKUP($F369,bug_conf_sheet!$A:$H,7,FALSE),VLOOKUP("other",bug_conf_sheet!$A:$H,7,FALSE))</f>
        <v>0</v>
      </c>
      <c r="T369" s="37">
        <f>IFERROR(VLOOKUP($F369,bug_conf_sheet!$A:$H,8,FALSE),VLOOKUP("other",bug_conf_sheet!$A:$H,8,FALSE))</f>
        <v>1</v>
      </c>
    </row>
    <row r="370" spans="1:20" ht="21" customHeight="1">
      <c r="A370" s="7" t="str">
        <f t="shared" si="30"/>
        <v>3001476</v>
      </c>
      <c r="B370" s="2" t="str">
        <f t="shared" si="28"/>
        <v>3001</v>
      </c>
      <c r="C370" s="8" t="str">
        <f t="shared" si="29"/>
        <v>1PremiumS3</v>
      </c>
      <c r="D370" s="8" t="str">
        <f t="shared" si="27"/>
        <v>1PremiumS3</v>
      </c>
      <c r="E370" s="10">
        <v>1</v>
      </c>
      <c r="F370" s="6">
        <v>476</v>
      </c>
      <c r="G370" s="8" t="str">
        <f>VLOOKUP(F370,[1]characters!$A:$C,3,FALSE)</f>
        <v>ファータ</v>
      </c>
      <c r="H370" s="8" t="str">
        <f>VLOOKUP(F370,[1]characters!$A:$J,10,FALSE)</f>
        <v>PremiumS</v>
      </c>
      <c r="I370" s="8">
        <f>VLOOKUP(F370,[1]characters!$A:$I,9,FALSE)</f>
        <v>3</v>
      </c>
      <c r="J370" s="8" t="str">
        <f>VLOOKUP(F370,[1]characters!$A:$H,8,FALSE)</f>
        <v>green</v>
      </c>
      <c r="K370" s="8" t="str">
        <f>VLOOKUP(F370,[1]characters!$A:$K,11,FALSE)</f>
        <v>heal</v>
      </c>
      <c r="L370" s="8" t="str">
        <f>VLOOKUP(F370,[1]characters!$A:$M,13,FALSE)</f>
        <v>unknown</v>
      </c>
      <c r="M370" s="65"/>
      <c r="N370" s="16">
        <f>VLOOKUP(D370,gacha_300_base!A:B,2,FALSE)</f>
        <v>11912</v>
      </c>
      <c r="O370" s="37">
        <f>IFERROR(VLOOKUP($F370,bug_conf_sheet!$A:$H,3,FALSE),VLOOKUP("other",bug_conf_sheet!$A:$H,3,FALSE))</f>
        <v>1</v>
      </c>
      <c r="P370" s="37">
        <f>IFERROR(VLOOKUP($F370,bug_conf_sheet!$A:$H,4,FALSE),VLOOKUP("other",bug_conf_sheet!$A:$H,4,FALSE))</f>
        <v>0</v>
      </c>
      <c r="Q370" s="37">
        <f>IFERROR(VLOOKUP($F370,bug_conf_sheet!$A:$H,5,FALSE),VLOOKUP("other",bug_conf_sheet!$A:$H,5,FALSE))</f>
        <v>0</v>
      </c>
      <c r="R370" s="37">
        <f>IFERROR(VLOOKUP($F370,bug_conf_sheet!$A:$H,6,FALSE),VLOOKUP("other",bug_conf_sheet!$A:$H,6,FALSE))</f>
        <v>0</v>
      </c>
      <c r="S370" s="37">
        <f>IFERROR(VLOOKUP($F370,bug_conf_sheet!$A:$H,7,FALSE),VLOOKUP("other",bug_conf_sheet!$A:$H,7,FALSE))</f>
        <v>0</v>
      </c>
      <c r="T370" s="37">
        <f>IFERROR(VLOOKUP($F370,bug_conf_sheet!$A:$H,8,FALSE),VLOOKUP("other",bug_conf_sheet!$A:$H,8,FALSE))</f>
        <v>1</v>
      </c>
    </row>
    <row r="371" spans="1:20" ht="21" customHeight="1">
      <c r="A371" s="7" t="str">
        <f t="shared" si="30"/>
        <v>3001477</v>
      </c>
      <c r="B371" s="2" t="str">
        <f t="shared" si="28"/>
        <v>3001</v>
      </c>
      <c r="C371" s="8" t="str">
        <f t="shared" si="29"/>
        <v>1PremiumS4</v>
      </c>
      <c r="D371" s="8" t="str">
        <f t="shared" si="27"/>
        <v>1PremiumS4</v>
      </c>
      <c r="E371" s="10">
        <v>1</v>
      </c>
      <c r="F371" s="6">
        <v>477</v>
      </c>
      <c r="G371" s="8" t="str">
        <f>VLOOKUP(F371,[1]characters!$A:$C,3,FALSE)</f>
        <v>愛羽妖精 ファータ</v>
      </c>
      <c r="H371" s="8" t="str">
        <f>VLOOKUP(F371,[1]characters!$A:$J,10,FALSE)</f>
        <v>PremiumS</v>
      </c>
      <c r="I371" s="8">
        <f>VLOOKUP(F371,[1]characters!$A:$I,9,FALSE)</f>
        <v>4</v>
      </c>
      <c r="J371" s="8" t="str">
        <f>VLOOKUP(F371,[1]characters!$A:$H,8,FALSE)</f>
        <v>green</v>
      </c>
      <c r="K371" s="8" t="str">
        <f>VLOOKUP(F371,[1]characters!$A:$K,11,FALSE)</f>
        <v>heal</v>
      </c>
      <c r="L371" s="8" t="str">
        <f>VLOOKUP(F371,[1]characters!$A:$M,13,FALSE)</f>
        <v>unknown</v>
      </c>
      <c r="M371" s="65"/>
      <c r="N371" s="16">
        <f>VLOOKUP(D371,gacha_300_base!A:B,2,FALSE)</f>
        <v>2790</v>
      </c>
      <c r="O371" s="37">
        <f>IFERROR(VLOOKUP($F371,bug_conf_sheet!$A:$H,3,FALSE),VLOOKUP("other",bug_conf_sheet!$A:$H,3,FALSE))</f>
        <v>1</v>
      </c>
      <c r="P371" s="37">
        <f>IFERROR(VLOOKUP($F371,bug_conf_sheet!$A:$H,4,FALSE),VLOOKUP("other",bug_conf_sheet!$A:$H,4,FALSE))</f>
        <v>0</v>
      </c>
      <c r="Q371" s="37">
        <f>IFERROR(VLOOKUP($F371,bug_conf_sheet!$A:$H,5,FALSE),VLOOKUP("other",bug_conf_sheet!$A:$H,5,FALSE))</f>
        <v>0</v>
      </c>
      <c r="R371" s="37">
        <f>IFERROR(VLOOKUP($F371,bug_conf_sheet!$A:$H,6,FALSE),VLOOKUP("other",bug_conf_sheet!$A:$H,6,FALSE))</f>
        <v>0</v>
      </c>
      <c r="S371" s="37">
        <f>IFERROR(VLOOKUP($F371,bug_conf_sheet!$A:$H,7,FALSE),VLOOKUP("other",bug_conf_sheet!$A:$H,7,FALSE))</f>
        <v>0</v>
      </c>
      <c r="T371" s="37">
        <f>IFERROR(VLOOKUP($F371,bug_conf_sheet!$A:$H,8,FALSE),VLOOKUP("other",bug_conf_sheet!$A:$H,8,FALSE))</f>
        <v>1</v>
      </c>
    </row>
    <row r="372" spans="1:20" ht="21" customHeight="1">
      <c r="A372" s="7" t="str">
        <f t="shared" si="30"/>
        <v>3001478</v>
      </c>
      <c r="B372" s="2" t="str">
        <f t="shared" si="28"/>
        <v>3001</v>
      </c>
      <c r="C372" s="8" t="str">
        <f t="shared" si="29"/>
        <v>1PremiumS5</v>
      </c>
      <c r="D372" s="8" t="str">
        <f t="shared" si="27"/>
        <v>1PremiumS5</v>
      </c>
      <c r="E372" s="10">
        <v>1</v>
      </c>
      <c r="F372" s="6">
        <v>478</v>
      </c>
      <c r="G372" s="8" t="str">
        <f>VLOOKUP(F372,[1]characters!$A:$C,3,FALSE)</f>
        <v>時計仕掛けの愛羽妖精 ファータ</v>
      </c>
      <c r="H372" s="8" t="str">
        <f>VLOOKUP(F372,[1]characters!$A:$J,10,FALSE)</f>
        <v>PremiumS</v>
      </c>
      <c r="I372" s="8">
        <f>VLOOKUP(F372,[1]characters!$A:$I,9,FALSE)</f>
        <v>5</v>
      </c>
      <c r="J372" s="8" t="str">
        <f>VLOOKUP(F372,[1]characters!$A:$H,8,FALSE)</f>
        <v>green</v>
      </c>
      <c r="K372" s="8" t="str">
        <f>VLOOKUP(F372,[1]characters!$A:$K,11,FALSE)</f>
        <v>heal</v>
      </c>
      <c r="L372" s="8" t="str">
        <f>VLOOKUP(F372,[1]characters!$A:$M,13,FALSE)</f>
        <v>unknown</v>
      </c>
      <c r="M372" s="65"/>
      <c r="N372" s="16">
        <f>VLOOKUP(D372,gacha_300_base!A:B,2,FALSE)</f>
        <v>972</v>
      </c>
      <c r="O372" s="37">
        <f>IFERROR(VLOOKUP($F372,bug_conf_sheet!$A:$H,3,FALSE),VLOOKUP("other",bug_conf_sheet!$A:$H,3,FALSE))</f>
        <v>1</v>
      </c>
      <c r="P372" s="37">
        <f>IFERROR(VLOOKUP($F372,bug_conf_sheet!$A:$H,4,FALSE),VLOOKUP("other",bug_conf_sheet!$A:$H,4,FALSE))</f>
        <v>0</v>
      </c>
      <c r="Q372" s="37">
        <f>IFERROR(VLOOKUP($F372,bug_conf_sheet!$A:$H,5,FALSE),VLOOKUP("other",bug_conf_sheet!$A:$H,5,FALSE))</f>
        <v>0</v>
      </c>
      <c r="R372" s="37">
        <f>IFERROR(VLOOKUP($F372,bug_conf_sheet!$A:$H,6,FALSE),VLOOKUP("other",bug_conf_sheet!$A:$H,6,FALSE))</f>
        <v>0</v>
      </c>
      <c r="S372" s="37">
        <f>IFERROR(VLOOKUP($F372,bug_conf_sheet!$A:$H,7,FALSE),VLOOKUP("other",bug_conf_sheet!$A:$H,7,FALSE))</f>
        <v>0</v>
      </c>
      <c r="T372" s="37">
        <f>IFERROR(VLOOKUP($F372,bug_conf_sheet!$A:$H,8,FALSE),VLOOKUP("other",bug_conf_sheet!$A:$H,8,FALSE))</f>
        <v>1</v>
      </c>
    </row>
    <row r="373" spans="1:20" ht="21" customHeight="1">
      <c r="A373" s="7" t="str">
        <f t="shared" si="30"/>
        <v>3001479</v>
      </c>
      <c r="B373" s="2" t="str">
        <f t="shared" si="28"/>
        <v>3001</v>
      </c>
      <c r="C373" s="8" t="str">
        <f t="shared" si="29"/>
        <v>1PremiumSS4</v>
      </c>
      <c r="D373" s="8" t="str">
        <f t="shared" si="27"/>
        <v>1PremiumSS4</v>
      </c>
      <c r="E373" s="10">
        <v>1</v>
      </c>
      <c r="F373" s="6">
        <v>479</v>
      </c>
      <c r="G373" s="8" t="str">
        <f>VLOOKUP(F373,[1]characters!$A:$C,3,FALSE)</f>
        <v>フール</v>
      </c>
      <c r="H373" s="8" t="str">
        <f>VLOOKUP(F373,[1]characters!$A:$J,10,FALSE)</f>
        <v>PremiumSS</v>
      </c>
      <c r="I373" s="8">
        <f>VLOOKUP(F373,[1]characters!$A:$I,9,FALSE)</f>
        <v>4</v>
      </c>
      <c r="J373" s="8" t="str">
        <f>VLOOKUP(F373,[1]characters!$A:$H,8,FALSE)</f>
        <v>blue</v>
      </c>
      <c r="K373" s="8" t="str">
        <f>VLOOKUP(F373,[1]characters!$A:$K,11,FALSE)</f>
        <v>technical</v>
      </c>
      <c r="L373" s="8" t="str">
        <f>VLOOKUP(F373,[1]characters!$A:$M,13,FALSE)</f>
        <v>god</v>
      </c>
      <c r="M373" s="65"/>
      <c r="N373" s="16">
        <f>VLOOKUP(D373,gacha_300_base!A:B,2,FALSE)</f>
        <v>1705</v>
      </c>
      <c r="O373" s="37">
        <f>IFERROR(VLOOKUP($F373,bug_conf_sheet!$A:$H,3,FALSE),VLOOKUP("other",bug_conf_sheet!$A:$H,3,FALSE))</f>
        <v>1</v>
      </c>
      <c r="P373" s="37">
        <f>IFERROR(VLOOKUP($F373,bug_conf_sheet!$A:$H,4,FALSE),VLOOKUP("other",bug_conf_sheet!$A:$H,4,FALSE))</f>
        <v>0</v>
      </c>
      <c r="Q373" s="37">
        <f>IFERROR(VLOOKUP($F373,bug_conf_sheet!$A:$H,5,FALSE),VLOOKUP("other",bug_conf_sheet!$A:$H,5,FALSE))</f>
        <v>0</v>
      </c>
      <c r="R373" s="37">
        <f>IFERROR(VLOOKUP($F373,bug_conf_sheet!$A:$H,6,FALSE),VLOOKUP("other",bug_conf_sheet!$A:$H,6,FALSE))</f>
        <v>0</v>
      </c>
      <c r="S373" s="37">
        <f>IFERROR(VLOOKUP($F373,bug_conf_sheet!$A:$H,7,FALSE),VLOOKUP("other",bug_conf_sheet!$A:$H,7,FALSE))</f>
        <v>0</v>
      </c>
      <c r="T373" s="37">
        <f>IFERROR(VLOOKUP($F373,bug_conf_sheet!$A:$H,8,FALSE),VLOOKUP("other",bug_conf_sheet!$A:$H,8,FALSE))</f>
        <v>1</v>
      </c>
    </row>
    <row r="374" spans="1:20" ht="21" customHeight="1">
      <c r="A374" s="7" t="str">
        <f t="shared" si="30"/>
        <v>3001480</v>
      </c>
      <c r="B374" s="2" t="str">
        <f t="shared" si="28"/>
        <v>3001</v>
      </c>
      <c r="C374" s="8" t="str">
        <f t="shared" si="29"/>
        <v>1PremiumSS5</v>
      </c>
      <c r="D374" s="8" t="str">
        <f t="shared" si="27"/>
        <v>1PremiumSS5</v>
      </c>
      <c r="E374" s="10">
        <v>1</v>
      </c>
      <c r="F374" s="6">
        <v>480</v>
      </c>
      <c r="G374" s="8" t="str">
        <f>VLOOKUP(F374,[1]characters!$A:$C,3,FALSE)</f>
        <v>夢幻の愚者フール</v>
      </c>
      <c r="H374" s="8" t="str">
        <f>VLOOKUP(F374,[1]characters!$A:$J,10,FALSE)</f>
        <v>PremiumSS</v>
      </c>
      <c r="I374" s="8">
        <f>VLOOKUP(F374,[1]characters!$A:$I,9,FALSE)</f>
        <v>5</v>
      </c>
      <c r="J374" s="8" t="str">
        <f>VLOOKUP(F374,[1]characters!$A:$H,8,FALSE)</f>
        <v>blue</v>
      </c>
      <c r="K374" s="8" t="str">
        <f>VLOOKUP(F374,[1]characters!$A:$K,11,FALSE)</f>
        <v>technical</v>
      </c>
      <c r="L374" s="8" t="str">
        <f>VLOOKUP(F374,[1]characters!$A:$M,13,FALSE)</f>
        <v>god</v>
      </c>
      <c r="M374" s="65"/>
      <c r="N374" s="16">
        <f>VLOOKUP(D374,gacha_300_base!A:B,2,FALSE)</f>
        <v>113</v>
      </c>
      <c r="O374" s="37">
        <f>IFERROR(VLOOKUP($F374,bug_conf_sheet!$A:$H,3,FALSE),VLOOKUP("other",bug_conf_sheet!$A:$H,3,FALSE))</f>
        <v>1</v>
      </c>
      <c r="P374" s="37">
        <f>IFERROR(VLOOKUP($F374,bug_conf_sheet!$A:$H,4,FALSE),VLOOKUP("other",bug_conf_sheet!$A:$H,4,FALSE))</f>
        <v>0</v>
      </c>
      <c r="Q374" s="37">
        <f>IFERROR(VLOOKUP($F374,bug_conf_sheet!$A:$H,5,FALSE),VLOOKUP("other",bug_conf_sheet!$A:$H,5,FALSE))</f>
        <v>0</v>
      </c>
      <c r="R374" s="37">
        <f>IFERROR(VLOOKUP($F374,bug_conf_sheet!$A:$H,6,FALSE),VLOOKUP("other",bug_conf_sheet!$A:$H,6,FALSE))</f>
        <v>0</v>
      </c>
      <c r="S374" s="37">
        <f>IFERROR(VLOOKUP($F374,bug_conf_sheet!$A:$H,7,FALSE),VLOOKUP("other",bug_conf_sheet!$A:$H,7,FALSE))</f>
        <v>0</v>
      </c>
      <c r="T374" s="37">
        <f>IFERROR(VLOOKUP($F374,bug_conf_sheet!$A:$H,8,FALSE),VLOOKUP("other",bug_conf_sheet!$A:$H,8,FALSE))</f>
        <v>1</v>
      </c>
    </row>
    <row r="375" spans="1:20" ht="21" customHeight="1">
      <c r="A375" s="7" t="str">
        <f t="shared" si="30"/>
        <v>3001481</v>
      </c>
      <c r="B375" s="2" t="str">
        <f t="shared" si="28"/>
        <v>3001</v>
      </c>
      <c r="C375" s="8" t="str">
        <f t="shared" si="29"/>
        <v>1PremiumS3</v>
      </c>
      <c r="D375" s="8" t="str">
        <f t="shared" si="27"/>
        <v>1PremiumS3</v>
      </c>
      <c r="E375" s="10">
        <v>1</v>
      </c>
      <c r="F375" s="6">
        <v>481</v>
      </c>
      <c r="G375" s="8" t="str">
        <f>VLOOKUP(F375,[1]characters!$A:$C,3,FALSE)</f>
        <v>沢庵宗彭</v>
      </c>
      <c r="H375" s="8" t="str">
        <f>VLOOKUP(F375,[1]characters!$A:$J,10,FALSE)</f>
        <v>PremiumS</v>
      </c>
      <c r="I375" s="8">
        <f>VLOOKUP(F375,[1]characters!$A:$I,9,FALSE)</f>
        <v>3</v>
      </c>
      <c r="J375" s="8" t="str">
        <f>VLOOKUP(F375,[1]characters!$A:$H,8,FALSE)</f>
        <v>yellow</v>
      </c>
      <c r="K375" s="8" t="str">
        <f>VLOOKUP(F375,[1]characters!$A:$K,11,FALSE)</f>
        <v>hp</v>
      </c>
      <c r="L375" s="8" t="str">
        <f>VLOOKUP(F375,[1]characters!$A:$M,13,FALSE)</f>
        <v>human</v>
      </c>
      <c r="M375" s="65"/>
      <c r="N375" s="16">
        <f>VLOOKUP(D375,gacha_300_base!A:B,2,FALSE)</f>
        <v>11912</v>
      </c>
      <c r="O375" s="37">
        <f>IFERROR(VLOOKUP($F375,bug_conf_sheet!$A:$H,3,FALSE),VLOOKUP("other",bug_conf_sheet!$A:$H,3,FALSE))</f>
        <v>1</v>
      </c>
      <c r="P375" s="37">
        <f>IFERROR(VLOOKUP($F375,bug_conf_sheet!$A:$H,4,FALSE),VLOOKUP("other",bug_conf_sheet!$A:$H,4,FALSE))</f>
        <v>0</v>
      </c>
      <c r="Q375" s="37">
        <f>IFERROR(VLOOKUP($F375,bug_conf_sheet!$A:$H,5,FALSE),VLOOKUP("other",bug_conf_sheet!$A:$H,5,FALSE))</f>
        <v>0</v>
      </c>
      <c r="R375" s="37">
        <f>IFERROR(VLOOKUP($F375,bug_conf_sheet!$A:$H,6,FALSE),VLOOKUP("other",bug_conf_sheet!$A:$H,6,FALSE))</f>
        <v>0</v>
      </c>
      <c r="S375" s="37">
        <f>IFERROR(VLOOKUP($F375,bug_conf_sheet!$A:$H,7,FALSE),VLOOKUP("other",bug_conf_sheet!$A:$H,7,FALSE))</f>
        <v>0</v>
      </c>
      <c r="T375" s="37">
        <f>IFERROR(VLOOKUP($F375,bug_conf_sheet!$A:$H,8,FALSE),VLOOKUP("other",bug_conf_sheet!$A:$H,8,FALSE))</f>
        <v>1</v>
      </c>
    </row>
    <row r="376" spans="1:20" ht="21" customHeight="1">
      <c r="A376" s="7" t="str">
        <f t="shared" si="30"/>
        <v>3001482</v>
      </c>
      <c r="B376" s="2" t="str">
        <f t="shared" si="28"/>
        <v>3001</v>
      </c>
      <c r="C376" s="8" t="str">
        <f t="shared" si="29"/>
        <v>1PremiumS4</v>
      </c>
      <c r="D376" s="8" t="str">
        <f t="shared" si="27"/>
        <v>1PremiumS4</v>
      </c>
      <c r="E376" s="10">
        <v>1</v>
      </c>
      <c r="F376" s="6">
        <v>482</v>
      </c>
      <c r="G376" s="8" t="str">
        <f>VLOOKUP(F376,[1]characters!$A:$C,3,FALSE)</f>
        <v>魁僧 沢庵宗彭</v>
      </c>
      <c r="H376" s="8" t="str">
        <f>VLOOKUP(F376,[1]characters!$A:$J,10,FALSE)</f>
        <v>PremiumS</v>
      </c>
      <c r="I376" s="8">
        <f>VLOOKUP(F376,[1]characters!$A:$I,9,FALSE)</f>
        <v>4</v>
      </c>
      <c r="J376" s="8" t="str">
        <f>VLOOKUP(F376,[1]characters!$A:$H,8,FALSE)</f>
        <v>yellow</v>
      </c>
      <c r="K376" s="8" t="str">
        <f>VLOOKUP(F376,[1]characters!$A:$K,11,FALSE)</f>
        <v>hp</v>
      </c>
      <c r="L376" s="8" t="str">
        <f>VLOOKUP(F376,[1]characters!$A:$M,13,FALSE)</f>
        <v>human</v>
      </c>
      <c r="M376" s="65"/>
      <c r="N376" s="16">
        <f>VLOOKUP(D376,gacha_300_base!A:B,2,FALSE)</f>
        <v>2790</v>
      </c>
      <c r="O376" s="37">
        <f>IFERROR(VLOOKUP($F376,bug_conf_sheet!$A:$H,3,FALSE),VLOOKUP("other",bug_conf_sheet!$A:$H,3,FALSE))</f>
        <v>1</v>
      </c>
      <c r="P376" s="37">
        <f>IFERROR(VLOOKUP($F376,bug_conf_sheet!$A:$H,4,FALSE),VLOOKUP("other",bug_conf_sheet!$A:$H,4,FALSE))</f>
        <v>0</v>
      </c>
      <c r="Q376" s="37">
        <f>IFERROR(VLOOKUP($F376,bug_conf_sheet!$A:$H,5,FALSE),VLOOKUP("other",bug_conf_sheet!$A:$H,5,FALSE))</f>
        <v>0</v>
      </c>
      <c r="R376" s="37">
        <f>IFERROR(VLOOKUP($F376,bug_conf_sheet!$A:$H,6,FALSE),VLOOKUP("other",bug_conf_sheet!$A:$H,6,FALSE))</f>
        <v>0</v>
      </c>
      <c r="S376" s="37">
        <f>IFERROR(VLOOKUP($F376,bug_conf_sheet!$A:$H,7,FALSE),VLOOKUP("other",bug_conf_sheet!$A:$H,7,FALSE))</f>
        <v>0</v>
      </c>
      <c r="T376" s="37">
        <f>IFERROR(VLOOKUP($F376,bug_conf_sheet!$A:$H,8,FALSE),VLOOKUP("other",bug_conf_sheet!$A:$H,8,FALSE))</f>
        <v>1</v>
      </c>
    </row>
    <row r="377" spans="1:20" ht="21" customHeight="1">
      <c r="A377" s="7" t="str">
        <f t="shared" si="30"/>
        <v>3001483</v>
      </c>
      <c r="B377" s="2" t="str">
        <f t="shared" si="28"/>
        <v>3001</v>
      </c>
      <c r="C377" s="8" t="str">
        <f t="shared" si="29"/>
        <v>1PremiumS5</v>
      </c>
      <c r="D377" s="8" t="str">
        <f t="shared" si="27"/>
        <v>1PremiumS5</v>
      </c>
      <c r="E377" s="10">
        <v>1</v>
      </c>
      <c r="F377" s="6">
        <v>483</v>
      </c>
      <c r="G377" s="8" t="str">
        <f>VLOOKUP(F377,[1]characters!$A:$C,3,FALSE)</f>
        <v xml:space="preserve">命経死遂 沢庵宗彭 </v>
      </c>
      <c r="H377" s="8" t="str">
        <f>VLOOKUP(F377,[1]characters!$A:$J,10,FALSE)</f>
        <v>PremiumS</v>
      </c>
      <c r="I377" s="8">
        <f>VLOOKUP(F377,[1]characters!$A:$I,9,FALSE)</f>
        <v>5</v>
      </c>
      <c r="J377" s="8" t="str">
        <f>VLOOKUP(F377,[1]characters!$A:$H,8,FALSE)</f>
        <v>yellow</v>
      </c>
      <c r="K377" s="8" t="str">
        <f>VLOOKUP(F377,[1]characters!$A:$K,11,FALSE)</f>
        <v>hp</v>
      </c>
      <c r="L377" s="8" t="str">
        <f>VLOOKUP(F377,[1]characters!$A:$M,13,FALSE)</f>
        <v>human</v>
      </c>
      <c r="M377" s="65"/>
      <c r="N377" s="16">
        <f>VLOOKUP(D377,gacha_300_base!A:B,2,FALSE)</f>
        <v>972</v>
      </c>
      <c r="O377" s="37">
        <f>IFERROR(VLOOKUP($F377,bug_conf_sheet!$A:$H,3,FALSE),VLOOKUP("other",bug_conf_sheet!$A:$H,3,FALSE))</f>
        <v>1</v>
      </c>
      <c r="P377" s="37">
        <f>IFERROR(VLOOKUP($F377,bug_conf_sheet!$A:$H,4,FALSE),VLOOKUP("other",bug_conf_sheet!$A:$H,4,FALSE))</f>
        <v>0</v>
      </c>
      <c r="Q377" s="37">
        <f>IFERROR(VLOOKUP($F377,bug_conf_sheet!$A:$H,5,FALSE),VLOOKUP("other",bug_conf_sheet!$A:$H,5,FALSE))</f>
        <v>0</v>
      </c>
      <c r="R377" s="37">
        <f>IFERROR(VLOOKUP($F377,bug_conf_sheet!$A:$H,6,FALSE),VLOOKUP("other",bug_conf_sheet!$A:$H,6,FALSE))</f>
        <v>0</v>
      </c>
      <c r="S377" s="37">
        <f>IFERROR(VLOOKUP($F377,bug_conf_sheet!$A:$H,7,FALSE),VLOOKUP("other",bug_conf_sheet!$A:$H,7,FALSE))</f>
        <v>0</v>
      </c>
      <c r="T377" s="37">
        <f>IFERROR(VLOOKUP($F377,bug_conf_sheet!$A:$H,8,FALSE),VLOOKUP("other",bug_conf_sheet!$A:$H,8,FALSE))</f>
        <v>1</v>
      </c>
    </row>
    <row r="378" spans="1:20" ht="21" customHeight="1">
      <c r="A378" s="7" t="str">
        <f t="shared" si="30"/>
        <v>3001492</v>
      </c>
      <c r="B378" s="2" t="str">
        <f t="shared" si="28"/>
        <v>3001</v>
      </c>
      <c r="C378" s="8" t="str">
        <f t="shared" si="29"/>
        <v>1PremiumSS4</v>
      </c>
      <c r="D378" s="8" t="str">
        <f t="shared" si="27"/>
        <v>1PremiumSS4</v>
      </c>
      <c r="E378" s="10">
        <v>1</v>
      </c>
      <c r="F378" s="6">
        <v>492</v>
      </c>
      <c r="G378" s="8" t="str">
        <f>VLOOKUP(F378,[1]characters!$A:$C,3,FALSE)</f>
        <v>ブートレグ・ペロー</v>
      </c>
      <c r="H378" s="8" t="str">
        <f>VLOOKUP(F378,[1]characters!$A:$J,10,FALSE)</f>
        <v>PremiumSS</v>
      </c>
      <c r="I378" s="8">
        <f>VLOOKUP(F378,[1]characters!$A:$I,9,FALSE)</f>
        <v>4</v>
      </c>
      <c r="J378" s="8" t="str">
        <f>VLOOKUP(F378,[1]characters!$A:$H,8,FALSE)</f>
        <v>red</v>
      </c>
      <c r="K378" s="8" t="str">
        <f>VLOOKUP(F378,[1]characters!$A:$K,11,FALSE)</f>
        <v>hp</v>
      </c>
      <c r="L378" s="8" t="str">
        <f>VLOOKUP(F378,[1]characters!$A:$M,13,FALSE)</f>
        <v>animal</v>
      </c>
      <c r="M378" s="65"/>
      <c r="N378" s="16">
        <f>VLOOKUP(D378,gacha_300_base!A:B,2,FALSE)</f>
        <v>1705</v>
      </c>
      <c r="O378" s="37">
        <f>IFERROR(VLOOKUP($F378,bug_conf_sheet!$A:$H,3,FALSE),VLOOKUP("other",bug_conf_sheet!$A:$H,3,FALSE))</f>
        <v>1</v>
      </c>
      <c r="P378" s="37">
        <f>IFERROR(VLOOKUP($F378,bug_conf_sheet!$A:$H,4,FALSE),VLOOKUP("other",bug_conf_sheet!$A:$H,4,FALSE))</f>
        <v>0</v>
      </c>
      <c r="Q378" s="37">
        <f>IFERROR(VLOOKUP($F378,bug_conf_sheet!$A:$H,5,FALSE),VLOOKUP("other",bug_conf_sheet!$A:$H,5,FALSE))</f>
        <v>0</v>
      </c>
      <c r="R378" s="37">
        <f>IFERROR(VLOOKUP($F378,bug_conf_sheet!$A:$H,6,FALSE),VLOOKUP("other",bug_conf_sheet!$A:$H,6,FALSE))</f>
        <v>0</v>
      </c>
      <c r="S378" s="37">
        <f>IFERROR(VLOOKUP($F378,bug_conf_sheet!$A:$H,7,FALSE),VLOOKUP("other",bug_conf_sheet!$A:$H,7,FALSE))</f>
        <v>0</v>
      </c>
      <c r="T378" s="37">
        <f>IFERROR(VLOOKUP($F378,bug_conf_sheet!$A:$H,8,FALSE),VLOOKUP("other",bug_conf_sheet!$A:$H,8,FALSE))</f>
        <v>1</v>
      </c>
    </row>
    <row r="379" spans="1:20" ht="21" customHeight="1">
      <c r="A379" s="7" t="str">
        <f t="shared" si="30"/>
        <v>3001493</v>
      </c>
      <c r="B379" s="2" t="str">
        <f t="shared" si="28"/>
        <v>3001</v>
      </c>
      <c r="C379" s="8" t="str">
        <f t="shared" si="29"/>
        <v>1PremiumSS5</v>
      </c>
      <c r="D379" s="8" t="str">
        <f t="shared" si="27"/>
        <v>1PremiumSS5</v>
      </c>
      <c r="E379" s="10">
        <v>1</v>
      </c>
      <c r="F379" s="6">
        <v>493</v>
      </c>
      <c r="G379" s="8" t="str">
        <f>VLOOKUP(F379,[1]characters!$A:$C,3,FALSE)</f>
        <v>跋扈の機脚 ブートレグ・ペロー</v>
      </c>
      <c r="H379" s="8" t="str">
        <f>VLOOKUP(F379,[1]characters!$A:$J,10,FALSE)</f>
        <v>PremiumSS</v>
      </c>
      <c r="I379" s="8">
        <f>VLOOKUP(F379,[1]characters!$A:$I,9,FALSE)</f>
        <v>5</v>
      </c>
      <c r="J379" s="8" t="str">
        <f>VLOOKUP(F379,[1]characters!$A:$H,8,FALSE)</f>
        <v>red</v>
      </c>
      <c r="K379" s="8" t="str">
        <f>VLOOKUP(F379,[1]characters!$A:$K,11,FALSE)</f>
        <v>hp</v>
      </c>
      <c r="L379" s="8" t="str">
        <f>VLOOKUP(F379,[1]characters!$A:$M,13,FALSE)</f>
        <v>animal</v>
      </c>
      <c r="M379" s="65"/>
      <c r="N379" s="16">
        <f>VLOOKUP(D379,gacha_300_base!A:B,2,FALSE)</f>
        <v>113</v>
      </c>
      <c r="O379" s="37">
        <f>IFERROR(VLOOKUP($F379,bug_conf_sheet!$A:$H,3,FALSE),VLOOKUP("other",bug_conf_sheet!$A:$H,3,FALSE))</f>
        <v>1</v>
      </c>
      <c r="P379" s="37">
        <f>IFERROR(VLOOKUP($F379,bug_conf_sheet!$A:$H,4,FALSE),VLOOKUP("other",bug_conf_sheet!$A:$H,4,FALSE))</f>
        <v>0</v>
      </c>
      <c r="Q379" s="37">
        <f>IFERROR(VLOOKUP($F379,bug_conf_sheet!$A:$H,5,FALSE),VLOOKUP("other",bug_conf_sheet!$A:$H,5,FALSE))</f>
        <v>0</v>
      </c>
      <c r="R379" s="37">
        <f>IFERROR(VLOOKUP($F379,bug_conf_sheet!$A:$H,6,FALSE),VLOOKUP("other",bug_conf_sheet!$A:$H,6,FALSE))</f>
        <v>0</v>
      </c>
      <c r="S379" s="37">
        <f>IFERROR(VLOOKUP($F379,bug_conf_sheet!$A:$H,7,FALSE),VLOOKUP("other",bug_conf_sheet!$A:$H,7,FALSE))</f>
        <v>0</v>
      </c>
      <c r="T379" s="37">
        <f>IFERROR(VLOOKUP($F379,bug_conf_sheet!$A:$H,8,FALSE),VLOOKUP("other",bug_conf_sheet!$A:$H,8,FALSE))</f>
        <v>1</v>
      </c>
    </row>
    <row r="380" spans="1:20" ht="21" customHeight="1">
      <c r="A380" s="7" t="str">
        <f t="shared" si="30"/>
        <v>3001494</v>
      </c>
      <c r="B380" s="2" t="str">
        <f t="shared" si="28"/>
        <v>3001</v>
      </c>
      <c r="C380" s="8" t="str">
        <f t="shared" si="29"/>
        <v>1PremiumSS4</v>
      </c>
      <c r="D380" s="8" t="str">
        <f t="shared" si="27"/>
        <v>1PremiumSS4</v>
      </c>
      <c r="E380" s="10">
        <v>1</v>
      </c>
      <c r="F380" s="6">
        <v>494</v>
      </c>
      <c r="G380" s="8" t="str">
        <f>VLOOKUP(F380,[1]characters!$A:$C,3,FALSE)</f>
        <v>ハーメルン</v>
      </c>
      <c r="H380" s="8" t="str">
        <f>VLOOKUP(F380,[1]characters!$A:$J,10,FALSE)</f>
        <v>PremiumSS</v>
      </c>
      <c r="I380" s="8">
        <f>VLOOKUP(F380,[1]characters!$A:$I,9,FALSE)</f>
        <v>4</v>
      </c>
      <c r="J380" s="8" t="str">
        <f>VLOOKUP(F380,[1]characters!$A:$H,8,FALSE)</f>
        <v>green</v>
      </c>
      <c r="K380" s="8" t="str">
        <f>VLOOKUP(F380,[1]characters!$A:$K,11,FALSE)</f>
        <v>technical</v>
      </c>
      <c r="L380" s="8" t="str">
        <f>VLOOKUP(F380,[1]characters!$A:$M,13,FALSE)</f>
        <v>human</v>
      </c>
      <c r="M380" s="65"/>
      <c r="N380" s="16">
        <f>VLOOKUP(D380,gacha_300_base!A:B,2,FALSE)</f>
        <v>1705</v>
      </c>
      <c r="O380" s="37">
        <f>IFERROR(VLOOKUP($F380,bug_conf_sheet!$A:$H,3,FALSE),VLOOKUP("other",bug_conf_sheet!$A:$H,3,FALSE))</f>
        <v>1</v>
      </c>
      <c r="P380" s="37">
        <f>IFERROR(VLOOKUP($F380,bug_conf_sheet!$A:$H,4,FALSE),VLOOKUP("other",bug_conf_sheet!$A:$H,4,FALSE))</f>
        <v>0</v>
      </c>
      <c r="Q380" s="37">
        <f>IFERROR(VLOOKUP($F380,bug_conf_sheet!$A:$H,5,FALSE),VLOOKUP("other",bug_conf_sheet!$A:$H,5,FALSE))</f>
        <v>0</v>
      </c>
      <c r="R380" s="37">
        <f>IFERROR(VLOOKUP($F380,bug_conf_sheet!$A:$H,6,FALSE),VLOOKUP("other",bug_conf_sheet!$A:$H,6,FALSE))</f>
        <v>0</v>
      </c>
      <c r="S380" s="37">
        <f>IFERROR(VLOOKUP($F380,bug_conf_sheet!$A:$H,7,FALSE),VLOOKUP("other",bug_conf_sheet!$A:$H,7,FALSE))</f>
        <v>0</v>
      </c>
      <c r="T380" s="37">
        <f>IFERROR(VLOOKUP($F380,bug_conf_sheet!$A:$H,8,FALSE),VLOOKUP("other",bug_conf_sheet!$A:$H,8,FALSE))</f>
        <v>1</v>
      </c>
    </row>
    <row r="381" spans="1:20" ht="21" customHeight="1">
      <c r="A381" s="7" t="str">
        <f t="shared" si="30"/>
        <v>3001495</v>
      </c>
      <c r="B381" s="2" t="str">
        <f t="shared" si="28"/>
        <v>3001</v>
      </c>
      <c r="C381" s="8" t="str">
        <f t="shared" si="29"/>
        <v>1PremiumSS5</v>
      </c>
      <c r="D381" s="8" t="str">
        <f t="shared" si="27"/>
        <v>1PremiumSS5</v>
      </c>
      <c r="E381" s="10">
        <v>1</v>
      </c>
      <c r="F381" s="6">
        <v>495</v>
      </c>
      <c r="G381" s="8" t="str">
        <f>VLOOKUP(F381,[1]characters!$A:$C,3,FALSE)</f>
        <v>鼠災呼ぶ笛音 ハーメルン</v>
      </c>
      <c r="H381" s="8" t="str">
        <f>VLOOKUP(F381,[1]characters!$A:$J,10,FALSE)</f>
        <v>PremiumSS</v>
      </c>
      <c r="I381" s="8">
        <f>VLOOKUP(F381,[1]characters!$A:$I,9,FALSE)</f>
        <v>5</v>
      </c>
      <c r="J381" s="8" t="str">
        <f>VLOOKUP(F381,[1]characters!$A:$H,8,FALSE)</f>
        <v>green</v>
      </c>
      <c r="K381" s="8" t="str">
        <f>VLOOKUP(F381,[1]characters!$A:$K,11,FALSE)</f>
        <v>technical</v>
      </c>
      <c r="L381" s="8" t="str">
        <f>VLOOKUP(F381,[1]characters!$A:$M,13,FALSE)</f>
        <v>human</v>
      </c>
      <c r="M381" s="65"/>
      <c r="N381" s="16">
        <f>VLOOKUP(D381,gacha_300_base!A:B,2,FALSE)</f>
        <v>113</v>
      </c>
      <c r="O381" s="37">
        <f>IFERROR(VLOOKUP($F381,bug_conf_sheet!$A:$H,3,FALSE),VLOOKUP("other",bug_conf_sheet!$A:$H,3,FALSE))</f>
        <v>1</v>
      </c>
      <c r="P381" s="37">
        <f>IFERROR(VLOOKUP($F381,bug_conf_sheet!$A:$H,4,FALSE),VLOOKUP("other",bug_conf_sheet!$A:$H,4,FALSE))</f>
        <v>0</v>
      </c>
      <c r="Q381" s="37">
        <f>IFERROR(VLOOKUP($F381,bug_conf_sheet!$A:$H,5,FALSE),VLOOKUP("other",bug_conf_sheet!$A:$H,5,FALSE))</f>
        <v>0</v>
      </c>
      <c r="R381" s="37">
        <f>IFERROR(VLOOKUP($F381,bug_conf_sheet!$A:$H,6,FALSE),VLOOKUP("other",bug_conf_sheet!$A:$H,6,FALSE))</f>
        <v>0</v>
      </c>
      <c r="S381" s="37">
        <f>IFERROR(VLOOKUP($F381,bug_conf_sheet!$A:$H,7,FALSE),VLOOKUP("other",bug_conf_sheet!$A:$H,7,FALSE))</f>
        <v>0</v>
      </c>
      <c r="T381" s="37">
        <f>IFERROR(VLOOKUP($F381,bug_conf_sheet!$A:$H,8,FALSE),VLOOKUP("other",bug_conf_sheet!$A:$H,8,FALSE))</f>
        <v>1</v>
      </c>
    </row>
    <row r="382" spans="1:20" ht="21" customHeight="1">
      <c r="A382" s="7" t="str">
        <f t="shared" si="30"/>
        <v>3001496</v>
      </c>
      <c r="B382" s="2" t="str">
        <f t="shared" si="28"/>
        <v>3001</v>
      </c>
      <c r="C382" s="8" t="str">
        <f t="shared" si="29"/>
        <v>1PremiumS3</v>
      </c>
      <c r="D382" s="8" t="str">
        <f t="shared" si="27"/>
        <v>1PremiumS3</v>
      </c>
      <c r="E382" s="10">
        <v>1</v>
      </c>
      <c r="F382" s="6">
        <v>496</v>
      </c>
      <c r="G382" s="8" t="str">
        <f>VLOOKUP(F382,[1]characters!$A:$C,3,FALSE)</f>
        <v>エスタブ</v>
      </c>
      <c r="H382" s="8" t="str">
        <f>VLOOKUP(F382,[1]characters!$A:$J,10,FALSE)</f>
        <v>PremiumS</v>
      </c>
      <c r="I382" s="8">
        <f>VLOOKUP(F382,[1]characters!$A:$I,9,FALSE)</f>
        <v>3</v>
      </c>
      <c r="J382" s="8" t="str">
        <f>VLOOKUP(F382,[1]characters!$A:$H,8,FALSE)</f>
        <v>blue</v>
      </c>
      <c r="K382" s="8" t="str">
        <f>VLOOKUP(F382,[1]characters!$A:$K,11,FALSE)</f>
        <v>attack</v>
      </c>
      <c r="L382" s="8" t="str">
        <f>VLOOKUP(F382,[1]characters!$A:$M,13,FALSE)</f>
        <v>human</v>
      </c>
      <c r="M382" s="65"/>
      <c r="N382" s="16">
        <f>VLOOKUP(D382,gacha_300_base!A:B,2,FALSE)</f>
        <v>11912</v>
      </c>
      <c r="O382" s="37">
        <f>IFERROR(VLOOKUP($F382,bug_conf_sheet!$A:$H,3,FALSE),VLOOKUP("other",bug_conf_sheet!$A:$H,3,FALSE))</f>
        <v>1</v>
      </c>
      <c r="P382" s="37">
        <f>IFERROR(VLOOKUP($F382,bug_conf_sheet!$A:$H,4,FALSE),VLOOKUP("other",bug_conf_sheet!$A:$H,4,FALSE))</f>
        <v>0</v>
      </c>
      <c r="Q382" s="37">
        <f>IFERROR(VLOOKUP($F382,bug_conf_sheet!$A:$H,5,FALSE),VLOOKUP("other",bug_conf_sheet!$A:$H,5,FALSE))</f>
        <v>0</v>
      </c>
      <c r="R382" s="37">
        <f>IFERROR(VLOOKUP($F382,bug_conf_sheet!$A:$H,6,FALSE),VLOOKUP("other",bug_conf_sheet!$A:$H,6,FALSE))</f>
        <v>0</v>
      </c>
      <c r="S382" s="37">
        <f>IFERROR(VLOOKUP($F382,bug_conf_sheet!$A:$H,7,FALSE),VLOOKUP("other",bug_conf_sheet!$A:$H,7,FALSE))</f>
        <v>0</v>
      </c>
      <c r="T382" s="37">
        <f>IFERROR(VLOOKUP($F382,bug_conf_sheet!$A:$H,8,FALSE),VLOOKUP("other",bug_conf_sheet!$A:$H,8,FALSE))</f>
        <v>1</v>
      </c>
    </row>
    <row r="383" spans="1:20" ht="21" customHeight="1">
      <c r="A383" s="7" t="str">
        <f t="shared" si="30"/>
        <v>3001497</v>
      </c>
      <c r="B383" s="2" t="str">
        <f t="shared" si="28"/>
        <v>3001</v>
      </c>
      <c r="C383" s="8" t="str">
        <f t="shared" si="29"/>
        <v>1PremiumS4</v>
      </c>
      <c r="D383" s="8" t="str">
        <f t="shared" si="27"/>
        <v>1PremiumS4</v>
      </c>
      <c r="E383" s="10">
        <v>1</v>
      </c>
      <c r="F383" s="6">
        <v>497</v>
      </c>
      <c r="G383" s="8" t="str">
        <f>VLOOKUP(F383,[1]characters!$A:$C,3,FALSE)</f>
        <v>偏愛の野獣 エスタブ</v>
      </c>
      <c r="H383" s="8" t="str">
        <f>VLOOKUP(F383,[1]characters!$A:$J,10,FALSE)</f>
        <v>PremiumS</v>
      </c>
      <c r="I383" s="8">
        <f>VLOOKUP(F383,[1]characters!$A:$I,9,FALSE)</f>
        <v>4</v>
      </c>
      <c r="J383" s="8" t="str">
        <f>VLOOKUP(F383,[1]characters!$A:$H,8,FALSE)</f>
        <v>blue</v>
      </c>
      <c r="K383" s="8" t="str">
        <f>VLOOKUP(F383,[1]characters!$A:$K,11,FALSE)</f>
        <v>attack</v>
      </c>
      <c r="L383" s="8" t="str">
        <f>VLOOKUP(F383,[1]characters!$A:$M,13,FALSE)</f>
        <v>human</v>
      </c>
      <c r="M383" s="65"/>
      <c r="N383" s="16">
        <f>VLOOKUP(D383,gacha_300_base!A:B,2,FALSE)</f>
        <v>2790</v>
      </c>
      <c r="O383" s="37">
        <f>IFERROR(VLOOKUP($F383,bug_conf_sheet!$A:$H,3,FALSE),VLOOKUP("other",bug_conf_sheet!$A:$H,3,FALSE))</f>
        <v>1</v>
      </c>
      <c r="P383" s="37">
        <f>IFERROR(VLOOKUP($F383,bug_conf_sheet!$A:$H,4,FALSE),VLOOKUP("other",bug_conf_sheet!$A:$H,4,FALSE))</f>
        <v>0</v>
      </c>
      <c r="Q383" s="37">
        <f>IFERROR(VLOOKUP($F383,bug_conf_sheet!$A:$H,5,FALSE),VLOOKUP("other",bug_conf_sheet!$A:$H,5,FALSE))</f>
        <v>0</v>
      </c>
      <c r="R383" s="37">
        <f>IFERROR(VLOOKUP($F383,bug_conf_sheet!$A:$H,6,FALSE),VLOOKUP("other",bug_conf_sheet!$A:$H,6,FALSE))</f>
        <v>0</v>
      </c>
      <c r="S383" s="37">
        <f>IFERROR(VLOOKUP($F383,bug_conf_sheet!$A:$H,7,FALSE),VLOOKUP("other",bug_conf_sheet!$A:$H,7,FALSE))</f>
        <v>0</v>
      </c>
      <c r="T383" s="37">
        <f>IFERROR(VLOOKUP($F383,bug_conf_sheet!$A:$H,8,FALSE),VLOOKUP("other",bug_conf_sheet!$A:$H,8,FALSE))</f>
        <v>1</v>
      </c>
    </row>
    <row r="384" spans="1:20" ht="21" customHeight="1">
      <c r="A384" s="7" t="str">
        <f t="shared" si="30"/>
        <v>3001498</v>
      </c>
      <c r="B384" s="2" t="str">
        <f t="shared" si="28"/>
        <v>3001</v>
      </c>
      <c r="C384" s="8" t="str">
        <f t="shared" si="29"/>
        <v>1PremiumS5</v>
      </c>
      <c r="D384" s="8" t="str">
        <f t="shared" si="27"/>
        <v>1PremiumS5</v>
      </c>
      <c r="E384" s="10">
        <v>1</v>
      </c>
      <c r="F384" s="6">
        <v>498</v>
      </c>
      <c r="G384" s="8" t="str">
        <f>VLOOKUP(F384,[1]characters!$A:$C,3,FALSE)</f>
        <v>自愛の高魔 エスタブ</v>
      </c>
      <c r="H384" s="8" t="str">
        <f>VLOOKUP(F384,[1]characters!$A:$J,10,FALSE)</f>
        <v>PremiumS</v>
      </c>
      <c r="I384" s="8">
        <f>VLOOKUP(F384,[1]characters!$A:$I,9,FALSE)</f>
        <v>5</v>
      </c>
      <c r="J384" s="8" t="str">
        <f>VLOOKUP(F384,[1]characters!$A:$H,8,FALSE)</f>
        <v>blue</v>
      </c>
      <c r="K384" s="8" t="str">
        <f>VLOOKUP(F384,[1]characters!$A:$K,11,FALSE)</f>
        <v>attack</v>
      </c>
      <c r="L384" s="8" t="str">
        <f>VLOOKUP(F384,[1]characters!$A:$M,13,FALSE)</f>
        <v>human</v>
      </c>
      <c r="M384" s="65"/>
      <c r="N384" s="16">
        <f>VLOOKUP(D384,gacha_300_base!A:B,2,FALSE)</f>
        <v>972</v>
      </c>
      <c r="O384" s="37">
        <f>IFERROR(VLOOKUP($F384,bug_conf_sheet!$A:$H,3,FALSE),VLOOKUP("other",bug_conf_sheet!$A:$H,3,FALSE))</f>
        <v>1</v>
      </c>
      <c r="P384" s="37">
        <f>IFERROR(VLOOKUP($F384,bug_conf_sheet!$A:$H,4,FALSE),VLOOKUP("other",bug_conf_sheet!$A:$H,4,FALSE))</f>
        <v>0</v>
      </c>
      <c r="Q384" s="37">
        <f>IFERROR(VLOOKUP($F384,bug_conf_sheet!$A:$H,5,FALSE),VLOOKUP("other",bug_conf_sheet!$A:$H,5,FALSE))</f>
        <v>0</v>
      </c>
      <c r="R384" s="37">
        <f>IFERROR(VLOOKUP($F384,bug_conf_sheet!$A:$H,6,FALSE),VLOOKUP("other",bug_conf_sheet!$A:$H,6,FALSE))</f>
        <v>0</v>
      </c>
      <c r="S384" s="37">
        <f>IFERROR(VLOOKUP($F384,bug_conf_sheet!$A:$H,7,FALSE),VLOOKUP("other",bug_conf_sheet!$A:$H,7,FALSE))</f>
        <v>0</v>
      </c>
      <c r="T384" s="37">
        <f>IFERROR(VLOOKUP($F384,bug_conf_sheet!$A:$H,8,FALSE),VLOOKUP("other",bug_conf_sheet!$A:$H,8,FALSE))</f>
        <v>1</v>
      </c>
    </row>
    <row r="385" spans="1:20" ht="21" customHeight="1">
      <c r="A385" s="7" t="str">
        <f t="shared" si="30"/>
        <v>3001499</v>
      </c>
      <c r="B385" s="2" t="str">
        <f t="shared" si="28"/>
        <v>3001</v>
      </c>
      <c r="C385" s="8" t="str">
        <f t="shared" si="29"/>
        <v>1PremiumSS4</v>
      </c>
      <c r="D385" s="8" t="str">
        <f t="shared" si="27"/>
        <v>1PremiumSS4</v>
      </c>
      <c r="E385" s="10">
        <v>1</v>
      </c>
      <c r="F385" s="6">
        <v>499</v>
      </c>
      <c r="G385" s="8" t="str">
        <f>VLOOKUP(F385,[1]characters!$A:$C,3,FALSE)</f>
        <v>ラプンツェル</v>
      </c>
      <c r="H385" s="8" t="str">
        <f>VLOOKUP(F385,[1]characters!$A:$J,10,FALSE)</f>
        <v>PremiumSS</v>
      </c>
      <c r="I385" s="8">
        <f>VLOOKUP(F385,[1]characters!$A:$I,9,FALSE)</f>
        <v>4</v>
      </c>
      <c r="J385" s="8" t="str">
        <f>VLOOKUP(F385,[1]characters!$A:$H,8,FALSE)</f>
        <v>yellow</v>
      </c>
      <c r="K385" s="8" t="str">
        <f>VLOOKUP(F385,[1]characters!$A:$K,11,FALSE)</f>
        <v>balance</v>
      </c>
      <c r="L385" s="8" t="str">
        <f>VLOOKUP(F385,[1]characters!$A:$M,13,FALSE)</f>
        <v>human</v>
      </c>
      <c r="M385" s="65"/>
      <c r="N385" s="16">
        <f>VLOOKUP(D385,gacha_300_base!A:B,2,FALSE)</f>
        <v>1705</v>
      </c>
      <c r="O385" s="37">
        <f>IFERROR(VLOOKUP($F385,bug_conf_sheet!$A:$H,3,FALSE),VLOOKUP("other",bug_conf_sheet!$A:$H,3,FALSE))</f>
        <v>1</v>
      </c>
      <c r="P385" s="37">
        <f>IFERROR(VLOOKUP($F385,bug_conf_sheet!$A:$H,4,FALSE),VLOOKUP("other",bug_conf_sheet!$A:$H,4,FALSE))</f>
        <v>0</v>
      </c>
      <c r="Q385" s="37">
        <f>IFERROR(VLOOKUP($F385,bug_conf_sheet!$A:$H,5,FALSE),VLOOKUP("other",bug_conf_sheet!$A:$H,5,FALSE))</f>
        <v>0</v>
      </c>
      <c r="R385" s="37">
        <f>IFERROR(VLOOKUP($F385,bug_conf_sheet!$A:$H,6,FALSE),VLOOKUP("other",bug_conf_sheet!$A:$H,6,FALSE))</f>
        <v>0</v>
      </c>
      <c r="S385" s="37">
        <f>IFERROR(VLOOKUP($F385,bug_conf_sheet!$A:$H,7,FALSE),VLOOKUP("other",bug_conf_sheet!$A:$H,7,FALSE))</f>
        <v>0</v>
      </c>
      <c r="T385" s="37">
        <f>IFERROR(VLOOKUP($F385,bug_conf_sheet!$A:$H,8,FALSE),VLOOKUP("other",bug_conf_sheet!$A:$H,8,FALSE))</f>
        <v>1</v>
      </c>
    </row>
    <row r="386" spans="1:20" ht="21" customHeight="1">
      <c r="A386" s="7" t="str">
        <f t="shared" si="30"/>
        <v>3001500</v>
      </c>
      <c r="B386" s="2" t="str">
        <f t="shared" si="28"/>
        <v>3001</v>
      </c>
      <c r="C386" s="8" t="str">
        <f t="shared" si="29"/>
        <v>1PremiumSS5</v>
      </c>
      <c r="D386" s="8" t="str">
        <f t="shared" ref="D386:D417" si="31">E386&amp;H386&amp;I386</f>
        <v>1PremiumSS5</v>
      </c>
      <c r="E386" s="10">
        <v>1</v>
      </c>
      <c r="F386" s="6">
        <v>500</v>
      </c>
      <c r="G386" s="8" t="str">
        <f>VLOOKUP(F386,[1]characters!$A:$C,3,FALSE)</f>
        <v>脈動の禁髪 ラプンツェル</v>
      </c>
      <c r="H386" s="8" t="str">
        <f>VLOOKUP(F386,[1]characters!$A:$J,10,FALSE)</f>
        <v>PremiumSS</v>
      </c>
      <c r="I386" s="8">
        <f>VLOOKUP(F386,[1]characters!$A:$I,9,FALSE)</f>
        <v>5</v>
      </c>
      <c r="J386" s="8" t="str">
        <f>VLOOKUP(F386,[1]characters!$A:$H,8,FALSE)</f>
        <v>yellow</v>
      </c>
      <c r="K386" s="8" t="str">
        <f>VLOOKUP(F386,[1]characters!$A:$K,11,FALSE)</f>
        <v>balance</v>
      </c>
      <c r="L386" s="8" t="str">
        <f>VLOOKUP(F386,[1]characters!$A:$M,13,FALSE)</f>
        <v>human</v>
      </c>
      <c r="M386" s="65"/>
      <c r="N386" s="16">
        <f>VLOOKUP(D386,gacha_300_base!A:B,2,FALSE)</f>
        <v>113</v>
      </c>
      <c r="O386" s="37">
        <f>IFERROR(VLOOKUP($F386,bug_conf_sheet!$A:$H,3,FALSE),VLOOKUP("other",bug_conf_sheet!$A:$H,3,FALSE))</f>
        <v>1</v>
      </c>
      <c r="P386" s="37">
        <f>IFERROR(VLOOKUP($F386,bug_conf_sheet!$A:$H,4,FALSE),VLOOKUP("other",bug_conf_sheet!$A:$H,4,FALSE))</f>
        <v>0</v>
      </c>
      <c r="Q386" s="37">
        <f>IFERROR(VLOOKUP($F386,bug_conf_sheet!$A:$H,5,FALSE),VLOOKUP("other",bug_conf_sheet!$A:$H,5,FALSE))</f>
        <v>0</v>
      </c>
      <c r="R386" s="37">
        <f>IFERROR(VLOOKUP($F386,bug_conf_sheet!$A:$H,6,FALSE),VLOOKUP("other",bug_conf_sheet!$A:$H,6,FALSE))</f>
        <v>0</v>
      </c>
      <c r="S386" s="37">
        <f>IFERROR(VLOOKUP($F386,bug_conf_sheet!$A:$H,7,FALSE),VLOOKUP("other",bug_conf_sheet!$A:$H,7,FALSE))</f>
        <v>0</v>
      </c>
      <c r="T386" s="37">
        <f>IFERROR(VLOOKUP($F386,bug_conf_sheet!$A:$H,8,FALSE),VLOOKUP("other",bug_conf_sheet!$A:$H,8,FALSE))</f>
        <v>1</v>
      </c>
    </row>
    <row r="387" spans="1:20" ht="21" customHeight="1">
      <c r="A387" s="7" t="str">
        <f t="shared" si="30"/>
        <v>3001586</v>
      </c>
      <c r="B387" s="2" t="str">
        <f t="shared" ref="B387:B417" si="32">300&amp;E387</f>
        <v>3001</v>
      </c>
      <c r="C387" s="8" t="str">
        <f t="shared" si="29"/>
        <v>1PremiumSS4</v>
      </c>
      <c r="D387" s="8" t="str">
        <f t="shared" si="31"/>
        <v>1PremiumSS4</v>
      </c>
      <c r="E387" s="10">
        <v>1</v>
      </c>
      <c r="F387" s="6">
        <v>586</v>
      </c>
      <c r="G387" s="8" t="str">
        <f>VLOOKUP(F387,[1]characters!$A:$C,3,FALSE)</f>
        <v>ユミル</v>
      </c>
      <c r="H387" s="8" t="str">
        <f>VLOOKUP(F387,[1]characters!$A:$J,10,FALSE)</f>
        <v>PremiumSS</v>
      </c>
      <c r="I387" s="8">
        <f>VLOOKUP(F387,[1]characters!$A:$I,9,FALSE)</f>
        <v>4</v>
      </c>
      <c r="J387" s="8" t="str">
        <f>VLOOKUP(F387,[1]characters!$A:$H,8,FALSE)</f>
        <v>red</v>
      </c>
      <c r="K387" s="8" t="str">
        <f>VLOOKUP(F387,[1]characters!$A:$K,11,FALSE)</f>
        <v>hp</v>
      </c>
      <c r="L387" s="8" t="str">
        <f>VLOOKUP(F387,[1]characters!$A:$M,13,FALSE)</f>
        <v>machine</v>
      </c>
      <c r="M387" s="65"/>
      <c r="N387" s="16">
        <f>VLOOKUP(D387,gacha_300_base!A:B,2,FALSE)</f>
        <v>1705</v>
      </c>
      <c r="O387" s="37">
        <f>IFERROR(VLOOKUP($F387,bug_conf_sheet!$A:$H,3,FALSE),VLOOKUP("other",bug_conf_sheet!$A:$H,3,FALSE))</f>
        <v>1</v>
      </c>
      <c r="P387" s="37">
        <f>IFERROR(VLOOKUP($F387,bug_conf_sheet!$A:$H,4,FALSE),VLOOKUP("other",bug_conf_sheet!$A:$H,4,FALSE))</f>
        <v>0</v>
      </c>
      <c r="Q387" s="37">
        <f>IFERROR(VLOOKUP($F387,bug_conf_sheet!$A:$H,5,FALSE),VLOOKUP("other",bug_conf_sheet!$A:$H,5,FALSE))</f>
        <v>0</v>
      </c>
      <c r="R387" s="37">
        <f>IFERROR(VLOOKUP($F387,bug_conf_sheet!$A:$H,6,FALSE),VLOOKUP("other",bug_conf_sheet!$A:$H,6,FALSE))</f>
        <v>0</v>
      </c>
      <c r="S387" s="37">
        <f>IFERROR(VLOOKUP($F387,bug_conf_sheet!$A:$H,7,FALSE),VLOOKUP("other",bug_conf_sheet!$A:$H,7,FALSE))</f>
        <v>0</v>
      </c>
      <c r="T387" s="37">
        <f>IFERROR(VLOOKUP($F387,bug_conf_sheet!$A:$H,8,FALSE),VLOOKUP("other",bug_conf_sheet!$A:$H,8,FALSE))</f>
        <v>1</v>
      </c>
    </row>
    <row r="388" spans="1:20" ht="21" customHeight="1">
      <c r="A388" s="7" t="str">
        <f t="shared" si="30"/>
        <v>3001587</v>
      </c>
      <c r="B388" s="2" t="str">
        <f t="shared" si="32"/>
        <v>3001</v>
      </c>
      <c r="C388" s="8" t="str">
        <f t="shared" si="29"/>
        <v>1PremiumSS5</v>
      </c>
      <c r="D388" s="8" t="str">
        <f t="shared" si="31"/>
        <v>1PremiumSS5</v>
      </c>
      <c r="E388" s="10">
        <v>1</v>
      </c>
      <c r="F388" s="6">
        <v>587</v>
      </c>
      <c r="G388" s="8" t="str">
        <f>VLOOKUP(F388,[1]characters!$A:$C,3,FALSE)</f>
        <v>原初の煉鋼巨刃 ユミル</v>
      </c>
      <c r="H388" s="8" t="str">
        <f>VLOOKUP(F388,[1]characters!$A:$J,10,FALSE)</f>
        <v>PremiumSS</v>
      </c>
      <c r="I388" s="8">
        <f>VLOOKUP(F388,[1]characters!$A:$I,9,FALSE)</f>
        <v>5</v>
      </c>
      <c r="J388" s="8" t="str">
        <f>VLOOKUP(F388,[1]characters!$A:$H,8,FALSE)</f>
        <v>red</v>
      </c>
      <c r="K388" s="8" t="str">
        <f>VLOOKUP(F388,[1]characters!$A:$K,11,FALSE)</f>
        <v>hp</v>
      </c>
      <c r="L388" s="8" t="str">
        <f>VLOOKUP(F388,[1]characters!$A:$M,13,FALSE)</f>
        <v>machine</v>
      </c>
      <c r="M388" s="65"/>
      <c r="N388" s="16">
        <f>VLOOKUP(D388,gacha_300_base!A:B,2,FALSE)</f>
        <v>113</v>
      </c>
      <c r="O388" s="37">
        <f>IFERROR(VLOOKUP($F388,bug_conf_sheet!$A:$H,3,FALSE),VLOOKUP("other",bug_conf_sheet!$A:$H,3,FALSE))</f>
        <v>1</v>
      </c>
      <c r="P388" s="37">
        <f>IFERROR(VLOOKUP($F388,bug_conf_sheet!$A:$H,4,FALSE),VLOOKUP("other",bug_conf_sheet!$A:$H,4,FALSE))</f>
        <v>0</v>
      </c>
      <c r="Q388" s="37">
        <f>IFERROR(VLOOKUP($F388,bug_conf_sheet!$A:$H,5,FALSE),VLOOKUP("other",bug_conf_sheet!$A:$H,5,FALSE))</f>
        <v>0</v>
      </c>
      <c r="R388" s="37">
        <f>IFERROR(VLOOKUP($F388,bug_conf_sheet!$A:$H,6,FALSE),VLOOKUP("other",bug_conf_sheet!$A:$H,6,FALSE))</f>
        <v>0</v>
      </c>
      <c r="S388" s="37">
        <f>IFERROR(VLOOKUP($F388,bug_conf_sheet!$A:$H,7,FALSE),VLOOKUP("other",bug_conf_sheet!$A:$H,7,FALSE))</f>
        <v>0</v>
      </c>
      <c r="T388" s="37">
        <f>IFERROR(VLOOKUP($F388,bug_conf_sheet!$A:$H,8,FALSE),VLOOKUP("other",bug_conf_sheet!$A:$H,8,FALSE))</f>
        <v>1</v>
      </c>
    </row>
    <row r="389" spans="1:20" ht="21" customHeight="1">
      <c r="A389" s="7" t="str">
        <f t="shared" si="30"/>
        <v>3001588</v>
      </c>
      <c r="B389" s="2" t="str">
        <f t="shared" si="32"/>
        <v>3001</v>
      </c>
      <c r="C389" s="8" t="str">
        <f t="shared" si="29"/>
        <v>1PremiumS3</v>
      </c>
      <c r="D389" s="8" t="str">
        <f t="shared" si="31"/>
        <v>1PremiumS3</v>
      </c>
      <c r="E389" s="10">
        <v>1</v>
      </c>
      <c r="F389" s="6">
        <v>588</v>
      </c>
      <c r="G389" s="8" t="str">
        <f>VLOOKUP(F389,[1]characters!$A:$C,3,FALSE)</f>
        <v>ニーベルゲン</v>
      </c>
      <c r="H389" s="8" t="str">
        <f>VLOOKUP(F389,[1]characters!$A:$J,10,FALSE)</f>
        <v>PremiumS</v>
      </c>
      <c r="I389" s="8">
        <f>VLOOKUP(F389,[1]characters!$A:$I,9,FALSE)</f>
        <v>3</v>
      </c>
      <c r="J389" s="8" t="str">
        <f>VLOOKUP(F389,[1]characters!$A:$H,8,FALSE)</f>
        <v>green</v>
      </c>
      <c r="K389" s="8" t="str">
        <f>VLOOKUP(F389,[1]characters!$A:$K,11,FALSE)</f>
        <v>balance</v>
      </c>
      <c r="L389" s="8" t="str">
        <f>VLOOKUP(F389,[1]characters!$A:$M,13,FALSE)</f>
        <v>unknown</v>
      </c>
      <c r="M389" s="65"/>
      <c r="N389" s="16">
        <f>VLOOKUP(D389,gacha_300_base!A:B,2,FALSE)</f>
        <v>11912</v>
      </c>
      <c r="O389" s="37">
        <f>IFERROR(VLOOKUP($F389,bug_conf_sheet!$A:$H,3,FALSE),VLOOKUP("other",bug_conf_sheet!$A:$H,3,FALSE))</f>
        <v>1</v>
      </c>
      <c r="P389" s="37">
        <f>IFERROR(VLOOKUP($F389,bug_conf_sheet!$A:$H,4,FALSE),VLOOKUP("other",bug_conf_sheet!$A:$H,4,FALSE))</f>
        <v>0</v>
      </c>
      <c r="Q389" s="37">
        <f>IFERROR(VLOOKUP($F389,bug_conf_sheet!$A:$H,5,FALSE),VLOOKUP("other",bug_conf_sheet!$A:$H,5,FALSE))</f>
        <v>0</v>
      </c>
      <c r="R389" s="37">
        <f>IFERROR(VLOOKUP($F389,bug_conf_sheet!$A:$H,6,FALSE),VLOOKUP("other",bug_conf_sheet!$A:$H,6,FALSE))</f>
        <v>0</v>
      </c>
      <c r="S389" s="37">
        <f>IFERROR(VLOOKUP($F389,bug_conf_sheet!$A:$H,7,FALSE),VLOOKUP("other",bug_conf_sheet!$A:$H,7,FALSE))</f>
        <v>0</v>
      </c>
      <c r="T389" s="37">
        <f>IFERROR(VLOOKUP($F389,bug_conf_sheet!$A:$H,8,FALSE),VLOOKUP("other",bug_conf_sheet!$A:$H,8,FALSE))</f>
        <v>1</v>
      </c>
    </row>
    <row r="390" spans="1:20" ht="21" customHeight="1">
      <c r="A390" s="7" t="str">
        <f t="shared" si="30"/>
        <v>3001589</v>
      </c>
      <c r="B390" s="2" t="str">
        <f t="shared" si="32"/>
        <v>3001</v>
      </c>
      <c r="C390" s="8" t="str">
        <f t="shared" si="29"/>
        <v>1PremiumS4</v>
      </c>
      <c r="D390" s="8" t="str">
        <f t="shared" si="31"/>
        <v>1PremiumS4</v>
      </c>
      <c r="E390" s="10">
        <v>1</v>
      </c>
      <c r="F390" s="6">
        <v>589</v>
      </c>
      <c r="G390" s="8" t="str">
        <f>VLOOKUP(F390,[1]characters!$A:$C,3,FALSE)</f>
        <v>不幸の円環 ニーベルゲン</v>
      </c>
      <c r="H390" s="8" t="str">
        <f>VLOOKUP(F390,[1]characters!$A:$J,10,FALSE)</f>
        <v>PremiumS</v>
      </c>
      <c r="I390" s="8">
        <f>VLOOKUP(F390,[1]characters!$A:$I,9,FALSE)</f>
        <v>4</v>
      </c>
      <c r="J390" s="8" t="str">
        <f>VLOOKUP(F390,[1]characters!$A:$H,8,FALSE)</f>
        <v>green</v>
      </c>
      <c r="K390" s="8" t="str">
        <f>VLOOKUP(F390,[1]characters!$A:$K,11,FALSE)</f>
        <v>balance</v>
      </c>
      <c r="L390" s="8" t="str">
        <f>VLOOKUP(F390,[1]characters!$A:$M,13,FALSE)</f>
        <v>unknown</v>
      </c>
      <c r="M390" s="65"/>
      <c r="N390" s="16">
        <f>VLOOKUP(D390,gacha_300_base!A:B,2,FALSE)</f>
        <v>2790</v>
      </c>
      <c r="O390" s="37">
        <f>IFERROR(VLOOKUP($F390,bug_conf_sheet!$A:$H,3,FALSE),VLOOKUP("other",bug_conf_sheet!$A:$H,3,FALSE))</f>
        <v>1</v>
      </c>
      <c r="P390" s="37">
        <f>IFERROR(VLOOKUP($F390,bug_conf_sheet!$A:$H,4,FALSE),VLOOKUP("other",bug_conf_sheet!$A:$H,4,FALSE))</f>
        <v>0</v>
      </c>
      <c r="Q390" s="37">
        <f>IFERROR(VLOOKUP($F390,bug_conf_sheet!$A:$H,5,FALSE),VLOOKUP("other",bug_conf_sheet!$A:$H,5,FALSE))</f>
        <v>0</v>
      </c>
      <c r="R390" s="37">
        <f>IFERROR(VLOOKUP($F390,bug_conf_sheet!$A:$H,6,FALSE),VLOOKUP("other",bug_conf_sheet!$A:$H,6,FALSE))</f>
        <v>0</v>
      </c>
      <c r="S390" s="37">
        <f>IFERROR(VLOOKUP($F390,bug_conf_sheet!$A:$H,7,FALSE),VLOOKUP("other",bug_conf_sheet!$A:$H,7,FALSE))</f>
        <v>0</v>
      </c>
      <c r="T390" s="37">
        <f>IFERROR(VLOOKUP($F390,bug_conf_sheet!$A:$H,8,FALSE),VLOOKUP("other",bug_conf_sheet!$A:$H,8,FALSE))</f>
        <v>1</v>
      </c>
    </row>
    <row r="391" spans="1:20" ht="21" customHeight="1">
      <c r="A391" s="7" t="str">
        <f t="shared" si="30"/>
        <v>3001590</v>
      </c>
      <c r="B391" s="2" t="str">
        <f t="shared" si="32"/>
        <v>3001</v>
      </c>
      <c r="C391" s="8" t="str">
        <f t="shared" si="29"/>
        <v>1PremiumS5</v>
      </c>
      <c r="D391" s="8" t="str">
        <f t="shared" si="31"/>
        <v>1PremiumS5</v>
      </c>
      <c r="E391" s="10">
        <v>1</v>
      </c>
      <c r="F391" s="6">
        <v>590</v>
      </c>
      <c r="G391" s="8" t="str">
        <f>VLOOKUP(F391,[1]characters!$A:$C,3,FALSE)</f>
        <v>永遠を廻る呪い ニーベルゲン</v>
      </c>
      <c r="H391" s="8" t="str">
        <f>VLOOKUP(F391,[1]characters!$A:$J,10,FALSE)</f>
        <v>PremiumS</v>
      </c>
      <c r="I391" s="8">
        <f>VLOOKUP(F391,[1]characters!$A:$I,9,FALSE)</f>
        <v>5</v>
      </c>
      <c r="J391" s="8" t="str">
        <f>VLOOKUP(F391,[1]characters!$A:$H,8,FALSE)</f>
        <v>green</v>
      </c>
      <c r="K391" s="8" t="str">
        <f>VLOOKUP(F391,[1]characters!$A:$K,11,FALSE)</f>
        <v>balance</v>
      </c>
      <c r="L391" s="8" t="str">
        <f>VLOOKUP(F391,[1]characters!$A:$M,13,FALSE)</f>
        <v>unknown</v>
      </c>
      <c r="M391" s="65"/>
      <c r="N391" s="16">
        <f>VLOOKUP(D391,gacha_300_base!A:B,2,FALSE)</f>
        <v>972</v>
      </c>
      <c r="O391" s="37">
        <f>IFERROR(VLOOKUP($F391,bug_conf_sheet!$A:$H,3,FALSE),VLOOKUP("other",bug_conf_sheet!$A:$H,3,FALSE))</f>
        <v>1</v>
      </c>
      <c r="P391" s="37">
        <f>IFERROR(VLOOKUP($F391,bug_conf_sheet!$A:$H,4,FALSE),VLOOKUP("other",bug_conf_sheet!$A:$H,4,FALSE))</f>
        <v>0</v>
      </c>
      <c r="Q391" s="37">
        <f>IFERROR(VLOOKUP($F391,bug_conf_sheet!$A:$H,5,FALSE),VLOOKUP("other",bug_conf_sheet!$A:$H,5,FALSE))</f>
        <v>0</v>
      </c>
      <c r="R391" s="37">
        <f>IFERROR(VLOOKUP($F391,bug_conf_sheet!$A:$H,6,FALSE),VLOOKUP("other",bug_conf_sheet!$A:$H,6,FALSE))</f>
        <v>0</v>
      </c>
      <c r="S391" s="37">
        <f>IFERROR(VLOOKUP($F391,bug_conf_sheet!$A:$H,7,FALSE),VLOOKUP("other",bug_conf_sheet!$A:$H,7,FALSE))</f>
        <v>0</v>
      </c>
      <c r="T391" s="37">
        <f>IFERROR(VLOOKUP($F391,bug_conf_sheet!$A:$H,8,FALSE),VLOOKUP("other",bug_conf_sheet!$A:$H,8,FALSE))</f>
        <v>1</v>
      </c>
    </row>
    <row r="392" spans="1:20" ht="21" customHeight="1">
      <c r="A392" s="7" t="str">
        <f t="shared" si="30"/>
        <v>3001591</v>
      </c>
      <c r="B392" s="2" t="str">
        <f t="shared" si="32"/>
        <v>3001</v>
      </c>
      <c r="C392" s="8" t="str">
        <f t="shared" si="29"/>
        <v>1PremiumS3</v>
      </c>
      <c r="D392" s="8" t="str">
        <f t="shared" si="31"/>
        <v>1PremiumS3</v>
      </c>
      <c r="E392" s="10">
        <v>1</v>
      </c>
      <c r="F392" s="6">
        <v>591</v>
      </c>
      <c r="G392" s="8" t="str">
        <f>VLOOKUP(F392,[1]characters!$A:$C,3,FALSE)</f>
        <v>ファフニール</v>
      </c>
      <c r="H392" s="8" t="str">
        <f>VLOOKUP(F392,[1]characters!$A:$J,10,FALSE)</f>
        <v>PremiumS</v>
      </c>
      <c r="I392" s="8">
        <f>VLOOKUP(F392,[1]characters!$A:$I,9,FALSE)</f>
        <v>3</v>
      </c>
      <c r="J392" s="8" t="str">
        <f>VLOOKUP(F392,[1]characters!$A:$H,8,FALSE)</f>
        <v>blue</v>
      </c>
      <c r="K392" s="8" t="str">
        <f>VLOOKUP(F392,[1]characters!$A:$K,11,FALSE)</f>
        <v>technical</v>
      </c>
      <c r="L392" s="8" t="str">
        <f>VLOOKUP(F392,[1]characters!$A:$M,13,FALSE)</f>
        <v>dragon</v>
      </c>
      <c r="M392" s="65"/>
      <c r="N392" s="16">
        <f>VLOOKUP(D392,gacha_300_base!A:B,2,FALSE)</f>
        <v>11912</v>
      </c>
      <c r="O392" s="37">
        <f>IFERROR(VLOOKUP($F392,bug_conf_sheet!$A:$H,3,FALSE),VLOOKUP("other",bug_conf_sheet!$A:$H,3,FALSE))</f>
        <v>1</v>
      </c>
      <c r="P392" s="37">
        <f>IFERROR(VLOOKUP($F392,bug_conf_sheet!$A:$H,4,FALSE),VLOOKUP("other",bug_conf_sheet!$A:$H,4,FALSE))</f>
        <v>0</v>
      </c>
      <c r="Q392" s="37">
        <f>IFERROR(VLOOKUP($F392,bug_conf_sheet!$A:$H,5,FALSE),VLOOKUP("other",bug_conf_sheet!$A:$H,5,FALSE))</f>
        <v>0</v>
      </c>
      <c r="R392" s="37">
        <f>IFERROR(VLOOKUP($F392,bug_conf_sheet!$A:$H,6,FALSE),VLOOKUP("other",bug_conf_sheet!$A:$H,6,FALSE))</f>
        <v>0</v>
      </c>
      <c r="S392" s="37">
        <f>IFERROR(VLOOKUP($F392,bug_conf_sheet!$A:$H,7,FALSE),VLOOKUP("other",bug_conf_sheet!$A:$H,7,FALSE))</f>
        <v>0</v>
      </c>
      <c r="T392" s="37">
        <f>IFERROR(VLOOKUP($F392,bug_conf_sheet!$A:$H,8,FALSE),VLOOKUP("other",bug_conf_sheet!$A:$H,8,FALSE))</f>
        <v>1</v>
      </c>
    </row>
    <row r="393" spans="1:20" ht="21" customHeight="1">
      <c r="A393" s="7" t="str">
        <f t="shared" si="30"/>
        <v>3001592</v>
      </c>
      <c r="B393" s="2" t="str">
        <f t="shared" si="32"/>
        <v>3001</v>
      </c>
      <c r="C393" s="8" t="str">
        <f t="shared" si="29"/>
        <v>1PremiumS4</v>
      </c>
      <c r="D393" s="8" t="str">
        <f t="shared" si="31"/>
        <v>1PremiumS4</v>
      </c>
      <c r="E393" s="10">
        <v>1</v>
      </c>
      <c r="F393" s="6">
        <v>592</v>
      </c>
      <c r="G393" s="8" t="str">
        <f>VLOOKUP(F393,[1]characters!$A:$C,3,FALSE)</f>
        <v>財宝への執着 ファフニール</v>
      </c>
      <c r="H393" s="8" t="str">
        <f>VLOOKUP(F393,[1]characters!$A:$J,10,FALSE)</f>
        <v>PremiumS</v>
      </c>
      <c r="I393" s="8">
        <f>VLOOKUP(F393,[1]characters!$A:$I,9,FALSE)</f>
        <v>4</v>
      </c>
      <c r="J393" s="8" t="str">
        <f>VLOOKUP(F393,[1]characters!$A:$H,8,FALSE)</f>
        <v>blue</v>
      </c>
      <c r="K393" s="8" t="str">
        <f>VLOOKUP(F393,[1]characters!$A:$K,11,FALSE)</f>
        <v>technical</v>
      </c>
      <c r="L393" s="8" t="str">
        <f>VLOOKUP(F393,[1]characters!$A:$M,13,FALSE)</f>
        <v>dragon</v>
      </c>
      <c r="M393" s="65"/>
      <c r="N393" s="16">
        <f>VLOOKUP(D393,gacha_300_base!A:B,2,FALSE)</f>
        <v>2790</v>
      </c>
      <c r="O393" s="37">
        <f>IFERROR(VLOOKUP($F393,bug_conf_sheet!$A:$H,3,FALSE),VLOOKUP("other",bug_conf_sheet!$A:$H,3,FALSE))</f>
        <v>1</v>
      </c>
      <c r="P393" s="37">
        <f>IFERROR(VLOOKUP($F393,bug_conf_sheet!$A:$H,4,FALSE),VLOOKUP("other",bug_conf_sheet!$A:$H,4,FALSE))</f>
        <v>0</v>
      </c>
      <c r="Q393" s="37">
        <f>IFERROR(VLOOKUP($F393,bug_conf_sheet!$A:$H,5,FALSE),VLOOKUP("other",bug_conf_sheet!$A:$H,5,FALSE))</f>
        <v>0</v>
      </c>
      <c r="R393" s="37">
        <f>IFERROR(VLOOKUP($F393,bug_conf_sheet!$A:$H,6,FALSE),VLOOKUP("other",bug_conf_sheet!$A:$H,6,FALSE))</f>
        <v>0</v>
      </c>
      <c r="S393" s="37">
        <f>IFERROR(VLOOKUP($F393,bug_conf_sheet!$A:$H,7,FALSE),VLOOKUP("other",bug_conf_sheet!$A:$H,7,FALSE))</f>
        <v>0</v>
      </c>
      <c r="T393" s="37">
        <f>IFERROR(VLOOKUP($F393,bug_conf_sheet!$A:$H,8,FALSE),VLOOKUP("other",bug_conf_sheet!$A:$H,8,FALSE))</f>
        <v>1</v>
      </c>
    </row>
    <row r="394" spans="1:20" ht="21" customHeight="1">
      <c r="A394" s="7" t="str">
        <f t="shared" si="30"/>
        <v>3001593</v>
      </c>
      <c r="B394" s="2" t="str">
        <f t="shared" si="32"/>
        <v>3001</v>
      </c>
      <c r="C394" s="8" t="str">
        <f t="shared" si="29"/>
        <v>1PremiumS5</v>
      </c>
      <c r="D394" s="8" t="str">
        <f t="shared" si="31"/>
        <v>1PremiumS5</v>
      </c>
      <c r="E394" s="10">
        <v>1</v>
      </c>
      <c r="F394" s="6">
        <v>593</v>
      </c>
      <c r="G394" s="8" t="str">
        <f>VLOOKUP(F394,[1]characters!$A:$C,3,FALSE)</f>
        <v>妄執する邪毒龍 ファフニール</v>
      </c>
      <c r="H394" s="8" t="str">
        <f>VLOOKUP(F394,[1]characters!$A:$J,10,FALSE)</f>
        <v>PremiumS</v>
      </c>
      <c r="I394" s="8">
        <f>VLOOKUP(F394,[1]characters!$A:$I,9,FALSE)</f>
        <v>5</v>
      </c>
      <c r="J394" s="8" t="str">
        <f>VLOOKUP(F394,[1]characters!$A:$H,8,FALSE)</f>
        <v>blue</v>
      </c>
      <c r="K394" s="8" t="str">
        <f>VLOOKUP(F394,[1]characters!$A:$K,11,FALSE)</f>
        <v>technical</v>
      </c>
      <c r="L394" s="8" t="str">
        <f>VLOOKUP(F394,[1]characters!$A:$M,13,FALSE)</f>
        <v>dragon</v>
      </c>
      <c r="M394" s="65"/>
      <c r="N394" s="16">
        <f>VLOOKUP(D394,gacha_300_base!A:B,2,FALSE)</f>
        <v>972</v>
      </c>
      <c r="O394" s="37">
        <f>IFERROR(VLOOKUP($F394,bug_conf_sheet!$A:$H,3,FALSE),VLOOKUP("other",bug_conf_sheet!$A:$H,3,FALSE))</f>
        <v>1</v>
      </c>
      <c r="P394" s="37">
        <f>IFERROR(VLOOKUP($F394,bug_conf_sheet!$A:$H,4,FALSE),VLOOKUP("other",bug_conf_sheet!$A:$H,4,FALSE))</f>
        <v>0</v>
      </c>
      <c r="Q394" s="37">
        <f>IFERROR(VLOOKUP($F394,bug_conf_sheet!$A:$H,5,FALSE),VLOOKUP("other",bug_conf_sheet!$A:$H,5,FALSE))</f>
        <v>0</v>
      </c>
      <c r="R394" s="37">
        <f>IFERROR(VLOOKUP($F394,bug_conf_sheet!$A:$H,6,FALSE),VLOOKUP("other",bug_conf_sheet!$A:$H,6,FALSE))</f>
        <v>0</v>
      </c>
      <c r="S394" s="37">
        <f>IFERROR(VLOOKUP($F394,bug_conf_sheet!$A:$H,7,FALSE),VLOOKUP("other",bug_conf_sheet!$A:$H,7,FALSE))</f>
        <v>0</v>
      </c>
      <c r="T394" s="37">
        <f>IFERROR(VLOOKUP($F394,bug_conf_sheet!$A:$H,8,FALSE),VLOOKUP("other",bug_conf_sheet!$A:$H,8,FALSE))</f>
        <v>1</v>
      </c>
    </row>
    <row r="395" spans="1:20" ht="21" customHeight="1">
      <c r="A395" s="7" t="str">
        <f t="shared" si="30"/>
        <v>3001594</v>
      </c>
      <c r="B395" s="2" t="str">
        <f t="shared" si="32"/>
        <v>3001</v>
      </c>
      <c r="C395" s="8" t="str">
        <f t="shared" si="29"/>
        <v>1PremiumSS4</v>
      </c>
      <c r="D395" s="8" t="str">
        <f t="shared" si="31"/>
        <v>1PremiumSS4</v>
      </c>
      <c r="E395" s="10">
        <v>1</v>
      </c>
      <c r="F395" s="6">
        <v>594</v>
      </c>
      <c r="G395" s="8" t="str">
        <f>VLOOKUP(F395,[1]characters!$A:$C,3,FALSE)</f>
        <v>アルフヘイム</v>
      </c>
      <c r="H395" s="8" t="str">
        <f>VLOOKUP(F395,[1]characters!$A:$J,10,FALSE)</f>
        <v>PremiumSS</v>
      </c>
      <c r="I395" s="8">
        <f>VLOOKUP(F395,[1]characters!$A:$I,9,FALSE)</f>
        <v>4</v>
      </c>
      <c r="J395" s="8" t="str">
        <f>VLOOKUP(F395,[1]characters!$A:$H,8,FALSE)</f>
        <v>yellow</v>
      </c>
      <c r="K395" s="8" t="str">
        <f>VLOOKUP(F395,[1]characters!$A:$K,11,FALSE)</f>
        <v>attack</v>
      </c>
      <c r="L395" s="8" t="str">
        <f>VLOOKUP(F395,[1]characters!$A:$M,13,FALSE)</f>
        <v>dragon</v>
      </c>
      <c r="M395" s="65"/>
      <c r="N395" s="16">
        <f>VLOOKUP(D395,gacha_300_base!A:B,2,FALSE)</f>
        <v>1705</v>
      </c>
      <c r="O395" s="37">
        <f>IFERROR(VLOOKUP($F395,bug_conf_sheet!$A:$H,3,FALSE),VLOOKUP("other",bug_conf_sheet!$A:$H,3,FALSE))</f>
        <v>1</v>
      </c>
      <c r="P395" s="37">
        <f>IFERROR(VLOOKUP($F395,bug_conf_sheet!$A:$H,4,FALSE),VLOOKUP("other",bug_conf_sheet!$A:$H,4,FALSE))</f>
        <v>0</v>
      </c>
      <c r="Q395" s="37">
        <f>IFERROR(VLOOKUP($F395,bug_conf_sheet!$A:$H,5,FALSE),VLOOKUP("other",bug_conf_sheet!$A:$H,5,FALSE))</f>
        <v>0</v>
      </c>
      <c r="R395" s="37">
        <f>IFERROR(VLOOKUP($F395,bug_conf_sheet!$A:$H,6,FALSE),VLOOKUP("other",bug_conf_sheet!$A:$H,6,FALSE))</f>
        <v>0</v>
      </c>
      <c r="S395" s="37">
        <f>IFERROR(VLOOKUP($F395,bug_conf_sheet!$A:$H,7,FALSE),VLOOKUP("other",bug_conf_sheet!$A:$H,7,FALSE))</f>
        <v>0</v>
      </c>
      <c r="T395" s="37">
        <f>IFERROR(VLOOKUP($F395,bug_conf_sheet!$A:$H,8,FALSE),VLOOKUP("other",bug_conf_sheet!$A:$H,8,FALSE))</f>
        <v>1</v>
      </c>
    </row>
    <row r="396" spans="1:20" ht="21" customHeight="1">
      <c r="A396" s="7" t="str">
        <f t="shared" si="30"/>
        <v>3001595</v>
      </c>
      <c r="B396" s="2" t="str">
        <f t="shared" si="32"/>
        <v>3001</v>
      </c>
      <c r="C396" s="8" t="str">
        <f t="shared" si="29"/>
        <v>1PremiumSS5</v>
      </c>
      <c r="D396" s="8" t="str">
        <f t="shared" si="31"/>
        <v>1PremiumSS5</v>
      </c>
      <c r="E396" s="10">
        <v>1</v>
      </c>
      <c r="F396" s="6">
        <v>595</v>
      </c>
      <c r="G396" s="8" t="str">
        <f>VLOOKUP(F396,[1]characters!$A:$C,3,FALSE)</f>
        <v>光華なる神域 アルフヘイム</v>
      </c>
      <c r="H396" s="8" t="str">
        <f>VLOOKUP(F396,[1]characters!$A:$J,10,FALSE)</f>
        <v>PremiumSS</v>
      </c>
      <c r="I396" s="8">
        <f>VLOOKUP(F396,[1]characters!$A:$I,9,FALSE)</f>
        <v>5</v>
      </c>
      <c r="J396" s="8" t="str">
        <f>VLOOKUP(F396,[1]characters!$A:$H,8,FALSE)</f>
        <v>yellow</v>
      </c>
      <c r="K396" s="8" t="str">
        <f>VLOOKUP(F396,[1]characters!$A:$K,11,FALSE)</f>
        <v>attack</v>
      </c>
      <c r="L396" s="8" t="str">
        <f>VLOOKUP(F396,[1]characters!$A:$M,13,FALSE)</f>
        <v>dragon</v>
      </c>
      <c r="M396" s="65"/>
      <c r="N396" s="16">
        <f>VLOOKUP(D396,gacha_300_base!A:B,2,FALSE)</f>
        <v>113</v>
      </c>
      <c r="O396" s="37">
        <f>IFERROR(VLOOKUP($F396,bug_conf_sheet!$A:$H,3,FALSE),VLOOKUP("other",bug_conf_sheet!$A:$H,3,FALSE))</f>
        <v>1</v>
      </c>
      <c r="P396" s="37">
        <f>IFERROR(VLOOKUP($F396,bug_conf_sheet!$A:$H,4,FALSE),VLOOKUP("other",bug_conf_sheet!$A:$H,4,FALSE))</f>
        <v>0</v>
      </c>
      <c r="Q396" s="37">
        <f>IFERROR(VLOOKUP($F396,bug_conf_sheet!$A:$H,5,FALSE),VLOOKUP("other",bug_conf_sheet!$A:$H,5,FALSE))</f>
        <v>0</v>
      </c>
      <c r="R396" s="37">
        <f>IFERROR(VLOOKUP($F396,bug_conf_sheet!$A:$H,6,FALSE),VLOOKUP("other",bug_conf_sheet!$A:$H,6,FALSE))</f>
        <v>0</v>
      </c>
      <c r="S396" s="37">
        <f>IFERROR(VLOOKUP($F396,bug_conf_sheet!$A:$H,7,FALSE),VLOOKUP("other",bug_conf_sheet!$A:$H,7,FALSE))</f>
        <v>0</v>
      </c>
      <c r="T396" s="37">
        <f>IFERROR(VLOOKUP($F396,bug_conf_sheet!$A:$H,8,FALSE),VLOOKUP("other",bug_conf_sheet!$A:$H,8,FALSE))</f>
        <v>1</v>
      </c>
    </row>
    <row r="397" spans="1:20" ht="21" customHeight="1">
      <c r="A397" s="7" t="str">
        <f t="shared" ref="A397:A407" si="33">B397&amp;F397</f>
        <v>3001596</v>
      </c>
      <c r="B397" s="2" t="str">
        <f t="shared" si="32"/>
        <v>3001</v>
      </c>
      <c r="C397" s="8" t="str">
        <f t="shared" ref="C397:C407" si="34">E397&amp;H397&amp;I397</f>
        <v>1PremiumS3</v>
      </c>
      <c r="D397" s="8" t="str">
        <f t="shared" si="31"/>
        <v>1PremiumS3</v>
      </c>
      <c r="E397" s="10">
        <v>1</v>
      </c>
      <c r="F397" s="6">
        <v>596</v>
      </c>
      <c r="G397" s="8" t="str">
        <f>VLOOKUP(F397,[1]characters!$A:$C,3,FALSE)</f>
        <v>ムスペルヘイム</v>
      </c>
      <c r="H397" s="8" t="str">
        <f>VLOOKUP(F397,[1]characters!$A:$J,10,FALSE)</f>
        <v>PremiumS</v>
      </c>
      <c r="I397" s="8">
        <f>VLOOKUP(F397,[1]characters!$A:$I,9,FALSE)</f>
        <v>3</v>
      </c>
      <c r="J397" s="8" t="str">
        <f>VLOOKUP(F397,[1]characters!$A:$H,8,FALSE)</f>
        <v>red</v>
      </c>
      <c r="K397" s="8" t="str">
        <f>VLOOKUP(F397,[1]characters!$A:$K,11,FALSE)</f>
        <v>balance</v>
      </c>
      <c r="L397" s="8" t="str">
        <f>VLOOKUP(F397,[1]characters!$A:$M,13,FALSE)</f>
        <v>human</v>
      </c>
      <c r="M397" s="65"/>
      <c r="N397" s="16">
        <f>VLOOKUP(D397,gacha_300_base!A:B,2,FALSE)</f>
        <v>11912</v>
      </c>
      <c r="O397" s="37">
        <f>IFERROR(VLOOKUP($F397,bug_conf_sheet!$A:$H,3,FALSE),VLOOKUP("other",bug_conf_sheet!$A:$H,3,FALSE))</f>
        <v>1</v>
      </c>
      <c r="P397" s="37">
        <f>IFERROR(VLOOKUP($F397,bug_conf_sheet!$A:$H,4,FALSE),VLOOKUP("other",bug_conf_sheet!$A:$H,4,FALSE))</f>
        <v>0</v>
      </c>
      <c r="Q397" s="37">
        <f>IFERROR(VLOOKUP($F397,bug_conf_sheet!$A:$H,5,FALSE),VLOOKUP("other",bug_conf_sheet!$A:$H,5,FALSE))</f>
        <v>0</v>
      </c>
      <c r="R397" s="37">
        <f>IFERROR(VLOOKUP($F397,bug_conf_sheet!$A:$H,6,FALSE),VLOOKUP("other",bug_conf_sheet!$A:$H,6,FALSE))</f>
        <v>0</v>
      </c>
      <c r="S397" s="37">
        <f>IFERROR(VLOOKUP($F397,bug_conf_sheet!$A:$H,7,FALSE),VLOOKUP("other",bug_conf_sheet!$A:$H,7,FALSE))</f>
        <v>0</v>
      </c>
      <c r="T397" s="37">
        <f>IFERROR(VLOOKUP($F397,bug_conf_sheet!$A:$H,8,FALSE),VLOOKUP("other",bug_conf_sheet!$A:$H,8,FALSE))</f>
        <v>1</v>
      </c>
    </row>
    <row r="398" spans="1:20" ht="21" customHeight="1">
      <c r="A398" s="7" t="str">
        <f t="shared" si="33"/>
        <v>3001597</v>
      </c>
      <c r="B398" s="2" t="str">
        <f t="shared" si="32"/>
        <v>3001</v>
      </c>
      <c r="C398" s="8" t="str">
        <f t="shared" si="34"/>
        <v>1PremiumS4</v>
      </c>
      <c r="D398" s="8" t="str">
        <f t="shared" si="31"/>
        <v>1PremiumS4</v>
      </c>
      <c r="E398" s="10">
        <v>1</v>
      </c>
      <c r="F398" s="6">
        <v>597</v>
      </c>
      <c r="G398" s="8" t="str">
        <f>VLOOKUP(F398,[1]characters!$A:$C,3,FALSE)</f>
        <v>灼熱の魂 ムスペルヘイム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red</v>
      </c>
      <c r="K398" s="8" t="str">
        <f>VLOOKUP(F398,[1]characters!$A:$K,11,FALSE)</f>
        <v>balance</v>
      </c>
      <c r="L398" s="8" t="str">
        <f>VLOOKUP(F398,[1]characters!$A:$M,13,FALSE)</f>
        <v>human</v>
      </c>
      <c r="M398" s="65"/>
      <c r="N398" s="16">
        <f>VLOOKUP(D398,gacha_300_base!A:B,2,FALSE)</f>
        <v>2790</v>
      </c>
      <c r="O398" s="37">
        <f>IFERROR(VLOOKUP($F398,bug_conf_sheet!$A:$H,3,FALSE),VLOOKUP("other",bug_conf_sheet!$A:$H,3,FALSE))</f>
        <v>1</v>
      </c>
      <c r="P398" s="37">
        <f>IFERROR(VLOOKUP($F398,bug_conf_sheet!$A:$H,4,FALSE),VLOOKUP("other",bug_conf_sheet!$A:$H,4,FALSE))</f>
        <v>0</v>
      </c>
      <c r="Q398" s="37">
        <f>IFERROR(VLOOKUP($F398,bug_conf_sheet!$A:$H,5,FALSE),VLOOKUP("other",bug_conf_sheet!$A:$H,5,FALSE))</f>
        <v>0</v>
      </c>
      <c r="R398" s="37">
        <f>IFERROR(VLOOKUP($F398,bug_conf_sheet!$A:$H,6,FALSE),VLOOKUP("other",bug_conf_sheet!$A:$H,6,FALSE))</f>
        <v>0</v>
      </c>
      <c r="S398" s="37">
        <f>IFERROR(VLOOKUP($F398,bug_conf_sheet!$A:$H,7,FALSE),VLOOKUP("other",bug_conf_sheet!$A:$H,7,FALSE))</f>
        <v>0</v>
      </c>
      <c r="T398" s="37">
        <f>IFERROR(VLOOKUP($F398,bug_conf_sheet!$A:$H,8,FALSE),VLOOKUP("other",bug_conf_sheet!$A:$H,8,FALSE))</f>
        <v>1</v>
      </c>
    </row>
    <row r="399" spans="1:20" ht="21" customHeight="1">
      <c r="A399" s="7" t="str">
        <f t="shared" si="33"/>
        <v>3001598</v>
      </c>
      <c r="B399" s="2" t="str">
        <f t="shared" si="32"/>
        <v>3001</v>
      </c>
      <c r="C399" s="8" t="str">
        <f t="shared" si="34"/>
        <v>1PremiumS5</v>
      </c>
      <c r="D399" s="8" t="str">
        <f t="shared" si="31"/>
        <v>1PremiumS5</v>
      </c>
      <c r="E399" s="10">
        <v>1</v>
      </c>
      <c r="F399" s="6">
        <v>598</v>
      </c>
      <c r="G399" s="8" t="str">
        <f>VLOOKUP(F399,[1]characters!$A:$C,3,FALSE)</f>
        <v>焼燃の情熱 ムスペルヘイム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red</v>
      </c>
      <c r="K399" s="8" t="str">
        <f>VLOOKUP(F399,[1]characters!$A:$K,11,FALSE)</f>
        <v>balance</v>
      </c>
      <c r="L399" s="8" t="str">
        <f>VLOOKUP(F399,[1]characters!$A:$M,13,FALSE)</f>
        <v>human</v>
      </c>
      <c r="M399" s="65"/>
      <c r="N399" s="16">
        <f>VLOOKUP(D399,gacha_300_base!A:B,2,FALSE)</f>
        <v>972</v>
      </c>
      <c r="O399" s="37">
        <f>IFERROR(VLOOKUP($F399,bug_conf_sheet!$A:$H,3,FALSE),VLOOKUP("other",bug_conf_sheet!$A:$H,3,FALSE))</f>
        <v>1</v>
      </c>
      <c r="P399" s="37">
        <f>IFERROR(VLOOKUP($F399,bug_conf_sheet!$A:$H,4,FALSE),VLOOKUP("other",bug_conf_sheet!$A:$H,4,FALSE))</f>
        <v>0</v>
      </c>
      <c r="Q399" s="37">
        <f>IFERROR(VLOOKUP($F399,bug_conf_sheet!$A:$H,5,FALSE),VLOOKUP("other",bug_conf_sheet!$A:$H,5,FALSE))</f>
        <v>0</v>
      </c>
      <c r="R399" s="37">
        <f>IFERROR(VLOOKUP($F399,bug_conf_sheet!$A:$H,6,FALSE),VLOOKUP("other",bug_conf_sheet!$A:$H,6,FALSE))</f>
        <v>0</v>
      </c>
      <c r="S399" s="37">
        <f>IFERROR(VLOOKUP($F399,bug_conf_sheet!$A:$H,7,FALSE),VLOOKUP("other",bug_conf_sheet!$A:$H,7,FALSE))</f>
        <v>0</v>
      </c>
      <c r="T399" s="37">
        <f>IFERROR(VLOOKUP($F399,bug_conf_sheet!$A:$H,8,FALSE),VLOOKUP("other",bug_conf_sheet!$A:$H,8,FALSE))</f>
        <v>1</v>
      </c>
    </row>
    <row r="400" spans="1:20" ht="21" customHeight="1">
      <c r="A400" s="7" t="str">
        <f t="shared" si="33"/>
        <v>3001599</v>
      </c>
      <c r="B400" s="2" t="str">
        <f t="shared" si="32"/>
        <v>3001</v>
      </c>
      <c r="C400" s="8" t="str">
        <f t="shared" si="34"/>
        <v>1PremiumS3</v>
      </c>
      <c r="D400" s="8" t="str">
        <f t="shared" si="31"/>
        <v>1PremiumS3</v>
      </c>
      <c r="E400" s="10">
        <v>1</v>
      </c>
      <c r="F400" s="6">
        <v>599</v>
      </c>
      <c r="G400" s="8" t="str">
        <f>VLOOKUP(F400,[1]characters!$A:$C,3,FALSE)</f>
        <v>ニーズヘッグ</v>
      </c>
      <c r="H400" s="8" t="str">
        <f>VLOOKUP(F400,[1]characters!$A:$J,10,FALSE)</f>
        <v>PremiumS</v>
      </c>
      <c r="I400" s="8">
        <f>VLOOKUP(F400,[1]characters!$A:$I,9,FALSE)</f>
        <v>3</v>
      </c>
      <c r="J400" s="8" t="str">
        <f>VLOOKUP(F400,[1]characters!$A:$H,8,FALSE)</f>
        <v>green</v>
      </c>
      <c r="K400" s="8" t="str">
        <f>VLOOKUP(F400,[1]characters!$A:$K,11,FALSE)</f>
        <v>attack</v>
      </c>
      <c r="L400" s="8" t="str">
        <f>VLOOKUP(F400,[1]characters!$A:$M,13,FALSE)</f>
        <v>dragon</v>
      </c>
      <c r="M400" s="65"/>
      <c r="N400" s="16">
        <f>VLOOKUP(D400,gacha_300_base!A:B,2,FALSE)</f>
        <v>11912</v>
      </c>
      <c r="O400" s="37">
        <f>IFERROR(VLOOKUP($F400,bug_conf_sheet!$A:$H,3,FALSE),VLOOKUP("other",bug_conf_sheet!$A:$H,3,FALSE))</f>
        <v>1</v>
      </c>
      <c r="P400" s="37">
        <f>IFERROR(VLOOKUP($F400,bug_conf_sheet!$A:$H,4,FALSE),VLOOKUP("other",bug_conf_sheet!$A:$H,4,FALSE))</f>
        <v>0</v>
      </c>
      <c r="Q400" s="37">
        <f>IFERROR(VLOOKUP($F400,bug_conf_sheet!$A:$H,5,FALSE),VLOOKUP("other",bug_conf_sheet!$A:$H,5,FALSE))</f>
        <v>0</v>
      </c>
      <c r="R400" s="37">
        <f>IFERROR(VLOOKUP($F400,bug_conf_sheet!$A:$H,6,FALSE),VLOOKUP("other",bug_conf_sheet!$A:$H,6,FALSE))</f>
        <v>0</v>
      </c>
      <c r="S400" s="37">
        <f>IFERROR(VLOOKUP($F400,bug_conf_sheet!$A:$H,7,FALSE),VLOOKUP("other",bug_conf_sheet!$A:$H,7,FALSE))</f>
        <v>0</v>
      </c>
      <c r="T400" s="37">
        <f>IFERROR(VLOOKUP($F400,bug_conf_sheet!$A:$H,8,FALSE),VLOOKUP("other",bug_conf_sheet!$A:$H,8,FALSE))</f>
        <v>1</v>
      </c>
    </row>
    <row r="401" spans="1:20" ht="21" customHeight="1">
      <c r="A401" s="7" t="str">
        <f t="shared" si="33"/>
        <v>3001600</v>
      </c>
      <c r="B401" s="2" t="str">
        <f t="shared" si="32"/>
        <v>3001</v>
      </c>
      <c r="C401" s="8" t="str">
        <f t="shared" si="34"/>
        <v>1PremiumS4</v>
      </c>
      <c r="D401" s="8" t="str">
        <f t="shared" si="31"/>
        <v>1PremiumS4</v>
      </c>
      <c r="E401" s="10">
        <v>1</v>
      </c>
      <c r="F401" s="6">
        <v>600</v>
      </c>
      <c r="G401" s="8" t="str">
        <f>VLOOKUP(F401,[1]characters!$A:$C,3,FALSE)</f>
        <v>界下に潜む蛇 ニーズヘッグ</v>
      </c>
      <c r="H401" s="8" t="str">
        <f>VLOOKUP(F401,[1]characters!$A:$J,10,FALSE)</f>
        <v>PremiumS</v>
      </c>
      <c r="I401" s="8">
        <f>VLOOKUP(F401,[1]characters!$A:$I,9,FALSE)</f>
        <v>4</v>
      </c>
      <c r="J401" s="8" t="str">
        <f>VLOOKUP(F401,[1]characters!$A:$H,8,FALSE)</f>
        <v>green</v>
      </c>
      <c r="K401" s="8" t="str">
        <f>VLOOKUP(F401,[1]characters!$A:$K,11,FALSE)</f>
        <v>attack</v>
      </c>
      <c r="L401" s="8" t="str">
        <f>VLOOKUP(F401,[1]characters!$A:$M,13,FALSE)</f>
        <v>dragon</v>
      </c>
      <c r="M401" s="65"/>
      <c r="N401" s="16">
        <f>VLOOKUP(D401,gacha_300_base!A:B,2,FALSE)</f>
        <v>2790</v>
      </c>
      <c r="O401" s="37">
        <f>IFERROR(VLOOKUP($F401,bug_conf_sheet!$A:$H,3,FALSE),VLOOKUP("other",bug_conf_sheet!$A:$H,3,FALSE))</f>
        <v>1</v>
      </c>
      <c r="P401" s="37">
        <f>IFERROR(VLOOKUP($F401,bug_conf_sheet!$A:$H,4,FALSE),VLOOKUP("other",bug_conf_sheet!$A:$H,4,FALSE))</f>
        <v>0</v>
      </c>
      <c r="Q401" s="37">
        <f>IFERROR(VLOOKUP($F401,bug_conf_sheet!$A:$H,5,FALSE),VLOOKUP("other",bug_conf_sheet!$A:$H,5,FALSE))</f>
        <v>0</v>
      </c>
      <c r="R401" s="37">
        <f>IFERROR(VLOOKUP($F401,bug_conf_sheet!$A:$H,6,FALSE),VLOOKUP("other",bug_conf_sheet!$A:$H,6,FALSE))</f>
        <v>0</v>
      </c>
      <c r="S401" s="37">
        <f>IFERROR(VLOOKUP($F401,bug_conf_sheet!$A:$H,7,FALSE),VLOOKUP("other",bug_conf_sheet!$A:$H,7,FALSE))</f>
        <v>0</v>
      </c>
      <c r="T401" s="37">
        <f>IFERROR(VLOOKUP($F401,bug_conf_sheet!$A:$H,8,FALSE),VLOOKUP("other",bug_conf_sheet!$A:$H,8,FALSE))</f>
        <v>1</v>
      </c>
    </row>
    <row r="402" spans="1:20" ht="21" customHeight="1">
      <c r="A402" s="7" t="str">
        <f t="shared" si="33"/>
        <v>3001601</v>
      </c>
      <c r="B402" s="2" t="str">
        <f t="shared" si="32"/>
        <v>3001</v>
      </c>
      <c r="C402" s="8" t="str">
        <f t="shared" si="34"/>
        <v>1PremiumS5</v>
      </c>
      <c r="D402" s="8" t="str">
        <f t="shared" si="31"/>
        <v>1PremiumS5</v>
      </c>
      <c r="E402" s="10">
        <v>1</v>
      </c>
      <c r="F402" s="6">
        <v>601</v>
      </c>
      <c r="G402" s="8" t="str">
        <f>VLOOKUP(F402,[1]characters!$A:$C,3,FALSE)</f>
        <v>界根蝕む悪食 ニーズヘッグ</v>
      </c>
      <c r="H402" s="8" t="str">
        <f>VLOOKUP(F402,[1]characters!$A:$J,10,FALSE)</f>
        <v>PremiumS</v>
      </c>
      <c r="I402" s="8">
        <f>VLOOKUP(F402,[1]characters!$A:$I,9,FALSE)</f>
        <v>5</v>
      </c>
      <c r="J402" s="8" t="str">
        <f>VLOOKUP(F402,[1]characters!$A:$H,8,FALSE)</f>
        <v>green</v>
      </c>
      <c r="K402" s="8" t="str">
        <f>VLOOKUP(F402,[1]characters!$A:$K,11,FALSE)</f>
        <v>attack</v>
      </c>
      <c r="L402" s="8" t="str">
        <f>VLOOKUP(F402,[1]characters!$A:$M,13,FALSE)</f>
        <v>dragon</v>
      </c>
      <c r="M402" s="65"/>
      <c r="N402" s="16">
        <f>VLOOKUP(D402,gacha_300_base!A:B,2,FALSE)</f>
        <v>972</v>
      </c>
      <c r="O402" s="37">
        <f>IFERROR(VLOOKUP($F402,bug_conf_sheet!$A:$H,3,FALSE),VLOOKUP("other",bug_conf_sheet!$A:$H,3,FALSE))</f>
        <v>1</v>
      </c>
      <c r="P402" s="37">
        <f>IFERROR(VLOOKUP($F402,bug_conf_sheet!$A:$H,4,FALSE),VLOOKUP("other",bug_conf_sheet!$A:$H,4,FALSE))</f>
        <v>0</v>
      </c>
      <c r="Q402" s="37">
        <f>IFERROR(VLOOKUP($F402,bug_conf_sheet!$A:$H,5,FALSE),VLOOKUP("other",bug_conf_sheet!$A:$H,5,FALSE))</f>
        <v>0</v>
      </c>
      <c r="R402" s="37">
        <f>IFERROR(VLOOKUP($F402,bug_conf_sheet!$A:$H,6,FALSE),VLOOKUP("other",bug_conf_sheet!$A:$H,6,FALSE))</f>
        <v>0</v>
      </c>
      <c r="S402" s="37">
        <f>IFERROR(VLOOKUP($F402,bug_conf_sheet!$A:$H,7,FALSE),VLOOKUP("other",bug_conf_sheet!$A:$H,7,FALSE))</f>
        <v>0</v>
      </c>
      <c r="T402" s="37">
        <f>IFERROR(VLOOKUP($F402,bug_conf_sheet!$A:$H,8,FALSE),VLOOKUP("other",bug_conf_sheet!$A:$H,8,FALSE))</f>
        <v>1</v>
      </c>
    </row>
    <row r="403" spans="1:20" ht="21" customHeight="1">
      <c r="A403" s="7" t="str">
        <f t="shared" si="33"/>
        <v>3001602</v>
      </c>
      <c r="B403" s="2" t="str">
        <f t="shared" si="32"/>
        <v>3001</v>
      </c>
      <c r="C403" s="8" t="str">
        <f t="shared" si="34"/>
        <v>1PremiumSS4</v>
      </c>
      <c r="D403" s="8" t="str">
        <f t="shared" si="31"/>
        <v>1PremiumSS4</v>
      </c>
      <c r="E403" s="10">
        <v>1</v>
      </c>
      <c r="F403" s="6">
        <v>602</v>
      </c>
      <c r="G403" s="8" t="str">
        <f>VLOOKUP(F403,[1]characters!$A:$C,3,FALSE)</f>
        <v>フレイヤ</v>
      </c>
      <c r="H403" s="8" t="str">
        <f>VLOOKUP(F403,[1]characters!$A:$J,10,FALSE)</f>
        <v>PremiumSS</v>
      </c>
      <c r="I403" s="8">
        <f>VLOOKUP(F403,[1]characters!$A:$I,9,FALSE)</f>
        <v>4</v>
      </c>
      <c r="J403" s="8" t="str">
        <f>VLOOKUP(F403,[1]characters!$A:$H,8,FALSE)</f>
        <v>blue</v>
      </c>
      <c r="K403" s="8" t="str">
        <f>VLOOKUP(F403,[1]characters!$A:$K,11,FALSE)</f>
        <v>heal</v>
      </c>
      <c r="L403" s="8" t="str">
        <f>VLOOKUP(F403,[1]characters!$A:$M,13,FALSE)</f>
        <v>animal</v>
      </c>
      <c r="M403" s="65"/>
      <c r="N403" s="16">
        <f>VLOOKUP(D403,gacha_300_base!A:B,2,FALSE)</f>
        <v>1705</v>
      </c>
      <c r="O403" s="37">
        <f>IFERROR(VLOOKUP($F403,bug_conf_sheet!$A:$H,3,FALSE),VLOOKUP("other",bug_conf_sheet!$A:$H,3,FALSE))</f>
        <v>1</v>
      </c>
      <c r="P403" s="37">
        <f>IFERROR(VLOOKUP($F403,bug_conf_sheet!$A:$H,4,FALSE),VLOOKUP("other",bug_conf_sheet!$A:$H,4,FALSE))</f>
        <v>0</v>
      </c>
      <c r="Q403" s="37">
        <f>IFERROR(VLOOKUP($F403,bug_conf_sheet!$A:$H,5,FALSE),VLOOKUP("other",bug_conf_sheet!$A:$H,5,FALSE))</f>
        <v>0</v>
      </c>
      <c r="R403" s="37">
        <f>IFERROR(VLOOKUP($F403,bug_conf_sheet!$A:$H,6,FALSE),VLOOKUP("other",bug_conf_sheet!$A:$H,6,FALSE))</f>
        <v>0</v>
      </c>
      <c r="S403" s="37">
        <f>IFERROR(VLOOKUP($F403,bug_conf_sheet!$A:$H,7,FALSE),VLOOKUP("other",bug_conf_sheet!$A:$H,7,FALSE))</f>
        <v>0</v>
      </c>
      <c r="T403" s="37">
        <f>IFERROR(VLOOKUP($F403,bug_conf_sheet!$A:$H,8,FALSE),VLOOKUP("other",bug_conf_sheet!$A:$H,8,FALSE))</f>
        <v>1</v>
      </c>
    </row>
    <row r="404" spans="1:20" ht="21" customHeight="1">
      <c r="A404" s="7" t="str">
        <f t="shared" si="33"/>
        <v>3001603</v>
      </c>
      <c r="B404" s="2" t="str">
        <f t="shared" si="32"/>
        <v>3001</v>
      </c>
      <c r="C404" s="8" t="str">
        <f t="shared" si="34"/>
        <v>1PremiumSS5</v>
      </c>
      <c r="D404" s="8" t="str">
        <f t="shared" si="31"/>
        <v>1PremiumSS5</v>
      </c>
      <c r="E404" s="10">
        <v>1</v>
      </c>
      <c r="F404" s="6">
        <v>603</v>
      </c>
      <c r="G404" s="8" t="str">
        <f>VLOOKUP(F404,[1]characters!$A:$C,3,FALSE)</f>
        <v>掌愛の豊穣女神 フレイヤ</v>
      </c>
      <c r="H404" s="8" t="str">
        <f>VLOOKUP(F404,[1]characters!$A:$J,10,FALSE)</f>
        <v>PremiumSS</v>
      </c>
      <c r="I404" s="8">
        <f>VLOOKUP(F404,[1]characters!$A:$I,9,FALSE)</f>
        <v>5</v>
      </c>
      <c r="J404" s="8" t="str">
        <f>VLOOKUP(F404,[1]characters!$A:$H,8,FALSE)</f>
        <v>blue</v>
      </c>
      <c r="K404" s="8" t="str">
        <f>VLOOKUP(F404,[1]characters!$A:$K,11,FALSE)</f>
        <v>heal</v>
      </c>
      <c r="L404" s="8" t="str">
        <f>VLOOKUP(F404,[1]characters!$A:$M,13,FALSE)</f>
        <v>animal</v>
      </c>
      <c r="M404" s="65"/>
      <c r="N404" s="16">
        <f>VLOOKUP(D404,gacha_300_base!A:B,2,FALSE)</f>
        <v>113</v>
      </c>
      <c r="O404" s="37">
        <f>IFERROR(VLOOKUP($F404,bug_conf_sheet!$A:$H,3,FALSE),VLOOKUP("other",bug_conf_sheet!$A:$H,3,FALSE))</f>
        <v>1</v>
      </c>
      <c r="P404" s="37">
        <f>IFERROR(VLOOKUP($F404,bug_conf_sheet!$A:$H,4,FALSE),VLOOKUP("other",bug_conf_sheet!$A:$H,4,FALSE))</f>
        <v>0</v>
      </c>
      <c r="Q404" s="37">
        <f>IFERROR(VLOOKUP($F404,bug_conf_sheet!$A:$H,5,FALSE),VLOOKUP("other",bug_conf_sheet!$A:$H,5,FALSE))</f>
        <v>0</v>
      </c>
      <c r="R404" s="37">
        <f>IFERROR(VLOOKUP($F404,bug_conf_sheet!$A:$H,6,FALSE),VLOOKUP("other",bug_conf_sheet!$A:$H,6,FALSE))</f>
        <v>0</v>
      </c>
      <c r="S404" s="37">
        <f>IFERROR(VLOOKUP($F404,bug_conf_sheet!$A:$H,7,FALSE),VLOOKUP("other",bug_conf_sheet!$A:$H,7,FALSE))</f>
        <v>0</v>
      </c>
      <c r="T404" s="37">
        <f>IFERROR(VLOOKUP($F404,bug_conf_sheet!$A:$H,8,FALSE),VLOOKUP("other",bug_conf_sheet!$A:$H,8,FALSE))</f>
        <v>1</v>
      </c>
    </row>
    <row r="405" spans="1:20" ht="21" customHeight="1">
      <c r="A405" s="7" t="str">
        <f t="shared" si="33"/>
        <v>3001604</v>
      </c>
      <c r="B405" s="2" t="str">
        <f t="shared" si="32"/>
        <v>3001</v>
      </c>
      <c r="C405" s="8" t="str">
        <f t="shared" si="34"/>
        <v>1PremiumS3</v>
      </c>
      <c r="D405" s="8" t="str">
        <f t="shared" si="31"/>
        <v>1PremiumS3</v>
      </c>
      <c r="E405" s="10">
        <v>1</v>
      </c>
      <c r="F405" s="6">
        <v>604</v>
      </c>
      <c r="G405" s="8" t="str">
        <f>VLOOKUP(F405,[1]characters!$A:$C,3,FALSE)</f>
        <v>バルドル</v>
      </c>
      <c r="H405" s="8" t="str">
        <f>VLOOKUP(F405,[1]characters!$A:$J,10,FALSE)</f>
        <v>PremiumS</v>
      </c>
      <c r="I405" s="8">
        <f>VLOOKUP(F405,[1]characters!$A:$I,9,FALSE)</f>
        <v>3</v>
      </c>
      <c r="J405" s="8" t="str">
        <f>VLOOKUP(F405,[1]characters!$A:$H,8,FALSE)</f>
        <v>yellow</v>
      </c>
      <c r="K405" s="8" t="str">
        <f>VLOOKUP(F405,[1]characters!$A:$K,11,FALSE)</f>
        <v>heal</v>
      </c>
      <c r="L405" s="8" t="str">
        <f>VLOOKUP(F405,[1]characters!$A:$M,13,FALSE)</f>
        <v>god</v>
      </c>
      <c r="M405" s="65"/>
      <c r="N405" s="16">
        <f>VLOOKUP(D405,gacha_300_base!A:B,2,FALSE)</f>
        <v>11912</v>
      </c>
      <c r="O405" s="37">
        <f>IFERROR(VLOOKUP($F405,bug_conf_sheet!$A:$H,3,FALSE),VLOOKUP("other",bug_conf_sheet!$A:$H,3,FALSE))</f>
        <v>1</v>
      </c>
      <c r="P405" s="37">
        <f>IFERROR(VLOOKUP($F405,bug_conf_sheet!$A:$H,4,FALSE),VLOOKUP("other",bug_conf_sheet!$A:$H,4,FALSE))</f>
        <v>0</v>
      </c>
      <c r="Q405" s="37">
        <f>IFERROR(VLOOKUP($F405,bug_conf_sheet!$A:$H,5,FALSE),VLOOKUP("other",bug_conf_sheet!$A:$H,5,FALSE))</f>
        <v>0</v>
      </c>
      <c r="R405" s="37">
        <f>IFERROR(VLOOKUP($F405,bug_conf_sheet!$A:$H,6,FALSE),VLOOKUP("other",bug_conf_sheet!$A:$H,6,FALSE))</f>
        <v>0</v>
      </c>
      <c r="S405" s="37">
        <f>IFERROR(VLOOKUP($F405,bug_conf_sheet!$A:$H,7,FALSE),VLOOKUP("other",bug_conf_sheet!$A:$H,7,FALSE))</f>
        <v>0</v>
      </c>
      <c r="T405" s="37">
        <f>IFERROR(VLOOKUP($F405,bug_conf_sheet!$A:$H,8,FALSE),VLOOKUP("other",bug_conf_sheet!$A:$H,8,FALSE))</f>
        <v>1</v>
      </c>
    </row>
    <row r="406" spans="1:20" ht="21" customHeight="1">
      <c r="A406" s="7" t="str">
        <f t="shared" si="33"/>
        <v>3001605</v>
      </c>
      <c r="B406" s="2" t="str">
        <f t="shared" si="32"/>
        <v>3001</v>
      </c>
      <c r="C406" s="8" t="str">
        <f t="shared" si="34"/>
        <v>1PremiumS4</v>
      </c>
      <c r="D406" s="8" t="str">
        <f t="shared" si="31"/>
        <v>1PremiumS4</v>
      </c>
      <c r="E406" s="10">
        <v>1</v>
      </c>
      <c r="F406" s="6">
        <v>605</v>
      </c>
      <c r="G406" s="8" t="str">
        <f>VLOOKUP(F406,[1]characters!$A:$C,3,FALSE)</f>
        <v>祝福される光耀 バルドル</v>
      </c>
      <c r="H406" s="8" t="str">
        <f>VLOOKUP(F406,[1]characters!$A:$J,10,FALSE)</f>
        <v>PremiumS</v>
      </c>
      <c r="I406" s="8">
        <f>VLOOKUP(F406,[1]characters!$A:$I,9,FALSE)</f>
        <v>4</v>
      </c>
      <c r="J406" s="8" t="str">
        <f>VLOOKUP(F406,[1]characters!$A:$H,8,FALSE)</f>
        <v>yellow</v>
      </c>
      <c r="K406" s="8" t="str">
        <f>VLOOKUP(F406,[1]characters!$A:$K,11,FALSE)</f>
        <v>heal</v>
      </c>
      <c r="L406" s="8" t="str">
        <f>VLOOKUP(F406,[1]characters!$A:$M,13,FALSE)</f>
        <v>god</v>
      </c>
      <c r="M406" s="65"/>
      <c r="N406" s="16">
        <f>VLOOKUP(D406,gacha_300_base!A:B,2,FALSE)</f>
        <v>2790</v>
      </c>
      <c r="O406" s="37">
        <f>IFERROR(VLOOKUP($F406,bug_conf_sheet!$A:$H,3,FALSE),VLOOKUP("other",bug_conf_sheet!$A:$H,3,FALSE))</f>
        <v>1</v>
      </c>
      <c r="P406" s="37">
        <f>IFERROR(VLOOKUP($F406,bug_conf_sheet!$A:$H,4,FALSE),VLOOKUP("other",bug_conf_sheet!$A:$H,4,FALSE))</f>
        <v>0</v>
      </c>
      <c r="Q406" s="37">
        <f>IFERROR(VLOOKUP($F406,bug_conf_sheet!$A:$H,5,FALSE),VLOOKUP("other",bug_conf_sheet!$A:$H,5,FALSE))</f>
        <v>0</v>
      </c>
      <c r="R406" s="37">
        <f>IFERROR(VLOOKUP($F406,bug_conf_sheet!$A:$H,6,FALSE),VLOOKUP("other",bug_conf_sheet!$A:$H,6,FALSE))</f>
        <v>0</v>
      </c>
      <c r="S406" s="37">
        <f>IFERROR(VLOOKUP($F406,bug_conf_sheet!$A:$H,7,FALSE),VLOOKUP("other",bug_conf_sheet!$A:$H,7,FALSE))</f>
        <v>0</v>
      </c>
      <c r="T406" s="37">
        <f>IFERROR(VLOOKUP($F406,bug_conf_sheet!$A:$H,8,FALSE),VLOOKUP("other",bug_conf_sheet!$A:$H,8,FALSE))</f>
        <v>1</v>
      </c>
    </row>
    <row r="407" spans="1:20" ht="21" customHeight="1">
      <c r="A407" s="7" t="str">
        <f t="shared" si="33"/>
        <v>3001606</v>
      </c>
      <c r="B407" s="2" t="str">
        <f t="shared" si="32"/>
        <v>3001</v>
      </c>
      <c r="C407" s="8" t="str">
        <f t="shared" si="34"/>
        <v>1PremiumS5</v>
      </c>
      <c r="D407" s="8" t="str">
        <f t="shared" si="31"/>
        <v>1PremiumS5</v>
      </c>
      <c r="E407" s="10">
        <v>1</v>
      </c>
      <c r="F407" s="6">
        <v>606</v>
      </c>
      <c r="G407" s="8" t="str">
        <f>VLOOKUP(F407,[1]characters!$A:$C,3,FALSE)</f>
        <v>冀望の光芒 バルドル</v>
      </c>
      <c r="H407" s="8" t="str">
        <f>VLOOKUP(F407,[1]characters!$A:$J,10,FALSE)</f>
        <v>PremiumS</v>
      </c>
      <c r="I407" s="8">
        <f>VLOOKUP(F407,[1]characters!$A:$I,9,FALSE)</f>
        <v>5</v>
      </c>
      <c r="J407" s="8" t="str">
        <f>VLOOKUP(F407,[1]characters!$A:$H,8,FALSE)</f>
        <v>yellow</v>
      </c>
      <c r="K407" s="8" t="str">
        <f>VLOOKUP(F407,[1]characters!$A:$K,11,FALSE)</f>
        <v>heal</v>
      </c>
      <c r="L407" s="8" t="str">
        <f>VLOOKUP(F407,[1]characters!$A:$M,13,FALSE)</f>
        <v>god</v>
      </c>
      <c r="M407" s="65"/>
      <c r="N407" s="16">
        <f>VLOOKUP(D407,gacha_300_base!A:B,2,FALSE)</f>
        <v>972</v>
      </c>
      <c r="O407" s="37">
        <f>IFERROR(VLOOKUP($F407,bug_conf_sheet!$A:$H,3,FALSE),VLOOKUP("other",bug_conf_sheet!$A:$H,3,FALSE))</f>
        <v>1</v>
      </c>
      <c r="P407" s="37">
        <f>IFERROR(VLOOKUP($F407,bug_conf_sheet!$A:$H,4,FALSE),VLOOKUP("other",bug_conf_sheet!$A:$H,4,FALSE))</f>
        <v>0</v>
      </c>
      <c r="Q407" s="37">
        <f>IFERROR(VLOOKUP($F407,bug_conf_sheet!$A:$H,5,FALSE),VLOOKUP("other",bug_conf_sheet!$A:$H,5,FALSE))</f>
        <v>0</v>
      </c>
      <c r="R407" s="37">
        <f>IFERROR(VLOOKUP($F407,bug_conf_sheet!$A:$H,6,FALSE),VLOOKUP("other",bug_conf_sheet!$A:$H,6,FALSE))</f>
        <v>0</v>
      </c>
      <c r="S407" s="37">
        <f>IFERROR(VLOOKUP($F407,bug_conf_sheet!$A:$H,7,FALSE),VLOOKUP("other",bug_conf_sheet!$A:$H,7,FALSE))</f>
        <v>0</v>
      </c>
      <c r="T407" s="37">
        <f>IFERROR(VLOOKUP($F407,bug_conf_sheet!$A:$H,8,FALSE),VLOOKUP("other",bug_conf_sheet!$A:$H,8,FALSE))</f>
        <v>1</v>
      </c>
    </row>
    <row r="408" spans="1:20" ht="21" customHeight="1">
      <c r="A408" s="7" t="str">
        <f t="shared" ref="A408:A417" si="35">B408&amp;F408</f>
        <v>3001658</v>
      </c>
      <c r="B408" s="2" t="str">
        <f t="shared" si="32"/>
        <v>3001</v>
      </c>
      <c r="C408" s="8" t="str">
        <f t="shared" ref="C408:C417" si="36">E408&amp;H408&amp;I408</f>
        <v>1PremiumSS4</v>
      </c>
      <c r="D408" s="8" t="str">
        <f t="shared" si="31"/>
        <v>1PremiumSS4</v>
      </c>
      <c r="E408" s="10">
        <v>1</v>
      </c>
      <c r="F408" s="6">
        <v>658</v>
      </c>
      <c r="G408" s="8" t="str">
        <f>VLOOKUP(F408,[1]characters!$A:$C,3,FALSE)</f>
        <v>猫又 クルミ</v>
      </c>
      <c r="H408" s="8" t="str">
        <f>VLOOKUP(F408,[1]characters!$A:$J,10,FALSE)</f>
        <v>PremiumSS</v>
      </c>
      <c r="I408" s="8">
        <f>VLOOKUP(F408,[1]characters!$A:$I,9,FALSE)</f>
        <v>4</v>
      </c>
      <c r="J408" s="8" t="str">
        <f>VLOOKUP(F408,[1]characters!$A:$H,8,FALSE)</f>
        <v>red</v>
      </c>
      <c r="K408" s="8" t="str">
        <f>VLOOKUP(F408,[1]characters!$A:$K,11,FALSE)</f>
        <v>attack</v>
      </c>
      <c r="L408" s="8" t="str">
        <f>VLOOKUP(F408,[1]characters!$A:$M,13,FALSE)</f>
        <v>animal</v>
      </c>
      <c r="M408" s="65"/>
      <c r="N408" s="16">
        <f>VLOOKUP(D408,gacha_300_base!A:B,2,FALSE)</f>
        <v>1705</v>
      </c>
      <c r="O408" s="37">
        <f>IFERROR(VLOOKUP($F408,bug_conf_sheet!$A:$H,3,FALSE),VLOOKUP("other",bug_conf_sheet!$A:$H,3,FALSE))</f>
        <v>1</v>
      </c>
      <c r="P408" s="37">
        <f>IFERROR(VLOOKUP($F408,bug_conf_sheet!$A:$H,4,FALSE),VLOOKUP("other",bug_conf_sheet!$A:$H,4,FALSE))</f>
        <v>0</v>
      </c>
      <c r="Q408" s="37">
        <f>IFERROR(VLOOKUP($F408,bug_conf_sheet!$A:$H,5,FALSE),VLOOKUP("other",bug_conf_sheet!$A:$H,5,FALSE))</f>
        <v>0</v>
      </c>
      <c r="R408" s="37">
        <f>IFERROR(VLOOKUP($F408,bug_conf_sheet!$A:$H,6,FALSE),VLOOKUP("other",bug_conf_sheet!$A:$H,6,FALSE))</f>
        <v>0</v>
      </c>
      <c r="S408" s="37">
        <f>IFERROR(VLOOKUP($F408,bug_conf_sheet!$A:$H,7,FALSE),VLOOKUP("other",bug_conf_sheet!$A:$H,7,FALSE))</f>
        <v>0</v>
      </c>
      <c r="T408" s="37">
        <f>IFERROR(VLOOKUP($F408,bug_conf_sheet!$A:$H,8,FALSE),VLOOKUP("other",bug_conf_sheet!$A:$H,8,FALSE))</f>
        <v>1</v>
      </c>
    </row>
    <row r="409" spans="1:20" ht="21" customHeight="1">
      <c r="A409" s="7" t="str">
        <f t="shared" si="35"/>
        <v>3001659</v>
      </c>
      <c r="B409" s="2" t="str">
        <f t="shared" si="32"/>
        <v>3001</v>
      </c>
      <c r="C409" s="8" t="str">
        <f t="shared" si="36"/>
        <v>1PremiumSS5</v>
      </c>
      <c r="D409" s="8" t="str">
        <f t="shared" si="31"/>
        <v>1PremiumSS5</v>
      </c>
      <c r="E409" s="10">
        <v>1</v>
      </c>
      <c r="F409" s="6">
        <v>659</v>
      </c>
      <c r="G409" s="8" t="str">
        <f>VLOOKUP(F409,[1]characters!$A:$C,3,FALSE)</f>
        <v>跳梁する化猫 クルミ</v>
      </c>
      <c r="H409" s="8" t="str">
        <f>VLOOKUP(F409,[1]characters!$A:$J,10,FALSE)</f>
        <v>PremiumSS</v>
      </c>
      <c r="I409" s="8">
        <f>VLOOKUP(F409,[1]characters!$A:$I,9,FALSE)</f>
        <v>5</v>
      </c>
      <c r="J409" s="8" t="str">
        <f>VLOOKUP(F409,[1]characters!$A:$H,8,FALSE)</f>
        <v>red</v>
      </c>
      <c r="K409" s="8" t="str">
        <f>VLOOKUP(F409,[1]characters!$A:$K,11,FALSE)</f>
        <v>attack</v>
      </c>
      <c r="L409" s="8" t="str">
        <f>VLOOKUP(F409,[1]characters!$A:$M,13,FALSE)</f>
        <v>animal</v>
      </c>
      <c r="M409" s="65"/>
      <c r="N409" s="16">
        <f>VLOOKUP(D409,gacha_300_base!A:B,2,FALSE)</f>
        <v>113</v>
      </c>
      <c r="O409" s="37">
        <f>IFERROR(VLOOKUP($F409,bug_conf_sheet!$A:$H,3,FALSE),VLOOKUP("other",bug_conf_sheet!$A:$H,3,FALSE))</f>
        <v>1</v>
      </c>
      <c r="P409" s="37">
        <f>IFERROR(VLOOKUP($F409,bug_conf_sheet!$A:$H,4,FALSE),VLOOKUP("other",bug_conf_sheet!$A:$H,4,FALSE))</f>
        <v>0</v>
      </c>
      <c r="Q409" s="37">
        <f>IFERROR(VLOOKUP($F409,bug_conf_sheet!$A:$H,5,FALSE),VLOOKUP("other",bug_conf_sheet!$A:$H,5,FALSE))</f>
        <v>0</v>
      </c>
      <c r="R409" s="37">
        <f>IFERROR(VLOOKUP($F409,bug_conf_sheet!$A:$H,6,FALSE),VLOOKUP("other",bug_conf_sheet!$A:$H,6,FALSE))</f>
        <v>0</v>
      </c>
      <c r="S409" s="37">
        <f>IFERROR(VLOOKUP($F409,bug_conf_sheet!$A:$H,7,FALSE),VLOOKUP("other",bug_conf_sheet!$A:$H,7,FALSE))</f>
        <v>0</v>
      </c>
      <c r="T409" s="37">
        <f>IFERROR(VLOOKUP($F409,bug_conf_sheet!$A:$H,8,FALSE),VLOOKUP("other",bug_conf_sheet!$A:$H,8,FALSE))</f>
        <v>1</v>
      </c>
    </row>
    <row r="410" spans="1:20" ht="21" customHeight="1">
      <c r="A410" s="7" t="str">
        <f t="shared" si="35"/>
        <v>3001660</v>
      </c>
      <c r="B410" s="2" t="str">
        <f t="shared" si="32"/>
        <v>3001</v>
      </c>
      <c r="C410" s="8" t="str">
        <f t="shared" si="36"/>
        <v>1PremiumSS4</v>
      </c>
      <c r="D410" s="8" t="str">
        <f t="shared" si="31"/>
        <v>1PremiumSS4</v>
      </c>
      <c r="E410" s="10">
        <v>1</v>
      </c>
      <c r="F410" s="6">
        <v>660</v>
      </c>
      <c r="G410" s="8" t="str">
        <f>VLOOKUP(F410,[1]characters!$A:$C,3,FALSE)</f>
        <v>烏天狗 フウガ</v>
      </c>
      <c r="H410" s="8" t="str">
        <f>VLOOKUP(F410,[1]characters!$A:$J,10,FALSE)</f>
        <v>PremiumSS</v>
      </c>
      <c r="I410" s="8">
        <f>VLOOKUP(F410,[1]characters!$A:$I,9,FALSE)</f>
        <v>4</v>
      </c>
      <c r="J410" s="8" t="str">
        <f>VLOOKUP(F410,[1]characters!$A:$H,8,FALSE)</f>
        <v>green</v>
      </c>
      <c r="K410" s="8" t="str">
        <f>VLOOKUP(F410,[1]characters!$A:$K,11,FALSE)</f>
        <v>balance</v>
      </c>
      <c r="L410" s="8" t="str">
        <f>VLOOKUP(F410,[1]characters!$A:$M,13,FALSE)</f>
        <v>animal</v>
      </c>
      <c r="M410" s="65"/>
      <c r="N410" s="16">
        <f>VLOOKUP(D410,gacha_300_base!A:B,2,FALSE)</f>
        <v>1705</v>
      </c>
      <c r="O410" s="37">
        <f>IFERROR(VLOOKUP($F410,bug_conf_sheet!$A:$H,3,FALSE),VLOOKUP("other",bug_conf_sheet!$A:$H,3,FALSE))</f>
        <v>1</v>
      </c>
      <c r="P410" s="37">
        <f>IFERROR(VLOOKUP($F410,bug_conf_sheet!$A:$H,4,FALSE),VLOOKUP("other",bug_conf_sheet!$A:$H,4,FALSE))</f>
        <v>0</v>
      </c>
      <c r="Q410" s="37">
        <f>IFERROR(VLOOKUP($F410,bug_conf_sheet!$A:$H,5,FALSE),VLOOKUP("other",bug_conf_sheet!$A:$H,5,FALSE))</f>
        <v>0</v>
      </c>
      <c r="R410" s="37">
        <f>IFERROR(VLOOKUP($F410,bug_conf_sheet!$A:$H,6,FALSE),VLOOKUP("other",bug_conf_sheet!$A:$H,6,FALSE))</f>
        <v>0</v>
      </c>
      <c r="S410" s="37">
        <f>IFERROR(VLOOKUP($F410,bug_conf_sheet!$A:$H,7,FALSE),VLOOKUP("other",bug_conf_sheet!$A:$H,7,FALSE))</f>
        <v>0</v>
      </c>
      <c r="T410" s="37">
        <f>IFERROR(VLOOKUP($F410,bug_conf_sheet!$A:$H,8,FALSE),VLOOKUP("other",bug_conf_sheet!$A:$H,8,FALSE))</f>
        <v>1</v>
      </c>
    </row>
    <row r="411" spans="1:20" ht="21" customHeight="1">
      <c r="A411" s="7" t="str">
        <f t="shared" si="35"/>
        <v>3001661</v>
      </c>
      <c r="B411" s="2" t="str">
        <f t="shared" si="32"/>
        <v>3001</v>
      </c>
      <c r="C411" s="8" t="str">
        <f t="shared" si="36"/>
        <v>1PremiumSS5</v>
      </c>
      <c r="D411" s="8" t="str">
        <f t="shared" si="31"/>
        <v>1PremiumSS5</v>
      </c>
      <c r="E411" s="10">
        <v>1</v>
      </c>
      <c r="F411" s="6">
        <v>661</v>
      </c>
      <c r="G411" s="8" t="str">
        <f>VLOOKUP(F411,[1]characters!$A:$C,3,FALSE)</f>
        <v>疾風の天狗礫 フウガ</v>
      </c>
      <c r="H411" s="8" t="str">
        <f>VLOOKUP(F411,[1]characters!$A:$J,10,FALSE)</f>
        <v>PremiumSS</v>
      </c>
      <c r="I411" s="8">
        <f>VLOOKUP(F411,[1]characters!$A:$I,9,FALSE)</f>
        <v>5</v>
      </c>
      <c r="J411" s="8" t="str">
        <f>VLOOKUP(F411,[1]characters!$A:$H,8,FALSE)</f>
        <v>green</v>
      </c>
      <c r="K411" s="8" t="str">
        <f>VLOOKUP(F411,[1]characters!$A:$K,11,FALSE)</f>
        <v>balance</v>
      </c>
      <c r="L411" s="8" t="str">
        <f>VLOOKUP(F411,[1]characters!$A:$M,13,FALSE)</f>
        <v>animal</v>
      </c>
      <c r="M411" s="65"/>
      <c r="N411" s="16">
        <f>VLOOKUP(D411,gacha_300_base!A:B,2,FALSE)</f>
        <v>113</v>
      </c>
      <c r="O411" s="37">
        <f>IFERROR(VLOOKUP($F411,bug_conf_sheet!$A:$H,3,FALSE),VLOOKUP("other",bug_conf_sheet!$A:$H,3,FALSE))</f>
        <v>1</v>
      </c>
      <c r="P411" s="37">
        <f>IFERROR(VLOOKUP($F411,bug_conf_sheet!$A:$H,4,FALSE),VLOOKUP("other",bug_conf_sheet!$A:$H,4,FALSE))</f>
        <v>0</v>
      </c>
      <c r="Q411" s="37">
        <f>IFERROR(VLOOKUP($F411,bug_conf_sheet!$A:$H,5,FALSE),VLOOKUP("other",bug_conf_sheet!$A:$H,5,FALSE))</f>
        <v>0</v>
      </c>
      <c r="R411" s="37">
        <f>IFERROR(VLOOKUP($F411,bug_conf_sheet!$A:$H,6,FALSE),VLOOKUP("other",bug_conf_sheet!$A:$H,6,FALSE))</f>
        <v>0</v>
      </c>
      <c r="S411" s="37">
        <f>IFERROR(VLOOKUP($F411,bug_conf_sheet!$A:$H,7,FALSE),VLOOKUP("other",bug_conf_sheet!$A:$H,7,FALSE))</f>
        <v>0</v>
      </c>
      <c r="T411" s="37">
        <f>IFERROR(VLOOKUP($F411,bug_conf_sheet!$A:$H,8,FALSE),VLOOKUP("other",bug_conf_sheet!$A:$H,8,FALSE))</f>
        <v>1</v>
      </c>
    </row>
    <row r="412" spans="1:20" ht="21" customHeight="1">
      <c r="A412" s="7" t="str">
        <f t="shared" si="35"/>
        <v>3001662</v>
      </c>
      <c r="B412" s="2" t="str">
        <f t="shared" si="32"/>
        <v>3001</v>
      </c>
      <c r="C412" s="8" t="str">
        <f t="shared" si="36"/>
        <v>1PremiumS3</v>
      </c>
      <c r="D412" s="8" t="str">
        <f t="shared" si="31"/>
        <v>1PremiumS3</v>
      </c>
      <c r="E412" s="10">
        <v>1</v>
      </c>
      <c r="F412" s="6">
        <v>662</v>
      </c>
      <c r="G412" s="8" t="str">
        <f>VLOOKUP(F412,[1]characters!$A:$C,3,FALSE)</f>
        <v>ダイダラ</v>
      </c>
      <c r="H412" s="8" t="str">
        <f>VLOOKUP(F412,[1]characters!$A:$J,10,FALSE)</f>
        <v>PremiumS</v>
      </c>
      <c r="I412" s="8">
        <f>VLOOKUP(F412,[1]characters!$A:$I,9,FALSE)</f>
        <v>3</v>
      </c>
      <c r="J412" s="8" t="str">
        <f>VLOOKUP(F412,[1]characters!$A:$H,8,FALSE)</f>
        <v>blue</v>
      </c>
      <c r="K412" s="8" t="str">
        <f>VLOOKUP(F412,[1]characters!$A:$K,11,FALSE)</f>
        <v>hp</v>
      </c>
      <c r="L412" s="8" t="str">
        <f>VLOOKUP(F412,[1]characters!$A:$M,13,FALSE)</f>
        <v>unknown</v>
      </c>
      <c r="M412" s="65"/>
      <c r="N412" s="16">
        <f>VLOOKUP(D412,gacha_300_base!A:B,2,FALSE)</f>
        <v>11912</v>
      </c>
      <c r="O412" s="37">
        <f>IFERROR(VLOOKUP($F412,bug_conf_sheet!$A:$H,3,FALSE),VLOOKUP("other",bug_conf_sheet!$A:$H,3,FALSE))</f>
        <v>1</v>
      </c>
      <c r="P412" s="37">
        <f>IFERROR(VLOOKUP($F412,bug_conf_sheet!$A:$H,4,FALSE),VLOOKUP("other",bug_conf_sheet!$A:$H,4,FALSE))</f>
        <v>0</v>
      </c>
      <c r="Q412" s="37">
        <f>IFERROR(VLOOKUP($F412,bug_conf_sheet!$A:$H,5,FALSE),VLOOKUP("other",bug_conf_sheet!$A:$H,5,FALSE))</f>
        <v>0</v>
      </c>
      <c r="R412" s="37">
        <f>IFERROR(VLOOKUP($F412,bug_conf_sheet!$A:$H,6,FALSE),VLOOKUP("other",bug_conf_sheet!$A:$H,6,FALSE))</f>
        <v>0</v>
      </c>
      <c r="S412" s="37">
        <f>IFERROR(VLOOKUP($F412,bug_conf_sheet!$A:$H,7,FALSE),VLOOKUP("other",bug_conf_sheet!$A:$H,7,FALSE))</f>
        <v>0</v>
      </c>
      <c r="T412" s="37">
        <f>IFERROR(VLOOKUP($F412,bug_conf_sheet!$A:$H,8,FALSE),VLOOKUP("other",bug_conf_sheet!$A:$H,8,FALSE))</f>
        <v>1</v>
      </c>
    </row>
    <row r="413" spans="1:20" ht="21" customHeight="1">
      <c r="A413" s="7" t="str">
        <f t="shared" si="35"/>
        <v>3001663</v>
      </c>
      <c r="B413" s="2" t="str">
        <f t="shared" si="32"/>
        <v>3001</v>
      </c>
      <c r="C413" s="8" t="str">
        <f t="shared" si="36"/>
        <v>1PremiumS4</v>
      </c>
      <c r="D413" s="8" t="str">
        <f t="shared" si="31"/>
        <v>1PremiumS4</v>
      </c>
      <c r="E413" s="10">
        <v>1</v>
      </c>
      <c r="F413" s="6">
        <v>663</v>
      </c>
      <c r="G413" s="8" t="str">
        <f>VLOOKUP(F413,[1]characters!$A:$C,3,FALSE)</f>
        <v>都揺らす地響き ダイダラ</v>
      </c>
      <c r="H413" s="8" t="str">
        <f>VLOOKUP(F413,[1]characters!$A:$J,10,FALSE)</f>
        <v>PremiumS</v>
      </c>
      <c r="I413" s="8">
        <f>VLOOKUP(F413,[1]characters!$A:$I,9,FALSE)</f>
        <v>4</v>
      </c>
      <c r="J413" s="8" t="str">
        <f>VLOOKUP(F413,[1]characters!$A:$H,8,FALSE)</f>
        <v>blue</v>
      </c>
      <c r="K413" s="8" t="str">
        <f>VLOOKUP(F413,[1]characters!$A:$K,11,FALSE)</f>
        <v>hp</v>
      </c>
      <c r="L413" s="8" t="str">
        <f>VLOOKUP(F413,[1]characters!$A:$M,13,FALSE)</f>
        <v>unknown</v>
      </c>
      <c r="M413" s="65"/>
      <c r="N413" s="16">
        <f>VLOOKUP(D413,gacha_300_base!A:B,2,FALSE)</f>
        <v>2790</v>
      </c>
      <c r="O413" s="37">
        <f>IFERROR(VLOOKUP($F413,bug_conf_sheet!$A:$H,3,FALSE),VLOOKUP("other",bug_conf_sheet!$A:$H,3,FALSE))</f>
        <v>1</v>
      </c>
      <c r="P413" s="37">
        <f>IFERROR(VLOOKUP($F413,bug_conf_sheet!$A:$H,4,FALSE),VLOOKUP("other",bug_conf_sheet!$A:$H,4,FALSE))</f>
        <v>0</v>
      </c>
      <c r="Q413" s="37">
        <f>IFERROR(VLOOKUP($F413,bug_conf_sheet!$A:$H,5,FALSE),VLOOKUP("other",bug_conf_sheet!$A:$H,5,FALSE))</f>
        <v>0</v>
      </c>
      <c r="R413" s="37">
        <f>IFERROR(VLOOKUP($F413,bug_conf_sheet!$A:$H,6,FALSE),VLOOKUP("other",bug_conf_sheet!$A:$H,6,FALSE))</f>
        <v>0</v>
      </c>
      <c r="S413" s="37">
        <f>IFERROR(VLOOKUP($F413,bug_conf_sheet!$A:$H,7,FALSE),VLOOKUP("other",bug_conf_sheet!$A:$H,7,FALSE))</f>
        <v>0</v>
      </c>
      <c r="T413" s="37">
        <f>IFERROR(VLOOKUP($F413,bug_conf_sheet!$A:$H,8,FALSE),VLOOKUP("other",bug_conf_sheet!$A:$H,8,FALSE))</f>
        <v>1</v>
      </c>
    </row>
    <row r="414" spans="1:20" ht="21" customHeight="1">
      <c r="A414" s="7" t="str">
        <f t="shared" si="35"/>
        <v>3001664</v>
      </c>
      <c r="B414" s="2" t="str">
        <f t="shared" si="32"/>
        <v>3001</v>
      </c>
      <c r="C414" s="8" t="str">
        <f t="shared" si="36"/>
        <v>1PremiumS5</v>
      </c>
      <c r="D414" s="8" t="str">
        <f t="shared" si="31"/>
        <v>1PremiumS5</v>
      </c>
      <c r="E414" s="10">
        <v>1</v>
      </c>
      <c r="F414" s="6">
        <v>664</v>
      </c>
      <c r="G414" s="8" t="str">
        <f>VLOOKUP(F414,[1]characters!$A:$C,3,FALSE)</f>
        <v>山掴み国造り ダイダラ</v>
      </c>
      <c r="H414" s="8" t="str">
        <f>VLOOKUP(F414,[1]characters!$A:$J,10,FALSE)</f>
        <v>PremiumS</v>
      </c>
      <c r="I414" s="8">
        <f>VLOOKUP(F414,[1]characters!$A:$I,9,FALSE)</f>
        <v>5</v>
      </c>
      <c r="J414" s="8" t="str">
        <f>VLOOKUP(F414,[1]characters!$A:$H,8,FALSE)</f>
        <v>blue</v>
      </c>
      <c r="K414" s="8" t="str">
        <f>VLOOKUP(F414,[1]characters!$A:$K,11,FALSE)</f>
        <v>hp</v>
      </c>
      <c r="L414" s="8" t="str">
        <f>VLOOKUP(F414,[1]characters!$A:$M,13,FALSE)</f>
        <v>unknown</v>
      </c>
      <c r="M414" s="65"/>
      <c r="N414" s="16">
        <f>VLOOKUP(D414,gacha_300_base!A:B,2,FALSE)</f>
        <v>972</v>
      </c>
      <c r="O414" s="37">
        <f>IFERROR(VLOOKUP($F414,bug_conf_sheet!$A:$H,3,FALSE),VLOOKUP("other",bug_conf_sheet!$A:$H,3,FALSE))</f>
        <v>1</v>
      </c>
      <c r="P414" s="37">
        <f>IFERROR(VLOOKUP($F414,bug_conf_sheet!$A:$H,4,FALSE),VLOOKUP("other",bug_conf_sheet!$A:$H,4,FALSE))</f>
        <v>0</v>
      </c>
      <c r="Q414" s="37">
        <f>IFERROR(VLOOKUP($F414,bug_conf_sheet!$A:$H,5,FALSE),VLOOKUP("other",bug_conf_sheet!$A:$H,5,FALSE))</f>
        <v>0</v>
      </c>
      <c r="R414" s="37">
        <f>IFERROR(VLOOKUP($F414,bug_conf_sheet!$A:$H,6,FALSE),VLOOKUP("other",bug_conf_sheet!$A:$H,6,FALSE))</f>
        <v>0</v>
      </c>
      <c r="S414" s="37">
        <f>IFERROR(VLOOKUP($F414,bug_conf_sheet!$A:$H,7,FALSE),VLOOKUP("other",bug_conf_sheet!$A:$H,7,FALSE))</f>
        <v>0</v>
      </c>
      <c r="T414" s="37">
        <f>IFERROR(VLOOKUP($F414,bug_conf_sheet!$A:$H,8,FALSE),VLOOKUP("other",bug_conf_sheet!$A:$H,8,FALSE))</f>
        <v>1</v>
      </c>
    </row>
    <row r="415" spans="1:20" ht="21" customHeight="1">
      <c r="A415" s="7" t="str">
        <f t="shared" si="35"/>
        <v>3001665</v>
      </c>
      <c r="B415" s="2" t="str">
        <f t="shared" si="32"/>
        <v>3001</v>
      </c>
      <c r="C415" s="8" t="str">
        <f t="shared" si="36"/>
        <v>1PremiumS3</v>
      </c>
      <c r="D415" s="8" t="str">
        <f t="shared" si="31"/>
        <v>1PremiumS3</v>
      </c>
      <c r="E415" s="10">
        <v>1</v>
      </c>
      <c r="F415" s="6">
        <v>665</v>
      </c>
      <c r="G415" s="8" t="str">
        <f>VLOOKUP(F415,[1]characters!$A:$C,3,FALSE)</f>
        <v>座敷童子 テマリ</v>
      </c>
      <c r="H415" s="8" t="str">
        <f>VLOOKUP(F415,[1]characters!$A:$J,10,FALSE)</f>
        <v>PremiumS</v>
      </c>
      <c r="I415" s="8">
        <f>VLOOKUP(F415,[1]characters!$A:$I,9,FALSE)</f>
        <v>3</v>
      </c>
      <c r="J415" s="8" t="str">
        <f>VLOOKUP(F415,[1]characters!$A:$H,8,FALSE)</f>
        <v>yellow</v>
      </c>
      <c r="K415" s="8" t="str">
        <f>VLOOKUP(F415,[1]characters!$A:$K,11,FALSE)</f>
        <v>balance</v>
      </c>
      <c r="L415" s="8" t="str">
        <f>VLOOKUP(F415,[1]characters!$A:$M,13,FALSE)</f>
        <v>unknown</v>
      </c>
      <c r="M415" s="65"/>
      <c r="N415" s="16">
        <f>VLOOKUP(D415,gacha_300_base!A:B,2,FALSE)</f>
        <v>11912</v>
      </c>
      <c r="O415" s="37">
        <f>IFERROR(VLOOKUP($F415,bug_conf_sheet!$A:$H,3,FALSE),VLOOKUP("other",bug_conf_sheet!$A:$H,3,FALSE))</f>
        <v>1</v>
      </c>
      <c r="P415" s="37">
        <f>IFERROR(VLOOKUP($F415,bug_conf_sheet!$A:$H,4,FALSE),VLOOKUP("other",bug_conf_sheet!$A:$H,4,FALSE))</f>
        <v>0</v>
      </c>
      <c r="Q415" s="37">
        <f>IFERROR(VLOOKUP($F415,bug_conf_sheet!$A:$H,5,FALSE),VLOOKUP("other",bug_conf_sheet!$A:$H,5,FALSE))</f>
        <v>0</v>
      </c>
      <c r="R415" s="37">
        <f>IFERROR(VLOOKUP($F415,bug_conf_sheet!$A:$H,6,FALSE),VLOOKUP("other",bug_conf_sheet!$A:$H,6,FALSE))</f>
        <v>0</v>
      </c>
      <c r="S415" s="37">
        <f>IFERROR(VLOOKUP($F415,bug_conf_sheet!$A:$H,7,FALSE),VLOOKUP("other",bug_conf_sheet!$A:$H,7,FALSE))</f>
        <v>0</v>
      </c>
      <c r="T415" s="37">
        <f>IFERROR(VLOOKUP($F415,bug_conf_sheet!$A:$H,8,FALSE),VLOOKUP("other",bug_conf_sheet!$A:$H,8,FALSE))</f>
        <v>1</v>
      </c>
    </row>
    <row r="416" spans="1:20" ht="21" customHeight="1">
      <c r="A416" s="7" t="str">
        <f t="shared" si="35"/>
        <v>3001666</v>
      </c>
      <c r="B416" s="2" t="str">
        <f t="shared" si="32"/>
        <v>3001</v>
      </c>
      <c r="C416" s="8" t="str">
        <f t="shared" si="36"/>
        <v>1PremiumS4</v>
      </c>
      <c r="D416" s="8" t="str">
        <f t="shared" si="31"/>
        <v>1PremiumS4</v>
      </c>
      <c r="E416" s="10">
        <v>1</v>
      </c>
      <c r="F416" s="6">
        <v>666</v>
      </c>
      <c r="G416" s="8" t="str">
        <f>VLOOKUP(F416,[1]characters!$A:$C,3,FALSE)</f>
        <v>拡散する幸福 テマリ</v>
      </c>
      <c r="H416" s="8" t="str">
        <f>VLOOKUP(F416,[1]characters!$A:$J,10,FALSE)</f>
        <v>PremiumS</v>
      </c>
      <c r="I416" s="8">
        <f>VLOOKUP(F416,[1]characters!$A:$I,9,FALSE)</f>
        <v>4</v>
      </c>
      <c r="J416" s="8" t="str">
        <f>VLOOKUP(F416,[1]characters!$A:$H,8,FALSE)</f>
        <v>yellow</v>
      </c>
      <c r="K416" s="8" t="str">
        <f>VLOOKUP(F416,[1]characters!$A:$K,11,FALSE)</f>
        <v>balance</v>
      </c>
      <c r="L416" s="8" t="str">
        <f>VLOOKUP(F416,[1]characters!$A:$M,13,FALSE)</f>
        <v>unknown</v>
      </c>
      <c r="M416" s="65"/>
      <c r="N416" s="16">
        <f>VLOOKUP(D416,gacha_300_base!A:B,2,FALSE)</f>
        <v>2790</v>
      </c>
      <c r="O416" s="37">
        <f>IFERROR(VLOOKUP($F416,bug_conf_sheet!$A:$H,3,FALSE),VLOOKUP("other",bug_conf_sheet!$A:$H,3,FALSE))</f>
        <v>1</v>
      </c>
      <c r="P416" s="37">
        <f>IFERROR(VLOOKUP($F416,bug_conf_sheet!$A:$H,4,FALSE),VLOOKUP("other",bug_conf_sheet!$A:$H,4,FALSE))</f>
        <v>0</v>
      </c>
      <c r="Q416" s="37">
        <f>IFERROR(VLOOKUP($F416,bug_conf_sheet!$A:$H,5,FALSE),VLOOKUP("other",bug_conf_sheet!$A:$H,5,FALSE))</f>
        <v>0</v>
      </c>
      <c r="R416" s="37">
        <f>IFERROR(VLOOKUP($F416,bug_conf_sheet!$A:$H,6,FALSE),VLOOKUP("other",bug_conf_sheet!$A:$H,6,FALSE))</f>
        <v>0</v>
      </c>
      <c r="S416" s="37">
        <f>IFERROR(VLOOKUP($F416,bug_conf_sheet!$A:$H,7,FALSE),VLOOKUP("other",bug_conf_sheet!$A:$H,7,FALSE))</f>
        <v>0</v>
      </c>
      <c r="T416" s="37">
        <f>IFERROR(VLOOKUP($F416,bug_conf_sheet!$A:$H,8,FALSE),VLOOKUP("other",bug_conf_sheet!$A:$H,8,FALSE))</f>
        <v>1</v>
      </c>
    </row>
    <row r="417" spans="1:20" ht="21" customHeight="1">
      <c r="A417" s="7" t="str">
        <f t="shared" si="35"/>
        <v>3001667</v>
      </c>
      <c r="B417" s="2" t="str">
        <f t="shared" si="32"/>
        <v>3001</v>
      </c>
      <c r="C417" s="8" t="str">
        <f t="shared" si="36"/>
        <v>1PremiumS5</v>
      </c>
      <c r="D417" s="8" t="str">
        <f t="shared" si="31"/>
        <v>1PremiumS5</v>
      </c>
      <c r="E417" s="10">
        <v>1</v>
      </c>
      <c r="F417" s="6">
        <v>667</v>
      </c>
      <c r="G417" s="8" t="str">
        <f>VLOOKUP(F417,[1]characters!$A:$C,3,FALSE)</f>
        <v>最幸運の妖童 テマリ</v>
      </c>
      <c r="H417" s="8" t="str">
        <f>VLOOKUP(F417,[1]characters!$A:$J,10,FALSE)</f>
        <v>PremiumS</v>
      </c>
      <c r="I417" s="8">
        <f>VLOOKUP(F417,[1]characters!$A:$I,9,FALSE)</f>
        <v>5</v>
      </c>
      <c r="J417" s="8" t="str">
        <f>VLOOKUP(F417,[1]characters!$A:$H,8,FALSE)</f>
        <v>yellow</v>
      </c>
      <c r="K417" s="8" t="str">
        <f>VLOOKUP(F417,[1]characters!$A:$K,11,FALSE)</f>
        <v>balance</v>
      </c>
      <c r="L417" s="8" t="str">
        <f>VLOOKUP(F417,[1]characters!$A:$M,13,FALSE)</f>
        <v>unknown</v>
      </c>
      <c r="M417" s="65"/>
      <c r="N417" s="16">
        <f>VLOOKUP(D417,gacha_300_base!A:B,2,FALSE)</f>
        <v>972</v>
      </c>
      <c r="O417" s="37">
        <f>IFERROR(VLOOKUP($F417,bug_conf_sheet!$A:$H,3,FALSE),VLOOKUP("other",bug_conf_sheet!$A:$H,3,FALSE))</f>
        <v>1</v>
      </c>
      <c r="P417" s="37">
        <f>IFERROR(VLOOKUP($F417,bug_conf_sheet!$A:$H,4,FALSE),VLOOKUP("other",bug_conf_sheet!$A:$H,4,FALSE))</f>
        <v>0</v>
      </c>
      <c r="Q417" s="37">
        <f>IFERROR(VLOOKUP($F417,bug_conf_sheet!$A:$H,5,FALSE),VLOOKUP("other",bug_conf_sheet!$A:$H,5,FALSE))</f>
        <v>0</v>
      </c>
      <c r="R417" s="37">
        <f>IFERROR(VLOOKUP($F417,bug_conf_sheet!$A:$H,6,FALSE),VLOOKUP("other",bug_conf_sheet!$A:$H,6,FALSE))</f>
        <v>0</v>
      </c>
      <c r="S417" s="37">
        <f>IFERROR(VLOOKUP($F417,bug_conf_sheet!$A:$H,7,FALSE),VLOOKUP("other",bug_conf_sheet!$A:$H,7,FALSE))</f>
        <v>0</v>
      </c>
      <c r="T417" s="37">
        <f>IFERROR(VLOOKUP($F417,bug_conf_sheet!$A:$H,8,FALSE),VLOOKUP("other",bug_conf_sheet!$A:$H,8,FALSE))</f>
        <v>1</v>
      </c>
    </row>
  </sheetData>
  <autoFilter ref="A1:T407"/>
  <sortState ref="A2:S189">
    <sortCondition ref="B2:B189"/>
    <sortCondition ref="F2:F189"/>
  </sortState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3"/>
  <sheetViews>
    <sheetView showGridLines="0" workbookViewId="0">
      <pane ySplit="1" topLeftCell="A2" activePane="bottomLeft" state="frozen"/>
      <selection activeCell="M24" sqref="M24"/>
      <selection pane="bottomLeft" activeCell="D8" sqref="D8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6" t="s">
        <v>13</v>
      </c>
      <c r="O1" s="36" t="s">
        <v>14</v>
      </c>
      <c r="P1" s="36" t="s">
        <v>15</v>
      </c>
      <c r="Q1" s="36" t="s">
        <v>16</v>
      </c>
      <c r="R1" s="36" t="s">
        <v>17</v>
      </c>
    </row>
    <row r="2" spans="1:18" ht="21" customHeight="1">
      <c r="B2" s="2"/>
      <c r="C2" s="8"/>
      <c r="E2" s="6"/>
      <c r="F2" s="8"/>
      <c r="G2" s="8"/>
      <c r="H2" s="8"/>
      <c r="I2" s="8"/>
      <c r="J2" s="8"/>
      <c r="K2" s="8"/>
      <c r="L2" s="35"/>
      <c r="M2" s="37"/>
      <c r="N2" s="37"/>
      <c r="O2" s="37"/>
      <c r="P2" s="37"/>
      <c r="Q2" s="37"/>
      <c r="R2" s="37"/>
    </row>
    <row r="3" spans="1:18" ht="21" customHeight="1">
      <c r="B3" s="2"/>
      <c r="C3" s="8"/>
      <c r="E3" s="6"/>
      <c r="F3" s="8"/>
      <c r="G3" s="8"/>
      <c r="H3" s="8"/>
      <c r="I3" s="8"/>
      <c r="J3" s="8"/>
      <c r="K3" s="8"/>
      <c r="L3" s="35"/>
      <c r="M3" s="37"/>
      <c r="N3" s="37"/>
      <c r="O3" s="37"/>
      <c r="P3" s="37"/>
      <c r="Q3" s="37"/>
      <c r="R3" s="37"/>
    </row>
    <row r="4" spans="1:18" ht="21" customHeight="1">
      <c r="B4" s="2"/>
      <c r="C4" s="8"/>
      <c r="E4" s="6"/>
      <c r="F4" s="8"/>
      <c r="G4" s="8"/>
      <c r="H4" s="8"/>
      <c r="I4" s="8"/>
      <c r="J4" s="8"/>
      <c r="K4" s="8"/>
      <c r="L4" s="35"/>
      <c r="M4" s="37"/>
      <c r="N4" s="37"/>
      <c r="O4" s="37"/>
      <c r="P4" s="37"/>
      <c r="Q4" s="37"/>
      <c r="R4" s="37"/>
    </row>
    <row r="5" spans="1:18" ht="21" customHeight="1">
      <c r="B5" s="2"/>
      <c r="C5" s="8"/>
      <c r="E5" s="6"/>
      <c r="F5" s="8"/>
      <c r="G5" s="8"/>
      <c r="H5" s="8"/>
      <c r="I5" s="8"/>
      <c r="J5" s="8"/>
      <c r="K5" s="8"/>
      <c r="L5" s="35"/>
      <c r="M5" s="37"/>
      <c r="N5" s="37"/>
      <c r="O5" s="37"/>
      <c r="P5" s="37"/>
      <c r="Q5" s="37"/>
      <c r="R5" s="37"/>
    </row>
    <row r="6" spans="1:18" ht="21" customHeight="1">
      <c r="B6" s="2"/>
      <c r="C6" s="8"/>
      <c r="E6" s="6"/>
      <c r="F6" s="8"/>
      <c r="G6" s="8"/>
      <c r="H6" s="8"/>
      <c r="I6" s="8"/>
      <c r="J6" s="8"/>
      <c r="K6" s="8"/>
      <c r="L6" s="35"/>
      <c r="M6" s="37"/>
      <c r="N6" s="37"/>
      <c r="O6" s="37"/>
      <c r="P6" s="37"/>
      <c r="Q6" s="37"/>
      <c r="R6" s="37"/>
    </row>
    <row r="7" spans="1:18" ht="21" customHeight="1">
      <c r="B7" s="2"/>
      <c r="C7" s="8"/>
      <c r="E7" s="6"/>
      <c r="F7" s="8"/>
      <c r="G7" s="8"/>
      <c r="H7" s="8"/>
      <c r="I7" s="8"/>
      <c r="J7" s="8"/>
      <c r="K7" s="8"/>
      <c r="L7" s="35"/>
      <c r="M7" s="37"/>
      <c r="N7" s="37"/>
      <c r="O7" s="37"/>
      <c r="P7" s="37"/>
      <c r="Q7" s="37"/>
      <c r="R7" s="37"/>
    </row>
    <row r="8" spans="1:18" ht="21" customHeight="1">
      <c r="B8" s="2"/>
      <c r="C8" s="8"/>
      <c r="E8" s="6"/>
      <c r="F8" s="8"/>
      <c r="G8" s="8"/>
      <c r="H8" s="8"/>
      <c r="I8" s="8"/>
      <c r="J8" s="8"/>
      <c r="K8" s="8"/>
      <c r="L8" s="35"/>
      <c r="M8" s="37"/>
      <c r="N8" s="37"/>
      <c r="O8" s="37"/>
      <c r="P8" s="37"/>
      <c r="Q8" s="37"/>
      <c r="R8" s="37"/>
    </row>
    <row r="9" spans="1:18" ht="21" customHeight="1">
      <c r="B9" s="2"/>
      <c r="C9" s="8"/>
      <c r="E9" s="6"/>
      <c r="F9" s="8"/>
      <c r="G9" s="8"/>
      <c r="H9" s="8"/>
      <c r="I9" s="8"/>
      <c r="J9" s="8"/>
      <c r="K9" s="8"/>
      <c r="L9" s="35"/>
      <c r="M9" s="37"/>
      <c r="N9" s="37"/>
      <c r="O9" s="37"/>
      <c r="P9" s="37"/>
      <c r="Q9" s="37"/>
      <c r="R9" s="37"/>
    </row>
    <row r="10" spans="1:18" ht="21" customHeight="1">
      <c r="B10" s="2"/>
      <c r="C10" s="8"/>
      <c r="E10" s="6"/>
      <c r="F10" s="8"/>
      <c r="G10" s="8"/>
      <c r="H10" s="8"/>
      <c r="I10" s="8"/>
      <c r="J10" s="8"/>
      <c r="K10" s="8"/>
      <c r="L10" s="35"/>
      <c r="M10" s="37"/>
      <c r="N10" s="37"/>
      <c r="O10" s="37"/>
      <c r="P10" s="37"/>
      <c r="Q10" s="37"/>
      <c r="R10" s="37"/>
    </row>
    <row r="11" spans="1:18" ht="21" customHeight="1">
      <c r="B11" s="2"/>
      <c r="C11" s="8"/>
      <c r="E11" s="6"/>
      <c r="F11" s="8"/>
      <c r="G11" s="8"/>
      <c r="H11" s="8"/>
      <c r="I11" s="8"/>
      <c r="J11" s="8"/>
      <c r="K11" s="8"/>
      <c r="L11" s="35"/>
      <c r="M11" s="37"/>
      <c r="N11" s="37"/>
      <c r="O11" s="37"/>
      <c r="P11" s="37"/>
      <c r="Q11" s="37"/>
      <c r="R11" s="37"/>
    </row>
    <row r="12" spans="1:18" ht="21" customHeight="1">
      <c r="B12" s="2"/>
      <c r="C12" s="8"/>
      <c r="E12" s="57"/>
      <c r="F12" s="8"/>
      <c r="G12" s="8"/>
      <c r="H12" s="8"/>
      <c r="I12" s="8"/>
      <c r="J12" s="8"/>
      <c r="K12" s="8"/>
      <c r="L12" s="35"/>
      <c r="M12" s="37"/>
      <c r="N12" s="37"/>
      <c r="O12" s="37"/>
      <c r="P12" s="37"/>
      <c r="Q12" s="37"/>
      <c r="R12" s="37"/>
    </row>
    <row r="13" spans="1:18" ht="21" customHeight="1">
      <c r="B13" s="2"/>
      <c r="C13" s="8"/>
      <c r="E13" s="57"/>
      <c r="F13" s="8"/>
      <c r="G13" s="8"/>
      <c r="H13" s="8"/>
      <c r="I13" s="8"/>
      <c r="J13" s="8"/>
      <c r="K13" s="8"/>
      <c r="L13" s="35"/>
      <c r="M13" s="37"/>
      <c r="N13" s="37"/>
      <c r="O13" s="37"/>
      <c r="P13" s="37"/>
      <c r="Q13" s="37"/>
      <c r="R13" s="37"/>
    </row>
    <row r="14" spans="1:18" ht="21" customHeight="1">
      <c r="B14" s="2"/>
      <c r="C14" s="8"/>
      <c r="E14" s="56"/>
      <c r="F14" s="8"/>
      <c r="G14" s="8"/>
      <c r="H14" s="8"/>
      <c r="I14" s="8"/>
      <c r="J14" s="8"/>
      <c r="K14" s="8"/>
      <c r="L14" s="35"/>
      <c r="M14" s="37"/>
      <c r="N14" s="37"/>
      <c r="O14" s="37"/>
      <c r="P14" s="37"/>
      <c r="Q14" s="37"/>
      <c r="R14" s="37"/>
    </row>
    <row r="15" spans="1:18" ht="21" customHeight="1">
      <c r="B15" s="2"/>
      <c r="C15" s="8"/>
      <c r="E15" s="56"/>
      <c r="F15" s="8"/>
      <c r="G15" s="8"/>
      <c r="H15" s="8"/>
      <c r="I15" s="8"/>
      <c r="J15" s="8"/>
      <c r="K15" s="8"/>
      <c r="L15" s="35"/>
      <c r="M15" s="37"/>
      <c r="N15" s="37"/>
      <c r="O15" s="37"/>
      <c r="P15" s="37"/>
      <c r="Q15" s="37"/>
      <c r="R15" s="37"/>
    </row>
    <row r="16" spans="1:18" ht="21" customHeight="1">
      <c r="B16" s="2"/>
      <c r="C16" s="8"/>
      <c r="E16" s="55"/>
      <c r="F16" s="8"/>
      <c r="G16" s="8"/>
      <c r="H16" s="8"/>
      <c r="I16" s="8"/>
      <c r="J16" s="8"/>
      <c r="K16" s="8"/>
      <c r="L16" s="35"/>
      <c r="M16" s="37"/>
      <c r="N16" s="37"/>
      <c r="O16" s="37"/>
      <c r="P16" s="37"/>
      <c r="Q16" s="37"/>
      <c r="R16" s="37"/>
    </row>
    <row r="17" spans="2:18" ht="21" customHeight="1">
      <c r="B17" s="2"/>
      <c r="C17" s="8"/>
      <c r="E17" s="58"/>
      <c r="F17" s="8"/>
      <c r="G17" s="8"/>
      <c r="H17" s="8"/>
      <c r="I17" s="8"/>
      <c r="J17" s="8"/>
      <c r="K17" s="8"/>
      <c r="L17" s="35"/>
      <c r="M17" s="37"/>
      <c r="N17" s="37"/>
      <c r="O17" s="37"/>
      <c r="P17" s="37"/>
      <c r="Q17" s="37"/>
      <c r="R17" s="37"/>
    </row>
    <row r="18" spans="2:18" ht="21" customHeight="1">
      <c r="B18" s="2"/>
      <c r="C18" s="8"/>
      <c r="E18" s="58"/>
      <c r="F18" s="8"/>
      <c r="G18" s="8"/>
      <c r="H18" s="8"/>
      <c r="I18" s="8"/>
      <c r="J18" s="8"/>
      <c r="K18" s="8"/>
      <c r="L18" s="35"/>
      <c r="M18" s="37"/>
      <c r="N18" s="37"/>
      <c r="O18" s="37"/>
      <c r="P18" s="37"/>
      <c r="Q18" s="37"/>
      <c r="R18" s="37"/>
    </row>
    <row r="19" spans="2:18" ht="21" customHeight="1">
      <c r="B19" s="2"/>
      <c r="C19" s="8"/>
      <c r="E19" s="58"/>
      <c r="F19" s="8"/>
      <c r="G19" s="8"/>
      <c r="H19" s="8"/>
      <c r="I19" s="8"/>
      <c r="J19" s="8"/>
      <c r="K19" s="8"/>
      <c r="L19" s="35"/>
      <c r="M19" s="37"/>
      <c r="N19" s="37"/>
      <c r="O19" s="37"/>
      <c r="P19" s="37"/>
      <c r="Q19" s="37"/>
      <c r="R19" s="37"/>
    </row>
    <row r="20" spans="2:18" ht="21" customHeight="1">
      <c r="B20" s="2"/>
      <c r="C20" s="8"/>
      <c r="E20" s="58"/>
      <c r="F20" s="8"/>
      <c r="G20" s="8"/>
      <c r="H20" s="8"/>
      <c r="I20" s="8"/>
      <c r="J20" s="8"/>
      <c r="K20" s="8"/>
      <c r="L20" s="35"/>
      <c r="M20" s="37"/>
      <c r="N20" s="37"/>
      <c r="O20" s="37"/>
      <c r="P20" s="37"/>
      <c r="Q20" s="37"/>
      <c r="R20" s="37"/>
    </row>
    <row r="21" spans="2:18" ht="21" customHeight="1">
      <c r="B21" s="2"/>
      <c r="C21" s="8"/>
      <c r="E21" s="58"/>
      <c r="F21" s="8"/>
      <c r="G21" s="8"/>
      <c r="H21" s="8"/>
      <c r="I21" s="8"/>
      <c r="J21" s="8"/>
      <c r="K21" s="8"/>
      <c r="L21" s="35"/>
      <c r="M21" s="37"/>
      <c r="N21" s="37"/>
      <c r="O21" s="37"/>
      <c r="P21" s="37"/>
      <c r="Q21" s="37"/>
      <c r="R21" s="37"/>
    </row>
    <row r="22" spans="2:18" ht="21" customHeight="1">
      <c r="B22" s="2"/>
      <c r="C22" s="8"/>
      <c r="E22" s="58"/>
      <c r="F22" s="8"/>
      <c r="G22" s="8"/>
      <c r="H22" s="8"/>
      <c r="I22" s="8"/>
      <c r="J22" s="8"/>
      <c r="K22" s="8"/>
      <c r="L22" s="35"/>
      <c r="M22" s="37"/>
      <c r="N22" s="37"/>
      <c r="O22" s="37"/>
      <c r="P22" s="37"/>
      <c r="Q22" s="37"/>
      <c r="R22" s="37"/>
    </row>
    <row r="23" spans="2:18" ht="21" customHeight="1">
      <c r="B23" s="2"/>
      <c r="C23" s="8"/>
      <c r="E23" s="58"/>
      <c r="F23" s="8"/>
      <c r="G23" s="8"/>
      <c r="H23" s="8"/>
      <c r="I23" s="8"/>
      <c r="J23" s="8"/>
      <c r="K23" s="8"/>
      <c r="L23" s="35"/>
      <c r="M23" s="37"/>
      <c r="N23" s="37"/>
      <c r="O23" s="37"/>
      <c r="P23" s="37"/>
      <c r="Q23" s="37"/>
      <c r="R23" s="37"/>
    </row>
    <row r="24" spans="2:18" ht="21" customHeight="1">
      <c r="B24" s="2"/>
      <c r="C24" s="8"/>
      <c r="E24" s="58"/>
      <c r="F24" s="8"/>
      <c r="G24" s="8"/>
      <c r="H24" s="8"/>
      <c r="I24" s="8"/>
      <c r="J24" s="8"/>
      <c r="K24" s="8"/>
      <c r="L24" s="35"/>
      <c r="M24" s="37"/>
      <c r="N24" s="37"/>
      <c r="O24" s="37"/>
      <c r="P24" s="37"/>
      <c r="Q24" s="37"/>
      <c r="R24" s="37"/>
    </row>
    <row r="25" spans="2:18" ht="21" customHeight="1">
      <c r="B25" s="2"/>
      <c r="C25" s="8"/>
      <c r="E25" s="58"/>
      <c r="F25" s="8"/>
      <c r="G25" s="8"/>
      <c r="H25" s="8"/>
      <c r="I25" s="8"/>
      <c r="J25" s="8"/>
      <c r="K25" s="8"/>
      <c r="L25" s="35"/>
      <c r="M25" s="37"/>
      <c r="N25" s="37"/>
      <c r="O25" s="37"/>
      <c r="P25" s="37"/>
      <c r="Q25" s="37"/>
      <c r="R25" s="37"/>
    </row>
    <row r="26" spans="2:18" ht="21" customHeight="1">
      <c r="B26" s="2"/>
      <c r="C26" s="8"/>
      <c r="E26" s="58"/>
      <c r="F26" s="8"/>
      <c r="G26" s="8"/>
      <c r="H26" s="8"/>
      <c r="I26" s="8"/>
      <c r="J26" s="8"/>
      <c r="K26" s="8"/>
      <c r="L26" s="35"/>
      <c r="M26" s="37"/>
      <c r="N26" s="37"/>
      <c r="O26" s="37"/>
      <c r="P26" s="37"/>
      <c r="Q26" s="37"/>
      <c r="R26" s="37"/>
    </row>
    <row r="27" spans="2:18" ht="21" customHeight="1">
      <c r="B27" s="2"/>
      <c r="C27" s="8"/>
      <c r="E27" s="58"/>
      <c r="F27" s="8"/>
      <c r="G27" s="8"/>
      <c r="H27" s="8"/>
      <c r="I27" s="8"/>
      <c r="J27" s="8"/>
      <c r="K27" s="8"/>
      <c r="L27" s="35"/>
      <c r="M27" s="37"/>
      <c r="N27" s="37"/>
      <c r="O27" s="37"/>
      <c r="P27" s="37"/>
      <c r="Q27" s="37"/>
      <c r="R27" s="37"/>
    </row>
    <row r="28" spans="2:18" ht="21" customHeight="1">
      <c r="B28" s="2"/>
      <c r="C28" s="8"/>
      <c r="E28" s="58"/>
      <c r="F28" s="8"/>
      <c r="G28" s="8"/>
      <c r="H28" s="8"/>
      <c r="I28" s="8"/>
      <c r="J28" s="8"/>
      <c r="K28" s="8"/>
      <c r="L28" s="35"/>
      <c r="M28" s="37"/>
      <c r="N28" s="37"/>
      <c r="O28" s="37"/>
      <c r="P28" s="37"/>
      <c r="Q28" s="37"/>
      <c r="R28" s="37"/>
    </row>
    <row r="29" spans="2:18" ht="21" customHeight="1">
      <c r="B29" s="2"/>
      <c r="C29" s="8"/>
      <c r="E29" s="58"/>
      <c r="F29" s="8"/>
      <c r="G29" s="8"/>
      <c r="H29" s="8"/>
      <c r="I29" s="8"/>
      <c r="J29" s="8"/>
      <c r="K29" s="8"/>
      <c r="L29" s="35"/>
      <c r="M29" s="37"/>
      <c r="N29" s="37"/>
      <c r="O29" s="37"/>
      <c r="P29" s="37"/>
      <c r="Q29" s="37"/>
      <c r="R29" s="37"/>
    </row>
    <row r="30" spans="2:18" ht="21" customHeight="1">
      <c r="B30" s="2"/>
      <c r="C30" s="8"/>
      <c r="E30" s="58"/>
      <c r="F30" s="8"/>
      <c r="G30" s="8"/>
      <c r="H30" s="8"/>
      <c r="I30" s="8"/>
      <c r="J30" s="8"/>
      <c r="K30" s="8"/>
      <c r="L30" s="35"/>
      <c r="M30" s="37"/>
      <c r="N30" s="37"/>
      <c r="O30" s="37"/>
      <c r="P30" s="37"/>
      <c r="Q30" s="37"/>
      <c r="R30" s="37"/>
    </row>
    <row r="31" spans="2:18" ht="21" customHeight="1">
      <c r="B31" s="2"/>
      <c r="C31" s="8"/>
      <c r="E31" s="58"/>
      <c r="F31" s="8"/>
      <c r="G31" s="8"/>
      <c r="H31" s="8"/>
      <c r="I31" s="8"/>
      <c r="J31" s="8"/>
      <c r="K31" s="8"/>
      <c r="L31" s="35"/>
      <c r="M31" s="37"/>
      <c r="N31" s="37"/>
      <c r="O31" s="37"/>
      <c r="P31" s="37"/>
      <c r="Q31" s="37"/>
      <c r="R31" s="37"/>
    </row>
    <row r="32" spans="2:18" ht="21" customHeight="1">
      <c r="B32" s="2"/>
      <c r="C32" s="8"/>
      <c r="E32" s="58"/>
      <c r="F32" s="8"/>
      <c r="G32" s="8"/>
      <c r="H32" s="8"/>
      <c r="I32" s="8"/>
      <c r="J32" s="8"/>
      <c r="K32" s="8"/>
      <c r="L32" s="35"/>
      <c r="M32" s="37"/>
      <c r="N32" s="37"/>
      <c r="O32" s="37"/>
      <c r="P32" s="37"/>
      <c r="Q32" s="37"/>
      <c r="R32" s="37"/>
    </row>
    <row r="33" spans="2:18" ht="21" customHeight="1">
      <c r="B33" s="2"/>
      <c r="C33" s="8"/>
      <c r="E33" s="56"/>
      <c r="F33" s="8"/>
      <c r="G33" s="8"/>
      <c r="H33" s="8"/>
      <c r="I33" s="8"/>
      <c r="J33" s="8"/>
      <c r="K33" s="8"/>
      <c r="L33" s="35"/>
      <c r="M33" s="37"/>
      <c r="N33" s="37"/>
      <c r="O33" s="37"/>
      <c r="P33" s="37"/>
      <c r="Q33" s="37"/>
      <c r="R33" s="37"/>
    </row>
    <row r="34" spans="2:18" ht="21" customHeight="1">
      <c r="B34" s="2"/>
      <c r="C34" s="8"/>
      <c r="E34" s="56"/>
      <c r="F34" s="8"/>
      <c r="G34" s="8"/>
      <c r="H34" s="8"/>
      <c r="I34" s="8"/>
      <c r="J34" s="8"/>
      <c r="K34" s="8"/>
      <c r="L34" s="35"/>
      <c r="M34" s="37"/>
      <c r="N34" s="37"/>
      <c r="O34" s="37"/>
      <c r="P34" s="37"/>
      <c r="Q34" s="37"/>
      <c r="R34" s="37"/>
    </row>
    <row r="35" spans="2:18" ht="21" customHeight="1">
      <c r="B35" s="2"/>
      <c r="C35" s="8"/>
      <c r="E35" s="56"/>
      <c r="F35" s="8"/>
      <c r="G35" s="8"/>
      <c r="H35" s="8"/>
      <c r="I35" s="8"/>
      <c r="J35" s="8"/>
      <c r="K35" s="8"/>
      <c r="L35" s="35"/>
      <c r="M35" s="37"/>
      <c r="N35" s="37"/>
      <c r="O35" s="37"/>
      <c r="P35" s="37"/>
      <c r="Q35" s="37"/>
      <c r="R35" s="37"/>
    </row>
    <row r="36" spans="2:18" ht="21" customHeight="1">
      <c r="B36" s="2"/>
      <c r="C36" s="8"/>
      <c r="E36" s="56"/>
      <c r="F36" s="8"/>
      <c r="G36" s="8"/>
      <c r="H36" s="8"/>
      <c r="I36" s="8"/>
      <c r="J36" s="8"/>
      <c r="K36" s="8"/>
      <c r="L36" s="35"/>
      <c r="M36" s="37"/>
      <c r="N36" s="37"/>
      <c r="O36" s="37"/>
      <c r="P36" s="37"/>
      <c r="Q36" s="37"/>
      <c r="R36" s="37"/>
    </row>
    <row r="37" spans="2:18" ht="21" customHeight="1">
      <c r="B37" s="2"/>
      <c r="C37" s="8"/>
      <c r="E37" s="57"/>
      <c r="F37" s="8"/>
      <c r="G37" s="8"/>
      <c r="H37" s="8"/>
      <c r="I37" s="8"/>
      <c r="J37" s="8"/>
      <c r="K37" s="8"/>
      <c r="L37" s="35"/>
      <c r="M37" s="37"/>
      <c r="N37" s="37"/>
      <c r="O37" s="37"/>
      <c r="P37" s="37"/>
      <c r="Q37" s="37"/>
      <c r="R37" s="37"/>
    </row>
    <row r="38" spans="2:18" ht="21" customHeight="1">
      <c r="B38" s="2"/>
      <c r="C38" s="8"/>
      <c r="E38" s="56"/>
      <c r="F38" s="8"/>
      <c r="G38" s="8"/>
      <c r="H38" s="8"/>
      <c r="I38" s="8"/>
      <c r="J38" s="8"/>
      <c r="K38" s="8"/>
      <c r="L38" s="35"/>
      <c r="M38" s="37"/>
      <c r="N38" s="37"/>
      <c r="O38" s="37"/>
      <c r="P38" s="37"/>
      <c r="Q38" s="37"/>
      <c r="R38" s="37"/>
    </row>
    <row r="39" spans="2:18" ht="21" customHeight="1">
      <c r="B39" s="2"/>
      <c r="C39" s="8"/>
      <c r="E39" s="56"/>
      <c r="F39" s="8"/>
      <c r="G39" s="8"/>
      <c r="H39" s="8"/>
      <c r="I39" s="8"/>
      <c r="J39" s="8"/>
      <c r="K39" s="8"/>
      <c r="L39" s="35"/>
      <c r="M39" s="37"/>
      <c r="N39" s="37"/>
      <c r="O39" s="37"/>
      <c r="P39" s="37"/>
      <c r="Q39" s="37"/>
      <c r="R39" s="37"/>
    </row>
    <row r="40" spans="2:18" ht="21" customHeight="1">
      <c r="B40" s="2"/>
      <c r="C40" s="8"/>
      <c r="E40" s="56"/>
      <c r="F40" s="8"/>
      <c r="G40" s="8"/>
      <c r="H40" s="8"/>
      <c r="I40" s="8"/>
      <c r="J40" s="8"/>
      <c r="K40" s="8"/>
      <c r="L40" s="35"/>
      <c r="M40" s="37"/>
      <c r="N40" s="37"/>
      <c r="O40" s="37"/>
      <c r="P40" s="37"/>
      <c r="Q40" s="37"/>
      <c r="R40" s="37"/>
    </row>
    <row r="41" spans="2:18" ht="21" customHeight="1">
      <c r="B41" s="2"/>
      <c r="C41" s="8"/>
      <c r="E41" s="56"/>
      <c r="F41" s="8"/>
      <c r="G41" s="8"/>
      <c r="H41" s="8"/>
      <c r="I41" s="8"/>
      <c r="J41" s="8"/>
      <c r="K41" s="8"/>
      <c r="L41" s="35"/>
      <c r="M41" s="37"/>
      <c r="N41" s="37"/>
      <c r="O41" s="37"/>
      <c r="P41" s="37"/>
      <c r="Q41" s="37"/>
      <c r="R41" s="37"/>
    </row>
    <row r="42" spans="2:18" ht="21" customHeight="1">
      <c r="B42" s="2"/>
      <c r="C42" s="8"/>
      <c r="E42" s="56"/>
      <c r="F42" s="8"/>
      <c r="G42" s="8"/>
      <c r="H42" s="8"/>
      <c r="I42" s="8"/>
      <c r="J42" s="8"/>
      <c r="K42" s="8"/>
      <c r="L42" s="35"/>
      <c r="M42" s="37"/>
      <c r="N42" s="37"/>
      <c r="O42" s="37"/>
      <c r="P42" s="37"/>
      <c r="Q42" s="37"/>
      <c r="R42" s="37"/>
    </row>
    <row r="43" spans="2:18" ht="21" customHeight="1">
      <c r="B43" s="2"/>
      <c r="C43" s="8"/>
      <c r="E43" s="56"/>
      <c r="F43" s="8"/>
      <c r="G43" s="8"/>
      <c r="H43" s="8"/>
      <c r="I43" s="8"/>
      <c r="J43" s="8"/>
      <c r="K43" s="8"/>
      <c r="L43" s="35"/>
      <c r="M43" s="37"/>
      <c r="N43" s="37"/>
      <c r="O43" s="37"/>
      <c r="P43" s="37"/>
      <c r="Q43" s="37"/>
      <c r="R43" s="37"/>
    </row>
    <row r="44" spans="2:18" ht="21" customHeight="1">
      <c r="B44" s="2"/>
      <c r="C44" s="8"/>
      <c r="E44" s="56"/>
      <c r="F44" s="8"/>
      <c r="G44" s="8"/>
      <c r="H44" s="8"/>
      <c r="I44" s="8"/>
      <c r="J44" s="8"/>
      <c r="K44" s="8"/>
      <c r="L44" s="35"/>
      <c r="M44" s="37"/>
      <c r="N44" s="37"/>
      <c r="O44" s="37"/>
      <c r="P44" s="37"/>
      <c r="Q44" s="37"/>
      <c r="R44" s="37"/>
    </row>
    <row r="45" spans="2:18" ht="21" customHeight="1">
      <c r="B45" s="2"/>
      <c r="C45" s="8"/>
      <c r="E45" s="56"/>
      <c r="F45" s="8"/>
      <c r="G45" s="8"/>
      <c r="H45" s="8"/>
      <c r="I45" s="8"/>
      <c r="J45" s="8"/>
      <c r="K45" s="8"/>
      <c r="L45" s="35"/>
      <c r="M45" s="37"/>
      <c r="N45" s="37"/>
      <c r="O45" s="37"/>
      <c r="P45" s="37"/>
      <c r="Q45" s="37"/>
      <c r="R45" s="37"/>
    </row>
    <row r="46" spans="2:18" ht="21" customHeight="1">
      <c r="B46" s="2"/>
      <c r="C46" s="8"/>
      <c r="E46" s="56"/>
      <c r="F46" s="8"/>
      <c r="G46" s="8"/>
      <c r="H46" s="8"/>
      <c r="I46" s="8"/>
      <c r="J46" s="8"/>
      <c r="K46" s="8"/>
      <c r="L46" s="35"/>
      <c r="M46" s="37"/>
      <c r="N46" s="37"/>
      <c r="O46" s="37"/>
      <c r="P46" s="37"/>
      <c r="Q46" s="37"/>
      <c r="R46" s="37"/>
    </row>
    <row r="47" spans="2:18" ht="21" customHeight="1">
      <c r="B47" s="2"/>
      <c r="C47" s="8"/>
      <c r="E47" s="56"/>
      <c r="F47" s="8"/>
      <c r="G47" s="8"/>
      <c r="H47" s="8"/>
      <c r="I47" s="8"/>
      <c r="J47" s="8"/>
      <c r="K47" s="8"/>
      <c r="L47" s="35"/>
      <c r="M47" s="37"/>
      <c r="N47" s="37"/>
      <c r="O47" s="37"/>
      <c r="P47" s="37"/>
      <c r="Q47" s="37"/>
      <c r="R47" s="37"/>
    </row>
    <row r="48" spans="2:18" ht="21" customHeight="1">
      <c r="B48" s="2"/>
      <c r="C48" s="8"/>
      <c r="E48" s="56"/>
      <c r="F48" s="8"/>
      <c r="G48" s="8"/>
      <c r="H48" s="8"/>
      <c r="I48" s="8"/>
      <c r="J48" s="8"/>
      <c r="K48" s="8"/>
      <c r="L48" s="35"/>
      <c r="M48" s="37"/>
      <c r="N48" s="37"/>
      <c r="O48" s="37"/>
      <c r="P48" s="37"/>
      <c r="Q48" s="37"/>
      <c r="R48" s="37"/>
    </row>
    <row r="49" spans="2:18" ht="21" customHeight="1">
      <c r="B49" s="2"/>
      <c r="C49" s="8"/>
      <c r="E49" s="56"/>
      <c r="F49" s="8"/>
      <c r="G49" s="8"/>
      <c r="H49" s="8"/>
      <c r="I49" s="8"/>
      <c r="J49" s="8"/>
      <c r="K49" s="8"/>
      <c r="L49" s="35"/>
      <c r="M49" s="37"/>
      <c r="N49" s="37"/>
      <c r="O49" s="37"/>
      <c r="P49" s="37"/>
      <c r="Q49" s="37"/>
      <c r="R49" s="37"/>
    </row>
    <row r="50" spans="2:18" ht="21" customHeight="1">
      <c r="B50" s="2"/>
      <c r="C50" s="8"/>
      <c r="E50" s="56"/>
      <c r="F50" s="8"/>
      <c r="G50" s="8"/>
      <c r="H50" s="8"/>
      <c r="I50" s="8"/>
      <c r="J50" s="8"/>
      <c r="K50" s="8"/>
      <c r="L50" s="35"/>
      <c r="M50" s="37"/>
      <c r="N50" s="37"/>
      <c r="O50" s="37"/>
      <c r="P50" s="37"/>
      <c r="Q50" s="37"/>
      <c r="R50" s="37"/>
    </row>
    <row r="51" spans="2:18" ht="21" customHeight="1">
      <c r="B51" s="2"/>
      <c r="C51" s="8"/>
      <c r="E51" s="56"/>
      <c r="F51" s="8"/>
      <c r="G51" s="8"/>
      <c r="H51" s="8"/>
      <c r="I51" s="8"/>
      <c r="J51" s="8"/>
      <c r="K51" s="8"/>
      <c r="L51" s="35"/>
      <c r="M51" s="37"/>
      <c r="N51" s="37"/>
      <c r="O51" s="37"/>
      <c r="P51" s="37"/>
      <c r="Q51" s="37"/>
      <c r="R51" s="37"/>
    </row>
    <row r="52" spans="2:18" ht="21" customHeight="1">
      <c r="B52" s="2"/>
      <c r="C52" s="8"/>
      <c r="E52" s="56"/>
      <c r="F52" s="8"/>
      <c r="G52" s="8"/>
      <c r="H52" s="8"/>
      <c r="I52" s="8"/>
      <c r="J52" s="8"/>
      <c r="K52" s="8"/>
      <c r="L52" s="35"/>
      <c r="M52" s="37"/>
      <c r="N52" s="37"/>
      <c r="O52" s="37"/>
      <c r="P52" s="37"/>
      <c r="Q52" s="37"/>
      <c r="R52" s="37"/>
    </row>
    <row r="53" spans="2:18" ht="21" customHeight="1">
      <c r="B53" s="2"/>
      <c r="C53" s="8"/>
      <c r="E53" s="56"/>
      <c r="F53" s="8"/>
      <c r="G53" s="8"/>
      <c r="H53" s="8"/>
      <c r="I53" s="8"/>
      <c r="J53" s="8"/>
      <c r="K53" s="8"/>
      <c r="L53" s="35"/>
      <c r="M53" s="37"/>
      <c r="N53" s="37"/>
      <c r="O53" s="37"/>
      <c r="P53" s="37"/>
      <c r="Q53" s="37"/>
      <c r="R53" s="37"/>
    </row>
    <row r="54" spans="2:18" ht="21" customHeight="1">
      <c r="B54" s="2"/>
      <c r="C54" s="8"/>
      <c r="E54" s="56"/>
      <c r="F54" s="8"/>
      <c r="G54" s="8"/>
      <c r="H54" s="8"/>
      <c r="I54" s="8"/>
      <c r="J54" s="8"/>
      <c r="K54" s="8"/>
      <c r="L54" s="35"/>
      <c r="M54" s="37"/>
      <c r="N54" s="37"/>
      <c r="O54" s="37"/>
      <c r="P54" s="37"/>
      <c r="Q54" s="37"/>
      <c r="R54" s="37"/>
    </row>
    <row r="55" spans="2:18" ht="21" customHeight="1">
      <c r="B55" s="2"/>
      <c r="C55" s="8"/>
      <c r="E55" s="56"/>
      <c r="F55" s="8"/>
      <c r="G55" s="8"/>
      <c r="H55" s="8"/>
      <c r="I55" s="8"/>
      <c r="J55" s="8"/>
      <c r="K55" s="8"/>
      <c r="L55" s="35"/>
      <c r="M55" s="37"/>
      <c r="N55" s="37"/>
      <c r="O55" s="37"/>
      <c r="P55" s="37"/>
      <c r="Q55" s="37"/>
      <c r="R55" s="37"/>
    </row>
    <row r="56" spans="2:18" ht="21" customHeight="1">
      <c r="B56" s="2"/>
      <c r="C56" s="8"/>
      <c r="E56" s="56"/>
      <c r="F56" s="8"/>
      <c r="G56" s="8"/>
      <c r="H56" s="8"/>
      <c r="I56" s="8"/>
      <c r="J56" s="8"/>
      <c r="K56" s="8"/>
      <c r="L56" s="35"/>
      <c r="M56" s="37"/>
      <c r="N56" s="37"/>
      <c r="O56" s="37"/>
      <c r="P56" s="37"/>
      <c r="Q56" s="37"/>
      <c r="R56" s="37"/>
    </row>
    <row r="57" spans="2:18" ht="21" customHeight="1">
      <c r="B57" s="2"/>
      <c r="C57" s="8"/>
      <c r="E57" s="56"/>
      <c r="F57" s="8"/>
      <c r="G57" s="8"/>
      <c r="H57" s="8"/>
      <c r="I57" s="8"/>
      <c r="J57" s="8"/>
      <c r="K57" s="8"/>
      <c r="L57" s="35"/>
      <c r="M57" s="37"/>
      <c r="N57" s="37"/>
      <c r="O57" s="37"/>
      <c r="P57" s="37"/>
      <c r="Q57" s="37"/>
      <c r="R57" s="37"/>
    </row>
    <row r="58" spans="2:18" ht="21" customHeight="1">
      <c r="B58" s="2"/>
      <c r="C58" s="8"/>
      <c r="E58" s="57"/>
      <c r="F58" s="8"/>
      <c r="G58" s="8"/>
      <c r="H58" s="8"/>
      <c r="I58" s="8"/>
      <c r="J58" s="8"/>
      <c r="K58" s="8"/>
      <c r="L58" s="35"/>
      <c r="M58" s="37"/>
      <c r="N58" s="37"/>
      <c r="O58" s="37"/>
      <c r="P58" s="37"/>
      <c r="Q58" s="37"/>
      <c r="R58" s="37"/>
    </row>
    <row r="59" spans="2:18" ht="21" customHeight="1">
      <c r="B59" s="2"/>
      <c r="C59" s="8"/>
      <c r="E59" s="56"/>
      <c r="F59" s="8"/>
      <c r="G59" s="8"/>
      <c r="H59" s="8"/>
      <c r="I59" s="8"/>
      <c r="J59" s="8"/>
      <c r="K59" s="8"/>
      <c r="L59" s="35"/>
      <c r="M59" s="37"/>
      <c r="N59" s="37"/>
      <c r="O59" s="37"/>
      <c r="P59" s="37"/>
      <c r="Q59" s="37"/>
      <c r="R59" s="37"/>
    </row>
    <row r="60" spans="2:18" ht="21" customHeight="1">
      <c r="B60" s="2"/>
      <c r="C60" s="8"/>
      <c r="E60" s="56"/>
      <c r="F60" s="8"/>
      <c r="G60" s="8"/>
      <c r="H60" s="8"/>
      <c r="I60" s="8"/>
      <c r="J60" s="8"/>
      <c r="K60" s="8"/>
      <c r="L60" s="35"/>
      <c r="M60" s="37"/>
      <c r="N60" s="37"/>
      <c r="O60" s="37"/>
      <c r="P60" s="37"/>
      <c r="Q60" s="37"/>
      <c r="R60" s="37"/>
    </row>
    <row r="61" spans="2:18" ht="21" customHeight="1">
      <c r="B61" s="2"/>
      <c r="C61" s="8"/>
      <c r="E61" s="56"/>
      <c r="F61" s="8"/>
      <c r="G61" s="8"/>
      <c r="H61" s="8"/>
      <c r="I61" s="8"/>
      <c r="J61" s="8"/>
      <c r="K61" s="8"/>
      <c r="L61" s="35"/>
      <c r="M61" s="37"/>
      <c r="N61" s="37"/>
      <c r="O61" s="37"/>
      <c r="P61" s="37"/>
      <c r="Q61" s="37"/>
      <c r="R61" s="37"/>
    </row>
    <row r="62" spans="2:18" ht="21" customHeight="1">
      <c r="B62" s="2"/>
      <c r="C62" s="8"/>
      <c r="E62" s="56"/>
      <c r="F62" s="8"/>
      <c r="G62" s="8"/>
      <c r="H62" s="8"/>
      <c r="I62" s="8"/>
      <c r="J62" s="8"/>
      <c r="K62" s="8"/>
      <c r="L62" s="35"/>
      <c r="M62" s="37"/>
      <c r="N62" s="37"/>
      <c r="O62" s="37"/>
      <c r="P62" s="37"/>
      <c r="Q62" s="37"/>
      <c r="R62" s="37"/>
    </row>
    <row r="63" spans="2:18" ht="21" customHeight="1">
      <c r="B63" s="2"/>
      <c r="C63" s="8"/>
      <c r="E63" s="56"/>
      <c r="F63" s="8"/>
      <c r="G63" s="8"/>
      <c r="H63" s="8"/>
      <c r="I63" s="8"/>
      <c r="J63" s="8"/>
      <c r="K63" s="8"/>
      <c r="L63" s="35"/>
      <c r="M63" s="37"/>
      <c r="N63" s="37"/>
      <c r="O63" s="37"/>
      <c r="P63" s="37"/>
      <c r="Q63" s="37"/>
      <c r="R63" s="37"/>
    </row>
    <row r="64" spans="2:18" ht="21" customHeight="1">
      <c r="B64" s="2"/>
      <c r="C64" s="8"/>
      <c r="E64" s="56"/>
      <c r="F64" s="8"/>
      <c r="G64" s="8"/>
      <c r="H64" s="8"/>
      <c r="I64" s="8"/>
      <c r="J64" s="8"/>
      <c r="K64" s="8"/>
      <c r="L64" s="35"/>
      <c r="M64" s="37"/>
      <c r="N64" s="37"/>
      <c r="O64" s="37"/>
      <c r="P64" s="37"/>
      <c r="Q64" s="37"/>
      <c r="R64" s="37"/>
    </row>
    <row r="65" spans="2:18" ht="21" customHeight="1">
      <c r="B65" s="2"/>
      <c r="C65" s="8"/>
      <c r="E65" s="56"/>
      <c r="F65" s="8"/>
      <c r="G65" s="8"/>
      <c r="H65" s="8"/>
      <c r="I65" s="8"/>
      <c r="J65" s="8"/>
      <c r="K65" s="8"/>
      <c r="L65" s="35"/>
      <c r="M65" s="37"/>
      <c r="N65" s="37"/>
      <c r="O65" s="37"/>
      <c r="P65" s="37"/>
      <c r="Q65" s="37"/>
      <c r="R65" s="37"/>
    </row>
    <row r="66" spans="2:18" ht="21" customHeight="1">
      <c r="B66" s="2"/>
      <c r="C66" s="8"/>
      <c r="E66" s="56"/>
      <c r="F66" s="8"/>
      <c r="G66" s="8"/>
      <c r="H66" s="8"/>
      <c r="I66" s="8"/>
      <c r="J66" s="8"/>
      <c r="K66" s="8"/>
      <c r="L66" s="35"/>
      <c r="M66" s="37"/>
      <c r="N66" s="37"/>
      <c r="O66" s="37"/>
      <c r="P66" s="37"/>
      <c r="Q66" s="37"/>
      <c r="R66" s="37"/>
    </row>
    <row r="67" spans="2:18" ht="21" customHeight="1">
      <c r="B67" s="2"/>
      <c r="C67" s="8"/>
      <c r="E67" s="56"/>
      <c r="F67" s="8"/>
      <c r="G67" s="8"/>
      <c r="H67" s="8"/>
      <c r="I67" s="8"/>
      <c r="J67" s="8"/>
      <c r="K67" s="8"/>
      <c r="L67" s="35"/>
      <c r="M67" s="37"/>
      <c r="N67" s="37"/>
      <c r="O67" s="37"/>
      <c r="P67" s="37"/>
      <c r="Q67" s="37"/>
      <c r="R67" s="37"/>
    </row>
    <row r="68" spans="2:18" ht="21" customHeight="1">
      <c r="B68" s="2"/>
      <c r="C68" s="8"/>
      <c r="E68" s="56"/>
      <c r="F68" s="8"/>
      <c r="G68" s="8"/>
      <c r="H68" s="8"/>
      <c r="I68" s="8"/>
      <c r="J68" s="8"/>
      <c r="K68" s="8"/>
      <c r="L68" s="35"/>
      <c r="M68" s="37"/>
      <c r="N68" s="37"/>
      <c r="O68" s="37"/>
      <c r="P68" s="37"/>
      <c r="Q68" s="37"/>
      <c r="R68" s="37"/>
    </row>
    <row r="69" spans="2:18" ht="21" customHeight="1">
      <c r="B69" s="2"/>
      <c r="C69" s="8"/>
      <c r="E69" s="56"/>
      <c r="F69" s="8"/>
      <c r="G69" s="8"/>
      <c r="H69" s="8"/>
      <c r="I69" s="8"/>
      <c r="J69" s="8"/>
      <c r="K69" s="8"/>
      <c r="L69" s="35"/>
      <c r="M69" s="37"/>
      <c r="N69" s="37"/>
      <c r="O69" s="37"/>
      <c r="P69" s="37"/>
      <c r="Q69" s="37"/>
      <c r="R69" s="37"/>
    </row>
    <row r="70" spans="2:18" ht="21" customHeight="1">
      <c r="B70" s="2"/>
      <c r="C70" s="8"/>
      <c r="E70" s="56"/>
      <c r="F70" s="8"/>
      <c r="G70" s="8"/>
      <c r="H70" s="8"/>
      <c r="I70" s="8"/>
      <c r="J70" s="8"/>
      <c r="K70" s="8"/>
      <c r="L70" s="35"/>
      <c r="M70" s="37"/>
      <c r="N70" s="37"/>
      <c r="O70" s="37"/>
      <c r="P70" s="37"/>
      <c r="Q70" s="37"/>
      <c r="R70" s="37"/>
    </row>
    <row r="71" spans="2:18" ht="21" customHeight="1">
      <c r="B71" s="2"/>
      <c r="C71" s="8"/>
      <c r="E71" s="56"/>
      <c r="F71" s="8"/>
      <c r="G71" s="8"/>
      <c r="H71" s="8"/>
      <c r="I71" s="8"/>
      <c r="J71" s="8"/>
      <c r="K71" s="8"/>
      <c r="L71" s="35"/>
      <c r="M71" s="37"/>
      <c r="N71" s="37"/>
      <c r="O71" s="37"/>
      <c r="P71" s="37"/>
      <c r="Q71" s="37"/>
      <c r="R71" s="37"/>
    </row>
    <row r="72" spans="2:18" ht="21" customHeight="1">
      <c r="B72" s="2"/>
      <c r="C72" s="8"/>
      <c r="E72" s="56"/>
      <c r="F72" s="8"/>
      <c r="G72" s="8"/>
      <c r="H72" s="8"/>
      <c r="I72" s="8"/>
      <c r="J72" s="8"/>
      <c r="K72" s="8"/>
      <c r="L72" s="35"/>
      <c r="M72" s="37"/>
      <c r="N72" s="37"/>
      <c r="O72" s="37"/>
      <c r="P72" s="37"/>
      <c r="Q72" s="37"/>
      <c r="R72" s="37"/>
    </row>
    <row r="73" spans="2:18" ht="21" customHeight="1">
      <c r="B73" s="2"/>
      <c r="C73" s="8"/>
      <c r="E73" s="56"/>
      <c r="F73" s="8"/>
      <c r="G73" s="8"/>
      <c r="H73" s="8"/>
      <c r="I73" s="8"/>
      <c r="J73" s="8"/>
      <c r="K73" s="8"/>
      <c r="L73" s="35"/>
      <c r="M73" s="37"/>
      <c r="N73" s="37"/>
      <c r="O73" s="37"/>
      <c r="P73" s="37"/>
      <c r="Q73" s="37"/>
      <c r="R73" s="37"/>
    </row>
  </sheetData>
  <autoFilter ref="A1:R5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H29" sqref="H29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8" t="s">
        <v>79</v>
      </c>
      <c r="C1" s="38" t="s">
        <v>82</v>
      </c>
      <c r="D1" s="39" t="s">
        <v>13</v>
      </c>
      <c r="E1" s="39" t="s">
        <v>14</v>
      </c>
      <c r="F1" s="39" t="s">
        <v>15</v>
      </c>
      <c r="G1" s="39" t="s">
        <v>16</v>
      </c>
      <c r="H1" s="39" t="s">
        <v>17</v>
      </c>
    </row>
    <row r="2" spans="1:8">
      <c r="A2" s="6"/>
      <c r="B2" s="63" t="str">
        <f>IFERROR(VLOOKUP(A2,[1]characters!$A:$C,3,FALSE),"")</f>
        <v/>
      </c>
      <c r="C2" s="5"/>
      <c r="D2" s="5"/>
      <c r="E2" s="5"/>
      <c r="F2" s="5"/>
      <c r="G2" s="5"/>
      <c r="H2" s="16"/>
    </row>
    <row r="3" spans="1:8">
      <c r="A3" s="6"/>
      <c r="B3" s="63" t="str">
        <f>IFERROR(VLOOKUP(A3,[1]characters!$A:$C,3,FALSE),"")</f>
        <v/>
      </c>
      <c r="C3" s="5"/>
      <c r="D3" s="5"/>
      <c r="E3" s="5"/>
      <c r="F3" s="5"/>
      <c r="G3" s="5"/>
      <c r="H3" s="16"/>
    </row>
    <row r="4" spans="1:8">
      <c r="A4" s="6"/>
      <c r="B4" s="63" t="str">
        <f>IFERROR(VLOOKUP(A4,[1]characters!$A:$C,3,FALSE),"")</f>
        <v/>
      </c>
      <c r="C4" s="5"/>
      <c r="D4" s="5"/>
      <c r="E4" s="5"/>
      <c r="F4" s="5"/>
      <c r="G4" s="5"/>
      <c r="H4" s="16"/>
    </row>
    <row r="5" spans="1:8">
      <c r="A5" s="6"/>
      <c r="B5" s="63" t="str">
        <f>IFERROR(VLOOKUP(A5,[1]characters!$A:$C,3,FALSE),"")</f>
        <v/>
      </c>
      <c r="C5" s="5"/>
      <c r="D5" s="5"/>
      <c r="E5" s="5"/>
      <c r="F5" s="5"/>
      <c r="G5" s="5"/>
      <c r="H5" s="16"/>
    </row>
    <row r="6" spans="1:8">
      <c r="A6" s="6"/>
      <c r="B6" s="63" t="str">
        <f>IFERROR(VLOOKUP(A6,[1]characters!$A:$C,3,FALSE),"")</f>
        <v/>
      </c>
      <c r="C6" s="5"/>
      <c r="D6" s="5"/>
      <c r="E6" s="5"/>
      <c r="F6" s="5"/>
      <c r="G6" s="5"/>
      <c r="H6" s="16"/>
    </row>
    <row r="7" spans="1:8">
      <c r="A7" s="6"/>
      <c r="B7" s="63" t="str">
        <f>IFERROR(VLOOKUP(A7,[1]characters!$A:$C,3,FALSE),"")</f>
        <v/>
      </c>
      <c r="C7" s="5"/>
      <c r="D7" s="5"/>
      <c r="E7" s="5"/>
      <c r="F7" s="5"/>
      <c r="G7" s="5"/>
      <c r="H7" s="16"/>
    </row>
    <row r="8" spans="1:8">
      <c r="A8" s="6"/>
      <c r="B8" s="63" t="str">
        <f>IFERROR(VLOOKUP(A8,[1]characters!$A:$C,3,FALSE),"")</f>
        <v/>
      </c>
      <c r="C8" s="5"/>
      <c r="D8" s="5"/>
      <c r="E8" s="5"/>
      <c r="F8" s="5"/>
      <c r="G8" s="5"/>
      <c r="H8" s="16"/>
    </row>
    <row r="9" spans="1:8">
      <c r="A9" s="6"/>
      <c r="B9" s="63" t="str">
        <f>IFERROR(VLOOKUP(A9,[1]characters!$A:$C,3,FALSE),"")</f>
        <v/>
      </c>
      <c r="C9" s="5"/>
      <c r="D9" s="5"/>
      <c r="E9" s="5"/>
      <c r="F9" s="5"/>
      <c r="G9" s="5"/>
      <c r="H9" s="16"/>
    </row>
    <row r="10" spans="1:8">
      <c r="A10" s="6"/>
      <c r="B10" s="63" t="str">
        <f>IFERROR(VLOOKUP(A10,[1]characters!$A:$C,3,FALSE),"")</f>
        <v/>
      </c>
      <c r="C10" s="5"/>
      <c r="D10" s="5"/>
      <c r="E10" s="5"/>
      <c r="F10" s="5"/>
      <c r="G10" s="5"/>
      <c r="H10" s="16"/>
    </row>
    <row r="11" spans="1:8">
      <c r="A11" s="6"/>
      <c r="B11" s="63" t="str">
        <f>IFERROR(VLOOKUP(A11,[1]characters!$A:$C,3,FALSE),"")</f>
        <v/>
      </c>
      <c r="C11" s="5"/>
      <c r="D11" s="5"/>
      <c r="E11" s="5"/>
      <c r="F11" s="5"/>
      <c r="G11" s="5"/>
      <c r="H11" s="16"/>
    </row>
    <row r="12" spans="1:8">
      <c r="A12" s="6"/>
      <c r="B12" s="8"/>
      <c r="C12" s="5"/>
      <c r="D12" s="5"/>
      <c r="E12" s="5"/>
      <c r="F12" s="5"/>
      <c r="G12" s="5"/>
      <c r="H12" s="16"/>
    </row>
    <row r="13" spans="1:8">
      <c r="A13" s="16" t="s">
        <v>87</v>
      </c>
      <c r="B13" s="8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6">
        <v>1</v>
      </c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"/>
  <cols>
    <col min="1" max="3" width="12.83203125" customWidth="1"/>
  </cols>
  <sheetData>
    <row r="2" spans="1:8">
      <c r="A2" t="s">
        <v>86</v>
      </c>
    </row>
    <row r="3" spans="1:8">
      <c r="A3" s="40">
        <v>300</v>
      </c>
    </row>
    <row r="5" spans="1:8">
      <c r="A5" s="41" t="s">
        <v>81</v>
      </c>
      <c r="B5" s="42" t="str">
        <f>$A$3 &amp; "1"</f>
        <v>3001</v>
      </c>
      <c r="C5" s="61"/>
      <c r="D5" s="41" t="s">
        <v>84</v>
      </c>
      <c r="E5" s="42" t="str">
        <f>$A$3 &amp; "0"</f>
        <v>3000</v>
      </c>
      <c r="F5" s="61"/>
      <c r="G5" s="41" t="s">
        <v>85</v>
      </c>
      <c r="H5" s="42" t="str">
        <f>$A$3 &amp; "3"</f>
        <v>3003</v>
      </c>
    </row>
    <row r="6" spans="1:8">
      <c r="A6" s="43" t="s">
        <v>83</v>
      </c>
      <c r="B6" s="44"/>
      <c r="C6" s="61"/>
      <c r="D6" s="43" t="s">
        <v>83</v>
      </c>
      <c r="E6" s="44"/>
      <c r="F6" s="61"/>
      <c r="G6" s="43" t="s">
        <v>83</v>
      </c>
      <c r="H6" s="44"/>
    </row>
    <row r="7" spans="1:8">
      <c r="A7" s="46">
        <f>COUNTIFS(gacha_select_tables!$H:$H,"PremiumSSS",gacha_select_tables!$B:$B,B5)</f>
        <v>0</v>
      </c>
      <c r="B7" s="44"/>
      <c r="C7" s="61"/>
      <c r="D7" s="46">
        <f>COUNTIFS(gacha_select_tables!$H:$H,"PremiumSSS",gacha_select_tables!$B:$B,E5)</f>
        <v>0</v>
      </c>
      <c r="E7" s="44"/>
      <c r="F7" s="61"/>
      <c r="G7" s="46">
        <f>COUNTIF(gacha_settle_tables!G:G,"PremiumSSS")</f>
        <v>0</v>
      </c>
      <c r="H7" s="44"/>
    </row>
    <row r="8" spans="1:8">
      <c r="A8" s="43"/>
      <c r="B8" s="44"/>
      <c r="C8" s="61"/>
      <c r="D8" s="43"/>
      <c r="E8" s="44"/>
      <c r="F8" s="61"/>
      <c r="G8" s="43"/>
      <c r="H8" s="44"/>
    </row>
    <row r="9" spans="1:8">
      <c r="A9" s="43" t="s">
        <v>80</v>
      </c>
      <c r="B9" s="44"/>
      <c r="C9" s="61"/>
      <c r="D9" s="43" t="s">
        <v>80</v>
      </c>
      <c r="E9" s="44"/>
      <c r="F9" s="61"/>
      <c r="G9" s="43" t="s">
        <v>80</v>
      </c>
      <c r="H9" s="44"/>
    </row>
    <row r="10" spans="1:8">
      <c r="A10" s="46">
        <f>COUNTIFS(gacha_select_tables!$T:$T,"&gt;1",gacha_select_tables!$B:$B,B5)</f>
        <v>0</v>
      </c>
      <c r="B10" s="44"/>
      <c r="C10" s="61"/>
      <c r="D10" s="46">
        <f>COUNTIFS(gacha_select_tables!$T:$T,"&gt;1", gacha_select_tables!$B:$B,E5)</f>
        <v>0</v>
      </c>
      <c r="E10" s="44"/>
      <c r="F10" s="61"/>
      <c r="G10" s="46">
        <f>COUNTIF(gacha_settle_tables!$R:$R,"&gt;1")</f>
        <v>0</v>
      </c>
      <c r="H10" s="44"/>
    </row>
    <row r="11" spans="1:8">
      <c r="A11" s="43"/>
      <c r="B11" s="44"/>
      <c r="C11" s="61"/>
      <c r="D11" s="43"/>
      <c r="E11" s="44"/>
      <c r="F11" s="61"/>
      <c r="G11" s="43"/>
      <c r="H11" s="44"/>
    </row>
    <row r="12" spans="1:8">
      <c r="A12" s="43" t="s">
        <v>90</v>
      </c>
      <c r="B12" s="44"/>
      <c r="C12" s="61"/>
      <c r="D12" s="43" t="s">
        <v>90</v>
      </c>
      <c r="E12" s="44"/>
      <c r="F12" s="61"/>
      <c r="G12" s="43" t="s">
        <v>90</v>
      </c>
      <c r="H12" s="44"/>
    </row>
    <row r="13" spans="1:8">
      <c r="A13" s="46">
        <f>COUNTIFS(gacha_select_tables!$O:$O,"&gt;1",gacha_select_tables!$B:$B,B5)</f>
        <v>0</v>
      </c>
      <c r="B13" s="44"/>
      <c r="C13" s="61"/>
      <c r="D13" s="46">
        <f>COUNTIFS(gacha_select_tables!$O:$O,"&gt;1", gacha_select_tables!$B:$B,E5)</f>
        <v>0</v>
      </c>
      <c r="E13" s="44"/>
      <c r="F13" s="61"/>
      <c r="G13" s="46">
        <f>COUNTIF(gacha_settle_tables!$M:$M,"&gt;1")</f>
        <v>0</v>
      </c>
      <c r="H13" s="44"/>
    </row>
    <row r="14" spans="1:8">
      <c r="A14" s="43"/>
      <c r="B14" s="44"/>
      <c r="C14" s="61"/>
      <c r="D14" s="43"/>
      <c r="E14" s="44"/>
      <c r="F14" s="61"/>
      <c r="G14" s="43"/>
      <c r="H14" s="44"/>
    </row>
    <row r="15" spans="1:8">
      <c r="A15" s="43" t="s">
        <v>88</v>
      </c>
      <c r="B15" s="44"/>
      <c r="C15" s="61"/>
      <c r="D15" s="43" t="s">
        <v>89</v>
      </c>
      <c r="E15" s="44"/>
      <c r="F15" s="61"/>
      <c r="G15" s="43" t="s">
        <v>89</v>
      </c>
      <c r="H15" s="44"/>
    </row>
    <row r="16" spans="1:8">
      <c r="A16" s="47">
        <f>COUNTIF(gacha_select_tables!$B:$B,B5)</f>
        <v>244</v>
      </c>
      <c r="B16" s="45"/>
      <c r="C16" s="61"/>
      <c r="D16" s="47">
        <f>COUNTIF(gacha_select_tables!$B:$B,E5)</f>
        <v>172</v>
      </c>
      <c r="E16" s="45"/>
      <c r="F16" s="61"/>
      <c r="G16" s="47">
        <f>COUNTIF(gacha_settle_tables!B:B,H5)</f>
        <v>0</v>
      </c>
      <c r="H16" s="4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gacha_300_base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2016-03-03T04:01:29Z</dcterms:modified>
</cp:coreProperties>
</file>