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2460" yWindow="460" windowWidth="35080" windowHeight="1802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0" i="9" l="1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J38" i="11"/>
  <c r="O52" i="9"/>
  <c r="N52" i="9"/>
  <c r="M52" i="9"/>
  <c r="L52" i="9"/>
  <c r="K52" i="9"/>
  <c r="J52" i="9"/>
  <c r="I52" i="9"/>
  <c r="H52" i="9"/>
  <c r="G52" i="9"/>
  <c r="E52" i="9"/>
  <c r="D52" i="9"/>
  <c r="A52" i="9"/>
  <c r="J46" i="11"/>
  <c r="J45" i="11"/>
  <c r="J44" i="11"/>
  <c r="J43" i="11"/>
  <c r="J42" i="11"/>
  <c r="J41" i="11"/>
  <c r="J40" i="11"/>
  <c r="J39" i="11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C2" i="18"/>
  <c r="D2" i="18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J34" i="11"/>
  <c r="O51" i="9"/>
  <c r="N51" i="9"/>
  <c r="M51" i="9"/>
  <c r="L51" i="9"/>
  <c r="K51" i="9"/>
  <c r="J51" i="9"/>
  <c r="I51" i="9"/>
  <c r="H51" i="9"/>
  <c r="G51" i="9"/>
  <c r="E51" i="9"/>
  <c r="D51" i="9"/>
  <c r="A51" i="9"/>
  <c r="J33" i="11"/>
  <c r="O50" i="9"/>
  <c r="N50" i="9"/>
  <c r="M50" i="9"/>
  <c r="L50" i="9"/>
  <c r="K50" i="9"/>
  <c r="J50" i="9"/>
  <c r="I50" i="9"/>
  <c r="H50" i="9"/>
  <c r="G50" i="9"/>
  <c r="E50" i="9"/>
  <c r="D50" i="9"/>
  <c r="A50" i="9"/>
  <c r="J32" i="11"/>
  <c r="O49" i="9"/>
  <c r="N49" i="9"/>
  <c r="M49" i="9"/>
  <c r="L49" i="9"/>
  <c r="K49" i="9"/>
  <c r="J49" i="9"/>
  <c r="I49" i="9"/>
  <c r="H49" i="9"/>
  <c r="G49" i="9"/>
  <c r="E49" i="9"/>
  <c r="D49" i="9"/>
  <c r="A49" i="9"/>
  <c r="J31" i="11"/>
  <c r="O48" i="9"/>
  <c r="N48" i="9"/>
  <c r="M48" i="9"/>
  <c r="L48" i="9"/>
  <c r="K48" i="9"/>
  <c r="J48" i="9"/>
  <c r="I48" i="9"/>
  <c r="H48" i="9"/>
  <c r="G48" i="9"/>
  <c r="E48" i="9"/>
  <c r="D48" i="9"/>
  <c r="A48" i="9"/>
  <c r="J30" i="11"/>
  <c r="O47" i="9"/>
  <c r="N47" i="9"/>
  <c r="M47" i="9"/>
  <c r="L47" i="9"/>
  <c r="K47" i="9"/>
  <c r="J47" i="9"/>
  <c r="I47" i="9"/>
  <c r="H47" i="9"/>
  <c r="G47" i="9"/>
  <c r="E47" i="9"/>
  <c r="D47" i="9"/>
  <c r="A47" i="9"/>
  <c r="J29" i="11"/>
  <c r="O46" i="9"/>
  <c r="N46" i="9"/>
  <c r="M46" i="9"/>
  <c r="L46" i="9"/>
  <c r="K46" i="9"/>
  <c r="J46" i="9"/>
  <c r="I46" i="9"/>
  <c r="H46" i="9"/>
  <c r="G46" i="9"/>
  <c r="E46" i="9"/>
  <c r="D46" i="9"/>
  <c r="A46" i="9"/>
  <c r="J28" i="11"/>
  <c r="O45" i="9"/>
  <c r="N45" i="9"/>
  <c r="M45" i="9"/>
  <c r="L45" i="9"/>
  <c r="K45" i="9"/>
  <c r="J45" i="9"/>
  <c r="I45" i="9"/>
  <c r="H45" i="9"/>
  <c r="G45" i="9"/>
  <c r="E45" i="9"/>
  <c r="D45" i="9"/>
  <c r="A45" i="9"/>
  <c r="J27" i="11"/>
  <c r="O44" i="9"/>
  <c r="N44" i="9"/>
  <c r="M44" i="9"/>
  <c r="L44" i="9"/>
  <c r="K44" i="9"/>
  <c r="J44" i="9"/>
  <c r="I44" i="9"/>
  <c r="H44" i="9"/>
  <c r="G44" i="9"/>
  <c r="E44" i="9"/>
  <c r="D44" i="9"/>
  <c r="A44" i="9"/>
  <c r="J26" i="11"/>
  <c r="O43" i="9"/>
  <c r="N43" i="9"/>
  <c r="M43" i="9"/>
  <c r="L43" i="9"/>
  <c r="K43" i="9"/>
  <c r="J43" i="9"/>
  <c r="I43" i="9"/>
  <c r="H43" i="9"/>
  <c r="G43" i="9"/>
  <c r="E43" i="9"/>
  <c r="D43" i="9"/>
  <c r="A43" i="9"/>
  <c r="J25" i="11"/>
  <c r="O42" i="9"/>
  <c r="N42" i="9"/>
  <c r="M42" i="9"/>
  <c r="L42" i="9"/>
  <c r="K42" i="9"/>
  <c r="J42" i="9"/>
  <c r="I42" i="9"/>
  <c r="H42" i="9"/>
  <c r="G42" i="9"/>
  <c r="E42" i="9"/>
  <c r="D42" i="9"/>
  <c r="A42" i="9"/>
  <c r="J7" i="11"/>
  <c r="O41" i="9"/>
  <c r="N41" i="9"/>
  <c r="M41" i="9"/>
  <c r="L41" i="9"/>
  <c r="K41" i="9"/>
  <c r="J41" i="9"/>
  <c r="I41" i="9"/>
  <c r="H41" i="9"/>
  <c r="G41" i="9"/>
  <c r="E41" i="9"/>
  <c r="D41" i="9"/>
  <c r="A41" i="9"/>
  <c r="J6" i="11"/>
  <c r="O40" i="9"/>
  <c r="N40" i="9"/>
  <c r="M40" i="9"/>
  <c r="L40" i="9"/>
  <c r="K40" i="9"/>
  <c r="J40" i="9"/>
  <c r="I40" i="9"/>
  <c r="H40" i="9"/>
  <c r="G40" i="9"/>
  <c r="E40" i="9"/>
  <c r="D40" i="9"/>
  <c r="A40" i="9"/>
  <c r="J5" i="11"/>
  <c r="O39" i="9"/>
  <c r="N39" i="9"/>
  <c r="M39" i="9"/>
  <c r="L39" i="9"/>
  <c r="K39" i="9"/>
  <c r="J39" i="9"/>
  <c r="I39" i="9"/>
  <c r="H39" i="9"/>
  <c r="G39" i="9"/>
  <c r="E39" i="9"/>
  <c r="D39" i="9"/>
  <c r="A39" i="9"/>
  <c r="J4" i="11"/>
  <c r="O38" i="9"/>
  <c r="N38" i="9"/>
  <c r="M38" i="9"/>
  <c r="L38" i="9"/>
  <c r="K38" i="9"/>
  <c r="J38" i="9"/>
  <c r="I38" i="9"/>
  <c r="H38" i="9"/>
  <c r="G38" i="9"/>
  <c r="E38" i="9"/>
  <c r="D38" i="9"/>
  <c r="A38" i="9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G3" i="9"/>
  <c r="H3" i="9"/>
  <c r="I3" i="9"/>
  <c r="J3" i="9"/>
  <c r="K3" i="9"/>
  <c r="L3" i="9"/>
  <c r="M3" i="9"/>
  <c r="N3" i="9"/>
  <c r="J37" i="11"/>
  <c r="O3" i="9"/>
  <c r="E3" i="9"/>
  <c r="D3" i="9"/>
  <c r="A3" i="9"/>
  <c r="I13" i="2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J36" i="11"/>
  <c r="O4" i="9"/>
  <c r="N4" i="9"/>
  <c r="M4" i="9"/>
  <c r="L4" i="9"/>
  <c r="K4" i="9"/>
  <c r="J4" i="9"/>
  <c r="I4" i="9"/>
  <c r="H4" i="9"/>
  <c r="G4" i="9"/>
  <c r="E4" i="9"/>
  <c r="D4" i="9"/>
  <c r="A4" i="9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C3" i="21"/>
  <c r="D3" i="21"/>
  <c r="F3" i="21"/>
  <c r="G3" i="21"/>
  <c r="I3" i="21"/>
  <c r="J3" i="21"/>
  <c r="C4" i="21"/>
  <c r="D4" i="21"/>
  <c r="F4" i="21"/>
  <c r="G4" i="21"/>
  <c r="I4" i="21"/>
  <c r="J4" i="21"/>
  <c r="C5" i="21"/>
  <c r="D5" i="21"/>
  <c r="F5" i="21"/>
  <c r="G5" i="21"/>
  <c r="I5" i="21"/>
  <c r="J5" i="21"/>
  <c r="C6" i="21"/>
  <c r="D6" i="21"/>
  <c r="F6" i="21"/>
  <c r="G6" i="21"/>
  <c r="I6" i="21"/>
  <c r="J6" i="21"/>
  <c r="C7" i="21"/>
  <c r="D7" i="21"/>
  <c r="F7" i="21"/>
  <c r="G7" i="21"/>
  <c r="I7" i="21"/>
  <c r="J7" i="21"/>
  <c r="Y9" i="7"/>
  <c r="W9" i="7"/>
  <c r="U9" i="7"/>
  <c r="R9" i="7"/>
  <c r="Q9" i="7"/>
  <c r="P9" i="7"/>
  <c r="O9" i="7"/>
  <c r="N9" i="7"/>
  <c r="H9" i="7"/>
  <c r="G2" i="2"/>
  <c r="A2" i="2"/>
  <c r="G3" i="2"/>
  <c r="A3" i="2"/>
  <c r="G4" i="2"/>
  <c r="A4" i="2"/>
  <c r="G5" i="2"/>
  <c r="A5" i="2"/>
  <c r="G6" i="2"/>
  <c r="A6" i="2"/>
  <c r="G7" i="2"/>
  <c r="A7" i="2"/>
  <c r="J9" i="7"/>
  <c r="I9" i="7"/>
  <c r="D9" i="7"/>
  <c r="F9" i="7"/>
  <c r="E9" i="7"/>
  <c r="A9" i="7"/>
  <c r="Y8" i="7"/>
  <c r="W8" i="7"/>
  <c r="U8" i="7"/>
  <c r="R8" i="7"/>
  <c r="Q8" i="7"/>
  <c r="P8" i="7"/>
  <c r="O8" i="7"/>
  <c r="N8" i="7"/>
  <c r="H8" i="7"/>
  <c r="J8" i="7"/>
  <c r="I8" i="7"/>
  <c r="D8" i="7"/>
  <c r="F8" i="7"/>
  <c r="E8" i="7"/>
  <c r="A8" i="7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E2" i="9"/>
  <c r="X2" i="1"/>
  <c r="X7" i="1"/>
  <c r="H3" i="1"/>
  <c r="I3" i="1"/>
  <c r="J3" i="1"/>
  <c r="H4" i="1"/>
  <c r="I4" i="1"/>
  <c r="J4" i="1"/>
  <c r="H5" i="1"/>
  <c r="I5" i="1"/>
  <c r="J5" i="1"/>
  <c r="H6" i="1"/>
  <c r="I6" i="1"/>
  <c r="J6" i="1"/>
  <c r="H7" i="1"/>
  <c r="I7" i="1"/>
  <c r="J7" i="1"/>
  <c r="H8" i="1"/>
  <c r="I8" i="1"/>
  <c r="J8" i="1"/>
  <c r="H9" i="1"/>
  <c r="I9" i="1"/>
  <c r="J9" i="1"/>
  <c r="H10" i="1"/>
  <c r="I10" i="1"/>
  <c r="J10" i="1"/>
  <c r="H11" i="1"/>
  <c r="I11" i="1"/>
  <c r="J11" i="1"/>
  <c r="AF11" i="1"/>
  <c r="AI11" i="1"/>
  <c r="AG11" i="1"/>
  <c r="AE11" i="1"/>
  <c r="E23" i="9"/>
  <c r="E7" i="9"/>
  <c r="X11" i="1"/>
  <c r="V11" i="1"/>
  <c r="T11" i="1"/>
  <c r="Q11" i="1"/>
  <c r="P11" i="1"/>
  <c r="O11" i="1"/>
  <c r="N11" i="1"/>
  <c r="M11" i="1"/>
  <c r="D11" i="1"/>
  <c r="F11" i="1"/>
  <c r="E11" i="1"/>
  <c r="A11" i="1"/>
  <c r="AF10" i="1"/>
  <c r="AI10" i="1"/>
  <c r="AG10" i="1"/>
  <c r="AE10" i="1"/>
  <c r="E14" i="9"/>
  <c r="X10" i="1"/>
  <c r="V10" i="1"/>
  <c r="T10" i="1"/>
  <c r="Q10" i="1"/>
  <c r="P10" i="1"/>
  <c r="O10" i="1"/>
  <c r="N10" i="1"/>
  <c r="M10" i="1"/>
  <c r="D10" i="1"/>
  <c r="F10" i="1"/>
  <c r="E10" i="1"/>
  <c r="A10" i="1"/>
  <c r="AF9" i="1"/>
  <c r="AI9" i="1"/>
  <c r="AG9" i="1"/>
  <c r="AE9" i="1"/>
  <c r="X9" i="1"/>
  <c r="V9" i="1"/>
  <c r="T9" i="1"/>
  <c r="Q9" i="1"/>
  <c r="P9" i="1"/>
  <c r="O9" i="1"/>
  <c r="N9" i="1"/>
  <c r="M9" i="1"/>
  <c r="D9" i="1"/>
  <c r="F9" i="1"/>
  <c r="E9" i="1"/>
  <c r="A9" i="1"/>
  <c r="AF8" i="1"/>
  <c r="AI8" i="1"/>
  <c r="AG8" i="1"/>
  <c r="AE8" i="1"/>
  <c r="E5" i="9"/>
  <c r="X8" i="1"/>
  <c r="V8" i="1"/>
  <c r="T8" i="1"/>
  <c r="Q8" i="1"/>
  <c r="P8" i="1"/>
  <c r="O8" i="1"/>
  <c r="N8" i="1"/>
  <c r="M8" i="1"/>
  <c r="D8" i="1"/>
  <c r="F8" i="1"/>
  <c r="E8" i="1"/>
  <c r="A8" i="1"/>
  <c r="AF7" i="1"/>
  <c r="AI7" i="1"/>
  <c r="AG7" i="1"/>
  <c r="AE7" i="1"/>
  <c r="V7" i="1"/>
  <c r="T7" i="1"/>
  <c r="Q7" i="1"/>
  <c r="P7" i="1"/>
  <c r="O7" i="1"/>
  <c r="N7" i="1"/>
  <c r="M7" i="1"/>
  <c r="D7" i="1"/>
  <c r="F7" i="1"/>
  <c r="E7" i="1"/>
  <c r="A7" i="1"/>
  <c r="H7" i="2"/>
  <c r="E7" i="2"/>
  <c r="D7" i="2"/>
  <c r="H2" i="1"/>
  <c r="B7" i="2"/>
  <c r="H6" i="2"/>
  <c r="E6" i="2"/>
  <c r="D6" i="2"/>
  <c r="B6" i="2"/>
  <c r="H5" i="2"/>
  <c r="E5" i="2"/>
  <c r="D5" i="2"/>
  <c r="B5" i="2"/>
  <c r="J3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35" i="11"/>
  <c r="G3" i="10"/>
  <c r="H3" i="10"/>
  <c r="I3" i="10"/>
  <c r="J3" i="10"/>
  <c r="K3" i="10"/>
  <c r="L3" i="10"/>
  <c r="M3" i="10"/>
  <c r="M13" i="10"/>
  <c r="M23" i="10"/>
  <c r="M33" i="10"/>
  <c r="N33" i="10"/>
  <c r="Q33" i="10"/>
  <c r="P33" i="10"/>
  <c r="R33" i="10"/>
  <c r="O33" i="10"/>
  <c r="S33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M24" i="10"/>
  <c r="M34" i="10"/>
  <c r="N34" i="10"/>
  <c r="Q34" i="10"/>
  <c r="P34" i="10"/>
  <c r="R34" i="10"/>
  <c r="O34" i="10"/>
  <c r="S3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M25" i="10"/>
  <c r="M35" i="10"/>
  <c r="N35" i="10"/>
  <c r="Q35" i="10"/>
  <c r="P35" i="10"/>
  <c r="R35" i="10"/>
  <c r="O35" i="10"/>
  <c r="S3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M2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M2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M2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M29" i="10"/>
  <c r="N29" i="10"/>
  <c r="Q29" i="10"/>
  <c r="P29" i="10"/>
  <c r="R29" i="10"/>
  <c r="O29" i="10"/>
  <c r="S2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M30" i="10"/>
  <c r="N30" i="10"/>
  <c r="Q30" i="10"/>
  <c r="P30" i="10"/>
  <c r="R30" i="10"/>
  <c r="O30" i="10"/>
  <c r="S3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1" i="10"/>
  <c r="M31" i="10"/>
  <c r="N31" i="10"/>
  <c r="Q31" i="10"/>
  <c r="P31" i="10"/>
  <c r="R31" i="10"/>
  <c r="O31" i="10"/>
  <c r="S31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2" i="10"/>
  <c r="M32" i="10"/>
  <c r="N32" i="10"/>
  <c r="Q32" i="10"/>
  <c r="P32" i="10"/>
  <c r="R32" i="10"/>
  <c r="O32" i="10"/>
  <c r="S32" i="10"/>
  <c r="N22" i="10"/>
  <c r="Q22" i="10"/>
  <c r="P22" i="10"/>
  <c r="R22" i="10"/>
  <c r="O22" i="10"/>
  <c r="S2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A5" i="9"/>
  <c r="D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6" i="9"/>
  <c r="D26" i="9"/>
  <c r="E26" i="9"/>
  <c r="G26" i="9"/>
  <c r="H26" i="9"/>
  <c r="I26" i="9"/>
  <c r="J26" i="9"/>
  <c r="K26" i="9"/>
  <c r="L26" i="9"/>
  <c r="M26" i="9"/>
  <c r="N26" i="9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A28" i="9"/>
  <c r="D28" i="9"/>
  <c r="E28" i="9"/>
  <c r="G28" i="9"/>
  <c r="H28" i="9"/>
  <c r="I28" i="9"/>
  <c r="J28" i="9"/>
  <c r="K28" i="9"/>
  <c r="L28" i="9"/>
  <c r="M28" i="9"/>
  <c r="N28" i="9"/>
  <c r="O28" i="9"/>
  <c r="A29" i="9"/>
  <c r="D29" i="9"/>
  <c r="E29" i="9"/>
  <c r="G29" i="9"/>
  <c r="H29" i="9"/>
  <c r="I29" i="9"/>
  <c r="J29" i="9"/>
  <c r="K29" i="9"/>
  <c r="L29" i="9"/>
  <c r="M29" i="9"/>
  <c r="N29" i="9"/>
  <c r="O29" i="9"/>
  <c r="A30" i="9"/>
  <c r="D30" i="9"/>
  <c r="E30" i="9"/>
  <c r="G30" i="9"/>
  <c r="H30" i="9"/>
  <c r="I30" i="9"/>
  <c r="J30" i="9"/>
  <c r="K30" i="9"/>
  <c r="L30" i="9"/>
  <c r="M30" i="9"/>
  <c r="N30" i="9"/>
  <c r="O30" i="9"/>
  <c r="A31" i="9"/>
  <c r="D31" i="9"/>
  <c r="E31" i="9"/>
  <c r="G31" i="9"/>
  <c r="H31" i="9"/>
  <c r="I31" i="9"/>
  <c r="J31" i="9"/>
  <c r="K31" i="9"/>
  <c r="L31" i="9"/>
  <c r="M31" i="9"/>
  <c r="N31" i="9"/>
  <c r="O31" i="9"/>
  <c r="A32" i="9"/>
  <c r="D32" i="9"/>
  <c r="E32" i="9"/>
  <c r="G32" i="9"/>
  <c r="H32" i="9"/>
  <c r="I32" i="9"/>
  <c r="J32" i="9"/>
  <c r="K32" i="9"/>
  <c r="L32" i="9"/>
  <c r="M32" i="9"/>
  <c r="N32" i="9"/>
  <c r="O32" i="9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35" i="9"/>
  <c r="D35" i="9"/>
  <c r="E35" i="9"/>
  <c r="G35" i="9"/>
  <c r="H35" i="9"/>
  <c r="I35" i="9"/>
  <c r="J35" i="9"/>
  <c r="K35" i="9"/>
  <c r="L35" i="9"/>
  <c r="M35" i="9"/>
  <c r="N35" i="9"/>
  <c r="O35" i="9"/>
  <c r="A36" i="9"/>
  <c r="D36" i="9"/>
  <c r="E36" i="9"/>
  <c r="G36" i="9"/>
  <c r="H36" i="9"/>
  <c r="I36" i="9"/>
  <c r="J36" i="9"/>
  <c r="K36" i="9"/>
  <c r="L36" i="9"/>
  <c r="M36" i="9"/>
  <c r="N36" i="9"/>
  <c r="O36" i="9"/>
  <c r="A37" i="9"/>
  <c r="D37" i="9"/>
  <c r="E37" i="9"/>
  <c r="G37" i="9"/>
  <c r="H37" i="9"/>
  <c r="I37" i="9"/>
  <c r="J37" i="9"/>
  <c r="K37" i="9"/>
  <c r="L37" i="9"/>
  <c r="M37" i="9"/>
  <c r="N37" i="9"/>
  <c r="O37" i="9"/>
  <c r="A5" i="7"/>
  <c r="D5" i="7"/>
  <c r="E5" i="7"/>
  <c r="F5" i="7"/>
  <c r="H5" i="7"/>
  <c r="I5" i="7"/>
  <c r="J5" i="7"/>
  <c r="N5" i="7"/>
  <c r="O5" i="7"/>
  <c r="P5" i="7"/>
  <c r="Q5" i="7"/>
  <c r="R5" i="7"/>
  <c r="U5" i="7"/>
  <c r="W5" i="7"/>
  <c r="Y5" i="7"/>
  <c r="A3" i="7"/>
  <c r="D3" i="7"/>
  <c r="E3" i="7"/>
  <c r="F3" i="7"/>
  <c r="H3" i="7"/>
  <c r="I3" i="7"/>
  <c r="J3" i="7"/>
  <c r="N3" i="7"/>
  <c r="O3" i="7"/>
  <c r="P3" i="7"/>
  <c r="Q3" i="7"/>
  <c r="R3" i="7"/>
  <c r="U3" i="7"/>
  <c r="W3" i="7"/>
  <c r="Y3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Y4" i="7"/>
  <c r="A4" i="1"/>
  <c r="D4" i="1"/>
  <c r="E4" i="1"/>
  <c r="F4" i="1"/>
  <c r="M4" i="1"/>
  <c r="N4" i="1"/>
  <c r="O4" i="1"/>
  <c r="P4" i="1"/>
  <c r="Q4" i="1"/>
  <c r="T4" i="1"/>
  <c r="V4" i="1"/>
  <c r="X4" i="1"/>
  <c r="AE4" i="1"/>
  <c r="AF4" i="1"/>
  <c r="AG4" i="1"/>
  <c r="AI4" i="1"/>
  <c r="A5" i="1"/>
  <c r="D5" i="1"/>
  <c r="E5" i="1"/>
  <c r="F5" i="1"/>
  <c r="M5" i="1"/>
  <c r="N5" i="1"/>
  <c r="O5" i="1"/>
  <c r="P5" i="1"/>
  <c r="Q5" i="1"/>
  <c r="T5" i="1"/>
  <c r="V5" i="1"/>
  <c r="X5" i="1"/>
  <c r="AE5" i="1"/>
  <c r="AF5" i="1"/>
  <c r="AG5" i="1"/>
  <c r="AI5" i="1"/>
  <c r="A6" i="1"/>
  <c r="D6" i="1"/>
  <c r="E6" i="1"/>
  <c r="F6" i="1"/>
  <c r="M6" i="1"/>
  <c r="N6" i="1"/>
  <c r="O6" i="1"/>
  <c r="P6" i="1"/>
  <c r="Q6" i="1"/>
  <c r="T6" i="1"/>
  <c r="V6" i="1"/>
  <c r="X6" i="1"/>
  <c r="AE6" i="1"/>
  <c r="AF6" i="1"/>
  <c r="AG6" i="1"/>
  <c r="AI6" i="1"/>
  <c r="B3" i="2"/>
  <c r="D3" i="2"/>
  <c r="E3" i="2"/>
  <c r="H3" i="2"/>
  <c r="B4" i="2"/>
  <c r="D4" i="2"/>
  <c r="E4" i="2"/>
  <c r="H4" i="2"/>
  <c r="W2" i="7"/>
  <c r="U2" i="7"/>
  <c r="V3" i="1"/>
  <c r="V2" i="1"/>
  <c r="T3" i="1"/>
  <c r="T2" i="1"/>
  <c r="N2" i="22"/>
  <c r="G2" i="22"/>
  <c r="F2" i="22"/>
  <c r="D2" i="22"/>
  <c r="C2" i="22"/>
  <c r="A2" i="22"/>
  <c r="E13" i="16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B15" i="19"/>
  <c r="C15" i="19"/>
  <c r="D15" i="19"/>
  <c r="F15" i="19"/>
  <c r="G15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Y2" i="7"/>
  <c r="R2" i="7"/>
  <c r="Q2" i="7"/>
  <c r="P2" i="7"/>
  <c r="O2" i="7"/>
  <c r="N2" i="7"/>
  <c r="AG3" i="1"/>
  <c r="AF3" i="1"/>
  <c r="AE3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<sst xmlns="http://schemas.openxmlformats.org/spreadsheetml/2006/main" count="931" uniqueCount="378">
  <si>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</si>
  <si>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</si>
  <si>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</si>
  <si>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</si>
  <si>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</si>
  <si>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</si>
  <si>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</si>
  <si>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</si>
  <si>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</si>
  <si>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</si>
  <si>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</si>
  <si>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</si>
  <si>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</si>
  <si>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</si>
  <si>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</si>
  <si>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</si>
  <si>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</si>
  <si>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</si>
  <si>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</si>
  <si>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</si>
  <si>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</si>
  <si>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</si>
  <si>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</si>
  <si>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</si>
  <si>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</si>
  <si>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</si>
  <si>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</si>
  <si>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</si>
  <si>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</si>
  <si>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</si>
  <si>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</si>
  <si>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</si>
  <si>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</si>
  <si>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</si>
  <si>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</si>
  <si>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</si>
  <si>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</si>
  <si>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</si>
  <si>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</si>
  <si>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</si>
  <si>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</si>
  <si>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</si>
  <si>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</si>
  <si>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</si>
  <si>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</si>
  <si>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</si>
  <si>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</si>
  <si>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</si>
  <si>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</si>
  <si>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</si>
  <si>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</si>
  <si>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</si>
  <si>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</si>
  <si>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</si>
  <si>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</si>
  <si>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</si>
  <si>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</si>
  <si>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</si>
  <si>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</si>
  <si>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</si>
  <si>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</si>
  <si>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</si>
  <si>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</si>
  <si>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</si>
  <si>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</si>
  <si>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</si>
  <si>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</si>
  <si>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</si>
  <si>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</si>
  <si>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</si>
  <si>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</si>
  <si>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</si>
  <si>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</si>
  <si>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</si>
  <si>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</si>
  <si>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</si>
  <si>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</si>
  <si>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</si>
  <si>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</si>
  <si>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</si>
  <si>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</si>
  <si>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</si>
  <si>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</si>
  <si>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</si>
  <si>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</si>
  <si>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</si>
  <si>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</si>
  <si>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</si>
  <si>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</si>
  <si>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</si>
  <si>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</si>
  <si>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</si>
  <si>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</si>
  <si>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</si>
  <si>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</si>
  <si>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</si>
  <si>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</si>
  <si>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</si>
  <si>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</si>
  <si>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</si>
  <si>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</si>
  <si>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</si>
  <si>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</si>
  <si>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</si>
  <si>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</si>
  <si>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</si>
  <si>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</si>
  <si>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</si>
  <si>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</si>
  <si>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</si>
  <si>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</si>
  <si>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</si>
  <si>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</si>
  <si>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</si>
  <si>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</si>
  <si>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</si>
  <si>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</si>
  <si>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</si>
  <si>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</si>
  <si>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</si>
  <si>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</si>
  <si>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</si>
  <si>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</si>
  <si>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</si>
  <si>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</si>
  <si>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</si>
  <si>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</si>
  <si>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</si>
  <si>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</si>
  <si>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</si>
  <si>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</si>
  <si>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</si>
  <si>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</si>
  <si>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</si>
  <si>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</si>
  <si>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</si>
  <si>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</si>
  <si>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</si>
  <si>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</si>
  <si>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</si>
  <si>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</si>
  <si>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</si>
  <si>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</si>
  <si>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</si>
  <si>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</si>
  <si>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</si>
  <si>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</si>
  <si>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</si>
  <si>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</si>
  <si>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</si>
  <si>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</si>
  <si>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</si>
  <si>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</si>
  <si>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</si>
  <si>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</si>
  <si>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</si>
  <si>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</si>
  <si>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</si>
  <si>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</si>
  <si>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</si>
  <si>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</si>
  <si>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</si>
  <si>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</si>
  <si>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</si>
  <si>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</si>
  <si>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</si>
  <si>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</si>
  <si>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</si>
  <si>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</si>
  <si>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</si>
  <si>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</si>
  <si>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</si>
  <si>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</si>
  <si>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</si>
  <si>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</si>
  <si>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</si>
  <si>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</si>
  <si>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</si>
  <si>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</si>
  <si>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</si>
  <si>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</si>
  <si>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</si>
  <si>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</si>
  <si>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</si>
  <si>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</si>
  <si>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</si>
  <si>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</si>
  <si>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</si>
  <si>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</si>
  <si>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</si>
  <si>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</si>
  <si>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</si>
  <si>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</si>
  <si>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</si>
  <si>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</si>
  <si>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</si>
  <si>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</si>
  <si>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</si>
  <si>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</si>
  <si>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</si>
  <si>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</si>
  <si>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</si>
  <si>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</si>
  <si>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</si>
  <si>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</si>
  <si>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</si>
  <si>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</si>
  <si>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</si>
  <si>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</si>
  <si>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</si>
  <si>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</si>
  <si>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</si>
  <si>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</si>
  <si>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</si>
  <si>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</si>
  <si>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</si>
  <si>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</si>
  <si>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</si>
  <si>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</si>
  <si>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</si>
  <si>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</si>
  <si>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</si>
  <si>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</si>
  <si>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</si>
  <si>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</si>
  <si>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</si>
  <si>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</si>
  <si>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</si>
  <si>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</si>
  <si>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</si>
  <si>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</si>
  <si>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</si>
  <si>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</si>
  <si>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</si>
  <si>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</si>
  <si>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</si>
  <si>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</si>
  <si>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</si>
  <si>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</si>
  <si>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</si>
  <si>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</si>
  <si>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</si>
  <si>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</si>
  <si>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</si>
  <si>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</si>
  <si>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</si>
  <si>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</si>
  <si>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</si>
  <si>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</si>
  <si>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</si>
  <si>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</si>
  <si>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</si>
  <si>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</si>
  <si>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</si>
  <si>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</si>
  <si>
    <t>[effect:damage_anti_color, target:unit_all, color:red, val1:0.7, val2:0.2]</t>
    <phoneticPr fontId="5"/>
  </si>
  <si>
    <t>ja</t>
    <phoneticPr fontId="5"/>
  </si>
  <si>
    <t>赤属性なんてッ…///</t>
    <rPh sb="0" eb="3">
      <t>アカゾクセイ</t>
    </rPh>
    <phoneticPr fontId="5"/>
  </si>
  <si>
    <t>[effect:heal, target:enemy_green, val:0.08, animation:enemy_heal],[effect:rush, count:1, val:0.8]</t>
    <phoneticPr fontId="5"/>
  </si>
  <si>
    <t>マイちゃん落ち着いて！</t>
    <rPh sb="5" eb="6">
      <t>オ</t>
    </rPh>
    <rPh sb="7" eb="8">
      <t>ツ</t>
    </rPh>
    <phoneticPr fontId="5"/>
  </si>
  <si>
    <t>マイを回復</t>
    <rPh sb="3" eb="5">
      <t>カイフク</t>
    </rPh>
    <phoneticPr fontId="5"/>
  </si>
  <si>
    <t>[effect:drop_block, block_type:time_bomb, color:block_red, val:8, rate:0.5, turn:5, min_time_count:5, max_time_count:5, animation:time_bomb_influence04]</t>
    <phoneticPr fontId="5"/>
  </si>
  <si>
    <t>ラブ・カウントダウン</t>
    <phoneticPr fontId="5"/>
  </si>
  <si>
    <t>[effect:hungup, target:unit_one, turn:1, rate:1, animation:hungup01],[effect:rush, count:1, val:1]</t>
    <phoneticPr fontId="5"/>
  </si>
  <si>
    <t>束縛する慕情</t>
    <rPh sb="0" eb="2">
      <t>ソクバク</t>
    </rPh>
    <rPh sb="4" eb="6">
      <t>bojyou</t>
    </rPh>
    <phoneticPr fontId="5"/>
  </si>
  <si>
    <t>キケンな衝動</t>
    <rPh sb="4" eb="6">
      <t>ショウドウ</t>
    </rPh>
    <phoneticPr fontId="5"/>
  </si>
  <si>
    <t xml:space="preserve">[effect:break_attack_fix, val:150, lowest_val:2000, count:-1, block:block_blue, target:unit_one]    </t>
    <phoneticPr fontId="5"/>
  </si>
  <si>
    <t>玉手箱ミサイル！</t>
    <rPh sb="0" eb="3">
      <t>タマテバコ</t>
    </rPh>
    <phoneticPr fontId="5"/>
  </si>
  <si>
    <t>[effect:freq_turn, target:myself, turn:-1, val:1, animation:enemy_freq_turn]</t>
    <phoneticPr fontId="5"/>
  </si>
  <si>
    <t>加速する恋情</t>
    <rPh sb="0" eb="2">
      <t>カソク</t>
    </rPh>
    <rPh sb="4" eb="6">
      <t>レンジョウ</t>
    </rPh>
    <phoneticPr fontId="5"/>
  </si>
  <si>
    <t>攻撃頻度UP</t>
    <rPh sb="0" eb="4">
      <t>コウゲキヒンド</t>
    </rPh>
    <phoneticPr fontId="5"/>
  </si>
  <si>
    <t>[effect:change_block, new_block:block_heart, target:block_yellow, count:8, val:0, no_effect_msg:no_effect_msg_change_block, animation:change_block],[effect:rush, count:3, val:0.5]</t>
    <phoneticPr fontId="5"/>
  </si>
  <si>
    <t>溢れる想い</t>
    <rPh sb="0" eb="1">
      <t>アフ</t>
    </rPh>
    <rPh sb="3" eb="5">
      <t>omoi</t>
    </rPh>
    <phoneticPr fontId="5"/>
  </si>
  <si>
    <t>[effect:charge, status:attack, val:1.5]</t>
    <phoneticPr fontId="5"/>
  </si>
  <si>
    <t>シークレット・ボム</t>
    <phoneticPr fontId="5"/>
  </si>
  <si>
    <t>パネルハッキング！</t>
    <phoneticPr fontId="5"/>
  </si>
  <si>
    <t>[effect:freq_turn, target:enemy_all, turn:-1, val:1, animation:enemy_freq_turn]</t>
    <phoneticPr fontId="5"/>
  </si>
  <si>
    <t>ラブ・クロックアップ</t>
    <phoneticPr fontId="5"/>
  </si>
  <si>
    <t>[effect:damage_anti_tribe, target:unit_all, tribe:human, val1:0.4, val2:0.2]</t>
    <phoneticPr fontId="5"/>
  </si>
  <si>
    <t>恋敵キラー</t>
    <rPh sb="0" eb="2">
      <t>コイガタキ</t>
    </rPh>
    <phoneticPr fontId="5"/>
  </si>
  <si>
    <t>[effect:critical, val:1.5]</t>
    <phoneticPr fontId="5"/>
  </si>
  <si>
    <t>クラッキング！</t>
    <phoneticPr fontId="5"/>
  </si>
  <si>
    <t>クリティカル！</t>
    <phoneticPr fontId="5"/>
  </si>
  <si>
    <t xml:space="preserve">[effect:change_panel_ratio, turn:8, block_type:red, val:0.1, animation:block_incidence04]    </t>
    <phoneticPr fontId="5"/>
  </si>
  <si>
    <t>アクセス制限</t>
    <rPh sb="4" eb="6">
      <t>セイゲン</t>
    </rPh>
    <phoneticPr fontId="5"/>
  </si>
  <si>
    <t>[effect:degrade_unit, target:unit_all, turn:3, status:attack, val:0.1, calc:mul],[effect:rush, count:1, val:1]</t>
    <phoneticPr fontId="5"/>
  </si>
  <si>
    <t>ja</t>
    <phoneticPr fontId="5"/>
  </si>
  <si>
    <t>ステータス・クラック V1</t>
    <phoneticPr fontId="5"/>
  </si>
  <si>
    <t>[effect:degrade_unit, target:unit_all, turn:3, status:attack, val:0.2, calc:mul],[effect:rush, count:1, val:1]</t>
    <phoneticPr fontId="5"/>
  </si>
  <si>
    <t>ステータス・クラック V2</t>
    <phoneticPr fontId="5"/>
  </si>
  <si>
    <t>[effect:degrade_unit, target:unit_all, turn:3, status:attack, val:0.3, calc:mul],[effect:rush, count:1, val:1]</t>
    <phoneticPr fontId="5"/>
  </si>
  <si>
    <t>ja</t>
    <phoneticPr fontId="5"/>
  </si>
  <si>
    <t>ステータス・クラック V3</t>
    <phoneticPr fontId="5"/>
  </si>
  <si>
    <t>[effect:dark, target:unit_all, turn:3, animation:enemy_dark],[effect:rush, count:1, val:1]</t>
    <phoneticPr fontId="5"/>
  </si>
  <si>
    <t>モニター・ハック</t>
    <phoneticPr fontId="5"/>
  </si>
  <si>
    <t>素晴らしき愛を君たちに！</t>
    <rPh sb="0" eb="2">
      <t>スバ</t>
    </rPh>
    <rPh sb="5" eb="6">
      <t>アイ</t>
    </rPh>
    <rPh sb="7" eb="8">
      <t>キミ</t>
    </rPh>
    <phoneticPr fontId="5"/>
  </si>
  <si>
    <t>[effect:change_block, new_block:block_heart, target:block_blue, count:8, val:0, no_effect_msg:no_effect_msg_change_block, animation:change_block],[effect:rush, count:2, val:0.7]</t>
    <phoneticPr fontId="5"/>
  </si>
  <si>
    <t>咲き誇れ恋の花！</t>
    <rPh sb="0" eb="1">
      <t>サ</t>
    </rPh>
    <rPh sb="2" eb="3">
      <t>ホコ</t>
    </rPh>
    <rPh sb="4" eb="5">
      <t>コイ</t>
    </rPh>
    <rPh sb="6" eb="7">
      <t>ハナ</t>
    </rPh>
    <phoneticPr fontId="5"/>
  </si>
  <si>
    <t>[effect:damage_anti_tribe, target:unit_all, tribe:human, val1:0.8, val2:0.4]</t>
    <phoneticPr fontId="5"/>
  </si>
  <si>
    <t>ラブ・アロー！</t>
    <phoneticPr fontId="5"/>
  </si>
  <si>
    <t>[effect:dark, target:unit_all, turn:4, animation:enemy_dark],[effect:rush, count:1, val:1]</t>
    <phoneticPr fontId="5"/>
  </si>
  <si>
    <t>恋は盲目…♪</t>
    <rPh sb="0" eb="1">
      <t>コイ</t>
    </rPh>
    <rPh sb="2" eb="4">
      <t>モウモク</t>
    </rPh>
    <phoneticPr fontId="5"/>
  </si>
  <si>
    <t>[effect:spread, val:0.3]</t>
    <phoneticPr fontId="5"/>
  </si>
  <si>
    <t>フラワー・アロー！</t>
    <phoneticPr fontId="5"/>
  </si>
  <si>
    <t>全体攻撃</t>
    <rPh sb="0" eb="4">
      <t>ゼンタイコウゲキ</t>
    </rPh>
    <phoneticPr fontId="5"/>
  </si>
  <si>
    <t>[effect:change_block, new_block:block_heart, target:block_blue, count:-1, val:0, no_effect_msg:no_effect_msg_change_block, animation:change_block]</t>
    <phoneticPr fontId="5"/>
  </si>
  <si>
    <t>世界を愛で満たすんだ！</t>
    <rPh sb="0" eb="2">
      <t>セカイ</t>
    </rPh>
    <rPh sb="3" eb="4">
      <t>アイ</t>
    </rPh>
    <rPh sb="5" eb="6">
      <t>ミ</t>
    </rPh>
    <phoneticPr fontId="5"/>
  </si>
  <si>
    <t>[effect:change_block, new_block:block_heart, target:block_blue, count:8, val:0, no_effect_msg:no_effect_msg_change_block, animation:change_block],[effect:rush, count:3, val:0.6]</t>
    <phoneticPr fontId="5"/>
  </si>
  <si>
    <t>さあ、受け取ってくれ！</t>
    <rPh sb="3" eb="4">
      <t>ウ</t>
    </rPh>
    <rPh sb="5" eb="6">
      <t>ト</t>
    </rPh>
    <phoneticPr fontId="5"/>
  </si>
  <si>
    <t>[effect:freq_turn, target:myself, turn:-1, val:1, animation:enemy_freq_turn],[effect:rush, count:1, val:1]</t>
    <phoneticPr fontId="5"/>
  </si>
  <si>
    <t>そろそろ本気でいくよ！</t>
    <rPh sb="4" eb="6">
      <t>ホンキ</t>
    </rPh>
    <phoneticPr fontId="5"/>
  </si>
  <si>
    <t>ラブ・フレイム！</t>
    <phoneticPr fontId="5"/>
  </si>
  <si>
    <t>[effect:spread, val:0.4]</t>
    <phoneticPr fontId="5"/>
  </si>
  <si>
    <t>フル・ブルーム！</t>
    <phoneticPr fontId="5"/>
  </si>
  <si>
    <t>僕の手で塗り替えるのさ！</t>
    <rPh sb="0" eb="1">
      <t>ボク</t>
    </rPh>
    <rPh sb="2" eb="3">
      <t>テ</t>
    </rPh>
    <rPh sb="4" eb="5">
      <t>ヌ</t>
    </rPh>
    <rPh sb="6" eb="7">
      <t>カ</t>
    </rPh>
    <phoneticPr fontId="5"/>
  </si>
  <si>
    <t>全てを焼く愛の炎！</t>
    <rPh sb="0" eb="1">
      <t>スベ</t>
    </rPh>
    <rPh sb="3" eb="4">
      <t>ヤ</t>
    </rPh>
    <rPh sb="5" eb="6">
      <t>アイ</t>
    </rPh>
    <rPh sb="7" eb="8">
      <t>ホノオ</t>
    </rPh>
    <phoneticPr fontId="5"/>
  </si>
  <si>
    <t>[effect:break_attack_fix, val:180, lowest_val:800, count:-1, block:block_red, target:unit_all]</t>
    <phoneticPr fontId="5"/>
  </si>
  <si>
    <t>ラブ・ファイア！</t>
    <phoneticPr fontId="5"/>
  </si>
  <si>
    <t>ラブ・トラップ</t>
    <phoneticPr fontId="5"/>
  </si>
  <si>
    <t>[effect:break_attack_fix, val:400, lowest_val:500, count:-1, block:block_heart, target:unit_all]</t>
    <phoneticPr fontId="5"/>
  </si>
  <si>
    <t>ハート・ブレイク！</t>
    <phoneticPr fontId="5"/>
  </si>
  <si>
    <t xml:space="preserve">[effect:suicide, val:1, dead_type:escape]    </t>
    <phoneticPr fontId="5"/>
  </si>
  <si>
    <t>あわわ、大丈夫？？</t>
    <rPh sb="4" eb="7">
      <t>ダイジョウブ</t>
    </rPh>
    <phoneticPr fontId="5"/>
  </si>
  <si>
    <t>マイを追って去っていった…</t>
    <rPh sb="3" eb="4">
      <t>オ</t>
    </rPh>
    <rPh sb="6" eb="7">
      <t>サ</t>
    </rPh>
    <phoneticPr fontId="5"/>
  </si>
  <si>
    <t>old</t>
  </si>
  <si>
    <t>マイは全体赤キラーを使うので
赤属性のユニットが多いと危険です</t>
    <rPh sb="3" eb="5">
      <t>ゼンタイ</t>
    </rPh>
    <rPh sb="5" eb="6">
      <t>アカ</t>
    </rPh>
    <rPh sb="10" eb="11">
      <t>ツカ</t>
    </rPh>
    <rPh sb="15" eb="18">
      <t>アカゾクセイ</t>
    </rPh>
    <rPh sb="24" eb="25">
      <t>オオ</t>
    </rPh>
    <rPh sb="27" eb="29">
      <t>キケン</t>
    </rPh>
    <phoneticPr fontId="5"/>
  </si>
  <si>
    <t>乙姫は2ゲージ目になると
高確率でハートパネルを生成する
スキルを使います</t>
    <rPh sb="0" eb="2">
      <t>オトヒメ</t>
    </rPh>
    <rPh sb="7" eb="8">
      <t>メ</t>
    </rPh>
    <rPh sb="13" eb="16">
      <t>コウカクリツ</t>
    </rPh>
    <rPh sb="24" eb="26">
      <t>セイセイ</t>
    </rPh>
    <rPh sb="33" eb="34">
      <t>ツカ</t>
    </rPh>
    <phoneticPr fontId="5"/>
  </si>
  <si>
    <t>ウラシマは2ゲージ目の終盤で
暗闇スキルを使用します</t>
    <rPh sb="9" eb="10">
      <t>メ</t>
    </rPh>
    <rPh sb="11" eb="13">
      <t>シュウバン</t>
    </rPh>
    <rPh sb="15" eb="17">
      <t>クラヤミ</t>
    </rPh>
    <rPh sb="21" eb="23">
      <t>シヨウ</t>
    </rPh>
    <phoneticPr fontId="5"/>
  </si>
  <si>
    <t>カーマは2ゲージ目と3ゲージ目で
赤パネル破壊攻撃を頻繁に使います
赤パネルの数に気をつけて戦いましょう</t>
    <rPh sb="8" eb="9">
      <t>メ</t>
    </rPh>
    <rPh sb="14" eb="15">
      <t>メ</t>
    </rPh>
    <rPh sb="17" eb="18">
      <t>アカ</t>
    </rPh>
    <rPh sb="21" eb="25">
      <t>ハカイコウゲキ</t>
    </rPh>
    <rPh sb="26" eb="28">
      <t>ヒンパン</t>
    </rPh>
    <rPh sb="29" eb="30">
      <t>ツカ</t>
    </rPh>
    <rPh sb="34" eb="35">
      <t>アカ</t>
    </rPh>
    <rPh sb="39" eb="40">
      <t>カズ</t>
    </rPh>
    <rPh sb="41" eb="42">
      <t>キ</t>
    </rPh>
    <rPh sb="46" eb="47">
      <t>タタカ</t>
    </rPh>
    <phoneticPr fontId="5"/>
  </si>
  <si>
    <t>カーマは3ターンごとに
青パネルをハートパネルに変換します
回復と攻撃のタイミングに注意しましょう</t>
    <rPh sb="12" eb="13">
      <t>アオ</t>
    </rPh>
    <rPh sb="24" eb="26">
      <t>ヘンカン</t>
    </rPh>
    <rPh sb="30" eb="32">
      <t>カイフク</t>
    </rPh>
    <rPh sb="33" eb="35">
      <t>コウゲキ</t>
    </rPh>
    <rPh sb="42" eb="44">
      <t>チュウイ</t>
    </rPh>
    <phoneticPr fontId="5"/>
  </si>
  <si>
    <t>ヨシタカを追って去っていった…</t>
    <rPh sb="5" eb="6">
      <t>オ</t>
    </rPh>
    <rPh sb="8" eb="9">
      <t>サ</t>
    </rPh>
    <phoneticPr fontId="5"/>
  </si>
  <si>
    <t>もう！私は真剣なのに！</t>
    <phoneticPr fontId="5"/>
  </si>
  <si>
    <t>ほんと…鈍感なんだから！</t>
    <phoneticPr fontId="5"/>
  </si>
  <si>
    <t xml:space="preserve">[effect:break_attack_fix, val:200, lowest_val:2500, count:-1, block:block_blue, target:unit_one]    </t>
    <phoneticPr fontId="5"/>
  </si>
  <si>
    <t>[effect:break_attack_fix, val:650, lowest_val:2500, count:-1, block:block_red, target:unit_one]</t>
    <phoneticPr fontId="5"/>
  </si>
  <si>
    <t>[effect:break_attack_fix, val:200, lowest_val:1000, count:-1, block:block_red, target:unit_all]</t>
    <phoneticPr fontId="5"/>
  </si>
  <si>
    <t>[effect:break_attack_fix, val:680, lowest_val:2500, count:-1, block:block_heart, target:unit_all]</t>
    <phoneticPr fontId="5"/>
  </si>
  <si>
    <t>赤属性のユニットに大ダメージ</t>
    <rPh sb="0" eb="3">
      <t>アカゾクセイ</t>
    </rPh>
    <rPh sb="9" eb="10">
      <t>ダイ</t>
    </rPh>
    <phoneticPr fontId="5"/>
  </si>
  <si>
    <t>5ターン確率で時限式ダメージパネルをドロップ</t>
    <rPh sb="7" eb="10">
      <t>ジゲンシキ</t>
    </rPh>
    <phoneticPr fontId="5"/>
  </si>
  <si>
    <t>次の攻撃ターンに青パネル吸収攻撃
＋2ターン青パネルがドロップしない</t>
    <rPh sb="0" eb="1">
      <t>ツギ</t>
    </rPh>
    <rPh sb="2" eb="4">
      <t>コウゲキ</t>
    </rPh>
    <rPh sb="8" eb="9">
      <t>アオ</t>
    </rPh>
    <rPh sb="14" eb="16">
      <t>コウゲキ</t>
    </rPh>
    <rPh sb="22" eb="23">
      <t>アオ</t>
    </rPh>
    <phoneticPr fontId="5"/>
  </si>
  <si>
    <t>青パネル吸収攻撃</t>
    <rPh sb="0" eb="1">
      <t>アオ</t>
    </rPh>
    <rPh sb="6" eb="8">
      <t>コウゲキ</t>
    </rPh>
    <phoneticPr fontId="5"/>
  </si>
  <si>
    <t>黄パネルを8個ハートパネルに変換
＋3連続攻撃</t>
    <rPh sb="0" eb="1">
      <t>キイロ</t>
    </rPh>
    <rPh sb="14" eb="16">
      <t>ヘンカン</t>
    </rPh>
    <phoneticPr fontId="5"/>
  </si>
  <si>
    <t>敵全体が攻撃頻度UP</t>
    <rPh sb="0" eb="1">
      <t>テキゼンイン</t>
    </rPh>
    <rPh sb="4" eb="8">
      <t>コウゲキヒンド</t>
    </rPh>
    <phoneticPr fontId="5"/>
  </si>
  <si>
    <t>種族ヒューマンに大ダメージ</t>
    <rPh sb="0" eb="2">
      <t>シュゾク</t>
    </rPh>
    <rPh sb="8" eb="9">
      <t>ダイ</t>
    </rPh>
    <phoneticPr fontId="5"/>
  </si>
  <si>
    <t>8ターン赤パネルの出現率DOWN</t>
    <rPh sb="4" eb="5">
      <t>アカ</t>
    </rPh>
    <rPh sb="9" eb="12">
      <t>シュツゲンリツ</t>
    </rPh>
    <phoneticPr fontId="5"/>
  </si>
  <si>
    <t>ランダムに10個ハートパネルに変換</t>
    <rPh sb="15" eb="17">
      <t>ヘンカン</t>
    </rPh>
    <phoneticPr fontId="5"/>
  </si>
  <si>
    <t>ランダムに20個ハートパネルに変換</t>
    <phoneticPr fontId="5"/>
  </si>
  <si>
    <t>次のターン強力な攻撃</t>
    <rPh sb="0" eb="1">
      <t>ツギ</t>
    </rPh>
    <rPh sb="5" eb="7">
      <t>キョウリョク</t>
    </rPh>
    <phoneticPr fontId="5"/>
  </si>
  <si>
    <t>青パネルを8個ハートパネルに変換
＋2連続攻撃</t>
    <rPh sb="0" eb="1">
      <t>アオ</t>
    </rPh>
    <rPh sb="14" eb="16">
      <t>ヘンカン</t>
    </rPh>
    <rPh sb="19" eb="23">
      <t>レンゾクコウゲキ</t>
    </rPh>
    <phoneticPr fontId="5"/>
  </si>
  <si>
    <t>青パネルを8個ハートパネルに変換
＋3連続攻撃</t>
    <rPh sb="0" eb="1">
      <t>アオ</t>
    </rPh>
    <rPh sb="14" eb="16">
      <t>ヘンカン</t>
    </rPh>
    <rPh sb="19" eb="21">
      <t>ニレンゾク</t>
    </rPh>
    <rPh sb="21" eb="23">
      <t>コウゲキ</t>
    </rPh>
    <phoneticPr fontId="5"/>
  </si>
  <si>
    <t>赤パネル吸収攻撃</t>
    <rPh sb="0" eb="1">
      <t>アカ</t>
    </rPh>
    <rPh sb="6" eb="8">
      <t>ハカイコウゲキ</t>
    </rPh>
    <phoneticPr fontId="5"/>
  </si>
  <si>
    <t>次のターンにハートパネル吸収攻撃</t>
    <rPh sb="0" eb="1">
      <t>ツギ</t>
    </rPh>
    <rPh sb="14" eb="16">
      <t>コウゲキ</t>
    </rPh>
    <phoneticPr fontId="5"/>
  </si>
  <si>
    <t>ハートパネル吸収攻撃</t>
    <rPh sb="8" eb="10">
      <t>ハカイコウゲキ</t>
    </rPh>
    <phoneticPr fontId="5"/>
  </si>
  <si>
    <t>青パネルをハートパネルに変換</t>
    <rPh sb="0" eb="1">
      <t>アオ</t>
    </rPh>
    <rPh sb="12" eb="14">
      <t>ヘンカン</t>
    </rPh>
    <phoneticPr fontId="5"/>
  </si>
  <si>
    <t>フロア1では 
どちらか片方を狙って倒しましょう
残されたエネミーは逃走します</t>
    <phoneticPr fontId="5"/>
  </si>
  <si>
    <t>link</t>
    <phoneticPr fontId="5"/>
  </si>
  <si>
    <t>unit</t>
  </si>
  <si>
    <t>[effect:break_attack_fix, val:1000, lowest_val:2500, count:-1, block:block_red, target:unit_one]</t>
    <phoneticPr fontId="5"/>
  </si>
  <si>
    <t>おもしろい、刺激的じゃないか</t>
    <phoneticPr fontId="5"/>
  </si>
  <si>
    <t>これもパールヴァティへの愛の賜物かな</t>
    <phoneticPr fontId="5"/>
  </si>
  <si>
    <t>彼女を返して欲しければもっと僕を楽しませなよ</t>
    <phoneticPr fontId="5"/>
  </si>
  <si>
    <t>[effect:enemy_message, val1:1.5, val2:1.8],[effect:change_block, new_block:block_heart, target:block_blue, count:-1, val:0, no_effect_msg:no_effect_msg_change_block, animation:change_block]</t>
    <phoneticPr fontId="5"/>
  </si>
  <si>
    <t>[effect:enemy_message, val1:1.5, val2:1.8],[effect:change_block, new_block:block_heart, target:block_blue, count:-1, val:0, no_effect_msg:no_effect_msg_change_block, animation:change_block]</t>
    <phoneticPr fontId="5"/>
  </si>
  <si>
    <t>[effect:enemy_message, val1:1.8, val2:1.8],[effect:change_block, new_block:block_heart, target:block_blue, count:-1, val:0, no_effect_msg:no_effect_msg_change_block, animation:change_block]</t>
    <phoneticPr fontId="5"/>
  </si>
  <si>
    <t>[effect:enemy_message, val1:1.8, val2:1.8],[effect:change_block, new_block:block_heart, target:block_blue, count:-1, val:0, no_effect_msg:no_effect_msg_change_block, animation:change_block]</t>
    <phoneticPr fontId="5"/>
  </si>
  <si>
    <t>[effect:enemy_message, val1:1, val2:2.2],[effect:change_block, new_block:block_heart, target:block_blue, count:8, val:0, no_effect_msg:no_effect_msg_change_block, animation:change_block],[effect:damage_anti_color, target:unit_all, color:red, val1:0.2, val2:0.1],[effect:damage_anti_color, target:unit_all, color:red, val1:0.2, val2:0.1],[effect:damage_anti_color, target:unit_all, color:red, val1:0.3, val2:0.1]</t>
    <phoneticPr fontId="5"/>
  </si>
  <si>
    <t>[effect:enemy_message, val1:1.8, val2:2.2],[effect:rush, count:1, val:1],[effect:change_panel_ratio, turn:2, block_type:blue, val:0, animation:block_incidence04]</t>
    <phoneticPr fontId="5"/>
  </si>
  <si>
    <t>単体に1ターンスキルバインド＋単体攻撃</t>
    <rPh sb="0" eb="2">
      <t>タンタイ</t>
    </rPh>
    <phoneticPr fontId="5"/>
  </si>
  <si>
    <t>3ターン攻撃力10％DOWN＋単体攻撃</t>
    <rPh sb="4" eb="7">
      <t>コウゲキリョク</t>
    </rPh>
    <phoneticPr fontId="5"/>
  </si>
  <si>
    <t>3ターン攻撃力20％DOWN＋単体攻撃</t>
    <rPh sb="4" eb="7">
      <t>コウゲキリョク</t>
    </rPh>
    <phoneticPr fontId="5"/>
  </si>
  <si>
    <t>3ターン攻撃力30％DOWN＋単体攻撃</t>
    <rPh sb="4" eb="7">
      <t>コウゲキリョク</t>
    </rPh>
    <phoneticPr fontId="5"/>
  </si>
  <si>
    <t>3ターン暗闇＋単体攻撃</t>
    <phoneticPr fontId="5"/>
  </si>
  <si>
    <t>4ターン暗闇＋単体攻撃</t>
    <phoneticPr fontId="5"/>
  </si>
  <si>
    <t>攻撃頻度UP＋単体攻撃</t>
    <rPh sb="0" eb="4">
      <t>コウゲキヒンド</t>
    </rPh>
    <phoneticPr fontId="5"/>
  </si>
  <si>
    <t>青パネルを8個ハートパネルに変換
＋赤属性に大ダメージの3連続全体攻撃</t>
    <rPh sb="0" eb="1">
      <t>アオ</t>
    </rPh>
    <rPh sb="14" eb="16">
      <t>ヘンカン</t>
    </rPh>
    <rPh sb="18" eb="19">
      <t>アカ</t>
    </rPh>
    <rPh sb="19" eb="21">
      <t>ゾクセイ</t>
    </rPh>
    <rPh sb="22" eb="23">
      <t>ダイ</t>
    </rPh>
    <phoneticPr fontId="5"/>
  </si>
  <si>
    <t>[effect:fix_speed, target:enemy_all, turn:2],[effect:force_change_block, new_block:block_heart, target:block_all, ignore01:block_positive, ignore02:block_negative, ignore03:block_heart, count:10, val:0]</t>
    <phoneticPr fontId="5"/>
  </si>
  <si>
    <t>[effect:force_change_block, new_block:block_heart, target:block_all, ignore01:block_positive, ignore02:block_negative, ignore03:block_heart, count:20, val:0]</t>
    <phoneticPr fontId="5"/>
  </si>
  <si>
    <t>[effect:spread, val:0.4],[effect:force_change_block, new_block:block_heart, target:block_all, ignore01:block_positive, ignore02:block_negative, count:15, val:0]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</si>
</sst>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</font>
    <font>
      <sz val="12"/>
      <color rgb="FF333333"/>
      <name val="Helvetica Neue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/>
      <top style="thin">
        <color auto="1"/>
      </top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8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12" fillId="7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0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76" fontId="11" fillId="0" borderId="22" xfId="0" applyNumberFormat="1" applyFont="1" applyBorder="1" applyAlignment="1">
      <alignment horizontal="center" vertical="center"/>
    </xf>
    <xf numFmtId="177" fontId="11" fillId="0" borderId="23" xfId="0" applyNumberFormat="1" applyFont="1" applyBorder="1" applyAlignment="1">
      <alignment vertical="center"/>
    </xf>
    <xf numFmtId="177" fontId="11" fillId="0" borderId="24" xfId="0" applyNumberFormat="1" applyFont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1" fillId="0" borderId="7" xfId="0" applyFont="1" applyFill="1" applyBorder="1" applyAlignment="1">
      <alignment vertical="center"/>
    </xf>
    <xf numFmtId="0" fontId="11" fillId="0" borderId="9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4" fillId="0" borderId="11" xfId="0" applyFont="1" applyFill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4" fillId="0" borderId="11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vertical="center"/>
    </xf>
    <xf numFmtId="0" fontId="4" fillId="3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12" fillId="7" borderId="26" xfId="0" applyFont="1" applyFill="1" applyBorder="1" applyAlignment="1">
      <alignment vertical="center"/>
    </xf>
    <xf numFmtId="0" fontId="4" fillId="0" borderId="27" xfId="0" applyFont="1" applyFill="1" applyBorder="1" applyAlignment="1">
      <alignment vertical="center"/>
    </xf>
    <xf numFmtId="0" fontId="6" fillId="5" borderId="27" xfId="0" applyFont="1" applyFill="1" applyBorder="1" applyAlignment="1">
      <alignment vertical="center"/>
    </xf>
    <xf numFmtId="0" fontId="4" fillId="0" borderId="27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vertical="center"/>
    </xf>
    <xf numFmtId="0" fontId="4" fillId="3" borderId="27" xfId="0" applyFont="1" applyFill="1" applyBorder="1" applyAlignment="1">
      <alignment horizontal="center" vertical="center"/>
    </xf>
    <xf numFmtId="0" fontId="6" fillId="0" borderId="27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4" fillId="3" borderId="28" xfId="0" applyFont="1" applyFill="1" applyBorder="1" applyAlignment="1">
      <alignment horizontal="left" vertical="center"/>
    </xf>
    <xf numFmtId="0" fontId="4" fillId="3" borderId="29" xfId="0" applyFont="1" applyFill="1" applyBorder="1" applyAlignment="1">
      <alignment horizontal="left" vertical="center"/>
    </xf>
    <xf numFmtId="0" fontId="4" fillId="31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4" fillId="0" borderId="11" xfId="0" applyFont="1" applyBorder="1" applyAlignment="1">
      <alignment horizontal="center" vertical="center"/>
    </xf>
    <xf numFmtId="0" fontId="8" fillId="0" borderId="30" xfId="0" applyFont="1" applyBorder="1" applyAlignment="1">
      <alignment vertical="center"/>
    </xf>
    <xf numFmtId="177" fontId="8" fillId="0" borderId="30" xfId="0" applyNumberFormat="1" applyFont="1" applyBorder="1" applyAlignment="1">
      <alignment vertical="center"/>
    </xf>
    <xf numFmtId="1" fontId="32" fillId="31" borderId="11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176" fontId="4" fillId="0" borderId="32" xfId="0" applyNumberFormat="1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176" fontId="11" fillId="0" borderId="34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76" fontId="4" fillId="0" borderId="35" xfId="0" applyNumberFormat="1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6" fillId="5" borderId="36" xfId="0" applyFont="1" applyFill="1" applyBorder="1" applyAlignment="1">
      <alignment vertical="center"/>
    </xf>
    <xf numFmtId="0" fontId="8" fillId="0" borderId="37" xfId="0" applyFont="1" applyBorder="1" applyAlignment="1">
      <alignment vertical="center"/>
    </xf>
    <xf numFmtId="177" fontId="8" fillId="0" borderId="37" xfId="0" applyNumberFormat="1" applyFont="1" applyBorder="1" applyAlignment="1">
      <alignment vertical="center"/>
    </xf>
    <xf numFmtId="1" fontId="32" fillId="31" borderId="27" xfId="0" applyNumberFormat="1" applyFont="1" applyFill="1" applyBorder="1" applyAlignment="1">
      <alignment vertical="center"/>
    </xf>
    <xf numFmtId="176" fontId="11" fillId="0" borderId="38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vertical="center"/>
    </xf>
    <xf numFmtId="0" fontId="4" fillId="3" borderId="27" xfId="0" applyFont="1" applyFill="1" applyBorder="1" applyAlignment="1">
      <alignment vertical="center"/>
    </xf>
    <xf numFmtId="0" fontId="4" fillId="0" borderId="40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6" fillId="5" borderId="41" xfId="0" applyFont="1" applyFill="1" applyBorder="1" applyAlignment="1">
      <alignment vertical="center"/>
    </xf>
    <xf numFmtId="177" fontId="11" fillId="0" borderId="42" xfId="0" applyNumberFormat="1" applyFont="1" applyBorder="1" applyAlignment="1">
      <alignment vertical="center"/>
    </xf>
    <xf numFmtId="177" fontId="11" fillId="0" borderId="43" xfId="0" applyNumberFormat="1" applyFont="1" applyBorder="1" applyAlignment="1">
      <alignment vertical="center"/>
    </xf>
    <xf numFmtId="0" fontId="6" fillId="5" borderId="44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176" fontId="52" fillId="0" borderId="3" xfId="0" applyNumberFormat="1" applyFont="1" applyFill="1" applyBorder="1" applyAlignment="1">
      <alignment horizontal="center" vertical="center"/>
    </xf>
    <xf numFmtId="0" fontId="16" fillId="13" borderId="7" xfId="0" applyFont="1" applyFill="1" applyBorder="1" applyAlignment="1">
      <alignment horizontal="left" vertical="center" wrapText="1"/>
    </xf>
    <xf numFmtId="0" fontId="27" fillId="30" borderId="7" xfId="0" applyFont="1" applyFill="1" applyBorder="1"/>
    <xf numFmtId="0" fontId="0" fillId="30" borderId="7" xfId="0" applyFill="1" applyBorder="1"/>
    <xf numFmtId="0" fontId="16" fillId="6" borderId="2" xfId="614" applyFont="1" applyFill="1" applyBorder="1" applyAlignment="1">
      <alignment horizontal="left"/>
    </xf>
    <xf numFmtId="0" fontId="16" fillId="3" borderId="2" xfId="614" applyFont="1" applyFill="1" applyBorder="1" applyAlignment="1">
      <alignment horizontal="left"/>
    </xf>
    <xf numFmtId="0" fontId="0" fillId="6" borderId="2" xfId="615" applyFont="1" applyFill="1" applyBorder="1"/>
    <xf numFmtId="0" fontId="6" fillId="30" borderId="7" xfId="0" applyFont="1" applyFill="1" applyBorder="1" applyAlignment="1">
      <alignment vertical="center"/>
    </xf>
    <xf numFmtId="0" fontId="0" fillId="0" borderId="0" xfId="0" applyFill="1" applyBorder="1"/>
    <xf numFmtId="0" fontId="0" fillId="32" borderId="7" xfId="0" applyFill="1" applyBorder="1"/>
    <xf numFmtId="0" fontId="53" fillId="32" borderId="7" xfId="0" applyFont="1" applyFill="1" applyBorder="1"/>
    <xf numFmtId="0" fontId="27" fillId="32" borderId="7" xfId="0" applyFont="1" applyFill="1" applyBorder="1"/>
    <xf numFmtId="176" fontId="52" fillId="13" borderId="3" xfId="0" applyNumberFormat="1" applyFont="1" applyFill="1" applyBorder="1" applyAlignment="1">
      <alignment horizontal="center"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49001</v>
          </cell>
        </row>
        <row r="282">
          <cell r="A282">
            <v>49002</v>
          </cell>
        </row>
        <row r="283">
          <cell r="A283">
            <v>49003</v>
          </cell>
        </row>
        <row r="284">
          <cell r="A284">
            <v>49004</v>
          </cell>
        </row>
        <row r="285">
          <cell r="A285">
            <v>49005</v>
          </cell>
        </row>
        <row r="286">
          <cell r="A286">
            <v>49006</v>
          </cell>
        </row>
        <row r="287">
          <cell r="A287">
            <v>49007</v>
          </cell>
        </row>
        <row r="288">
          <cell r="A288">
            <v>49008</v>
          </cell>
        </row>
        <row r="289">
          <cell r="A289">
            <v>49009</v>
          </cell>
        </row>
        <row r="290">
          <cell r="A290">
            <v>49010</v>
          </cell>
        </row>
        <row r="291">
          <cell r="A291">
            <v>49011</v>
          </cell>
        </row>
        <row r="292">
          <cell r="A292">
            <v>49012</v>
          </cell>
        </row>
        <row r="293">
          <cell r="A293">
            <v>49013</v>
          </cell>
        </row>
        <row r="294">
          <cell r="A294">
            <v>49014</v>
          </cell>
        </row>
        <row r="295">
          <cell r="A295">
            <v>49015</v>
          </cell>
        </row>
        <row r="296">
          <cell r="A296">
            <v>50001</v>
          </cell>
        </row>
        <row r="297">
          <cell r="A297">
            <v>50002</v>
          </cell>
        </row>
        <row r="298">
          <cell r="A298">
            <v>50003</v>
          </cell>
        </row>
        <row r="299">
          <cell r="A299">
            <v>50004</v>
          </cell>
        </row>
        <row r="300">
          <cell r="A300">
            <v>50005</v>
          </cell>
        </row>
        <row r="301">
          <cell r="A301">
            <v>50006</v>
          </cell>
        </row>
        <row r="302">
          <cell r="A302">
            <v>50007</v>
          </cell>
        </row>
        <row r="303">
          <cell r="A303">
            <v>50008</v>
          </cell>
        </row>
        <row r="304">
          <cell r="A304">
            <v>50009</v>
          </cell>
        </row>
        <row r="305">
          <cell r="A305">
            <v>50010</v>
          </cell>
        </row>
        <row r="306">
          <cell r="A306">
            <v>50011</v>
          </cell>
        </row>
        <row r="307">
          <cell r="A307">
            <v>50012</v>
          </cell>
        </row>
        <row r="308">
          <cell r="A308">
            <v>50013</v>
          </cell>
        </row>
        <row r="309">
          <cell r="A309">
            <v>50014</v>
          </cell>
        </row>
        <row r="310">
          <cell r="A310">
            <v>50015</v>
          </cell>
        </row>
        <row r="311">
          <cell r="A311">
            <v>51001</v>
          </cell>
        </row>
        <row r="312">
          <cell r="A312">
            <v>51002</v>
          </cell>
        </row>
        <row r="313">
          <cell r="A313">
            <v>58001</v>
          </cell>
        </row>
        <row r="314">
          <cell r="A314">
            <v>59001</v>
          </cell>
        </row>
        <row r="315">
          <cell r="A315">
            <v>59002</v>
          </cell>
        </row>
        <row r="316">
          <cell r="A316">
            <v>60001</v>
          </cell>
        </row>
        <row r="317">
          <cell r="A317">
            <v>60002</v>
          </cell>
        </row>
        <row r="318">
          <cell r="A318">
            <v>60003</v>
          </cell>
        </row>
        <row r="319">
          <cell r="A319">
            <v>60004</v>
          </cell>
        </row>
        <row r="320">
          <cell r="A320">
            <v>60005</v>
          </cell>
        </row>
        <row r="321">
          <cell r="A321">
            <v>60006</v>
          </cell>
        </row>
        <row r="322">
          <cell r="A322">
            <v>60007</v>
          </cell>
        </row>
        <row r="323">
          <cell r="A323">
            <v>60010</v>
          </cell>
        </row>
        <row r="324">
          <cell r="A324">
            <v>60011</v>
          </cell>
        </row>
        <row r="325">
          <cell r="A325">
            <v>61011</v>
          </cell>
        </row>
        <row r="326">
          <cell r="A326">
            <v>60012</v>
          </cell>
        </row>
        <row r="327">
          <cell r="A327">
            <v>60013</v>
          </cell>
        </row>
        <row r="328">
          <cell r="A328">
            <v>60014</v>
          </cell>
        </row>
        <row r="329">
          <cell r="A329">
            <v>60015</v>
          </cell>
        </row>
        <row r="330">
          <cell r="A330">
            <v>60016</v>
          </cell>
        </row>
        <row r="331">
          <cell r="A331">
            <v>60017</v>
          </cell>
        </row>
        <row r="332">
          <cell r="A332">
            <v>60018</v>
          </cell>
        </row>
        <row r="333">
          <cell r="A333">
            <v>60019</v>
          </cell>
        </row>
        <row r="334">
          <cell r="A334">
            <v>60020</v>
          </cell>
        </row>
        <row r="335">
          <cell r="A335">
            <v>60025</v>
          </cell>
        </row>
        <row r="336">
          <cell r="A336">
            <v>60026</v>
          </cell>
        </row>
        <row r="337">
          <cell r="A337">
            <v>60027</v>
          </cell>
        </row>
        <row r="338">
          <cell r="A338">
            <v>60028</v>
          </cell>
        </row>
        <row r="339">
          <cell r="A339">
            <v>60029</v>
          </cell>
        </row>
        <row r="340">
          <cell r="A340">
            <v>65523</v>
          </cell>
        </row>
        <row r="341">
          <cell r="A341">
            <v>65524</v>
          </cell>
        </row>
        <row r="342">
          <cell r="A342">
            <v>65525</v>
          </cell>
        </row>
        <row r="343">
          <cell r="A343">
            <v>65526</v>
          </cell>
        </row>
        <row r="344">
          <cell r="A344">
            <v>65527</v>
          </cell>
        </row>
        <row r="345">
          <cell r="A345">
            <v>65528</v>
          </cell>
        </row>
        <row r="346">
          <cell r="A346">
            <v>65529</v>
          </cell>
        </row>
        <row r="347">
          <cell r="A347">
            <v>65530</v>
          </cell>
        </row>
        <row r="348">
          <cell r="A348">
            <v>65531</v>
          </cell>
        </row>
        <row r="349">
          <cell r="A349">
            <v>65532</v>
          </cell>
        </row>
        <row r="350">
          <cell r="A350">
            <v>65533</v>
          </cell>
        </row>
        <row r="351">
          <cell r="A351">
            <v>65534</v>
          </cell>
        </row>
        <row r="352">
          <cell r="A352">
            <v>65535</v>
          </cell>
        </row>
        <row r="353">
          <cell r="A353">
            <v>60021</v>
          </cell>
        </row>
        <row r="354">
          <cell r="A354">
            <v>60022</v>
          </cell>
        </row>
        <row r="355">
          <cell r="A355">
            <v>60023</v>
          </cell>
        </row>
        <row r="356">
          <cell r="A35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48702_1</v>
          </cell>
        </row>
        <row r="891">
          <cell r="A891" t="str">
            <v>48702_2</v>
          </cell>
        </row>
        <row r="892">
          <cell r="A892" t="str">
            <v>49001_1</v>
          </cell>
        </row>
        <row r="893">
          <cell r="A893" t="str">
            <v>49002_1</v>
          </cell>
        </row>
        <row r="894">
          <cell r="A894" t="str">
            <v>49002_2</v>
          </cell>
        </row>
        <row r="895">
          <cell r="A895" t="str">
            <v>49003_1</v>
          </cell>
        </row>
        <row r="896">
          <cell r="A896" t="str">
            <v>49003_2</v>
          </cell>
        </row>
        <row r="897">
          <cell r="A897" t="str">
            <v>49004_1</v>
          </cell>
        </row>
        <row r="898">
          <cell r="A898" t="str">
            <v>49004_2</v>
          </cell>
        </row>
        <row r="899">
          <cell r="A899" t="str">
            <v>49004_3</v>
          </cell>
        </row>
        <row r="900">
          <cell r="A900" t="str">
            <v>49005_1</v>
          </cell>
        </row>
        <row r="901">
          <cell r="A901" t="str">
            <v>49006_1</v>
          </cell>
        </row>
        <row r="902">
          <cell r="A902" t="str">
            <v>49006_2</v>
          </cell>
        </row>
        <row r="903">
          <cell r="A903" t="str">
            <v>49007_1</v>
          </cell>
        </row>
        <row r="904">
          <cell r="A904" t="str">
            <v>49007_2</v>
          </cell>
        </row>
        <row r="905">
          <cell r="A905" t="str">
            <v>49007_3</v>
          </cell>
        </row>
        <row r="906">
          <cell r="A906" t="str">
            <v>49008_1</v>
          </cell>
        </row>
        <row r="907">
          <cell r="A907" t="str">
            <v>49009_1</v>
          </cell>
        </row>
        <row r="908">
          <cell r="A908" t="str">
            <v>49010_1</v>
          </cell>
        </row>
        <row r="909">
          <cell r="A909" t="str">
            <v>49011_1</v>
          </cell>
        </row>
        <row r="910">
          <cell r="A910" t="str">
            <v>49012_1</v>
          </cell>
        </row>
        <row r="911">
          <cell r="A911" t="str">
            <v>49013_1</v>
          </cell>
        </row>
        <row r="912">
          <cell r="A912" t="str">
            <v>49014_1</v>
          </cell>
        </row>
        <row r="913">
          <cell r="A913" t="str">
            <v>49014_2</v>
          </cell>
        </row>
        <row r="914">
          <cell r="A914" t="str">
            <v>49015_1</v>
          </cell>
        </row>
        <row r="915">
          <cell r="A915" t="str">
            <v>49015_2</v>
          </cell>
        </row>
        <row r="916">
          <cell r="A916" t="str">
            <v>49015_3</v>
          </cell>
        </row>
        <row r="917">
          <cell r="A917" t="str">
            <v>50001_1</v>
          </cell>
        </row>
        <row r="918">
          <cell r="A918" t="str">
            <v>50002_1</v>
          </cell>
        </row>
        <row r="919">
          <cell r="A919" t="str">
            <v>50003_1</v>
          </cell>
        </row>
        <row r="920">
          <cell r="A920" t="str">
            <v>50004_1</v>
          </cell>
        </row>
        <row r="921">
          <cell r="A921" t="str">
            <v>50005_1</v>
          </cell>
        </row>
        <row r="922">
          <cell r="A922" t="str">
            <v>50006_1</v>
          </cell>
        </row>
        <row r="923">
          <cell r="A923" t="str">
            <v>50007_1</v>
          </cell>
        </row>
        <row r="924">
          <cell r="A924" t="str">
            <v>50008_1</v>
          </cell>
        </row>
        <row r="925">
          <cell r="A925" t="str">
            <v>50009_1</v>
          </cell>
        </row>
        <row r="926">
          <cell r="A926" t="str">
            <v>50010_1</v>
          </cell>
        </row>
        <row r="927">
          <cell r="A927" t="str">
            <v>50011_1</v>
          </cell>
        </row>
        <row r="928">
          <cell r="A928" t="str">
            <v>50012_1</v>
          </cell>
        </row>
        <row r="929">
          <cell r="A929" t="str">
            <v>50013_1</v>
          </cell>
        </row>
        <row r="930">
          <cell r="A930" t="str">
            <v>50014_1</v>
          </cell>
        </row>
        <row r="931">
          <cell r="A931" t="str">
            <v>50015_1</v>
          </cell>
        </row>
        <row r="932">
          <cell r="A932" t="str">
            <v>51001_1</v>
          </cell>
        </row>
        <row r="933">
          <cell r="A933" t="str">
            <v>51002_1</v>
          </cell>
        </row>
        <row r="934">
          <cell r="A934" t="str">
            <v>58001_1</v>
          </cell>
        </row>
        <row r="935">
          <cell r="A935" t="str">
            <v>59001_1</v>
          </cell>
        </row>
        <row r="936">
          <cell r="A936" t="str">
            <v>59002_1</v>
          </cell>
        </row>
        <row r="937">
          <cell r="A937" t="str">
            <v>60001_1</v>
          </cell>
        </row>
        <row r="938">
          <cell r="A938" t="str">
            <v>60002_1</v>
          </cell>
        </row>
        <row r="939">
          <cell r="A939" t="str">
            <v>60002_2</v>
          </cell>
        </row>
        <row r="940">
          <cell r="A940" t="str">
            <v>60003_1</v>
          </cell>
        </row>
        <row r="941">
          <cell r="A941" t="str">
            <v>60003_2</v>
          </cell>
        </row>
        <row r="942">
          <cell r="A942" t="str">
            <v>60003_3</v>
          </cell>
        </row>
        <row r="943">
          <cell r="A943" t="str">
            <v>60004_1</v>
          </cell>
        </row>
        <row r="944">
          <cell r="A944" t="str">
            <v>60005_1</v>
          </cell>
        </row>
        <row r="945">
          <cell r="A945" t="str">
            <v>60006_1</v>
          </cell>
        </row>
        <row r="946">
          <cell r="A946" t="str">
            <v>60006_2</v>
          </cell>
        </row>
        <row r="947">
          <cell r="A947" t="str">
            <v>60006_3</v>
          </cell>
        </row>
        <row r="948">
          <cell r="A948" t="str">
            <v>60007_1</v>
          </cell>
        </row>
        <row r="949">
          <cell r="A949" t="str">
            <v>60007_2</v>
          </cell>
        </row>
        <row r="950">
          <cell r="A950" t="str">
            <v>60007_3</v>
          </cell>
        </row>
        <row r="951">
          <cell r="A951" t="str">
            <v>60010_1</v>
          </cell>
        </row>
        <row r="952">
          <cell r="A952" t="str">
            <v>60011_1</v>
          </cell>
        </row>
        <row r="953">
          <cell r="A953" t="str">
            <v>60011_2</v>
          </cell>
        </row>
        <row r="954">
          <cell r="A954" t="str">
            <v>60012_1</v>
          </cell>
        </row>
        <row r="955">
          <cell r="A955" t="str">
            <v>60013_1</v>
          </cell>
        </row>
        <row r="956">
          <cell r="A956" t="str">
            <v>60013_2</v>
          </cell>
        </row>
        <row r="957">
          <cell r="A957" t="str">
            <v>60013_3</v>
          </cell>
        </row>
        <row r="958">
          <cell r="A958" t="str">
            <v>60014_1</v>
          </cell>
        </row>
        <row r="959">
          <cell r="A959" t="str">
            <v>60015_1</v>
          </cell>
        </row>
        <row r="960">
          <cell r="A960" t="str">
            <v>60016_1</v>
          </cell>
        </row>
        <row r="961">
          <cell r="A961" t="str">
            <v>60017_1</v>
          </cell>
        </row>
        <row r="962">
          <cell r="A962" t="str">
            <v>60018_1</v>
          </cell>
        </row>
        <row r="963">
          <cell r="A963" t="str">
            <v>60019_1</v>
          </cell>
        </row>
        <row r="964">
          <cell r="A964" t="str">
            <v>60020_1</v>
          </cell>
        </row>
        <row r="965">
          <cell r="A965" t="str">
            <v>60021_3</v>
          </cell>
        </row>
        <row r="966">
          <cell r="A966" t="str">
            <v>60022_3</v>
          </cell>
        </row>
        <row r="967">
          <cell r="A967" t="str">
            <v>60023_3</v>
          </cell>
        </row>
        <row r="968">
          <cell r="A968" t="str">
            <v>60024_3</v>
          </cell>
        </row>
        <row r="969">
          <cell r="A969" t="str">
            <v>60025_1</v>
          </cell>
        </row>
        <row r="970">
          <cell r="A970" t="str">
            <v>60026_1</v>
          </cell>
        </row>
        <row r="971">
          <cell r="A971" t="str">
            <v>61011_1</v>
          </cell>
        </row>
        <row r="972">
          <cell r="A972" t="str">
            <v>60027_1</v>
          </cell>
        </row>
        <row r="973">
          <cell r="A973" t="str">
            <v>60028_1</v>
          </cell>
        </row>
        <row r="974">
          <cell r="A974" t="str">
            <v>60029_1</v>
          </cell>
        </row>
        <row r="975">
          <cell r="A975" t="str">
            <v>65523_1</v>
          </cell>
        </row>
        <row r="976">
          <cell r="A976" t="str">
            <v>65524_1</v>
          </cell>
        </row>
        <row r="977">
          <cell r="A977" t="str">
            <v>65525_1</v>
          </cell>
        </row>
        <row r="978">
          <cell r="A978" t="str">
            <v>65526_1</v>
          </cell>
        </row>
        <row r="979">
          <cell r="A979" t="str">
            <v>65526_2</v>
          </cell>
        </row>
        <row r="980">
          <cell r="A980" t="str">
            <v>65527_1</v>
          </cell>
        </row>
        <row r="981">
          <cell r="A981" t="str">
            <v>65528_1</v>
          </cell>
        </row>
        <row r="982">
          <cell r="A982" t="str">
            <v>65529_1</v>
          </cell>
        </row>
        <row r="983">
          <cell r="A983" t="str">
            <v>65530_1</v>
          </cell>
        </row>
        <row r="984">
          <cell r="A984" t="str">
            <v>65531_1</v>
          </cell>
        </row>
        <row r="985">
          <cell r="A985" t="str">
            <v>65531_2</v>
          </cell>
        </row>
        <row r="986">
          <cell r="A986" t="str">
            <v>65532_1</v>
          </cell>
        </row>
        <row r="987">
          <cell r="A987" t="str">
            <v>65532_2</v>
          </cell>
        </row>
        <row r="988">
          <cell r="A988" t="str">
            <v>65533_1</v>
          </cell>
        </row>
        <row r="989">
          <cell r="A989" t="str">
            <v>65533_2</v>
          </cell>
        </row>
        <row r="990">
          <cell r="A990" t="str">
            <v>65534_1</v>
          </cell>
        </row>
        <row r="991">
          <cell r="A991" t="str">
            <v>65534_2</v>
          </cell>
        </row>
        <row r="992">
          <cell r="A992" t="str">
            <v>65535_1</v>
          </cell>
        </row>
        <row r="993">
          <cell r="A993" t="str">
            <v>65535_2</v>
          </cell>
        </row>
        <row r="994">
          <cell r="A994" t="str">
            <v>65535_3</v>
          </cell>
        </row>
        <row r="995">
          <cell r="A995" t="str">
            <v>65535_4</v>
          </cell>
        </row>
        <row r="996">
          <cell r="A996" t="str">
            <v>65535_5</v>
          </cell>
        </row>
        <row r="997">
          <cell r="A997" t="str">
            <v>65535_6</v>
          </cell>
        </row>
        <row r="998">
          <cell r="A998" t="str">
            <v>65535_7</v>
          </cell>
        </row>
        <row r="999">
          <cell r="A999" t="str">
            <v>65535_8</v>
          </cell>
        </row>
        <row r="1000">
          <cell r="A1000" t="str">
            <v>65535_9</v>
          </cell>
        </row>
        <row r="1001">
          <cell r="A100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1551</v>
          </cell>
        </row>
        <row r="1502">
          <cell r="A1502">
            <v>1552</v>
          </cell>
        </row>
        <row r="1503">
          <cell r="A1503">
            <v>1553</v>
          </cell>
        </row>
        <row r="1504">
          <cell r="A1504">
            <v>1554</v>
          </cell>
        </row>
        <row r="1505">
          <cell r="A1505">
            <v>1555</v>
          </cell>
        </row>
        <row r="1506">
          <cell r="A1506">
            <v>1556</v>
          </cell>
        </row>
        <row r="1507">
          <cell r="A1507">
            <v>1557</v>
          </cell>
        </row>
        <row r="1508">
          <cell r="A1508">
            <v>1558</v>
          </cell>
        </row>
        <row r="1509">
          <cell r="A1509">
            <v>1559</v>
          </cell>
        </row>
        <row r="1510">
          <cell r="A1510">
            <v>1560</v>
          </cell>
        </row>
        <row r="1511">
          <cell r="A1511">
            <v>1561</v>
          </cell>
        </row>
        <row r="1512">
          <cell r="A1512">
            <v>1562</v>
          </cell>
        </row>
        <row r="1513">
          <cell r="A1513">
            <v>1563</v>
          </cell>
        </row>
        <row r="1514">
          <cell r="A1514">
            <v>1564</v>
          </cell>
        </row>
        <row r="1515">
          <cell r="A1515">
            <v>1565</v>
          </cell>
        </row>
        <row r="1516">
          <cell r="A1516">
            <v>1566</v>
          </cell>
        </row>
        <row r="1517">
          <cell r="A1517">
            <v>1567</v>
          </cell>
        </row>
        <row r="1518">
          <cell r="A1518">
            <v>1568</v>
          </cell>
        </row>
        <row r="1519">
          <cell r="A1519">
            <v>1569</v>
          </cell>
        </row>
        <row r="1520">
          <cell r="A1520">
            <v>1570</v>
          </cell>
        </row>
        <row r="1521">
          <cell r="A1521">
            <v>1571</v>
          </cell>
        </row>
        <row r="1522">
          <cell r="A1522">
            <v>1572</v>
          </cell>
        </row>
        <row r="1523">
          <cell r="A1523">
            <v>1573</v>
          </cell>
        </row>
        <row r="1524">
          <cell r="A1524">
            <v>1574</v>
          </cell>
        </row>
        <row r="1525">
          <cell r="A1525">
            <v>1575</v>
          </cell>
        </row>
        <row r="1526">
          <cell r="A1526">
            <v>1576</v>
          </cell>
        </row>
        <row r="1527">
          <cell r="A1527">
            <v>1577</v>
          </cell>
        </row>
        <row r="1528">
          <cell r="A1528">
            <v>1578</v>
          </cell>
        </row>
        <row r="1529">
          <cell r="A1529">
            <v>1579</v>
          </cell>
        </row>
        <row r="1530">
          <cell r="A1530">
            <v>1580</v>
          </cell>
        </row>
        <row r="1531">
          <cell r="A1531">
            <v>1581</v>
          </cell>
        </row>
        <row r="1532">
          <cell r="A1532">
            <v>1582</v>
          </cell>
        </row>
        <row r="1533">
          <cell r="A1533">
            <v>1583</v>
          </cell>
        </row>
        <row r="1534">
          <cell r="A1534">
            <v>1584</v>
          </cell>
        </row>
        <row r="1535">
          <cell r="A1535">
            <v>1585</v>
          </cell>
        </row>
        <row r="1536">
          <cell r="A1536">
            <v>1586</v>
          </cell>
        </row>
        <row r="1537">
          <cell r="A1537">
            <v>1587</v>
          </cell>
        </row>
        <row r="1538">
          <cell r="A1538">
            <v>1588</v>
          </cell>
        </row>
        <row r="1539">
          <cell r="A1539">
            <v>5001</v>
          </cell>
        </row>
        <row r="1540">
          <cell r="A1540">
            <v>5002</v>
          </cell>
        </row>
        <row r="1541">
          <cell r="A1541">
            <v>5003</v>
          </cell>
        </row>
        <row r="1542">
          <cell r="A1542">
            <v>5004</v>
          </cell>
        </row>
        <row r="1543">
          <cell r="A1543">
            <v>5005</v>
          </cell>
        </row>
        <row r="1544">
          <cell r="A1544">
            <v>5006</v>
          </cell>
        </row>
        <row r="1545">
          <cell r="A1545">
            <v>5007</v>
          </cell>
        </row>
        <row r="1546">
          <cell r="A1546">
            <v>5008</v>
          </cell>
        </row>
        <row r="1547">
          <cell r="A1547">
            <v>6001</v>
          </cell>
        </row>
        <row r="1548">
          <cell r="A1548">
            <v>6002</v>
          </cell>
        </row>
        <row r="1549">
          <cell r="A1549">
            <v>6003</v>
          </cell>
        </row>
        <row r="1550">
          <cell r="A1550">
            <v>6004</v>
          </cell>
        </row>
        <row r="1551">
          <cell r="A1551">
            <v>6005</v>
          </cell>
        </row>
        <row r="1552">
          <cell r="A1552">
            <v>6006</v>
          </cell>
        </row>
        <row r="1553">
          <cell r="A1553">
            <v>6007</v>
          </cell>
        </row>
        <row r="1554">
          <cell r="A1554">
            <v>6008</v>
          </cell>
        </row>
        <row r="1555">
          <cell r="A1555">
            <v>6009</v>
          </cell>
        </row>
        <row r="1556">
          <cell r="A1556">
            <v>6010</v>
          </cell>
        </row>
        <row r="1557">
          <cell r="A1557">
            <v>6011</v>
          </cell>
        </row>
        <row r="1558">
          <cell r="A1558">
            <v>6012</v>
          </cell>
        </row>
        <row r="1559">
          <cell r="A1559">
            <v>6013</v>
          </cell>
        </row>
        <row r="1560">
          <cell r="A1560">
            <v>6014</v>
          </cell>
        </row>
        <row r="1561">
          <cell r="A1561">
            <v>6015</v>
          </cell>
        </row>
        <row r="1562">
          <cell r="A1562">
            <v>6016</v>
          </cell>
        </row>
        <row r="1563">
          <cell r="A1563">
            <v>6017</v>
          </cell>
        </row>
        <row r="1564">
          <cell r="A1564">
            <v>6018</v>
          </cell>
        </row>
        <row r="1565">
          <cell r="A1565">
            <v>6019</v>
          </cell>
        </row>
        <row r="1566">
          <cell r="A1566">
            <v>6020</v>
          </cell>
        </row>
        <row r="1567">
          <cell r="A1567">
            <v>8001</v>
          </cell>
        </row>
        <row r="1568">
          <cell r="A1568">
            <v>8002</v>
          </cell>
        </row>
        <row r="1569">
          <cell r="A1569">
            <v>8003</v>
          </cell>
        </row>
        <row r="1570">
          <cell r="A1570">
            <v>8004</v>
          </cell>
        </row>
        <row r="1571">
          <cell r="A1571">
            <v>8005</v>
          </cell>
        </row>
        <row r="1572">
          <cell r="A1572">
            <v>8006</v>
          </cell>
        </row>
        <row r="1573">
          <cell r="A1573">
            <v>8007</v>
          </cell>
        </row>
        <row r="1574">
          <cell r="A1574">
            <v>8008</v>
          </cell>
        </row>
        <row r="1575">
          <cell r="A1575">
            <v>8009</v>
          </cell>
        </row>
        <row r="1576">
          <cell r="A1576">
            <v>8010</v>
          </cell>
        </row>
        <row r="1577">
          <cell r="A1577">
            <v>8011</v>
          </cell>
        </row>
        <row r="1578">
          <cell r="A1578">
            <v>8012</v>
          </cell>
        </row>
        <row r="1579">
          <cell r="A1579">
            <v>8013</v>
          </cell>
        </row>
        <row r="1580">
          <cell r="A1580">
            <v>8014</v>
          </cell>
        </row>
        <row r="1581">
          <cell r="A1581">
            <v>8015</v>
          </cell>
        </row>
        <row r="1582">
          <cell r="A1582">
            <v>8016</v>
          </cell>
        </row>
        <row r="1583">
          <cell r="A1583">
            <v>8017</v>
          </cell>
        </row>
        <row r="1584">
          <cell r="A1584">
            <v>8018</v>
          </cell>
        </row>
        <row r="1585">
          <cell r="A1585">
            <v>8019</v>
          </cell>
        </row>
        <row r="1586">
          <cell r="A1586">
            <v>8020</v>
          </cell>
        </row>
        <row r="1587">
          <cell r="A1587">
            <v>8021</v>
          </cell>
        </row>
        <row r="1588">
          <cell r="A1588">
            <v>8022</v>
          </cell>
        </row>
        <row r="1589">
          <cell r="A1589">
            <v>8023</v>
          </cell>
        </row>
        <row r="1590">
          <cell r="A1590">
            <v>8024</v>
          </cell>
        </row>
        <row r="1591">
          <cell r="A1591">
            <v>8025</v>
          </cell>
        </row>
        <row r="1592">
          <cell r="A1592">
            <v>8026</v>
          </cell>
        </row>
        <row r="1593">
          <cell r="A1593">
            <v>8027</v>
          </cell>
        </row>
        <row r="1594">
          <cell r="A1594">
            <v>8028</v>
          </cell>
        </row>
        <row r="1595">
          <cell r="A1595">
            <v>8029</v>
          </cell>
        </row>
        <row r="1596">
          <cell r="A1596">
            <v>8030</v>
          </cell>
        </row>
        <row r="1597">
          <cell r="A1597">
            <v>8031</v>
          </cell>
        </row>
        <row r="1598">
          <cell r="A1598">
            <v>8032</v>
          </cell>
        </row>
        <row r="1599">
          <cell r="A1599">
            <v>8033</v>
          </cell>
        </row>
        <row r="1600">
          <cell r="A1600">
            <v>8034</v>
          </cell>
        </row>
        <row r="1601">
          <cell r="A1601">
            <v>8035</v>
          </cell>
        </row>
        <row r="1602">
          <cell r="A1602">
            <v>8036</v>
          </cell>
        </row>
        <row r="1603">
          <cell r="A1603">
            <v>8037</v>
          </cell>
        </row>
        <row r="1604">
          <cell r="A1604">
            <v>8038</v>
          </cell>
        </row>
        <row r="1605">
          <cell r="A1605">
            <v>8039</v>
          </cell>
        </row>
        <row r="1606">
          <cell r="A1606">
            <v>8040</v>
          </cell>
        </row>
        <row r="1607">
          <cell r="A1607">
            <v>8041</v>
          </cell>
        </row>
        <row r="1608">
          <cell r="A1608">
            <v>8042</v>
          </cell>
        </row>
        <row r="1609">
          <cell r="A1609">
            <v>8043</v>
          </cell>
        </row>
        <row r="1610">
          <cell r="A1610">
            <v>8044</v>
          </cell>
        </row>
        <row r="1611">
          <cell r="A1611">
            <v>8045</v>
          </cell>
        </row>
        <row r="1612">
          <cell r="A1612">
            <v>8046</v>
          </cell>
        </row>
        <row r="1613">
          <cell r="A1613">
            <v>8047</v>
          </cell>
        </row>
        <row r="1614">
          <cell r="A1614">
            <v>8048</v>
          </cell>
        </row>
        <row r="1615">
          <cell r="A1615">
            <v>8049</v>
          </cell>
        </row>
        <row r="1616">
          <cell r="A1616">
            <v>8050</v>
          </cell>
        </row>
        <row r="1617">
          <cell r="A1617">
            <v>8051</v>
          </cell>
        </row>
        <row r="1618">
          <cell r="A1618">
            <v>8052</v>
          </cell>
        </row>
        <row r="1619">
          <cell r="A1619">
            <v>8053</v>
          </cell>
        </row>
        <row r="1620">
          <cell r="A1620">
            <v>8054</v>
          </cell>
        </row>
        <row r="1621">
          <cell r="A1621">
            <v>8055</v>
          </cell>
        </row>
        <row r="1622">
          <cell r="A1622">
            <v>8056</v>
          </cell>
        </row>
        <row r="1623">
          <cell r="A1623">
            <v>8057</v>
          </cell>
        </row>
        <row r="1624">
          <cell r="A1624">
            <v>8058</v>
          </cell>
        </row>
        <row r="1625">
          <cell r="A1625">
            <v>8059</v>
          </cell>
        </row>
        <row r="1626">
          <cell r="A1626">
            <v>8060</v>
          </cell>
        </row>
        <row r="1627">
          <cell r="A1627">
            <v>8061</v>
          </cell>
        </row>
        <row r="1628">
          <cell r="A1628">
            <v>8062</v>
          </cell>
        </row>
        <row r="1629">
          <cell r="A1629">
            <v>8063</v>
          </cell>
        </row>
        <row r="1630">
          <cell r="A1630">
            <v>8064</v>
          </cell>
        </row>
        <row r="1631">
          <cell r="A1631">
            <v>8065</v>
          </cell>
        </row>
        <row r="1632">
          <cell r="A1632">
            <v>8066</v>
          </cell>
        </row>
        <row r="1633">
          <cell r="A1633">
            <v>8067</v>
          </cell>
        </row>
        <row r="1634">
          <cell r="A1634">
            <v>8068</v>
          </cell>
        </row>
        <row r="1635">
          <cell r="A1635">
            <v>8069</v>
          </cell>
        </row>
        <row r="1636">
          <cell r="A1636">
            <v>8070</v>
          </cell>
        </row>
        <row r="1637">
          <cell r="A1637">
            <v>8071</v>
          </cell>
        </row>
        <row r="1638">
          <cell r="A1638">
            <v>8072</v>
          </cell>
        </row>
        <row r="1639">
          <cell r="A1639">
            <v>8073</v>
          </cell>
        </row>
        <row r="1640">
          <cell r="A1640">
            <v>8074</v>
          </cell>
        </row>
        <row r="1641">
          <cell r="A1641">
            <v>8075</v>
          </cell>
        </row>
        <row r="1642">
          <cell r="A1642">
            <v>8076</v>
          </cell>
        </row>
        <row r="1643">
          <cell r="A1643">
            <v>8077</v>
          </cell>
        </row>
        <row r="1644">
          <cell r="A1644">
            <v>8078</v>
          </cell>
        </row>
        <row r="1645">
          <cell r="A1645">
            <v>8079</v>
          </cell>
        </row>
        <row r="1646">
          <cell r="A1646">
            <v>8080</v>
          </cell>
        </row>
        <row r="1647">
          <cell r="A1647">
            <v>8081</v>
          </cell>
        </row>
        <row r="1648">
          <cell r="A1648">
            <v>8082</v>
          </cell>
        </row>
        <row r="1649">
          <cell r="A1649">
            <v>8083</v>
          </cell>
        </row>
        <row r="1650">
          <cell r="A1650">
            <v>8084</v>
          </cell>
        </row>
        <row r="1651">
          <cell r="A1651">
            <v>8085</v>
          </cell>
        </row>
        <row r="1652">
          <cell r="A1652">
            <v>8086</v>
          </cell>
        </row>
        <row r="1653">
          <cell r="A1653">
            <v>8087</v>
          </cell>
        </row>
        <row r="1654">
          <cell r="A1654">
            <v>8088</v>
          </cell>
        </row>
        <row r="1655">
          <cell r="A1655">
            <v>8089</v>
          </cell>
        </row>
        <row r="1656">
          <cell r="A1656">
            <v>8090</v>
          </cell>
        </row>
        <row r="1657">
          <cell r="A1657">
            <v>8095</v>
          </cell>
        </row>
        <row r="1658">
          <cell r="A1658">
            <v>8096</v>
          </cell>
        </row>
        <row r="1659">
          <cell r="A1659">
            <v>8097</v>
          </cell>
        </row>
        <row r="1660">
          <cell r="A1660">
            <v>8098</v>
          </cell>
        </row>
        <row r="1661">
          <cell r="A1661">
            <v>8099</v>
          </cell>
        </row>
        <row r="1662">
          <cell r="A1662">
            <v>8100</v>
          </cell>
        </row>
        <row r="1663">
          <cell r="A1663">
            <v>8101</v>
          </cell>
        </row>
        <row r="1664">
          <cell r="A1664">
            <v>8102</v>
          </cell>
        </row>
        <row r="1665">
          <cell r="A1665">
            <v>8103</v>
          </cell>
        </row>
        <row r="1666">
          <cell r="A1666">
            <v>8104</v>
          </cell>
        </row>
        <row r="1667">
          <cell r="A1667">
            <v>8105</v>
          </cell>
        </row>
        <row r="1668">
          <cell r="A1668">
            <v>8106</v>
          </cell>
        </row>
        <row r="1669">
          <cell r="A1669">
            <v>9001</v>
          </cell>
        </row>
        <row r="1670">
          <cell r="A1670">
            <v>9002</v>
          </cell>
        </row>
        <row r="1671">
          <cell r="A1671">
            <v>9003</v>
          </cell>
        </row>
        <row r="1672">
          <cell r="A1672">
            <v>9004</v>
          </cell>
        </row>
        <row r="1673">
          <cell r="A1673">
            <v>9005</v>
          </cell>
        </row>
        <row r="1674">
          <cell r="A1674">
            <v>9006</v>
          </cell>
        </row>
        <row r="1675">
          <cell r="A1675">
            <v>9007</v>
          </cell>
        </row>
        <row r="1676">
          <cell r="A1676">
            <v>9008</v>
          </cell>
        </row>
        <row r="1677">
          <cell r="A1677">
            <v>10001</v>
          </cell>
        </row>
        <row r="1678">
          <cell r="A1678">
            <v>10002</v>
          </cell>
        </row>
        <row r="1679">
          <cell r="A1679">
            <v>10003</v>
          </cell>
        </row>
        <row r="1680">
          <cell r="A1680">
            <v>10004</v>
          </cell>
        </row>
        <row r="1681">
          <cell r="A1681">
            <v>10005</v>
          </cell>
        </row>
        <row r="1682">
          <cell r="A1682">
            <v>10006</v>
          </cell>
        </row>
        <row r="1683">
          <cell r="A1683">
            <v>10007</v>
          </cell>
        </row>
        <row r="1684">
          <cell r="A1684">
            <v>10008</v>
          </cell>
        </row>
        <row r="1685">
          <cell r="A1685">
            <v>10009</v>
          </cell>
        </row>
        <row r="1686">
          <cell r="A1686">
            <v>10010</v>
          </cell>
        </row>
        <row r="1687">
          <cell r="A1687">
            <v>10011</v>
          </cell>
        </row>
        <row r="1688">
          <cell r="A1688">
            <v>10012</v>
          </cell>
        </row>
        <row r="1689">
          <cell r="A1689">
            <v>10013</v>
          </cell>
        </row>
        <row r="1690">
          <cell r="A1690">
            <v>10014</v>
          </cell>
        </row>
        <row r="1691">
          <cell r="A1691">
            <v>10015</v>
          </cell>
        </row>
        <row r="1692">
          <cell r="A1692">
            <v>10016</v>
          </cell>
        </row>
        <row r="1693">
          <cell r="A1693">
            <v>10017</v>
          </cell>
        </row>
        <row r="1694">
          <cell r="A1694">
            <v>10018</v>
          </cell>
        </row>
        <row r="1695">
          <cell r="A1695">
            <v>10019</v>
          </cell>
        </row>
        <row r="1696">
          <cell r="A1696">
            <v>10020</v>
          </cell>
        </row>
        <row r="1697">
          <cell r="A1697">
            <v>10021</v>
          </cell>
        </row>
        <row r="1698">
          <cell r="A1698">
            <v>10022</v>
          </cell>
        </row>
        <row r="1699">
          <cell r="A1699">
            <v>10023</v>
          </cell>
        </row>
        <row r="1700">
          <cell r="A1700">
            <v>10024</v>
          </cell>
        </row>
        <row r="1701">
          <cell r="A1701">
            <v>10025</v>
          </cell>
        </row>
        <row r="1702">
          <cell r="A1702">
            <v>10026</v>
          </cell>
        </row>
        <row r="1703">
          <cell r="A1703">
            <v>10027</v>
          </cell>
        </row>
        <row r="1704">
          <cell r="A1704">
            <v>10028</v>
          </cell>
        </row>
        <row r="1705">
          <cell r="A1705">
            <v>10029</v>
          </cell>
        </row>
        <row r="1706">
          <cell r="A1706">
            <v>10030</v>
          </cell>
        </row>
        <row r="1707">
          <cell r="A1707">
            <v>10031</v>
          </cell>
        </row>
        <row r="1708">
          <cell r="A1708">
            <v>10032</v>
          </cell>
        </row>
        <row r="1709">
          <cell r="A1709">
            <v>10033</v>
          </cell>
        </row>
        <row r="1710">
          <cell r="A1710">
            <v>10034</v>
          </cell>
        </row>
        <row r="1711">
          <cell r="A1711">
            <v>10035</v>
          </cell>
        </row>
        <row r="1712">
          <cell r="A1712">
            <v>10036</v>
          </cell>
        </row>
        <row r="1713">
          <cell r="A1713">
            <v>10037</v>
          </cell>
        </row>
        <row r="1714">
          <cell r="A1714">
            <v>10038</v>
          </cell>
        </row>
        <row r="1715">
          <cell r="A1715">
            <v>10039</v>
          </cell>
        </row>
        <row r="1716">
          <cell r="A1716">
            <v>10040</v>
          </cell>
        </row>
        <row r="1717">
          <cell r="A1717">
            <v>10041</v>
          </cell>
        </row>
        <row r="1718">
          <cell r="A1718">
            <v>10042</v>
          </cell>
        </row>
        <row r="1719">
          <cell r="A1719">
            <v>10043</v>
          </cell>
        </row>
        <row r="1720">
          <cell r="A1720">
            <v>10044</v>
          </cell>
        </row>
        <row r="1721">
          <cell r="A1721">
            <v>10045</v>
          </cell>
        </row>
        <row r="1722">
          <cell r="A1722">
            <v>10046</v>
          </cell>
        </row>
        <row r="1723">
          <cell r="A1723">
            <v>10047</v>
          </cell>
        </row>
        <row r="1724">
          <cell r="A1724">
            <v>10048</v>
          </cell>
        </row>
        <row r="1725">
          <cell r="A1725">
            <v>10049</v>
          </cell>
        </row>
        <row r="1726">
          <cell r="A1726">
            <v>10050</v>
          </cell>
        </row>
        <row r="1727">
          <cell r="A1727">
            <v>10051</v>
          </cell>
        </row>
        <row r="1728">
          <cell r="A1728">
            <v>10052</v>
          </cell>
        </row>
        <row r="1729">
          <cell r="A1729">
            <v>10053</v>
          </cell>
        </row>
        <row r="1730">
          <cell r="A1730">
            <v>10054</v>
          </cell>
        </row>
        <row r="1731">
          <cell r="A1731">
            <v>10055</v>
          </cell>
        </row>
        <row r="1732">
          <cell r="A1732">
            <v>10056</v>
          </cell>
        </row>
        <row r="1733">
          <cell r="A1733">
            <v>10057</v>
          </cell>
        </row>
        <row r="1734">
          <cell r="A1734">
            <v>10058</v>
          </cell>
        </row>
        <row r="1735">
          <cell r="A1735">
            <v>10059</v>
          </cell>
        </row>
        <row r="1736">
          <cell r="A1736">
            <v>10060</v>
          </cell>
        </row>
        <row r="1737">
          <cell r="A1737">
            <v>10061</v>
          </cell>
        </row>
        <row r="1738">
          <cell r="A1738">
            <v>10062</v>
          </cell>
        </row>
        <row r="1739">
          <cell r="A1739">
            <v>10063</v>
          </cell>
        </row>
        <row r="1740">
          <cell r="A1740">
            <v>10064</v>
          </cell>
        </row>
        <row r="1741">
          <cell r="A1741">
            <v>10065</v>
          </cell>
        </row>
        <row r="1742">
          <cell r="A1742">
            <v>10066</v>
          </cell>
        </row>
        <row r="1743">
          <cell r="A1743">
            <v>10067</v>
          </cell>
        </row>
        <row r="1744">
          <cell r="A1744">
            <v>10068</v>
          </cell>
        </row>
        <row r="1745">
          <cell r="A1745">
            <v>10069</v>
          </cell>
        </row>
        <row r="1746">
          <cell r="A1746">
            <v>10070</v>
          </cell>
        </row>
        <row r="1747">
          <cell r="A1747">
            <v>10071</v>
          </cell>
        </row>
        <row r="1748">
          <cell r="A1748">
            <v>10072</v>
          </cell>
        </row>
        <row r="1749">
          <cell r="A1749">
            <v>10073</v>
          </cell>
        </row>
        <row r="1750">
          <cell r="A1750">
            <v>10074</v>
          </cell>
        </row>
        <row r="1751">
          <cell r="A1751">
            <v>10075</v>
          </cell>
        </row>
        <row r="1752">
          <cell r="A1752">
            <v>10076</v>
          </cell>
        </row>
        <row r="1753">
          <cell r="A1753">
            <v>10077</v>
          </cell>
        </row>
        <row r="1754">
          <cell r="A1754">
            <v>10078</v>
          </cell>
        </row>
        <row r="1755">
          <cell r="A1755">
            <v>10079</v>
          </cell>
        </row>
        <row r="1756">
          <cell r="A1756">
            <v>10080</v>
          </cell>
        </row>
        <row r="1757">
          <cell r="A1757">
            <v>10081</v>
          </cell>
        </row>
        <row r="1758">
          <cell r="A1758">
            <v>10082</v>
          </cell>
        </row>
        <row r="1759">
          <cell r="A1759">
            <v>10083</v>
          </cell>
        </row>
        <row r="1760">
          <cell r="A1760">
            <v>10084</v>
          </cell>
        </row>
        <row r="1761">
          <cell r="A1761">
            <v>10085</v>
          </cell>
        </row>
        <row r="1762">
          <cell r="A1762">
            <v>10086</v>
          </cell>
        </row>
        <row r="1763">
          <cell r="A1763">
            <v>10087</v>
          </cell>
        </row>
        <row r="1764">
          <cell r="A1764">
            <v>10088</v>
          </cell>
        </row>
        <row r="1765">
          <cell r="A1765">
            <v>10089</v>
          </cell>
        </row>
        <row r="1766">
          <cell r="A1766">
            <v>10090</v>
          </cell>
        </row>
        <row r="1767">
          <cell r="A1767">
            <v>10101</v>
          </cell>
        </row>
        <row r="1768">
          <cell r="A1768">
            <v>10102</v>
          </cell>
        </row>
        <row r="1769">
          <cell r="A1769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F39" sqref="F3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48" t="s">
        <v>129</v>
      </c>
      <c r="B1" s="43" t="s">
        <v>99</v>
      </c>
      <c r="C1" s="43" t="s">
        <v>100</v>
      </c>
      <c r="D1" s="43" t="s">
        <v>101</v>
      </c>
      <c r="E1" s="43" t="s">
        <v>102</v>
      </c>
      <c r="F1" s="43" t="s">
        <v>103</v>
      </c>
      <c r="G1" s="43" t="s">
        <v>104</v>
      </c>
      <c r="H1" s="43"/>
      <c r="I1" s="43"/>
      <c r="J1" s="43"/>
      <c r="K1" s="43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</row>
    <row r="2" spans="1:30" x14ac:dyDescent="0.15">
      <c r="A2" s="49" t="s">
        <v>324</v>
      </c>
      <c r="B2" s="45" t="s">
        <v>105</v>
      </c>
      <c r="C2" s="50">
        <v>41013</v>
      </c>
      <c r="D2" s="45" t="s">
        <v>106</v>
      </c>
      <c r="E2" s="44" t="str">
        <f>B2&amp;C2&amp;D2</f>
        <v>floors_41013.tmp</v>
      </c>
      <c r="F2" s="45" t="s">
        <v>107</v>
      </c>
      <c r="G2" s="46" t="s">
        <v>0</v>
      </c>
      <c r="H2" s="46" t="s">
        <v>1</v>
      </c>
      <c r="I2" s="46" t="s">
        <v>13</v>
      </c>
      <c r="J2" s="46" t="s">
        <v>14</v>
      </c>
      <c r="K2" s="46" t="s">
        <v>15</v>
      </c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</row>
    <row r="3" spans="1:30" x14ac:dyDescent="0.15">
      <c r="A3" s="49" t="s">
        <v>324</v>
      </c>
      <c r="B3" s="45" t="s">
        <v>108</v>
      </c>
      <c r="C3" s="50">
        <v>41013</v>
      </c>
      <c r="D3" s="45" t="s">
        <v>106</v>
      </c>
      <c r="E3" s="44" t="str">
        <f>B3&amp;C3&amp;D3</f>
        <v>enemy_habitats_41013.tmp</v>
      </c>
      <c r="F3" s="45" t="s">
        <v>109</v>
      </c>
      <c r="G3" s="46" t="s">
        <v>0</v>
      </c>
      <c r="H3" s="46" t="s">
        <v>1</v>
      </c>
      <c r="I3" s="46" t="s">
        <v>13</v>
      </c>
      <c r="J3" s="46" t="s">
        <v>2</v>
      </c>
      <c r="K3" s="46" t="s">
        <v>3</v>
      </c>
      <c r="L3" s="46" t="s">
        <v>47</v>
      </c>
      <c r="M3" s="46" t="s">
        <v>49</v>
      </c>
      <c r="N3" s="46" t="s">
        <v>51</v>
      </c>
      <c r="O3" s="46" t="s">
        <v>22</v>
      </c>
      <c r="P3" s="46" t="s">
        <v>5</v>
      </c>
      <c r="Q3" s="46" t="s">
        <v>6</v>
      </c>
      <c r="R3" s="46" t="s">
        <v>7</v>
      </c>
      <c r="S3" s="46" t="s">
        <v>8</v>
      </c>
      <c r="T3" s="46" t="s">
        <v>9</v>
      </c>
      <c r="U3" s="46" t="s">
        <v>10</v>
      </c>
      <c r="V3" s="46" t="s">
        <v>11</v>
      </c>
      <c r="W3" s="46" t="s">
        <v>12</v>
      </c>
      <c r="X3" s="46" t="s">
        <v>37</v>
      </c>
      <c r="Y3" s="46" t="s">
        <v>39</v>
      </c>
      <c r="Z3" s="46" t="s">
        <v>41</v>
      </c>
      <c r="AA3" s="46" t="s">
        <v>43</v>
      </c>
      <c r="AB3" s="46" t="s">
        <v>45</v>
      </c>
      <c r="AC3" s="46" t="s">
        <v>54</v>
      </c>
      <c r="AD3" s="46" t="s">
        <v>177</v>
      </c>
    </row>
    <row r="4" spans="1:30" x14ac:dyDescent="0.15">
      <c r="A4" s="49" t="s">
        <v>324</v>
      </c>
      <c r="B4" s="45" t="s">
        <v>110</v>
      </c>
      <c r="C4" s="50">
        <v>41013</v>
      </c>
      <c r="D4" s="45" t="s">
        <v>106</v>
      </c>
      <c r="E4" s="44" t="str">
        <f>B4&amp;C4&amp;D4</f>
        <v>enemy_habitat_S_41013.tmp</v>
      </c>
      <c r="F4" s="45" t="s">
        <v>111</v>
      </c>
      <c r="G4" s="46" t="s">
        <v>0</v>
      </c>
      <c r="H4" s="46" t="s">
        <v>1</v>
      </c>
      <c r="I4" s="46" t="s">
        <v>13</v>
      </c>
      <c r="J4" s="46" t="s">
        <v>54</v>
      </c>
      <c r="K4" s="46" t="s">
        <v>55</v>
      </c>
      <c r="L4" s="46" t="s">
        <v>56</v>
      </c>
      <c r="M4" s="46" t="s">
        <v>57</v>
      </c>
      <c r="N4" s="46" t="s">
        <v>58</v>
      </c>
      <c r="O4" s="46" t="s">
        <v>59</v>
      </c>
      <c r="P4" s="46" t="s">
        <v>48</v>
      </c>
      <c r="Q4" s="46" t="s">
        <v>50</v>
      </c>
      <c r="R4" s="46" t="s">
        <v>52</v>
      </c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</row>
    <row r="5" spans="1:30" x14ac:dyDescent="0.15">
      <c r="A5" s="49" t="s">
        <v>324</v>
      </c>
      <c r="B5" s="45" t="s">
        <v>112</v>
      </c>
      <c r="C5" s="50">
        <v>41013</v>
      </c>
      <c r="D5" s="45" t="s">
        <v>106</v>
      </c>
      <c r="E5" s="44" t="str">
        <f>B5&amp;C5&amp;D5</f>
        <v>enemy_skill_sets_41013.tmp</v>
      </c>
      <c r="F5" s="45" t="s">
        <v>113</v>
      </c>
      <c r="G5" s="47" t="s">
        <v>22</v>
      </c>
      <c r="H5" s="47" t="s">
        <v>98</v>
      </c>
      <c r="I5" s="47" t="s">
        <v>93</v>
      </c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</row>
    <row r="6" spans="1:30" x14ac:dyDescent="0.15">
      <c r="A6" s="49" t="s">
        <v>324</v>
      </c>
      <c r="B6" s="45" t="s">
        <v>114</v>
      </c>
      <c r="C6" s="50">
        <v>41013</v>
      </c>
      <c r="D6" s="45" t="s">
        <v>115</v>
      </c>
      <c r="E6" s="44" t="str">
        <f t="shared" ref="E6:E10" si="0">B6&amp;C6&amp;D6</f>
        <v>enemy_skills_tmp_41013.tmp</v>
      </c>
      <c r="F6" s="45" t="s">
        <v>89</v>
      </c>
      <c r="G6" s="46" t="s">
        <v>79</v>
      </c>
      <c r="H6" s="46" t="s">
        <v>80</v>
      </c>
      <c r="I6" s="46" t="s">
        <v>81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</row>
    <row r="7" spans="1:30" x14ac:dyDescent="0.15">
      <c r="A7" s="49" t="s">
        <v>324</v>
      </c>
      <c r="B7" s="45" t="s">
        <v>116</v>
      </c>
      <c r="C7" s="50">
        <v>41013</v>
      </c>
      <c r="D7" s="45" t="s">
        <v>106</v>
      </c>
      <c r="E7" s="44" t="str">
        <f>B7&amp;C7&amp;D7</f>
        <v>enemy_skills_i18n_41013.tmp</v>
      </c>
      <c r="F7" s="45" t="s">
        <v>117</v>
      </c>
      <c r="G7" s="46" t="s">
        <v>79</v>
      </c>
      <c r="H7" s="46" t="s">
        <v>90</v>
      </c>
      <c r="I7" s="46" t="s">
        <v>91</v>
      </c>
      <c r="J7" s="46" t="s">
        <v>92</v>
      </c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</row>
    <row r="8" spans="1:30" x14ac:dyDescent="0.15">
      <c r="A8" s="49" t="s">
        <v>324</v>
      </c>
      <c r="B8" s="45" t="s">
        <v>118</v>
      </c>
      <c r="C8" s="50">
        <v>41013</v>
      </c>
      <c r="D8" s="45" t="s">
        <v>119</v>
      </c>
      <c r="E8" s="44" t="str">
        <f t="shared" si="0"/>
        <v>enemy_skill_triggers_41013.tmp</v>
      </c>
      <c r="F8" s="45" t="s">
        <v>120</v>
      </c>
      <c r="G8" s="46" t="s">
        <v>93</v>
      </c>
      <c r="H8" s="46" t="s">
        <v>94</v>
      </c>
      <c r="I8" s="46" t="s">
        <v>95</v>
      </c>
      <c r="J8" s="46" t="s">
        <v>96</v>
      </c>
      <c r="K8" s="46" t="s">
        <v>121</v>
      </c>
      <c r="L8" s="46" t="s">
        <v>97</v>
      </c>
      <c r="M8" s="46" t="s">
        <v>122</v>
      </c>
      <c r="N8" s="46" t="s">
        <v>123</v>
      </c>
      <c r="O8" s="46" t="s">
        <v>124</v>
      </c>
      <c r="P8" s="46" t="s">
        <v>67</v>
      </c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</row>
    <row r="9" spans="1:30" x14ac:dyDescent="0.15">
      <c r="A9" s="49" t="s">
        <v>324</v>
      </c>
      <c r="B9" s="55" t="s">
        <v>176</v>
      </c>
      <c r="C9" s="50">
        <v>41013</v>
      </c>
      <c r="D9" s="55" t="s">
        <v>170</v>
      </c>
      <c r="E9" s="56" t="str">
        <f t="shared" si="0"/>
        <v>stage_bug_bonuses_41013.tmp</v>
      </c>
      <c r="F9" s="55" t="s">
        <v>171</v>
      </c>
      <c r="G9" s="52" t="s">
        <v>149</v>
      </c>
      <c r="H9" s="52" t="s">
        <v>172</v>
      </c>
      <c r="I9" s="52" t="s">
        <v>173</v>
      </c>
      <c r="J9" s="54" t="s">
        <v>174</v>
      </c>
      <c r="K9" s="52" t="s">
        <v>175</v>
      </c>
      <c r="L9" s="52" t="s">
        <v>155</v>
      </c>
      <c r="M9" s="52" t="s">
        <v>156</v>
      </c>
      <c r="N9" s="52" t="s">
        <v>157</v>
      </c>
      <c r="O9" s="52" t="s">
        <v>158</v>
      </c>
      <c r="P9" s="52" t="s">
        <v>159</v>
      </c>
      <c r="Q9" s="52" t="s">
        <v>160</v>
      </c>
      <c r="R9" s="52" t="s">
        <v>161</v>
      </c>
      <c r="S9" s="52" t="s">
        <v>162</v>
      </c>
      <c r="T9" s="52" t="s">
        <v>163</v>
      </c>
      <c r="U9" s="52" t="s">
        <v>164</v>
      </c>
      <c r="V9" s="52" t="s">
        <v>165</v>
      </c>
      <c r="W9" s="52" t="s">
        <v>166</v>
      </c>
      <c r="X9" s="45"/>
      <c r="Y9" s="45"/>
      <c r="Z9" s="45"/>
      <c r="AA9" s="45"/>
      <c r="AB9" s="45"/>
      <c r="AC9" s="45"/>
      <c r="AD9" s="45"/>
    </row>
    <row r="10" spans="1:30" s="61" customFormat="1" x14ac:dyDescent="0.15">
      <c r="A10" s="49" t="s">
        <v>324</v>
      </c>
      <c r="B10" s="55" t="s">
        <v>200</v>
      </c>
      <c r="C10" s="50">
        <v>41013</v>
      </c>
      <c r="D10" s="55" t="s">
        <v>179</v>
      </c>
      <c r="E10" s="56" t="str">
        <f t="shared" si="0"/>
        <v>stage_hints_data_c_41013.tmp</v>
      </c>
      <c r="F10" s="55" t="s">
        <v>208</v>
      </c>
      <c r="G10" s="59" t="s">
        <v>180</v>
      </c>
      <c r="H10" s="59" t="s">
        <v>172</v>
      </c>
      <c r="I10" s="60" t="s">
        <v>181</v>
      </c>
      <c r="J10" s="54" t="s">
        <v>182</v>
      </c>
      <c r="K10" s="54" t="s">
        <v>183</v>
      </c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</row>
    <row r="11" spans="1:30" s="61" customFormat="1" x14ac:dyDescent="0.15">
      <c r="A11" s="49" t="s">
        <v>324</v>
      </c>
      <c r="B11" s="55" t="s">
        <v>201</v>
      </c>
      <c r="C11" s="50">
        <v>41013</v>
      </c>
      <c r="D11" s="55" t="s">
        <v>170</v>
      </c>
      <c r="E11" s="56" t="str">
        <f t="shared" ref="E11:E13" si="1">B11&amp;C11&amp;D11</f>
        <v>stage_hints_data_f_41013.tmp</v>
      </c>
      <c r="F11" s="55" t="s">
        <v>210</v>
      </c>
      <c r="G11" s="59" t="s">
        <v>180</v>
      </c>
      <c r="H11" s="59" t="s">
        <v>172</v>
      </c>
      <c r="I11" s="60" t="s">
        <v>181</v>
      </c>
      <c r="J11" s="54" t="s">
        <v>182</v>
      </c>
      <c r="K11" s="54" t="s">
        <v>183</v>
      </c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</row>
    <row r="12" spans="1:30" s="61" customFormat="1" x14ac:dyDescent="0.15">
      <c r="A12" s="49" t="s">
        <v>324</v>
      </c>
      <c r="B12" s="55" t="s">
        <v>202</v>
      </c>
      <c r="C12" s="50">
        <v>41013</v>
      </c>
      <c r="D12" s="55" t="s">
        <v>170</v>
      </c>
      <c r="E12" s="56" t="str">
        <f t="shared" si="1"/>
        <v>stage_hints_i18n_41013.tmp</v>
      </c>
      <c r="F12" s="55" t="s">
        <v>211</v>
      </c>
      <c r="G12" s="60" t="s">
        <v>203</v>
      </c>
      <c r="H12" s="81" t="s">
        <v>204</v>
      </c>
      <c r="I12" s="59" t="s">
        <v>205</v>
      </c>
      <c r="J12" s="89" t="s">
        <v>206</v>
      </c>
      <c r="K12" s="54" t="s">
        <v>207</v>
      </c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</row>
    <row r="13" spans="1:30" s="61" customFormat="1" x14ac:dyDescent="0.15">
      <c r="A13" s="49" t="s">
        <v>324</v>
      </c>
      <c r="B13" s="55" t="s">
        <v>251</v>
      </c>
      <c r="C13" s="50">
        <v>41013</v>
      </c>
      <c r="D13" s="55" t="s">
        <v>232</v>
      </c>
      <c r="E13" s="56" t="str">
        <f t="shared" si="1"/>
        <v>stage_bonuses_41013.tmp</v>
      </c>
      <c r="F13" s="55" t="s">
        <v>231</v>
      </c>
      <c r="G13" s="59" t="s">
        <v>233</v>
      </c>
      <c r="H13" s="59" t="s">
        <v>234</v>
      </c>
      <c r="I13" s="59" t="s">
        <v>235</v>
      </c>
      <c r="J13" s="59" t="s">
        <v>236</v>
      </c>
      <c r="K13" s="59" t="s">
        <v>237</v>
      </c>
      <c r="L13" s="59" t="s">
        <v>238</v>
      </c>
      <c r="M13" s="59" t="s">
        <v>239</v>
      </c>
      <c r="N13" s="59" t="s">
        <v>240</v>
      </c>
      <c r="O13" s="59" t="s">
        <v>241</v>
      </c>
      <c r="P13" s="59" t="s">
        <v>242</v>
      </c>
      <c r="Q13" s="59" t="s">
        <v>243</v>
      </c>
      <c r="R13" s="59" t="s">
        <v>244</v>
      </c>
      <c r="S13" s="59" t="s">
        <v>245</v>
      </c>
      <c r="T13" s="59" t="s">
        <v>246</v>
      </c>
      <c r="U13" s="59" t="s">
        <v>247</v>
      </c>
      <c r="V13" s="59" t="s">
        <v>248</v>
      </c>
      <c r="W13" s="59" t="s">
        <v>249</v>
      </c>
      <c r="X13" s="59" t="s">
        <v>250</v>
      </c>
      <c r="Y13" s="88"/>
      <c r="Z13" s="88"/>
      <c r="AA13" s="88"/>
      <c r="AB13" s="88"/>
      <c r="AC13" s="88"/>
      <c r="AD13" s="8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workbookViewId="0">
      <pane ySplit="1" topLeftCell="A2" activePane="bottomLeft" state="frozen"/>
      <selection activeCell="V2" sqref="V2:X34"/>
      <selection pane="bottomLeft" activeCell="L9" sqref="L9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2" bestFit="1" customWidth="1"/>
    <col min="4" max="5" width="10.33203125" style="2" customWidth="1" outlineLevel="1"/>
    <col min="6" max="6" width="7" style="2" bestFit="1" customWidth="1"/>
    <col min="7" max="7" width="8.83203125" style="17" customWidth="1" outlineLevel="1"/>
    <col min="8" max="8" width="16.1640625" style="2" customWidth="1" outlineLevel="1"/>
    <col min="9" max="9" width="6.5" style="2" bestFit="1" customWidth="1"/>
    <col min="10" max="10" width="11" style="2" bestFit="1" customWidth="1"/>
    <col min="11" max="11" width="11.33203125" style="2" bestFit="1" customWidth="1"/>
    <col min="12" max="16384" width="13" style="2"/>
  </cols>
  <sheetData>
    <row r="1" spans="1:11" ht="21" customHeight="1" x14ac:dyDescent="0.15">
      <c r="A1" s="14" t="s">
        <v>30</v>
      </c>
      <c r="B1" s="14" t="s">
        <v>36</v>
      </c>
      <c r="C1" s="101" t="s">
        <v>0</v>
      </c>
      <c r="D1" s="102" t="s">
        <v>18</v>
      </c>
      <c r="E1" s="102" t="s">
        <v>33</v>
      </c>
      <c r="F1" s="101" t="s">
        <v>1</v>
      </c>
      <c r="G1" s="103" t="s">
        <v>32</v>
      </c>
      <c r="H1" s="102" t="s">
        <v>34</v>
      </c>
      <c r="I1" s="101" t="s">
        <v>13</v>
      </c>
      <c r="J1" s="101" t="s">
        <v>14</v>
      </c>
      <c r="K1" s="101" t="s">
        <v>15</v>
      </c>
    </row>
    <row r="2" spans="1:11" ht="21" customHeight="1" x14ac:dyDescent="0.15">
      <c r="A2" s="110" t="str">
        <f>G2&amp;"-"&amp;I2</f>
        <v>41013_1-1</v>
      </c>
      <c r="B2" s="110" t="str">
        <f>IF(COUNTIF(enemy_habitats!$H:$H,A2),"OK","NG")</f>
        <v>OK</v>
      </c>
      <c r="C2" s="97">
        <v>41013</v>
      </c>
      <c r="D2" s="16" t="str">
        <f ca="1">VLOOKUP($C2,OFFSET([2]quests!$A$1,0,0,COUNTA([2]quests!$A:$A),MATCH(D$1,[2]quests!$1:$1,0)-MATCH($C$1,[2]quests!$1:$1,0)+1),MATCH(D$1,[2]quests!$1:$1,0)-MATCH($C$1,[2]quests!$1:$1,0)+1,FALSE)</f>
        <v>カーマ襲来！</v>
      </c>
      <c r="E2" s="16" t="str">
        <f ca="1">VLOOKUP($C2,OFFSET([2]quests!$A$1,0,0,COUNTA([2]quests!$A:$A),MATCH(E$1,[2]quests!$1:$1,0)-MATCH($C$1,[2]quests!$1:$1,0)+1),MATCH(E$1,[2]quests!$1:$1,0)-MATCH($C$1,[2]quests!$1:$1,0)+1,FALSE)</f>
        <v>降臨1</v>
      </c>
      <c r="F2" s="92">
        <v>1</v>
      </c>
      <c r="G2" s="20" t="str">
        <f>C2&amp;"_"&amp;F2</f>
        <v>41013_1</v>
      </c>
      <c r="H2" s="13" t="str">
        <f ca="1">VLOOKUP($G2,OFFSET([2]stages!$A$1,0,0,COUNTA([2]stages!$A:$A),MATCH(H$1,[2]stages!$2:$2,0)-MATCH($G$1,[2]stages!$2:$2,0)+1),MATCH(H$1,[2]stages!$2:$2,0)-MATCH($G$1,[2]stages!$2:$2,0)+1,FALSE)</f>
        <v>【超絶級】カーマ襲来</v>
      </c>
      <c r="I2" s="92">
        <v>1</v>
      </c>
      <c r="J2" s="26">
        <v>40</v>
      </c>
      <c r="K2" s="26">
        <v>40</v>
      </c>
    </row>
    <row r="3" spans="1:11" ht="21" customHeight="1" x14ac:dyDescent="0.15">
      <c r="A3" s="111" t="str">
        <f t="shared" ref="A3:A4" si="0">G3&amp;"-"&amp;I3</f>
        <v>41013_1-2</v>
      </c>
      <c r="B3" s="111" t="str">
        <f>IF(COUNTIF(enemy_habitats!$H:$H,A3),"OK","NG")</f>
        <v>OK</v>
      </c>
      <c r="C3" s="97">
        <v>41013</v>
      </c>
      <c r="D3" s="16" t="str">
        <f ca="1">VLOOKUP($C3,OFFSET([2]quests!$A$1,0,0,COUNTA([2]quests!$A:$A),MATCH(D$1,[2]quests!$1:$1,0)-MATCH($C$1,[2]quests!$1:$1,0)+1),MATCH(D$1,[2]quests!$1:$1,0)-MATCH($C$1,[2]quests!$1:$1,0)+1,FALSE)</f>
        <v>カーマ襲来！</v>
      </c>
      <c r="E3" s="16" t="str">
        <f ca="1">VLOOKUP($C3,OFFSET([2]quests!$A$1,0,0,COUNTA([2]quests!$A:$A),MATCH(E$1,[2]quests!$1:$1,0)-MATCH($C$1,[2]quests!$1:$1,0)+1),MATCH(E$1,[2]quests!$1:$1,0)-MATCH($C$1,[2]quests!$1:$1,0)+1,FALSE)</f>
        <v>降臨1</v>
      </c>
      <c r="F3" s="92">
        <v>1</v>
      </c>
      <c r="G3" s="20" t="str">
        <f t="shared" ref="G3:G4" si="1">C3&amp;"_"&amp;F3</f>
        <v>41013_1</v>
      </c>
      <c r="H3" s="13" t="str">
        <f ca="1">VLOOKUP($G3,OFFSET([2]stages!$A$1,0,0,COUNTA([2]stages!$A:$A),MATCH(H$1,[2]stages!$2:$2,0)-MATCH($G$1,[2]stages!$2:$2,0)+1),MATCH(H$1,[2]stages!$2:$2,0)-MATCH($G$1,[2]stages!$2:$2,0)+1,FALSE)</f>
        <v>【超絶級】カーマ襲来</v>
      </c>
      <c r="I3" s="92">
        <v>2</v>
      </c>
      <c r="J3" s="26">
        <v>60</v>
      </c>
      <c r="K3" s="26">
        <v>60</v>
      </c>
    </row>
    <row r="4" spans="1:11" ht="21" customHeight="1" thickBot="1" x14ac:dyDescent="0.2">
      <c r="A4" s="112" t="str">
        <f t="shared" si="0"/>
        <v>41013_1-3</v>
      </c>
      <c r="B4" s="112" t="str">
        <f>IF(COUNTIF(enemy_habitats!$H:$H,A4),"OK","NG")</f>
        <v>OK</v>
      </c>
      <c r="C4" s="113">
        <v>41013</v>
      </c>
      <c r="D4" s="114" t="str">
        <f ca="1">VLOOKUP($C4,OFFSET([2]quests!$A$1,0,0,COUNTA([2]quests!$A:$A),MATCH(D$1,[2]quests!$1:$1,0)-MATCH($C$1,[2]quests!$1:$1,0)+1),MATCH(D$1,[2]quests!$1:$1,0)-MATCH($C$1,[2]quests!$1:$1,0)+1,FALSE)</f>
        <v>カーマ襲来！</v>
      </c>
      <c r="E4" s="114" t="str">
        <f ca="1">VLOOKUP($C4,OFFSET([2]quests!$A$1,0,0,COUNTA([2]quests!$A:$A),MATCH(E$1,[2]quests!$1:$1,0)-MATCH($C$1,[2]quests!$1:$1,0)+1),MATCH(E$1,[2]quests!$1:$1,0)-MATCH($C$1,[2]quests!$1:$1,0)+1,FALSE)</f>
        <v>降臨1</v>
      </c>
      <c r="F4" s="115">
        <v>1</v>
      </c>
      <c r="G4" s="116" t="str">
        <f t="shared" si="1"/>
        <v>41013_1</v>
      </c>
      <c r="H4" s="117" t="str">
        <f ca="1">VLOOKUP($G4,OFFSET([2]stages!$A$1,0,0,COUNTA([2]stages!$A:$A),MATCH(H$1,[2]stages!$2:$2,0)-MATCH($G$1,[2]stages!$2:$2,0)+1),MATCH(H$1,[2]stages!$2:$2,0)-MATCH($G$1,[2]stages!$2:$2,0)+1,FALSE)</f>
        <v>【超絶級】カーマ襲来</v>
      </c>
      <c r="I4" s="115">
        <v>3</v>
      </c>
      <c r="J4" s="118">
        <v>60</v>
      </c>
      <c r="K4" s="118">
        <v>60</v>
      </c>
    </row>
    <row r="5" spans="1:11" ht="21" customHeight="1" thickTop="1" x14ac:dyDescent="0.15">
      <c r="A5" s="14" t="str">
        <f>G5&amp;"-"&amp;I5</f>
        <v>41013_2-1</v>
      </c>
      <c r="B5" s="14" t="str">
        <f>IF(COUNTIF(enemy_habitats!$H:$H,A5),"OK","NG")</f>
        <v>OK</v>
      </c>
      <c r="C5" s="104">
        <v>41013</v>
      </c>
      <c r="D5" s="105" t="str">
        <f ca="1">VLOOKUP($C5,OFFSET([2]quests!$A$1,0,0,COUNTA([2]quests!$A:$A),MATCH(D$1,[2]quests!$1:$1,0)-MATCH($C$1,[2]quests!$1:$1,0)+1),MATCH(D$1,[2]quests!$1:$1,0)-MATCH($C$1,[2]quests!$1:$1,0)+1,FALSE)</f>
        <v>カーマ襲来！</v>
      </c>
      <c r="E5" s="105" t="str">
        <f ca="1">VLOOKUP($C5,OFFSET([2]quests!$A$1,0,0,COUNTA([2]quests!$A:$A),MATCH(E$1,[2]quests!$1:$1,0)-MATCH($C$1,[2]quests!$1:$1,0)+1),MATCH(E$1,[2]quests!$1:$1,0)-MATCH($C$1,[2]quests!$1:$1,0)+1,FALSE)</f>
        <v>降臨1</v>
      </c>
      <c r="F5" s="106">
        <v>2</v>
      </c>
      <c r="G5" s="107" t="str">
        <f>C5&amp;"_"&amp;F5</f>
        <v>41013_2</v>
      </c>
      <c r="H5" s="108" t="str">
        <f ca="1">VLOOKUP($G5,OFFSET([2]stages!$A$1,0,0,COUNTA([2]stages!$A:$A),MATCH(H$1,[2]stages!$2:$2,0)-MATCH($G$1,[2]stages!$2:$2,0)+1),MATCH(H$1,[2]stages!$2:$2,0)-MATCH($G$1,[2]stages!$2:$2,0)+1,FALSE)</f>
        <v>【ウィザード級】カーマ襲来</v>
      </c>
      <c r="I5" s="106">
        <v>1</v>
      </c>
      <c r="J5" s="109">
        <v>40</v>
      </c>
      <c r="K5" s="109">
        <v>40</v>
      </c>
    </row>
    <row r="6" spans="1:11" ht="21" customHeight="1" x14ac:dyDescent="0.15">
      <c r="A6" s="14" t="str">
        <f t="shared" ref="A6:A7" si="2">G6&amp;"-"&amp;I6</f>
        <v>41013_2-2</v>
      </c>
      <c r="B6" s="14" t="str">
        <f>IF(COUNTIF(enemy_habitats!$H:$H,A6),"OK","NG")</f>
        <v>OK</v>
      </c>
      <c r="C6" s="6">
        <v>41013</v>
      </c>
      <c r="D6" s="10" t="str">
        <f ca="1">VLOOKUP($C6,OFFSET([2]quests!$A$1,0,0,COUNTA([2]quests!$A:$A),MATCH(D$1,[2]quests!$1:$1,0)-MATCH($C$1,[2]quests!$1:$1,0)+1),MATCH(D$1,[2]quests!$1:$1,0)-MATCH($C$1,[2]quests!$1:$1,0)+1,FALSE)</f>
        <v>カーマ襲来！</v>
      </c>
      <c r="E6" s="16" t="str">
        <f ca="1">VLOOKUP($C6,OFFSET([2]quests!$A$1,0,0,COUNTA([2]quests!$A:$A),MATCH(E$1,[2]quests!$1:$1,0)-MATCH($C$1,[2]quests!$1:$1,0)+1),MATCH(E$1,[2]quests!$1:$1,0)-MATCH($C$1,[2]quests!$1:$1,0)+1,FALSE)</f>
        <v>降臨1</v>
      </c>
      <c r="F6" s="18">
        <v>2</v>
      </c>
      <c r="G6" s="20" t="str">
        <f t="shared" ref="G6:G7" si="3">C6&amp;"_"&amp;F6</f>
        <v>41013_2</v>
      </c>
      <c r="H6" s="13" t="str">
        <f ca="1">VLOOKUP($G6,OFFSET([2]stages!$A$1,0,0,COUNTA([2]stages!$A:$A),MATCH(H$1,[2]stages!$2:$2,0)-MATCH($G$1,[2]stages!$2:$2,0)+1),MATCH(H$1,[2]stages!$2:$2,0)-MATCH($G$1,[2]stages!$2:$2,0)+1,FALSE)</f>
        <v>【ウィザード級】カーマ襲来</v>
      </c>
      <c r="I6" s="92">
        <v>2</v>
      </c>
      <c r="J6" s="26">
        <v>60</v>
      </c>
      <c r="K6" s="26">
        <v>60</v>
      </c>
    </row>
    <row r="7" spans="1:11" ht="21" customHeight="1" x14ac:dyDescent="0.15">
      <c r="A7" s="14" t="str">
        <f t="shared" si="2"/>
        <v>41013_2-3</v>
      </c>
      <c r="B7" s="14" t="str">
        <f>IF(COUNTIF(enemy_habitats!$H:$H,A7),"OK","NG")</f>
        <v>OK</v>
      </c>
      <c r="C7" s="6">
        <v>41013</v>
      </c>
      <c r="D7" s="10" t="str">
        <f ca="1">VLOOKUP($C7,OFFSET([2]quests!$A$1,0,0,COUNTA([2]quests!$A:$A),MATCH(D$1,[2]quests!$1:$1,0)-MATCH($C$1,[2]quests!$1:$1,0)+1),MATCH(D$1,[2]quests!$1:$1,0)-MATCH($C$1,[2]quests!$1:$1,0)+1,FALSE)</f>
        <v>カーマ襲来！</v>
      </c>
      <c r="E7" s="16" t="str">
        <f ca="1">VLOOKUP($C7,OFFSET([2]quests!$A$1,0,0,COUNTA([2]quests!$A:$A),MATCH(E$1,[2]quests!$1:$1,0)-MATCH($C$1,[2]quests!$1:$1,0)+1),MATCH(E$1,[2]quests!$1:$1,0)-MATCH($C$1,[2]quests!$1:$1,0)+1,FALSE)</f>
        <v>降臨1</v>
      </c>
      <c r="F7" s="18">
        <v>2</v>
      </c>
      <c r="G7" s="20" t="str">
        <f t="shared" si="3"/>
        <v>41013_2</v>
      </c>
      <c r="H7" s="13" t="str">
        <f ca="1">VLOOKUP($G7,OFFSET([2]stages!$A$1,0,0,COUNTA([2]stages!$A:$A),MATCH(H$1,[2]stages!$2:$2,0)-MATCH($G$1,[2]stages!$2:$2,0)+1),MATCH(H$1,[2]stages!$2:$2,0)-MATCH($G$1,[2]stages!$2:$2,0)+1,FALSE)</f>
        <v>【ウィザード級】カーマ襲来</v>
      </c>
      <c r="I7" s="92">
        <v>3</v>
      </c>
      <c r="J7" s="26">
        <v>60</v>
      </c>
      <c r="K7" s="26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zoomScale="87" zoomScaleNormal="87" zoomScalePageLayoutView="87" workbookViewId="0">
      <pane xSplit="17" ySplit="1" topLeftCell="AC2" activePane="bottomRight" state="frozen"/>
      <selection pane="topRight" activeCell="N1" sqref="N1"/>
      <selection pane="bottomLeft" activeCell="A2" sqref="A2"/>
      <selection pane="bottomRight" activeCell="L19" sqref="L19"/>
    </sheetView>
  </sheetViews>
  <sheetFormatPr baseColWidth="12" defaultColWidth="13" defaultRowHeight="21" customHeight="1" outlineLevelCol="1" x14ac:dyDescent="0.15"/>
  <cols>
    <col min="1" max="1" width="15.83203125" style="17" bestFit="1" customWidth="1"/>
    <col min="2" max="2" width="10.83203125" style="2" bestFit="1" customWidth="1"/>
    <col min="3" max="3" width="10.6640625" style="2" bestFit="1" customWidth="1"/>
    <col min="4" max="4" width="13" style="12" customWidth="1" outlineLevel="1"/>
    <col min="5" max="5" width="11.6640625" style="2" customWidth="1" outlineLevel="1"/>
    <col min="6" max="6" width="16.1640625" style="2" customWidth="1" outlineLevel="1"/>
    <col min="7" max="7" width="10" style="2" bestFit="1" customWidth="1"/>
    <col min="8" max="10" width="12.33203125" style="2" customWidth="1" outlineLevel="1"/>
    <col min="11" max="11" width="12.33203125" style="2" customWidth="1"/>
    <col min="12" max="12" width="13.5" style="8" bestFit="1" customWidth="1"/>
    <col min="13" max="13" width="8.83203125" style="2" customWidth="1" outlineLevel="1"/>
    <col min="14" max="14" width="8.6640625" style="2" customWidth="1" outlineLevel="1"/>
    <col min="15" max="15" width="12" style="2" customWidth="1" outlineLevel="1"/>
    <col min="16" max="16" width="21" style="2" customWidth="1" outlineLevel="1"/>
    <col min="17" max="17" width="8" style="2" customWidth="1" outlineLevel="1"/>
    <col min="18" max="18" width="8.33203125" style="2" bestFit="1" customWidth="1"/>
    <col min="19" max="19" width="14.83203125" style="2" bestFit="1" customWidth="1"/>
    <col min="20" max="20" width="14.83203125" style="91" customWidth="1"/>
    <col min="21" max="21" width="17.5" style="2" bestFit="1" customWidth="1"/>
    <col min="22" max="22" width="17.5" style="2" customWidth="1"/>
    <col min="23" max="23" width="18.33203125" style="2" bestFit="1" customWidth="1"/>
    <col min="24" max="24" width="10" style="2" customWidth="1"/>
    <col min="25" max="25" width="12.1640625" style="2" customWidth="1" outlineLevel="1"/>
    <col min="26" max="26" width="11.33203125" style="2" bestFit="1" customWidth="1"/>
    <col min="27" max="27" width="11.6640625" style="2" bestFit="1" customWidth="1"/>
    <col min="28" max="28" width="10.6640625" style="2" bestFit="1" customWidth="1"/>
    <col min="29" max="29" width="9.33203125" style="2" bestFit="1" customWidth="1"/>
    <col min="30" max="30" width="13" style="2" bestFit="1" customWidth="1"/>
    <col min="31" max="31" width="8.83203125" style="11" bestFit="1" customWidth="1" outlineLevel="1"/>
    <col min="32" max="32" width="8" style="12" bestFit="1" customWidth="1" outlineLevel="1"/>
    <col min="33" max="33" width="12" style="12" bestFit="1" customWidth="1" outlineLevel="1"/>
    <col min="34" max="34" width="15" style="9" bestFit="1" customWidth="1" collapsed="1"/>
    <col min="35" max="36" width="14.83203125" style="2" bestFit="1" customWidth="1"/>
    <col min="37" max="37" width="6.6640625" style="2" bestFit="1" customWidth="1"/>
    <col min="38" max="38" width="9.33203125" style="2" bestFit="1" customWidth="1"/>
    <col min="39" max="39" width="10.33203125" style="2" bestFit="1" customWidth="1"/>
    <col min="40" max="40" width="7.6640625" style="2" bestFit="1" customWidth="1"/>
    <col min="41" max="41" width="4" style="2" bestFit="1" customWidth="1"/>
    <col min="42" max="16384" width="13" style="2"/>
  </cols>
  <sheetData>
    <row r="1" spans="1:42" s="25" customFormat="1" ht="21" customHeight="1" x14ac:dyDescent="0.15">
      <c r="A1" s="23" t="s">
        <v>29</v>
      </c>
      <c r="B1" s="24" t="s">
        <v>0</v>
      </c>
      <c r="C1" s="24" t="s">
        <v>1</v>
      </c>
      <c r="D1" s="119" t="s">
        <v>28</v>
      </c>
      <c r="E1" s="119" t="s">
        <v>20</v>
      </c>
      <c r="F1" s="119" t="s">
        <v>20</v>
      </c>
      <c r="G1" s="24" t="s">
        <v>19</v>
      </c>
      <c r="H1" s="119" t="s">
        <v>35</v>
      </c>
      <c r="I1" s="119" t="s">
        <v>14</v>
      </c>
      <c r="J1" s="119" t="s">
        <v>15</v>
      </c>
      <c r="K1" s="120" t="s">
        <v>54</v>
      </c>
      <c r="L1" s="120" t="s">
        <v>2</v>
      </c>
      <c r="M1" s="121" t="s">
        <v>21</v>
      </c>
      <c r="N1" s="119" t="s">
        <v>24</v>
      </c>
      <c r="O1" s="119" t="s">
        <v>23</v>
      </c>
      <c r="P1" s="122" t="s">
        <v>26</v>
      </c>
      <c r="Q1" s="119" t="s">
        <v>25</v>
      </c>
      <c r="R1" s="24" t="s">
        <v>3</v>
      </c>
      <c r="S1" s="24" t="s">
        <v>48</v>
      </c>
      <c r="T1" s="123" t="s">
        <v>252</v>
      </c>
      <c r="U1" s="24" t="s">
        <v>50</v>
      </c>
      <c r="V1" s="123" t="s">
        <v>253</v>
      </c>
      <c r="W1" s="24" t="s">
        <v>52</v>
      </c>
      <c r="X1" s="119" t="s">
        <v>31</v>
      </c>
      <c r="Y1" s="24" t="s">
        <v>4</v>
      </c>
      <c r="Z1" s="24" t="s">
        <v>5</v>
      </c>
      <c r="AA1" s="24" t="s">
        <v>6</v>
      </c>
      <c r="AB1" s="24" t="s">
        <v>7</v>
      </c>
      <c r="AC1" s="24" t="s">
        <v>8</v>
      </c>
      <c r="AD1" s="24" t="s">
        <v>9</v>
      </c>
      <c r="AE1" s="124" t="s">
        <v>16</v>
      </c>
      <c r="AF1" s="124" t="s">
        <v>17</v>
      </c>
      <c r="AG1" s="124" t="s">
        <v>27</v>
      </c>
      <c r="AH1" s="24" t="s">
        <v>10</v>
      </c>
      <c r="AI1" s="24" t="s">
        <v>11</v>
      </c>
      <c r="AJ1" s="24" t="s">
        <v>12</v>
      </c>
      <c r="AK1" s="24" t="s">
        <v>38</v>
      </c>
      <c r="AL1" s="24" t="s">
        <v>40</v>
      </c>
      <c r="AM1" s="24" t="s">
        <v>42</v>
      </c>
      <c r="AN1" s="24" t="s">
        <v>44</v>
      </c>
      <c r="AO1" s="24" t="s">
        <v>46</v>
      </c>
      <c r="AP1" s="120" t="s">
        <v>178</v>
      </c>
    </row>
    <row r="2" spans="1:42" s="139" customFormat="1" ht="21" customHeight="1" x14ac:dyDescent="0.15">
      <c r="A2" s="110" t="str">
        <f>B2&amp;"_"&amp;C2&amp;"-"&amp;G2&amp;"/"&amp;L2&amp;"&lt;lv"&amp;R2&amp;"&gt;s"&amp;AC2</f>
        <v>41013_1-1/52&lt;lv60&gt;s2</v>
      </c>
      <c r="B2" s="133">
        <v>41013</v>
      </c>
      <c r="C2" s="92">
        <v>1</v>
      </c>
      <c r="D2" s="13" t="str">
        <f>B2&amp;"_"&amp;C2</f>
        <v>41013_1</v>
      </c>
      <c r="E2" s="134" t="str">
        <f ca="1">VLOOKUP($B2,OFFSET([2]quests!$A$1,0,0,COUNTA([2]quests!$A:$A),MATCH(E$1,[2]quests!$1:$1,0)-MATCH($B$1,[2]quests!$1:$1,0)+1),MATCH(E$1,[2]quests!$1:$1,0)-MATCH($B$1,[2]quests!$1:$1,0)+1,FALSE)</f>
        <v>カーマ襲来！</v>
      </c>
      <c r="F2" s="134" t="str">
        <f ca="1">VLOOKUP($D2,OFFSET([2]stages!$A$1,0,0,COUNTA([2]stages!$A:$A),MATCH(F$1,[2]stages!$2:$2,0)-MATCH($D$1,[2]stages!$2:$2,0)+1),MATCH(F$1,[2]stages!$2:$2,0)-MATCH($D$1,[2]stages!$2:$2,0)+1,FALSE)</f>
        <v>【超絶級】カーマ襲来</v>
      </c>
      <c r="G2" s="92">
        <v>1</v>
      </c>
      <c r="H2" s="13" t="str">
        <f>B2&amp;"_"&amp;C2&amp;"-"&amp;G2</f>
        <v>41013_1-1</v>
      </c>
      <c r="I2" s="134">
        <f ca="1">VLOOKUP($H2,OFFSET(floors!$A$1,0,0,COUNTA(floors!$A:$A),MATCH(I$1,floors!$1:$1,0)-MATCH($H$1,floors!$1:$1,0)+1),MATCH(I$1,floors!$1:$1,0)-MATCH($H$1,floors!$1:$1,0)+1,FALSE)</f>
        <v>40</v>
      </c>
      <c r="J2" s="134">
        <f ca="1">VLOOKUP($H2,OFFSET(floors!$A$1,0,0,COUNTA(floors!$A:$A),MATCH(J$1,floors!$1:$1,0)-MATCH($H$1,floors!$1:$1,0)+1),MATCH(J$1,floors!$1:$1,0)-MATCH($H$1,floors!$1:$1,0)+1,FALSE)</f>
        <v>40</v>
      </c>
      <c r="K2" s="26" t="s">
        <v>53</v>
      </c>
      <c r="L2" s="93">
        <v>52</v>
      </c>
      <c r="M2" s="135" t="str">
        <f ca="1">VLOOKUP($L2,OFFSET([3]enemies!$A$1,0,0,COUNTA([3]enemies!$A:$A),MATCH(M$1,[3]enemies!$1:$1,0)-MATCH($L$1,[3]enemies!$1:$1,0)+1),MATCH(M$1,[3]enemies!$1:$1,0)-MATCH($L$1,[3]enemies!$1:$1,0)+1,FALSE)</f>
        <v>翠槍のレジスタンス マイ</v>
      </c>
      <c r="N2" s="135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35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35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35">
        <f ca="1">VLOOKUP($L2,OFFSET([3]enemies!$A$1,0,0,COUNTA([3]enemies!$A:$A),MATCH(Q$1,[3]enemies!$1:$1,0)-MATCH($L$1,[3]enemies!$1:$1,0)+1),MATCH(Q$1,[3]enemies!$1:$1,0)-MATCH($L$1,[3]enemies!$1:$1,0)+1,FALSE)</f>
        <v>20</v>
      </c>
      <c r="R2" s="4">
        <v>60</v>
      </c>
      <c r="S2" s="22">
        <v>1.5</v>
      </c>
      <c r="T2" s="90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58377</v>
      </c>
      <c r="U2" s="22">
        <v>0.8</v>
      </c>
      <c r="V2" s="90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6399.2000000000007</v>
      </c>
      <c r="W2" s="4">
        <v>0</v>
      </c>
      <c r="X2" s="3" t="str">
        <f ca="1">VLOOKUP($Y2,OFFSET(enemy_skill_sets!$B$1,0,0,COUNTA(enemy_skill_sets!$B:$B),MATCH(M$1,enemy_skill_sets!$1:$1,0)-MATCH($Y$1,enemy_skill_sets!$1:$1,0)+2),MATCH(M$1,enemy_skill_sets!$1:$1,0)-MATCH($Y$1,enemy_skill_sets!$1:$1,0)+2,FALSE)</f>
        <v>赤属性のユニットに大ダメージ</v>
      </c>
      <c r="Y2" s="136">
        <v>41013001</v>
      </c>
      <c r="Z2" s="137">
        <v>1</v>
      </c>
      <c r="AA2" s="137">
        <v>100</v>
      </c>
      <c r="AB2" s="137">
        <v>0</v>
      </c>
      <c r="AC2" s="135">
        <v>2</v>
      </c>
      <c r="AD2" s="138">
        <v>52</v>
      </c>
      <c r="AE2" s="13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翠槍のレジスタンス マイ</v>
      </c>
      <c r="AF2" s="13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13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97">
        <v>1</v>
      </c>
      <c r="AI2" s="138">
        <f ca="1">AF2</f>
        <v>3</v>
      </c>
      <c r="AJ2" s="7">
        <v>0</v>
      </c>
      <c r="AK2" s="97">
        <v>0</v>
      </c>
      <c r="AL2" s="97">
        <v>0</v>
      </c>
      <c r="AM2" s="97">
        <v>0</v>
      </c>
      <c r="AN2" s="97">
        <v>0</v>
      </c>
      <c r="AO2" s="97">
        <v>1</v>
      </c>
      <c r="AP2" s="57">
        <v>1</v>
      </c>
    </row>
    <row r="3" spans="1:42" s="140" customFormat="1" ht="20" customHeight="1" x14ac:dyDescent="0.15">
      <c r="A3" s="111" t="str">
        <f>B3&amp;"_"&amp;C3&amp;"-"&amp;G3&amp;"/"&amp;L3&amp;"&lt;lv"&amp;R3&amp;"&gt;s"&amp;AC3</f>
        <v>41013_1-1/50&lt;lv60&gt;s1</v>
      </c>
      <c r="B3" s="19">
        <v>41013</v>
      </c>
      <c r="C3" s="92">
        <v>1</v>
      </c>
      <c r="D3" s="13" t="str">
        <f>B3&amp;"_"&amp;C3</f>
        <v>41013_1</v>
      </c>
      <c r="E3" s="3" t="str">
        <f ca="1">VLOOKUP($B3,OFFSET([2]quests!$A$1,0,0,COUNTA([2]quests!$A:$A),MATCH(E$1,[2]quests!$1:$1,0)-MATCH($B$1,[2]quests!$1:$1,0)+1),MATCH(E$1,[2]quests!$1:$1,0)-MATCH($B$1,[2]quests!$1:$1,0)+1,FALSE)</f>
        <v>カーマ襲来！</v>
      </c>
      <c r="F3" s="3" t="str">
        <f ca="1">VLOOKUP($D3,OFFSET([2]stages!$A$1,0,0,COUNTA([2]stages!$A:$A),MATCH(F$1,[2]stages!$2:$2,0)-MATCH($D$1,[2]stages!$2:$2,0)+1),MATCH(F$1,[2]stages!$2:$2,0)-MATCH($D$1,[2]stages!$2:$2,0)+1,FALSE)</f>
        <v>【超絶級】カーマ襲来</v>
      </c>
      <c r="G3" s="92">
        <v>1</v>
      </c>
      <c r="H3" s="13" t="str">
        <f>B3&amp;"_"&amp;C3&amp;"-"&amp;G3</f>
        <v>41013_1-1</v>
      </c>
      <c r="I3" s="3">
        <f ca="1">VLOOKUP($H3,OFFSET(floors!$A$1,0,0,COUNTA(floors!$A:$A),MATCH(I$1,floors!$1:$1,0)-MATCH($H$1,floors!$1:$1,0)+1),MATCH(I$1,floors!$1:$1,0)-MATCH($H$1,floors!$1:$1,0)+1,FALSE)</f>
        <v>40</v>
      </c>
      <c r="J3" s="3">
        <f ca="1">VLOOKUP($H3,OFFSET(floors!$A$1,0,0,COUNTA(floors!$A:$A),MATCH(J$1,floors!$1:$1,0)-MATCH($H$1,floors!$1:$1,0)+1),MATCH(J$1,floors!$1:$1,0)-MATCH($H$1,floors!$1:$1,0)+1,FALSE)</f>
        <v>40</v>
      </c>
      <c r="K3" s="26" t="s">
        <v>53</v>
      </c>
      <c r="L3" s="93">
        <v>50</v>
      </c>
      <c r="M3" s="15" t="str">
        <f ca="1">VLOOKUP($L3,OFFSET([3]enemies!$A$1,0,0,COUNTA([3]enemies!$A:$A),MATCH(M$1,[3]enemies!$1:$1,0)-MATCH($L$1,[3]enemies!$1:$1,0)+1),MATCH(M$1,[3]enemies!$1:$1,0)-MATCH($L$1,[3]enemies!$1:$1,0)+1,FALSE)</f>
        <v>炎銃のレジスタンス ヨシタカ</v>
      </c>
      <c r="N3" s="15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5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5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5">
        <f ca="1">VLOOKUP($L3,OFFSET([3]enemies!$A$1,0,0,COUNTA([3]enemies!$A:$A),MATCH(Q$1,[3]enemies!$1:$1,0)-MATCH($L$1,[3]enemies!$1:$1,0)+1),MATCH(Q$1,[3]enemies!$1:$1,0)-MATCH($L$1,[3]enemies!$1:$1,0)+1,FALSE)</f>
        <v>20</v>
      </c>
      <c r="R3" s="4">
        <v>60</v>
      </c>
      <c r="S3" s="22">
        <v>1.5</v>
      </c>
      <c r="T3" s="90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82986</v>
      </c>
      <c r="U3" s="22">
        <v>0.5</v>
      </c>
      <c r="V3" s="90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2660.5</v>
      </c>
      <c r="W3" s="4">
        <v>0</v>
      </c>
      <c r="X3" s="3" t="str">
        <f ca="1">VLOOKUP($Y3,OFFSET(enemy_skill_sets!$B$1,0,0,COUNTA(enemy_skill_sets!$B:$B),MATCH(M$1,enemy_skill_sets!$1:$1,0)-MATCH($Y$1,enemy_skill_sets!$1:$1,0)+2),MATCH(M$1,enemy_skill_sets!$1:$1,0)-MATCH($Y$1,enemy_skill_sets!$1:$1,0)+2,FALSE)</f>
        <v>マイを追って去っていった…</v>
      </c>
      <c r="Y3" s="94">
        <v>41013002</v>
      </c>
      <c r="Z3" s="5">
        <v>1</v>
      </c>
      <c r="AA3" s="5">
        <v>100</v>
      </c>
      <c r="AB3" s="5">
        <v>0</v>
      </c>
      <c r="AC3" s="15">
        <v>1</v>
      </c>
      <c r="AD3" s="138">
        <v>50</v>
      </c>
      <c r="AE3" s="3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炎銃のレジスタンス ヨシタカ</v>
      </c>
      <c r="AF3" s="3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3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97">
        <v>1</v>
      </c>
      <c r="AI3" s="138">
        <f ca="1">AF3</f>
        <v>3</v>
      </c>
      <c r="AJ3" s="7">
        <v>0</v>
      </c>
      <c r="AK3" s="97">
        <v>0</v>
      </c>
      <c r="AL3" s="97">
        <v>0</v>
      </c>
      <c r="AM3" s="97">
        <v>0</v>
      </c>
      <c r="AN3" s="97">
        <v>0</v>
      </c>
      <c r="AO3" s="97">
        <v>1</v>
      </c>
      <c r="AP3" s="57">
        <v>1</v>
      </c>
    </row>
    <row r="4" spans="1:42" s="140" customFormat="1" ht="20" customHeight="1" x14ac:dyDescent="0.15">
      <c r="A4" s="111" t="str">
        <f t="shared" ref="A4:A6" si="0">B4&amp;"_"&amp;C4&amp;"-"&amp;G4&amp;"/"&amp;L4&amp;"&lt;lv"&amp;R4&amp;"&gt;s"&amp;AC4</f>
        <v>41013_1-2/396&lt;lv60&gt;s2</v>
      </c>
      <c r="B4" s="19">
        <v>41013</v>
      </c>
      <c r="C4" s="92">
        <v>1</v>
      </c>
      <c r="D4" s="13" t="str">
        <f t="shared" ref="D4:D6" si="1">B4&amp;"_"&amp;C4</f>
        <v>41013_1</v>
      </c>
      <c r="E4" s="3" t="str">
        <f ca="1">VLOOKUP($B4,OFFSET([2]quests!$A$1,0,0,COUNTA([2]quests!$A:$A),MATCH(E$1,[2]quests!$1:$1,0)-MATCH($B$1,[2]quests!$1:$1,0)+1),MATCH(E$1,[2]quests!$1:$1,0)-MATCH($B$1,[2]quests!$1:$1,0)+1,FALSE)</f>
        <v>カーマ襲来！</v>
      </c>
      <c r="F4" s="3" t="str">
        <f ca="1">VLOOKUP($D4,OFFSET([2]stages!$A$1,0,0,COUNTA([2]stages!$A:$A),MATCH(F$1,[2]stages!$2:$2,0)-MATCH($D$1,[2]stages!$2:$2,0)+1),MATCH(F$1,[2]stages!$2:$2,0)-MATCH($D$1,[2]stages!$2:$2,0)+1,FALSE)</f>
        <v>【超絶級】カーマ襲来</v>
      </c>
      <c r="G4" s="92">
        <v>2</v>
      </c>
      <c r="H4" s="13" t="str">
        <f t="shared" ref="H4:H6" si="2">B4&amp;"_"&amp;C4&amp;"-"&amp;G4</f>
        <v>41013_1-2</v>
      </c>
      <c r="I4" s="3">
        <f ca="1">VLOOKUP($H4,OFFSET(floors!$A$1,0,0,COUNTA(floors!$A:$A),MATCH(I$1,floors!$1:$1,0)-MATCH($H$1,floors!$1:$1,0)+1),MATCH(I$1,floors!$1:$1,0)-MATCH($H$1,floors!$1:$1,0)+1,FALSE)</f>
        <v>60</v>
      </c>
      <c r="J4" s="3">
        <f ca="1">VLOOKUP($H4,OFFSET(floors!$A$1,0,0,COUNTA(floors!$A:$A),MATCH(J$1,floors!$1:$1,0)-MATCH($H$1,floors!$1:$1,0)+1),MATCH(J$1,floors!$1:$1,0)-MATCH($H$1,floors!$1:$1,0)+1,FALSE)</f>
        <v>60</v>
      </c>
      <c r="K4" s="26">
        <v>1</v>
      </c>
      <c r="L4" s="93">
        <v>396</v>
      </c>
      <c r="M4" s="15" t="str">
        <f ca="1">VLOOKUP($L4,OFFSET([3]enemies!$A$1,0,0,COUNTA([3]enemies!$A:$A),MATCH(M$1,[3]enemies!$1:$1,0)-MATCH($L$1,[3]enemies!$1:$1,0)+1),MATCH(M$1,[3]enemies!$1:$1,0)-MATCH($L$1,[3]enemies!$1:$1,0)+1,FALSE)</f>
        <v>竜宮の水雷 乙姫</v>
      </c>
      <c r="N4" s="15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5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5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5">
        <f ca="1">VLOOKUP($L4,OFFSET([3]enemies!$A$1,0,0,COUNTA([3]enemies!$A:$A),MATCH(Q$1,[3]enemies!$1:$1,0)-MATCH($L$1,[3]enemies!$1:$1,0)+1),MATCH(Q$1,[3]enemies!$1:$1,0)-MATCH($L$1,[3]enemies!$1:$1,0)+1,FALSE)</f>
        <v>30</v>
      </c>
      <c r="R4" s="4">
        <v>60</v>
      </c>
      <c r="S4" s="22">
        <v>1</v>
      </c>
      <c r="T4" s="90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108972</v>
      </c>
      <c r="U4" s="22">
        <v>0.6</v>
      </c>
      <c r="V4" s="90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3085.7999999999997</v>
      </c>
      <c r="W4" s="4">
        <v>0</v>
      </c>
      <c r="X4" s="3" t="str">
        <f ca="1">VLOOKUP($Y4,OFFSET(enemy_skill_sets!$B$1,0,0,COUNTA(enemy_skill_sets!$B:$B),MATCH(M$1,enemy_skill_sets!$1:$1,0)-MATCH($Y$1,enemy_skill_sets!$1:$1,0)+2),MATCH(M$1,enemy_skill_sets!$1:$1,0)-MATCH($Y$1,enemy_skill_sets!$1:$1,0)+2,FALSE)</f>
        <v>5ターン確率で時限式ダメージパネルをドロップ</v>
      </c>
      <c r="Y4" s="94">
        <v>41013003</v>
      </c>
      <c r="Z4" s="5">
        <v>1</v>
      </c>
      <c r="AA4" s="5">
        <v>100</v>
      </c>
      <c r="AB4" s="5">
        <v>0</v>
      </c>
      <c r="AC4" s="15">
        <v>2</v>
      </c>
      <c r="AD4" s="138">
        <v>396</v>
      </c>
      <c r="AE4" s="3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竜宮の水雷 乙姫</v>
      </c>
      <c r="AF4" s="3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3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97">
        <v>1</v>
      </c>
      <c r="AI4" s="138">
        <f t="shared" ref="AI4:AI6" ca="1" si="3">AF4</f>
        <v>4</v>
      </c>
      <c r="AJ4" s="7">
        <v>0</v>
      </c>
      <c r="AK4" s="97">
        <v>0</v>
      </c>
      <c r="AL4" s="97">
        <v>0</v>
      </c>
      <c r="AM4" s="97">
        <v>0</v>
      </c>
      <c r="AN4" s="97">
        <v>0</v>
      </c>
      <c r="AO4" s="97">
        <v>1</v>
      </c>
      <c r="AP4" s="57">
        <v>1</v>
      </c>
    </row>
    <row r="5" spans="1:42" s="140" customFormat="1" ht="20" customHeight="1" x14ac:dyDescent="0.15">
      <c r="A5" s="111" t="str">
        <f t="shared" si="0"/>
        <v>41013_1-2/418&lt;lv60&gt;s2</v>
      </c>
      <c r="B5" s="19">
        <v>41013</v>
      </c>
      <c r="C5" s="92">
        <v>1</v>
      </c>
      <c r="D5" s="13" t="str">
        <f t="shared" si="1"/>
        <v>41013_1</v>
      </c>
      <c r="E5" s="3" t="str">
        <f ca="1">VLOOKUP($B5,OFFSET([2]quests!$A$1,0,0,COUNTA([2]quests!$A:$A),MATCH(E$1,[2]quests!$1:$1,0)-MATCH($B$1,[2]quests!$1:$1,0)+1),MATCH(E$1,[2]quests!$1:$1,0)-MATCH($B$1,[2]quests!$1:$1,0)+1,FALSE)</f>
        <v>カーマ襲来！</v>
      </c>
      <c r="F5" s="3" t="str">
        <f ca="1">VLOOKUP($D5,OFFSET([2]stages!$A$1,0,0,COUNTA([2]stages!$A:$A),MATCH(F$1,[2]stages!$2:$2,0)-MATCH($D$1,[2]stages!$2:$2,0)+1),MATCH(F$1,[2]stages!$2:$2,0)-MATCH($D$1,[2]stages!$2:$2,0)+1,FALSE)</f>
        <v>【超絶級】カーマ襲来</v>
      </c>
      <c r="G5" s="92">
        <v>2</v>
      </c>
      <c r="H5" s="13" t="str">
        <f t="shared" si="2"/>
        <v>41013_1-2</v>
      </c>
      <c r="I5" s="3">
        <f ca="1">VLOOKUP($H5,OFFSET(floors!$A$1,0,0,COUNTA(floors!$A:$A),MATCH(I$1,floors!$1:$1,0)-MATCH($H$1,floors!$1:$1,0)+1),MATCH(I$1,floors!$1:$1,0)-MATCH($H$1,floors!$1:$1,0)+1,FALSE)</f>
        <v>60</v>
      </c>
      <c r="J5" s="3">
        <f ca="1">VLOOKUP($H5,OFFSET(floors!$A$1,0,0,COUNTA(floors!$A:$A),MATCH(J$1,floors!$1:$1,0)-MATCH($H$1,floors!$1:$1,0)+1),MATCH(J$1,floors!$1:$1,0)-MATCH($H$1,floors!$1:$1,0)+1,FALSE)</f>
        <v>60</v>
      </c>
      <c r="K5" s="26">
        <v>2</v>
      </c>
      <c r="L5" s="93">
        <v>418</v>
      </c>
      <c r="M5" s="15" t="str">
        <f ca="1">VLOOKUP($L5,OFFSET([3]enemies!$A$1,0,0,COUNTA([3]enemies!$A:$A),MATCH(M$1,[3]enemies!$1:$1,0)-MATCH($L$1,[3]enemies!$1:$1,0)+1),MATCH(M$1,[3]enemies!$1:$1,0)-MATCH($L$1,[3]enemies!$1:$1,0)+1,FALSE)</f>
        <v>ウラシマ</v>
      </c>
      <c r="N5" s="15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5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5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5">
        <f ca="1">VLOOKUP($L5,OFFSET([3]enemies!$A$1,0,0,COUNTA([3]enemies!$A:$A),MATCH(Q$1,[3]enemies!$1:$1,0)-MATCH($L$1,[3]enemies!$1:$1,0)+1),MATCH(Q$1,[3]enemies!$1:$1,0)-MATCH($L$1,[3]enemies!$1:$1,0)+1,FALSE)</f>
        <v>30</v>
      </c>
      <c r="R5" s="4">
        <v>60</v>
      </c>
      <c r="S5" s="22">
        <v>1</v>
      </c>
      <c r="T5" s="90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108972</v>
      </c>
      <c r="U5" s="22">
        <v>0.7</v>
      </c>
      <c r="V5" s="90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3747.1</v>
      </c>
      <c r="W5" s="4">
        <v>0</v>
      </c>
      <c r="X5" s="3" t="str">
        <f ca="1">VLOOKUP($Y5,OFFSET(enemy_skill_sets!$B$1,0,0,COUNTA(enemy_skill_sets!$B:$B),MATCH(M$1,enemy_skill_sets!$1:$1,0)-MATCH($Y$1,enemy_skill_sets!$1:$1,0)+2),MATCH(M$1,enemy_skill_sets!$1:$1,0)-MATCH($Y$1,enemy_skill_sets!$1:$1,0)+2,FALSE)</f>
        <v>ランダムに10個ハートパネルに変換</v>
      </c>
      <c r="Y5" s="94">
        <v>41013005</v>
      </c>
      <c r="Z5" s="5">
        <v>1</v>
      </c>
      <c r="AA5" s="5">
        <v>100</v>
      </c>
      <c r="AB5" s="5">
        <v>0</v>
      </c>
      <c r="AC5" s="15">
        <v>2</v>
      </c>
      <c r="AD5" s="138">
        <v>418</v>
      </c>
      <c r="AE5" s="3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ウラシマ</v>
      </c>
      <c r="AF5" s="3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3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97">
        <v>1</v>
      </c>
      <c r="AI5" s="138">
        <f t="shared" ca="1" si="3"/>
        <v>4</v>
      </c>
      <c r="AJ5" s="7">
        <v>0</v>
      </c>
      <c r="AK5" s="97">
        <v>0</v>
      </c>
      <c r="AL5" s="97">
        <v>0</v>
      </c>
      <c r="AM5" s="97">
        <v>0</v>
      </c>
      <c r="AN5" s="97">
        <v>0</v>
      </c>
      <c r="AO5" s="97">
        <v>1</v>
      </c>
      <c r="AP5" s="57">
        <v>1</v>
      </c>
    </row>
    <row r="6" spans="1:42" s="153" customFormat="1" ht="20" customHeight="1" thickBot="1" x14ac:dyDescent="0.2">
      <c r="A6" s="112" t="str">
        <f t="shared" si="0"/>
        <v>41013_1-3/642&lt;lv60&gt;s2</v>
      </c>
      <c r="B6" s="141">
        <v>41013</v>
      </c>
      <c r="C6" s="115">
        <v>1</v>
      </c>
      <c r="D6" s="117" t="str">
        <f t="shared" si="1"/>
        <v>41013_1</v>
      </c>
      <c r="E6" s="142" t="str">
        <f ca="1">VLOOKUP($B6,OFFSET([2]quests!$A$1,0,0,COUNTA([2]quests!$A:$A),MATCH(E$1,[2]quests!$1:$1,0)-MATCH($B$1,[2]quests!$1:$1,0)+1),MATCH(E$1,[2]quests!$1:$1,0)-MATCH($B$1,[2]quests!$1:$1,0)+1,FALSE)</f>
        <v>カーマ襲来！</v>
      </c>
      <c r="F6" s="142" t="str">
        <f ca="1">VLOOKUP($D6,OFFSET([2]stages!$A$1,0,0,COUNTA([2]stages!$A:$A),MATCH(F$1,[2]stages!$2:$2,0)-MATCH($D$1,[2]stages!$2:$2,0)+1),MATCH(F$1,[2]stages!$2:$2,0)-MATCH($D$1,[2]stages!$2:$2,0)+1,FALSE)</f>
        <v>【超絶級】カーマ襲来</v>
      </c>
      <c r="G6" s="115">
        <v>3</v>
      </c>
      <c r="H6" s="117" t="str">
        <f t="shared" si="2"/>
        <v>41013_1-3</v>
      </c>
      <c r="I6" s="142">
        <f ca="1">VLOOKUP($H6,OFFSET(floors!$A$1,0,0,COUNTA(floors!$A:$A),MATCH(I$1,floors!$1:$1,0)-MATCH($H$1,floors!$1:$1,0)+1),MATCH(I$1,floors!$1:$1,0)-MATCH($H$1,floors!$1:$1,0)+1,FALSE)</f>
        <v>60</v>
      </c>
      <c r="J6" s="142">
        <f ca="1">VLOOKUP($H6,OFFSET(floors!$A$1,0,0,COUNTA(floors!$A:$A),MATCH(J$1,floors!$1:$1,0)-MATCH($H$1,floors!$1:$1,0)+1),MATCH(J$1,floors!$1:$1,0)-MATCH($H$1,floors!$1:$1,0)+1,FALSE)</f>
        <v>60</v>
      </c>
      <c r="K6" s="118">
        <v>3</v>
      </c>
      <c r="L6" s="143">
        <v>642</v>
      </c>
      <c r="M6" s="144" t="str">
        <f ca="1">VLOOKUP($L6,OFFSET([3]enemies!$A$1,0,0,COUNTA([3]enemies!$A:$A),MATCH(M$1,[3]enemies!$1:$1,0)-MATCH($L$1,[3]enemies!$1:$1,0)+1),MATCH(M$1,[3]enemies!$1:$1,0)-MATCH($L$1,[3]enemies!$1:$1,0)+1,FALSE)</f>
        <v>カーマ</v>
      </c>
      <c r="N6" s="144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44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44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44">
        <f ca="1">VLOOKUP($L6,OFFSET([3]enemies!$A$1,0,0,COUNTA([3]enemies!$A:$A),MATCH(Q$1,[3]enemies!$1:$1,0)-MATCH($L$1,[3]enemies!$1:$1,0)+1),MATCH(Q$1,[3]enemies!$1:$1,0)-MATCH($L$1,[3]enemies!$1:$1,0)+1,FALSE)</f>
        <v>30</v>
      </c>
      <c r="R6" s="145">
        <v>60</v>
      </c>
      <c r="S6" s="146">
        <v>3.2</v>
      </c>
      <c r="T6" s="147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245606.40000000002</v>
      </c>
      <c r="U6" s="146">
        <v>0.8</v>
      </c>
      <c r="V6" s="147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6903.2000000000007</v>
      </c>
      <c r="W6" s="145">
        <v>0</v>
      </c>
      <c r="X6" s="142" t="str">
        <f ca="1">VLOOKUP($Y6,OFFSET(enemy_skill_sets!$B$1,0,0,COUNTA(enemy_skill_sets!$B:$B),MATCH(M$1,enemy_skill_sets!$1:$1,0)-MATCH($Y$1,enemy_skill_sets!$1:$1,0)+2),MATCH(M$1,enemy_skill_sets!$1:$1,0)-MATCH($Y$1,enemy_skill_sets!$1:$1,0)+2,FALSE)</f>
        <v>ランダムに20個ハートパネルに変換</v>
      </c>
      <c r="Y6" s="148">
        <v>41013007</v>
      </c>
      <c r="Z6" s="149">
        <v>1</v>
      </c>
      <c r="AA6" s="149">
        <v>100</v>
      </c>
      <c r="AB6" s="149">
        <v>0</v>
      </c>
      <c r="AC6" s="144">
        <v>2</v>
      </c>
      <c r="AD6" s="150">
        <v>642</v>
      </c>
      <c r="AE6" s="142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カーマ</v>
      </c>
      <c r="AF6" s="142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142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113">
        <v>1</v>
      </c>
      <c r="AI6" s="150">
        <f t="shared" ca="1" si="3"/>
        <v>4</v>
      </c>
      <c r="AJ6" s="151">
        <v>15</v>
      </c>
      <c r="AK6" s="113">
        <v>0</v>
      </c>
      <c r="AL6" s="113">
        <v>0</v>
      </c>
      <c r="AM6" s="113">
        <v>0</v>
      </c>
      <c r="AN6" s="113">
        <v>0</v>
      </c>
      <c r="AO6" s="113">
        <v>1</v>
      </c>
      <c r="AP6" s="152">
        <v>1</v>
      </c>
    </row>
    <row r="7" spans="1:42" ht="21" customHeight="1" thickTop="1" x14ac:dyDescent="0.15">
      <c r="A7" s="14" t="str">
        <f>B7&amp;"_"&amp;C7&amp;"-"&amp;G7&amp;"/"&amp;L7&amp;"&lt;lv"&amp;R7&amp;"&gt;s"&amp;AC7</f>
        <v>41013_2-1/52&lt;lv70&gt;s1</v>
      </c>
      <c r="B7" s="19">
        <v>41013</v>
      </c>
      <c r="C7" s="106">
        <v>2</v>
      </c>
      <c r="D7" s="108" t="str">
        <f>B7&amp;"_"&amp;C7</f>
        <v>41013_2</v>
      </c>
      <c r="E7" s="3" t="str">
        <f ca="1">VLOOKUP($B7,OFFSET([2]quests!$A$1,0,0,COUNTA([2]quests!$A:$A),MATCH(E$1,[2]quests!$1:$1,0)-MATCH($B$1,[2]quests!$1:$1,0)+1),MATCH(E$1,[2]quests!$1:$1,0)-MATCH($B$1,[2]quests!$1:$1,0)+1,FALSE)</f>
        <v>カーマ襲来！</v>
      </c>
      <c r="F7" s="3" t="str">
        <f ca="1">VLOOKUP($D7,OFFSET([2]stages!$A$1,0,0,COUNTA([2]stages!$A:$A),MATCH(F$1,[2]stages!$2:$2,0)-MATCH($D$1,[2]stages!$2:$2,0)+1),MATCH(F$1,[2]stages!$2:$2,0)-MATCH($D$1,[2]stages!$2:$2,0)+1,FALSE)</f>
        <v>【ウィザード級】カーマ襲来</v>
      </c>
      <c r="G7" s="106">
        <v>1</v>
      </c>
      <c r="H7" s="108" t="str">
        <f>B7&amp;"_"&amp;C7&amp;"-"&amp;G7</f>
        <v>41013_2-1</v>
      </c>
      <c r="I7" s="3">
        <f ca="1">VLOOKUP($H7,OFFSET(floors!$A$1,0,0,COUNTA(floors!$A:$A),MATCH(I$1,floors!$1:$1,0)-MATCH($H$1,floors!$1:$1,0)+1),MATCH(I$1,floors!$1:$1,0)-MATCH($H$1,floors!$1:$1,0)+1,FALSE)</f>
        <v>40</v>
      </c>
      <c r="J7" s="3">
        <f ca="1">VLOOKUP($H7,OFFSET(floors!$A$1,0,0,COUNTA(floors!$A:$A),MATCH(J$1,floors!$1:$1,0)-MATCH($H$1,floors!$1:$1,0)+1),MATCH(J$1,floors!$1:$1,0)-MATCH($H$1,floors!$1:$1,0)+1,FALSE)</f>
        <v>40</v>
      </c>
      <c r="K7" s="109" t="s">
        <v>53</v>
      </c>
      <c r="L7" s="125">
        <v>52</v>
      </c>
      <c r="M7" s="15" t="str">
        <f ca="1">VLOOKUP($L7,OFFSET([3]enemies!$A$1,0,0,COUNTA([3]enemies!$A:$A),MATCH(M$1,[3]enemies!$1:$1,0)-MATCH($L$1,[3]enemies!$1:$1,0)+1),MATCH(M$1,[3]enemies!$1:$1,0)-MATCH($L$1,[3]enemies!$1:$1,0)+1,FALSE)</f>
        <v>翠槍のレジスタンス マイ</v>
      </c>
      <c r="N7" s="15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5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5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5">
        <f ca="1">VLOOKUP($L7,OFFSET([3]enemies!$A$1,0,0,COUNTA([3]enemies!$A:$A),MATCH(Q$1,[3]enemies!$1:$1,0)-MATCH($L$1,[3]enemies!$1:$1,0)+1),MATCH(Q$1,[3]enemies!$1:$1,0)-MATCH($L$1,[3]enemies!$1:$1,0)+1,FALSE)</f>
        <v>20</v>
      </c>
      <c r="R7" s="126">
        <v>70</v>
      </c>
      <c r="S7" s="127">
        <v>1.5</v>
      </c>
      <c r="T7" s="128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67869</v>
      </c>
      <c r="U7" s="127">
        <v>0.8</v>
      </c>
      <c r="V7" s="128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7440</v>
      </c>
      <c r="W7" s="126">
        <v>0</v>
      </c>
      <c r="X7" s="3" t="str">
        <f ca="1">VLOOKUP($Y7,OFFSET(enemy_skill_sets!$B$1,0,0,COUNTA(enemy_skill_sets!$B:$B),MATCH(M$1,enemy_skill_sets!$1:$1,0)-MATCH($Y$1,enemy_skill_sets!$1:$1,0)+2),MATCH(M$1,enemy_skill_sets!$1:$1,0)-MATCH($Y$1,enemy_skill_sets!$1:$1,0)+2,FALSE)</f>
        <v>赤属性のユニットに大ダメージ</v>
      </c>
      <c r="Y7" s="94">
        <v>41013001</v>
      </c>
      <c r="Z7" s="129">
        <v>1</v>
      </c>
      <c r="AA7" s="129">
        <v>100</v>
      </c>
      <c r="AB7" s="129">
        <v>0</v>
      </c>
      <c r="AC7" s="15">
        <v>1</v>
      </c>
      <c r="AD7" s="130">
        <v>52</v>
      </c>
      <c r="AE7" s="3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翠槍のレジスタンス マイ</v>
      </c>
      <c r="AF7" s="3">
        <f ca="1">VLOOKUP($AD7,OFFSET([4]characters!$A$1,0,0,COUNTA([4]characters!$A:$A),MATCH(AF$1,[4]characters!$1:$1,0)-MATCH("character_id",[4]characters!$1:$1,0)+1),MATCH(AF$1,[4]characters!$1:$1,0)-MATCH("character_id",[4]characters!$1:$1,0)+1,FALSE)</f>
        <v>3</v>
      </c>
      <c r="AG7" s="3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Drop1N</v>
      </c>
      <c r="AH7" s="104">
        <v>1</v>
      </c>
      <c r="AI7" s="130">
        <f ca="1">AF7</f>
        <v>3</v>
      </c>
      <c r="AJ7" s="131">
        <v>0</v>
      </c>
      <c r="AK7" s="104">
        <v>0</v>
      </c>
      <c r="AL7" s="104">
        <v>0</v>
      </c>
      <c r="AM7" s="104">
        <v>0</v>
      </c>
      <c r="AN7" s="104">
        <v>0</v>
      </c>
      <c r="AO7" s="104">
        <v>1</v>
      </c>
      <c r="AP7" s="132">
        <v>1</v>
      </c>
    </row>
    <row r="8" spans="1:42" ht="20" customHeight="1" x14ac:dyDescent="0.15">
      <c r="A8" s="14" t="str">
        <f>B8&amp;"_"&amp;C8&amp;"-"&amp;G8&amp;"/"&amp;L8&amp;"&lt;lv"&amp;R8&amp;"&gt;s"&amp;AC8</f>
        <v>41013_2-1/50&lt;lv70&gt;s1</v>
      </c>
      <c r="B8" s="19">
        <v>41013</v>
      </c>
      <c r="C8" s="92">
        <v>2</v>
      </c>
      <c r="D8" s="1" t="str">
        <f>B8&amp;"_"&amp;C8</f>
        <v>41013_2</v>
      </c>
      <c r="E8" s="3" t="str">
        <f ca="1">VLOOKUP($B8,OFFSET([2]quests!$A$1,0,0,COUNTA([2]quests!$A:$A),MATCH(E$1,[2]quests!$1:$1,0)-MATCH($B$1,[2]quests!$1:$1,0)+1),MATCH(E$1,[2]quests!$1:$1,0)-MATCH($B$1,[2]quests!$1:$1,0)+1,FALSE)</f>
        <v>カーマ襲来！</v>
      </c>
      <c r="F8" s="3" t="str">
        <f ca="1">VLOOKUP($D8,OFFSET([2]stages!$A$1,0,0,COUNTA([2]stages!$A:$A),MATCH(F$1,[2]stages!$2:$2,0)-MATCH($D$1,[2]stages!$2:$2,0)+1),MATCH(F$1,[2]stages!$2:$2,0)-MATCH($D$1,[2]stages!$2:$2,0)+1,FALSE)</f>
        <v>【ウィザード級】カーマ襲来</v>
      </c>
      <c r="G8" s="92">
        <v>1</v>
      </c>
      <c r="H8" s="13" t="str">
        <f>B8&amp;"_"&amp;C8&amp;"-"&amp;G8</f>
        <v>41013_2-1</v>
      </c>
      <c r="I8" s="3">
        <f ca="1">VLOOKUP($H8,OFFSET(floors!$A$1,0,0,COUNTA(floors!$A:$A),MATCH(I$1,floors!$1:$1,0)-MATCH($H$1,floors!$1:$1,0)+1),MATCH(I$1,floors!$1:$1,0)-MATCH($H$1,floors!$1:$1,0)+1,FALSE)</f>
        <v>40</v>
      </c>
      <c r="J8" s="3">
        <f ca="1">VLOOKUP($H8,OFFSET(floors!$A$1,0,0,COUNTA(floors!$A:$A),MATCH(J$1,floors!$1:$1,0)-MATCH($H$1,floors!$1:$1,0)+1),MATCH(J$1,floors!$1:$1,0)-MATCH($H$1,floors!$1:$1,0)+1,FALSE)</f>
        <v>40</v>
      </c>
      <c r="K8" s="26" t="s">
        <v>53</v>
      </c>
      <c r="L8" s="93">
        <v>50</v>
      </c>
      <c r="M8" s="15" t="str">
        <f ca="1">VLOOKUP($L8,OFFSET([3]enemies!$A$1,0,0,COUNTA([3]enemies!$A:$A),MATCH(M$1,[3]enemies!$1:$1,0)-MATCH($L$1,[3]enemies!$1:$1,0)+1),MATCH(M$1,[3]enemies!$1:$1,0)-MATCH($L$1,[3]enemies!$1:$1,0)+1,FALSE)</f>
        <v>炎銃のレジスタンス ヨシタカ</v>
      </c>
      <c r="N8" s="15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5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5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5">
        <f ca="1">VLOOKUP($L8,OFFSET([3]enemies!$A$1,0,0,COUNTA([3]enemies!$A:$A),MATCH(Q$1,[3]enemies!$1:$1,0)-MATCH($L$1,[3]enemies!$1:$1,0)+1),MATCH(Q$1,[3]enemies!$1:$1,0)-MATCH($L$1,[3]enemies!$1:$1,0)+1,FALSE)</f>
        <v>20</v>
      </c>
      <c r="R8" s="4">
        <v>70</v>
      </c>
      <c r="S8" s="22">
        <v>1.5</v>
      </c>
      <c r="T8" s="90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96480</v>
      </c>
      <c r="U8" s="22">
        <v>0.5</v>
      </c>
      <c r="V8" s="90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3093</v>
      </c>
      <c r="W8" s="4">
        <v>0</v>
      </c>
      <c r="X8" s="3" t="str">
        <f ca="1">VLOOKUP($Y8,OFFSET(enemy_skill_sets!$B$1,0,0,COUNTA(enemy_skill_sets!$B:$B),MATCH(M$1,enemy_skill_sets!$1:$1,0)-MATCH($Y$1,enemy_skill_sets!$1:$1,0)+2),MATCH(M$1,enemy_skill_sets!$1:$1,0)-MATCH($Y$1,enemy_skill_sets!$1:$1,0)+2,FALSE)</f>
        <v>マイを追って去っていった…</v>
      </c>
      <c r="Y8" s="94">
        <v>41013002</v>
      </c>
      <c r="Z8" s="5">
        <v>1</v>
      </c>
      <c r="AA8" s="5">
        <v>100</v>
      </c>
      <c r="AB8" s="5">
        <v>0</v>
      </c>
      <c r="AC8" s="15">
        <v>1</v>
      </c>
      <c r="AD8" s="21">
        <v>50</v>
      </c>
      <c r="AE8" s="3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炎銃のレジスタンス ヨシタカ</v>
      </c>
      <c r="AF8" s="3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3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Drop1N</v>
      </c>
      <c r="AH8" s="6">
        <v>1</v>
      </c>
      <c r="AI8" s="21">
        <f ca="1">AF8</f>
        <v>3</v>
      </c>
      <c r="AJ8" s="7">
        <v>0</v>
      </c>
      <c r="AK8" s="6">
        <v>0</v>
      </c>
      <c r="AL8" s="6">
        <v>0</v>
      </c>
      <c r="AM8" s="6">
        <v>0</v>
      </c>
      <c r="AN8" s="6">
        <v>0</v>
      </c>
      <c r="AO8" s="6">
        <v>1</v>
      </c>
      <c r="AP8" s="57">
        <v>1</v>
      </c>
    </row>
    <row r="9" spans="1:42" ht="20" customHeight="1" x14ac:dyDescent="0.15">
      <c r="A9" s="14" t="str">
        <f t="shared" ref="A9:A11" si="4">B9&amp;"_"&amp;C9&amp;"-"&amp;G9&amp;"/"&amp;L9&amp;"&lt;lv"&amp;R9&amp;"&gt;s"&amp;AC9</f>
        <v>41013_2-2/396&lt;lv80&gt;s2</v>
      </c>
      <c r="B9" s="19">
        <v>41013</v>
      </c>
      <c r="C9" s="92">
        <v>2</v>
      </c>
      <c r="D9" s="1" t="str">
        <f t="shared" ref="D9:D11" si="5">B9&amp;"_"&amp;C9</f>
        <v>41013_2</v>
      </c>
      <c r="E9" s="3" t="str">
        <f ca="1">VLOOKUP($B9,OFFSET([2]quests!$A$1,0,0,COUNTA([2]quests!$A:$A),MATCH(E$1,[2]quests!$1:$1,0)-MATCH($B$1,[2]quests!$1:$1,0)+1),MATCH(E$1,[2]quests!$1:$1,0)-MATCH($B$1,[2]quests!$1:$1,0)+1,FALSE)</f>
        <v>カーマ襲来！</v>
      </c>
      <c r="F9" s="3" t="str">
        <f ca="1">VLOOKUP($D9,OFFSET([2]stages!$A$1,0,0,COUNTA([2]stages!$A:$A),MATCH(F$1,[2]stages!$2:$2,0)-MATCH($D$1,[2]stages!$2:$2,0)+1),MATCH(F$1,[2]stages!$2:$2,0)-MATCH($D$1,[2]stages!$2:$2,0)+1,FALSE)</f>
        <v>【ウィザード級】カーマ襲来</v>
      </c>
      <c r="G9" s="92">
        <v>2</v>
      </c>
      <c r="H9" s="13" t="str">
        <f t="shared" ref="H9:H11" si="6">B9&amp;"_"&amp;C9&amp;"-"&amp;G9</f>
        <v>41013_2-2</v>
      </c>
      <c r="I9" s="3">
        <f ca="1">VLOOKUP($H9,OFFSET(floors!$A$1,0,0,COUNTA(floors!$A:$A),MATCH(I$1,floors!$1:$1,0)-MATCH($H$1,floors!$1:$1,0)+1),MATCH(I$1,floors!$1:$1,0)-MATCH($H$1,floors!$1:$1,0)+1,FALSE)</f>
        <v>60</v>
      </c>
      <c r="J9" s="3">
        <f ca="1">VLOOKUP($H9,OFFSET(floors!$A$1,0,0,COUNTA(floors!$A:$A),MATCH(J$1,floors!$1:$1,0)-MATCH($H$1,floors!$1:$1,0)+1),MATCH(J$1,floors!$1:$1,0)-MATCH($H$1,floors!$1:$1,0)+1,FALSE)</f>
        <v>60</v>
      </c>
      <c r="K9" s="26">
        <v>4</v>
      </c>
      <c r="L9" s="93">
        <v>396</v>
      </c>
      <c r="M9" s="15" t="str">
        <f ca="1">VLOOKUP($L9,OFFSET([3]enemies!$A$1,0,0,COUNTA([3]enemies!$A:$A),MATCH(M$1,[3]enemies!$1:$1,0)-MATCH($L$1,[3]enemies!$1:$1,0)+1),MATCH(M$1,[3]enemies!$1:$1,0)-MATCH($L$1,[3]enemies!$1:$1,0)+1,FALSE)</f>
        <v>竜宮の水雷 乙姫</v>
      </c>
      <c r="N9" s="15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5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5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5">
        <f ca="1">VLOOKUP($L9,OFFSET([3]enemies!$A$1,0,0,COUNTA([3]enemies!$A:$A),MATCH(Q$1,[3]enemies!$1:$1,0)-MATCH($L$1,[3]enemies!$1:$1,0)+1),MATCH(Q$1,[3]enemies!$1:$1,0)-MATCH($L$1,[3]enemies!$1:$1,0)+1,FALSE)</f>
        <v>30</v>
      </c>
      <c r="R9" s="4">
        <v>80</v>
      </c>
      <c r="S9" s="22">
        <v>1.3</v>
      </c>
      <c r="T9" s="90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187733</v>
      </c>
      <c r="U9" s="22">
        <v>0.8</v>
      </c>
      <c r="V9" s="90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5452</v>
      </c>
      <c r="W9" s="4">
        <v>0</v>
      </c>
      <c r="X9" s="3" t="str">
        <f ca="1">VLOOKUP($Y9,OFFSET(enemy_skill_sets!$B$1,0,0,COUNTA(enemy_skill_sets!$B:$B),MATCH(M$1,enemy_skill_sets!$1:$1,0)-MATCH($Y$1,enemy_skill_sets!$1:$1,0)+2),MATCH(M$1,enemy_skill_sets!$1:$1,0)-MATCH($Y$1,enemy_skill_sets!$1:$1,0)+2,FALSE)</f>
        <v>5ターン確率で時限式ダメージパネルをドロップ</v>
      </c>
      <c r="Y9" s="94">
        <v>41013010</v>
      </c>
      <c r="Z9" s="5">
        <v>1</v>
      </c>
      <c r="AA9" s="5">
        <v>100</v>
      </c>
      <c r="AB9" s="5">
        <v>0</v>
      </c>
      <c r="AC9" s="15">
        <v>2</v>
      </c>
      <c r="AD9" s="21">
        <v>396</v>
      </c>
      <c r="AE9" s="3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竜宮の水雷 乙姫</v>
      </c>
      <c r="AF9" s="3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3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9" s="6">
        <v>1</v>
      </c>
      <c r="AI9" s="21">
        <f t="shared" ref="AI9:AI11" ca="1" si="7">AF9</f>
        <v>4</v>
      </c>
      <c r="AJ9" s="7">
        <v>0</v>
      </c>
      <c r="AK9" s="6">
        <v>0</v>
      </c>
      <c r="AL9" s="6">
        <v>0</v>
      </c>
      <c r="AM9" s="6">
        <v>0</v>
      </c>
      <c r="AN9" s="6">
        <v>0</v>
      </c>
      <c r="AO9" s="6">
        <v>1</v>
      </c>
      <c r="AP9" s="57">
        <v>1</v>
      </c>
    </row>
    <row r="10" spans="1:42" ht="20" customHeight="1" x14ac:dyDescent="0.15">
      <c r="A10" s="14" t="str">
        <f t="shared" si="4"/>
        <v>41013_2-2/418&lt;lv80&gt;s2</v>
      </c>
      <c r="B10" s="19">
        <v>41013</v>
      </c>
      <c r="C10" s="92">
        <v>2</v>
      </c>
      <c r="D10" s="1" t="str">
        <f t="shared" si="5"/>
        <v>41013_2</v>
      </c>
      <c r="E10" s="3" t="str">
        <f ca="1">VLOOKUP($B10,OFFSET([2]quests!$A$1,0,0,COUNTA([2]quests!$A:$A),MATCH(E$1,[2]quests!$1:$1,0)-MATCH($B$1,[2]quests!$1:$1,0)+1),MATCH(E$1,[2]quests!$1:$1,0)-MATCH($B$1,[2]quests!$1:$1,0)+1,FALSE)</f>
        <v>カーマ襲来！</v>
      </c>
      <c r="F10" s="3" t="str">
        <f ca="1">VLOOKUP($D10,OFFSET([2]stages!$A$1,0,0,COUNTA([2]stages!$A:$A),MATCH(F$1,[2]stages!$2:$2,0)-MATCH($D$1,[2]stages!$2:$2,0)+1),MATCH(F$1,[2]stages!$2:$2,0)-MATCH($D$1,[2]stages!$2:$2,0)+1,FALSE)</f>
        <v>【ウィザード級】カーマ襲来</v>
      </c>
      <c r="G10" s="92">
        <v>2</v>
      </c>
      <c r="H10" s="13" t="str">
        <f t="shared" si="6"/>
        <v>41013_2-2</v>
      </c>
      <c r="I10" s="3">
        <f ca="1">VLOOKUP($H10,OFFSET(floors!$A$1,0,0,COUNTA(floors!$A:$A),MATCH(I$1,floors!$1:$1,0)-MATCH($H$1,floors!$1:$1,0)+1),MATCH(I$1,floors!$1:$1,0)-MATCH($H$1,floors!$1:$1,0)+1,FALSE)</f>
        <v>60</v>
      </c>
      <c r="J10" s="3">
        <f ca="1">VLOOKUP($H10,OFFSET(floors!$A$1,0,0,COUNTA(floors!$A:$A),MATCH(J$1,floors!$1:$1,0)-MATCH($H$1,floors!$1:$1,0)+1),MATCH(J$1,floors!$1:$1,0)-MATCH($H$1,floors!$1:$1,0)+1,FALSE)</f>
        <v>60</v>
      </c>
      <c r="K10" s="26">
        <v>5</v>
      </c>
      <c r="L10" s="93">
        <v>418</v>
      </c>
      <c r="M10" s="15" t="str">
        <f ca="1">VLOOKUP($L10,OFFSET([3]enemies!$A$1,0,0,COUNTA([3]enemies!$A:$A),MATCH(M$1,[3]enemies!$1:$1,0)-MATCH($L$1,[3]enemies!$1:$1,0)+1),MATCH(M$1,[3]enemies!$1:$1,0)-MATCH($L$1,[3]enemies!$1:$1,0)+1,FALSE)</f>
        <v>ウラシマ</v>
      </c>
      <c r="N10" s="15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5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5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5">
        <f ca="1">VLOOKUP($L10,OFFSET([3]enemies!$A$1,0,0,COUNTA([3]enemies!$A:$A),MATCH(Q$1,[3]enemies!$1:$1,0)-MATCH($L$1,[3]enemies!$1:$1,0)+1),MATCH(Q$1,[3]enemies!$1:$1,0)-MATCH($L$1,[3]enemies!$1:$1,0)+1,FALSE)</f>
        <v>30</v>
      </c>
      <c r="R10" s="4">
        <v>80</v>
      </c>
      <c r="S10" s="22">
        <v>1.3</v>
      </c>
      <c r="T10" s="90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187733</v>
      </c>
      <c r="U10" s="22">
        <v>0.9</v>
      </c>
      <c r="V10" s="90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6383.7</v>
      </c>
      <c r="W10" s="4">
        <v>0</v>
      </c>
      <c r="X10" s="3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ランダムに10個ハートパネルに変換</v>
      </c>
      <c r="Y10" s="94">
        <v>41013005</v>
      </c>
      <c r="Z10" s="5">
        <v>1</v>
      </c>
      <c r="AA10" s="5">
        <v>100</v>
      </c>
      <c r="AB10" s="5">
        <v>0</v>
      </c>
      <c r="AC10" s="15">
        <v>2</v>
      </c>
      <c r="AD10" s="21">
        <v>418</v>
      </c>
      <c r="AE10" s="3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ウラシマ</v>
      </c>
      <c r="AF10" s="3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3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6">
        <v>1</v>
      </c>
      <c r="AI10" s="21">
        <f t="shared" ca="1" si="7"/>
        <v>4</v>
      </c>
      <c r="AJ10" s="7">
        <v>0</v>
      </c>
      <c r="AK10" s="6">
        <v>0</v>
      </c>
      <c r="AL10" s="6">
        <v>0</v>
      </c>
      <c r="AM10" s="6">
        <v>0</v>
      </c>
      <c r="AN10" s="6">
        <v>0</v>
      </c>
      <c r="AO10" s="6">
        <v>1</v>
      </c>
      <c r="AP10" s="57">
        <v>1</v>
      </c>
    </row>
    <row r="11" spans="1:42" ht="20" customHeight="1" x14ac:dyDescent="0.15">
      <c r="A11" s="14" t="str">
        <f t="shared" si="4"/>
        <v>41013_2-3/643&lt;lv80&gt;s2</v>
      </c>
      <c r="B11" s="19">
        <v>41013</v>
      </c>
      <c r="C11" s="92">
        <v>2</v>
      </c>
      <c r="D11" s="1" t="str">
        <f t="shared" si="5"/>
        <v>41013_2</v>
      </c>
      <c r="E11" s="3" t="str">
        <f ca="1">VLOOKUP($B11,OFFSET([2]quests!$A$1,0,0,COUNTA([2]quests!$A:$A),MATCH(E$1,[2]quests!$1:$1,0)-MATCH($B$1,[2]quests!$1:$1,0)+1),MATCH(E$1,[2]quests!$1:$1,0)-MATCH($B$1,[2]quests!$1:$1,0)+1,FALSE)</f>
        <v>カーマ襲来！</v>
      </c>
      <c r="F11" s="3" t="str">
        <f ca="1">VLOOKUP($D11,OFFSET([2]stages!$A$1,0,0,COUNTA([2]stages!$A:$A),MATCH(F$1,[2]stages!$2:$2,0)-MATCH($D$1,[2]stages!$2:$2,0)+1),MATCH(F$1,[2]stages!$2:$2,0)-MATCH($D$1,[2]stages!$2:$2,0)+1,FALSE)</f>
        <v>【ウィザード級】カーマ襲来</v>
      </c>
      <c r="G11" s="92">
        <v>3</v>
      </c>
      <c r="H11" s="13" t="str">
        <f t="shared" si="6"/>
        <v>41013_2-3</v>
      </c>
      <c r="I11" s="3">
        <f ca="1">VLOOKUP($H11,OFFSET(floors!$A$1,0,0,COUNTA(floors!$A:$A),MATCH(I$1,floors!$1:$1,0)-MATCH($H$1,floors!$1:$1,0)+1),MATCH(I$1,floors!$1:$1,0)-MATCH($H$1,floors!$1:$1,0)+1,FALSE)</f>
        <v>60</v>
      </c>
      <c r="J11" s="3">
        <f ca="1">VLOOKUP($H11,OFFSET(floors!$A$1,0,0,COUNTA(floors!$A:$A),MATCH(J$1,floors!$1:$1,0)-MATCH($H$1,floors!$1:$1,0)+1),MATCH(J$1,floors!$1:$1,0)-MATCH($H$1,floors!$1:$1,0)+1,FALSE)</f>
        <v>60</v>
      </c>
      <c r="K11" s="26">
        <v>6</v>
      </c>
      <c r="L11" s="93">
        <v>643</v>
      </c>
      <c r="M11" s="15" t="str">
        <f ca="1">VLOOKUP($L11,OFFSET([3]enemies!$A$1,0,0,COUNTA([3]enemies!$A:$A),MATCH(M$1,[3]enemies!$1:$1,0)-MATCH($L$1,[3]enemies!$1:$1,0)+1),MATCH(M$1,[3]enemies!$1:$1,0)-MATCH($L$1,[3]enemies!$1:$1,0)+1,FALSE)</f>
        <v>愛花天神 カーマ</v>
      </c>
      <c r="N11" s="15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5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5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15">
        <f ca="1">VLOOKUP($L11,OFFSET([3]enemies!$A$1,0,0,COUNTA([3]enemies!$A:$A),MATCH(Q$1,[3]enemies!$1:$1,0)-MATCH($L$1,[3]enemies!$1:$1,0)+1),MATCH(Q$1,[3]enemies!$1:$1,0)-MATCH($L$1,[3]enemies!$1:$1,0)+1,FALSE)</f>
        <v>60</v>
      </c>
      <c r="R11" s="4">
        <v>80</v>
      </c>
      <c r="S11" s="22">
        <v>4.3</v>
      </c>
      <c r="T11" s="90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571934.4</v>
      </c>
      <c r="U11" s="22">
        <v>1</v>
      </c>
      <c r="V11" s="90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12315</v>
      </c>
      <c r="W11" s="4">
        <v>0</v>
      </c>
      <c r="X11" s="3" t="str">
        <f ca="1">VLOOKUP($Y11,OFFSET(enemy_skill_sets!$B$1,0,0,COUNTA(enemy_skill_sets!$B:$B),MATCH(M$1,enemy_skill_sets!$1:$1,0)-MATCH($Y$1,enemy_skill_sets!$1:$1,0)+2),MATCH(M$1,enemy_skill_sets!$1:$1,0)-MATCH($Y$1,enemy_skill_sets!$1:$1,0)+2,FALSE)</f>
        <v>ランダムに20個ハートパネルに変換</v>
      </c>
      <c r="Y11" s="94">
        <v>41013007</v>
      </c>
      <c r="Z11" s="5">
        <v>1</v>
      </c>
      <c r="AA11" s="5">
        <v>100</v>
      </c>
      <c r="AB11" s="5">
        <v>0</v>
      </c>
      <c r="AC11" s="15">
        <v>2</v>
      </c>
      <c r="AD11" s="21">
        <v>642</v>
      </c>
      <c r="AE11" s="3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カーマ</v>
      </c>
      <c r="AF11" s="3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3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6">
        <v>1</v>
      </c>
      <c r="AI11" s="21">
        <f t="shared" ca="1" si="7"/>
        <v>4</v>
      </c>
      <c r="AJ11" s="7">
        <v>30</v>
      </c>
      <c r="AK11" s="6">
        <v>0</v>
      </c>
      <c r="AL11" s="6">
        <v>0</v>
      </c>
      <c r="AM11" s="6">
        <v>0</v>
      </c>
      <c r="AN11" s="6">
        <v>0</v>
      </c>
      <c r="AO11" s="6">
        <v>1</v>
      </c>
      <c r="AP11" s="5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9"/>
  <sheetViews>
    <sheetView showGridLines="0" zoomScale="89" zoomScaleNormal="89" zoomScalePageLayoutView="89" workbookViewId="0">
      <pane xSplit="18" ySplit="1" topLeftCell="U2" activePane="bottomRight" state="frozen"/>
      <selection activeCell="E25" sqref="E25"/>
      <selection pane="topRight" activeCell="E25" sqref="E25"/>
      <selection pane="bottomLeft" activeCell="E25" sqref="E25"/>
      <selection pane="bottomRight" activeCell="J14" sqref="J14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2" bestFit="1" customWidth="1"/>
    <col min="3" max="3" width="10.6640625" style="2" bestFit="1" customWidth="1"/>
    <col min="4" max="4" width="13" style="12" customWidth="1" outlineLevel="1"/>
    <col min="5" max="5" width="11.6640625" style="2" customWidth="1" outlineLevel="1"/>
    <col min="6" max="6" width="16.1640625" style="2" customWidth="1" outlineLevel="1"/>
    <col min="7" max="7" width="10" style="2" bestFit="1" customWidth="1"/>
    <col min="8" max="10" width="12.33203125" style="2" customWidth="1" outlineLevel="1"/>
    <col min="11" max="11" width="12.33203125" style="2" customWidth="1"/>
    <col min="12" max="12" width="11" style="2" bestFit="1" customWidth="1"/>
    <col min="13" max="13" width="13.5" style="8" bestFit="1" customWidth="1"/>
    <col min="14" max="14" width="8.83203125" style="2" customWidth="1" outlineLevel="1"/>
    <col min="15" max="15" width="8.6640625" style="2" customWidth="1" outlineLevel="1"/>
    <col min="16" max="16" width="12" style="2" customWidth="1" outlineLevel="1"/>
    <col min="17" max="17" width="21" style="2" customWidth="1" outlineLevel="1"/>
    <col min="18" max="18" width="8" style="2" customWidth="1" outlineLevel="1"/>
    <col min="19" max="19" width="8.33203125" style="2" bestFit="1" customWidth="1"/>
    <col min="20" max="20" width="14.83203125" style="2" bestFit="1" customWidth="1"/>
    <col min="21" max="21" width="14.83203125" style="2" customWidth="1"/>
    <col min="22" max="22" width="17.5" style="2" bestFit="1" customWidth="1"/>
    <col min="23" max="23" width="17.5" style="2" customWidth="1"/>
    <col min="24" max="24" width="18.33203125" style="2" bestFit="1" customWidth="1"/>
    <col min="25" max="25" width="16.6640625" style="2" customWidth="1"/>
    <col min="26" max="26" width="10" style="2" bestFit="1" customWidth="1" outlineLevel="1"/>
    <col min="27" max="27" width="9.33203125" style="2" bestFit="1" customWidth="1"/>
    <col min="28" max="16384" width="13" style="2"/>
  </cols>
  <sheetData>
    <row r="1" spans="1:27" s="25" customFormat="1" ht="21" customHeight="1" x14ac:dyDescent="0.15">
      <c r="A1" s="23" t="s">
        <v>29</v>
      </c>
      <c r="B1" s="24" t="s">
        <v>0</v>
      </c>
      <c r="C1" s="24" t="s">
        <v>1</v>
      </c>
      <c r="D1" s="119" t="s">
        <v>28</v>
      </c>
      <c r="E1" s="119" t="s">
        <v>16</v>
      </c>
      <c r="F1" s="119" t="s">
        <v>16</v>
      </c>
      <c r="G1" s="24" t="s">
        <v>19</v>
      </c>
      <c r="H1" s="119" t="s">
        <v>30</v>
      </c>
      <c r="I1" s="119" t="s">
        <v>14</v>
      </c>
      <c r="J1" s="119" t="s">
        <v>15</v>
      </c>
      <c r="K1" s="120" t="s">
        <v>54</v>
      </c>
      <c r="L1" s="120" t="s">
        <v>55</v>
      </c>
      <c r="M1" s="120" t="s">
        <v>2</v>
      </c>
      <c r="N1" s="121" t="s">
        <v>16</v>
      </c>
      <c r="O1" s="119" t="s">
        <v>24</v>
      </c>
      <c r="P1" s="119" t="s">
        <v>23</v>
      </c>
      <c r="Q1" s="122" t="s">
        <v>26</v>
      </c>
      <c r="R1" s="119" t="s">
        <v>25</v>
      </c>
      <c r="S1" s="24" t="s">
        <v>3</v>
      </c>
      <c r="T1" s="24" t="s">
        <v>48</v>
      </c>
      <c r="U1" s="123" t="s">
        <v>252</v>
      </c>
      <c r="V1" s="24" t="s">
        <v>50</v>
      </c>
      <c r="W1" s="123" t="s">
        <v>253</v>
      </c>
      <c r="X1" s="24" t="s">
        <v>52</v>
      </c>
      <c r="Y1" s="24" t="s">
        <v>128</v>
      </c>
      <c r="Z1" s="119" t="s">
        <v>127</v>
      </c>
      <c r="AA1" s="24" t="s">
        <v>8</v>
      </c>
    </row>
    <row r="2" spans="1:27" s="139" customFormat="1" ht="21" customHeight="1" x14ac:dyDescent="0.15">
      <c r="A2" s="110" t="str">
        <f>B2&amp;"_"&amp;C2&amp;"-"&amp;G2&amp;"/"&amp;M2&amp;"&lt;lv"&amp;S2&amp;"&gt;sq"&amp;K2&amp;"st"&amp;L2</f>
        <v>41013_1-2/396&lt;lv60&gt;sq1st2</v>
      </c>
      <c r="B2" s="133">
        <v>41013</v>
      </c>
      <c r="C2" s="92">
        <v>1</v>
      </c>
      <c r="D2" s="13" t="str">
        <f>B2&amp;"_"&amp;C2</f>
        <v>41013_1</v>
      </c>
      <c r="E2" s="134" t="str">
        <f ca="1">VLOOKUP($B2,OFFSET([2]quests!$A$1,0,0,COUNTA([2]quests!$A:$A),MATCH(E$1,[2]quests!$1:$1,0)-MATCH($B$1,[2]quests!$1:$1,0)+1),MATCH(E$1,[2]quests!$1:$1,0)-MATCH($B$1,[2]quests!$1:$1,0)+1,FALSE)</f>
        <v>カーマ襲来！</v>
      </c>
      <c r="F2" s="134" t="str">
        <f ca="1">VLOOKUP($D2,OFFSET([2]stages!$A$1,0,0,COUNTA([2]stages!$A:$A),MATCH(F$1,[2]stages!$2:$2,0)-MATCH($D$1,[2]stages!$2:$2,0)+1),MATCH(F$1,[2]stages!$2:$2,0)-MATCH($D$1,[2]stages!$2:$2,0)+1,FALSE)</f>
        <v>【超絶級】カーマ襲来</v>
      </c>
      <c r="G2" s="92">
        <v>2</v>
      </c>
      <c r="H2" s="13" t="str">
        <f>B2&amp;"_"&amp;C2&amp;"-"&amp;G2</f>
        <v>41013_1-2</v>
      </c>
      <c r="I2" s="134">
        <f ca="1">VLOOKUP($H2,OFFSET(floors!$A$1,0,0,COUNTA(floors!$A:$A),MATCH(I$1,floors!$1:$1,0)-MATCH($H$1,floors!$1:$1,0)+1),MATCH(I$1,floors!$1:$1,0)-MATCH($H$1,floors!$1:$1,0)+1,FALSE)</f>
        <v>60</v>
      </c>
      <c r="J2" s="134">
        <f ca="1">VLOOKUP($H2,OFFSET(floors!$A$1,0,0,COUNTA(floors!$A:$A),MATCH(J$1,floors!$1:$1,0)-MATCH($H$1,floors!$1:$1,0)+1),MATCH(J$1,floors!$1:$1,0)-MATCH($H$1,floors!$1:$1,0)+1,FALSE)</f>
        <v>60</v>
      </c>
      <c r="K2" s="26">
        <v>1</v>
      </c>
      <c r="L2" s="26">
        <v>2</v>
      </c>
      <c r="M2" s="93">
        <v>396</v>
      </c>
      <c r="N2" s="135" t="str">
        <f ca="1">VLOOKUP($M2,OFFSET([3]enemies!$A$1,0,0,COUNTA([3]enemies!$A:$A),MATCH(N$1,[3]enemies!$1:$1,0)-MATCH($M$1,[3]enemies!$1:$1,0)+1),MATCH(N$1,[3]enemies!$1:$1,0)-MATCH($M$1,[3]enemies!$1:$1,0)+1,FALSE)</f>
        <v>竜宮の水雷 乙姫</v>
      </c>
      <c r="O2" s="135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35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35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35">
        <f ca="1">VLOOKUP($M2,OFFSET([3]enemies!$A$1,0,0,COUNTA([3]enemies!$A:$A),MATCH(R$1,[3]enemies!$1:$1,0)-MATCH($M$1,[3]enemies!$1:$1,0)+1),MATCH(R$1,[3]enemies!$1:$1,0)-MATCH($M$1,[3]enemies!$1:$1,0)+1,FALSE)</f>
        <v>30</v>
      </c>
      <c r="S2" s="4">
        <v>60</v>
      </c>
      <c r="T2" s="22">
        <v>1.2</v>
      </c>
      <c r="U2" s="90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130766.39999999999</v>
      </c>
      <c r="V2" s="22">
        <v>0.6</v>
      </c>
      <c r="W2" s="90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3085.7999999999997</v>
      </c>
      <c r="X2" s="4">
        <v>0</v>
      </c>
      <c r="Y2" s="13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2" s="136">
        <v>41013004</v>
      </c>
      <c r="AA2" s="58">
        <v>2</v>
      </c>
    </row>
    <row r="3" spans="1:27" s="140" customFormat="1" ht="21" customHeight="1" x14ac:dyDescent="0.15">
      <c r="A3" s="111" t="str">
        <f t="shared" ref="A3:A4" si="0">B3&amp;"_"&amp;C3&amp;"-"&amp;G3&amp;"/"&amp;M3&amp;"&lt;lv"&amp;S3&amp;"&gt;sq"&amp;K3&amp;"st"&amp;L3</f>
        <v>41013_1-2/418&lt;lv60&gt;sq2st2</v>
      </c>
      <c r="B3" s="19">
        <v>41013</v>
      </c>
      <c r="C3" s="92">
        <v>1</v>
      </c>
      <c r="D3" s="13" t="str">
        <f t="shared" ref="D3:D4" si="1">B3&amp;"_"&amp;C3</f>
        <v>41013_1</v>
      </c>
      <c r="E3" s="3" t="str">
        <f ca="1">VLOOKUP($B3,OFFSET([2]quests!$A$1,0,0,COUNTA([2]quests!$A:$A),MATCH(E$1,[2]quests!$1:$1,0)-MATCH($B$1,[2]quests!$1:$1,0)+1),MATCH(E$1,[2]quests!$1:$1,0)-MATCH($B$1,[2]quests!$1:$1,0)+1,FALSE)</f>
        <v>カーマ襲来！</v>
      </c>
      <c r="F3" s="3" t="str">
        <f ca="1">VLOOKUP($D3,OFFSET([2]stages!$A$1,0,0,COUNTA([2]stages!$A:$A),MATCH(F$1,[2]stages!$2:$2,0)-MATCH($D$1,[2]stages!$2:$2,0)+1),MATCH(F$1,[2]stages!$2:$2,0)-MATCH($D$1,[2]stages!$2:$2,0)+1,FALSE)</f>
        <v>【超絶級】カーマ襲来</v>
      </c>
      <c r="G3" s="92">
        <v>2</v>
      </c>
      <c r="H3" s="13" t="str">
        <f t="shared" ref="H3:H4" si="2">B3&amp;"_"&amp;C3&amp;"-"&amp;G3</f>
        <v>41013_1-2</v>
      </c>
      <c r="I3" s="3">
        <f ca="1">VLOOKUP($H3,OFFSET(floors!$A$1,0,0,COUNTA(floors!$A:$A),MATCH(I$1,floors!$1:$1,0)-MATCH($H$1,floors!$1:$1,0)+1),MATCH(I$1,floors!$1:$1,0)-MATCH($H$1,floors!$1:$1,0)+1,FALSE)</f>
        <v>60</v>
      </c>
      <c r="J3" s="3">
        <f ca="1">VLOOKUP($H3,OFFSET(floors!$A$1,0,0,COUNTA(floors!$A:$A),MATCH(J$1,floors!$1:$1,0)-MATCH($H$1,floors!$1:$1,0)+1),MATCH(J$1,floors!$1:$1,0)-MATCH($H$1,floors!$1:$1,0)+1,FALSE)</f>
        <v>60</v>
      </c>
      <c r="K3" s="26">
        <v>2</v>
      </c>
      <c r="L3" s="26">
        <v>2</v>
      </c>
      <c r="M3" s="93">
        <v>418</v>
      </c>
      <c r="N3" s="15" t="str">
        <f ca="1">VLOOKUP($M3,OFFSET([3]enemies!$A$1,0,0,COUNTA([3]enemies!$A:$A),MATCH(N$1,[3]enemies!$1:$1,0)-MATCH($M$1,[3]enemies!$1:$1,0)+1),MATCH(N$1,[3]enemies!$1:$1,0)-MATCH($M$1,[3]enemies!$1:$1,0)+1,FALSE)</f>
        <v>ウラシマ</v>
      </c>
      <c r="O3" s="15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5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5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5">
        <f ca="1">VLOOKUP($M3,OFFSET([3]enemies!$A$1,0,0,COUNTA([3]enemies!$A:$A),MATCH(R$1,[3]enemies!$1:$1,0)-MATCH($M$1,[3]enemies!$1:$1,0)+1),MATCH(R$1,[3]enemies!$1:$1,0)-MATCH($M$1,[3]enemies!$1:$1,0)+1,FALSE)</f>
        <v>30</v>
      </c>
      <c r="S3" s="4">
        <v>60</v>
      </c>
      <c r="T3" s="22">
        <v>1.2</v>
      </c>
      <c r="U3" s="90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130766.39999999999</v>
      </c>
      <c r="V3" s="22">
        <v>0.8</v>
      </c>
      <c r="W3" s="90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4282.4000000000005</v>
      </c>
      <c r="X3" s="4">
        <v>0</v>
      </c>
      <c r="Y3" s="3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3" s="94">
        <v>41013006</v>
      </c>
      <c r="AA3" s="58">
        <v>2</v>
      </c>
    </row>
    <row r="4" spans="1:27" s="140" customFormat="1" ht="21" customHeight="1" x14ac:dyDescent="0.15">
      <c r="A4" s="111" t="str">
        <f t="shared" si="0"/>
        <v>41013_1-3/642&lt;lv60&gt;sq3st2</v>
      </c>
      <c r="B4" s="19">
        <v>41013</v>
      </c>
      <c r="C4" s="92">
        <v>1</v>
      </c>
      <c r="D4" s="13" t="str">
        <f t="shared" si="1"/>
        <v>41013_1</v>
      </c>
      <c r="E4" s="3" t="str">
        <f ca="1">VLOOKUP($B4,OFFSET([2]quests!$A$1,0,0,COUNTA([2]quests!$A:$A),MATCH(E$1,[2]quests!$1:$1,0)-MATCH($B$1,[2]quests!$1:$1,0)+1),MATCH(E$1,[2]quests!$1:$1,0)-MATCH($B$1,[2]quests!$1:$1,0)+1,FALSE)</f>
        <v>カーマ襲来！</v>
      </c>
      <c r="F4" s="3" t="str">
        <f ca="1">VLOOKUP($D4,OFFSET([2]stages!$A$1,0,0,COUNTA([2]stages!$A:$A),MATCH(F$1,[2]stages!$2:$2,0)-MATCH($D$1,[2]stages!$2:$2,0)+1),MATCH(F$1,[2]stages!$2:$2,0)-MATCH($D$1,[2]stages!$2:$2,0)+1,FALSE)</f>
        <v>【超絶級】カーマ襲来</v>
      </c>
      <c r="G4" s="92">
        <v>3</v>
      </c>
      <c r="H4" s="13" t="str">
        <f t="shared" si="2"/>
        <v>41013_1-3</v>
      </c>
      <c r="I4" s="3">
        <f ca="1">VLOOKUP($H4,OFFSET(floors!$A$1,0,0,COUNTA(floors!$A:$A),MATCH(I$1,floors!$1:$1,0)-MATCH($H$1,floors!$1:$1,0)+1),MATCH(I$1,floors!$1:$1,0)-MATCH($H$1,floors!$1:$1,0)+1,FALSE)</f>
        <v>60</v>
      </c>
      <c r="J4" s="3">
        <f ca="1">VLOOKUP($H4,OFFSET(floors!$A$1,0,0,COUNTA(floors!$A:$A),MATCH(J$1,floors!$1:$1,0)-MATCH($H$1,floors!$1:$1,0)+1),MATCH(J$1,floors!$1:$1,0)-MATCH($H$1,floors!$1:$1,0)+1,FALSE)</f>
        <v>60</v>
      </c>
      <c r="K4" s="26">
        <v>3</v>
      </c>
      <c r="L4" s="26">
        <v>2</v>
      </c>
      <c r="M4" s="93">
        <v>642</v>
      </c>
      <c r="N4" s="15" t="str">
        <f ca="1">VLOOKUP($M4,OFFSET([3]enemies!$A$1,0,0,COUNTA([3]enemies!$A:$A),MATCH(N$1,[3]enemies!$1:$1,0)-MATCH($M$1,[3]enemies!$1:$1,0)+1),MATCH(N$1,[3]enemies!$1:$1,0)-MATCH($M$1,[3]enemies!$1:$1,0)+1,FALSE)</f>
        <v>カーマ</v>
      </c>
      <c r="O4" s="15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5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5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5">
        <f ca="1">VLOOKUP($M4,OFFSET([3]enemies!$A$1,0,0,COUNTA([3]enemies!$A:$A),MATCH(R$1,[3]enemies!$1:$1,0)-MATCH($M$1,[3]enemies!$1:$1,0)+1),MATCH(R$1,[3]enemies!$1:$1,0)-MATCH($M$1,[3]enemies!$1:$1,0)+1,FALSE)</f>
        <v>30</v>
      </c>
      <c r="S4" s="4">
        <v>60</v>
      </c>
      <c r="T4" s="22">
        <v>3.2</v>
      </c>
      <c r="U4" s="90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245606.40000000002</v>
      </c>
      <c r="V4" s="22">
        <v>0.8</v>
      </c>
      <c r="W4" s="90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6903.2000000000007</v>
      </c>
      <c r="X4" s="4">
        <v>0</v>
      </c>
      <c r="Y4" s="3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4" s="94">
        <v>41013008</v>
      </c>
      <c r="AA4" s="58">
        <v>2</v>
      </c>
    </row>
    <row r="5" spans="1:27" s="153" customFormat="1" ht="21" customHeight="1" thickBot="1" x14ac:dyDescent="0.2">
      <c r="A5" s="112" t="str">
        <f>B5&amp;"_"&amp;C5&amp;"-"&amp;G5&amp;"/"&amp;M5&amp;"&lt;lv"&amp;S5&amp;"&gt;sq"&amp;K5&amp;"st"&amp;L5</f>
        <v>41013_1-3/643&lt;lv60&gt;sq3st3</v>
      </c>
      <c r="B5" s="141">
        <v>41013</v>
      </c>
      <c r="C5" s="115">
        <v>1</v>
      </c>
      <c r="D5" s="117" t="str">
        <f>B5&amp;"_"&amp;C5</f>
        <v>41013_1</v>
      </c>
      <c r="E5" s="142" t="str">
        <f ca="1">VLOOKUP($B5,OFFSET([2]quests!$A$1,0,0,COUNTA([2]quests!$A:$A),MATCH(E$1,[2]quests!$1:$1,0)-MATCH($B$1,[2]quests!$1:$1,0)+1),MATCH(E$1,[2]quests!$1:$1,0)-MATCH($B$1,[2]quests!$1:$1,0)+1,FALSE)</f>
        <v>カーマ襲来！</v>
      </c>
      <c r="F5" s="142" t="str">
        <f ca="1">VLOOKUP($D5,OFFSET([2]stages!$A$1,0,0,COUNTA([2]stages!$A:$A),MATCH(F$1,[2]stages!$2:$2,0)-MATCH($D$1,[2]stages!$2:$2,0)+1),MATCH(F$1,[2]stages!$2:$2,0)-MATCH($D$1,[2]stages!$2:$2,0)+1,FALSE)</f>
        <v>【超絶級】カーマ襲来</v>
      </c>
      <c r="G5" s="115">
        <v>3</v>
      </c>
      <c r="H5" s="117" t="str">
        <f>B5&amp;"_"&amp;C5&amp;"-"&amp;G5</f>
        <v>41013_1-3</v>
      </c>
      <c r="I5" s="142">
        <f ca="1">VLOOKUP($H5,OFFSET(floors!$A$1,0,0,COUNTA(floors!$A:$A),MATCH(I$1,floors!$1:$1,0)-MATCH($H$1,floors!$1:$1,0)+1),MATCH(I$1,floors!$1:$1,0)-MATCH($H$1,floors!$1:$1,0)+1,FALSE)</f>
        <v>60</v>
      </c>
      <c r="J5" s="142">
        <f ca="1">VLOOKUP($H5,OFFSET(floors!$A$1,0,0,COUNTA(floors!$A:$A),MATCH(J$1,floors!$1:$1,0)-MATCH($H$1,floors!$1:$1,0)+1),MATCH(J$1,floors!$1:$1,0)-MATCH($H$1,floors!$1:$1,0)+1,FALSE)</f>
        <v>60</v>
      </c>
      <c r="K5" s="118">
        <v>3</v>
      </c>
      <c r="L5" s="118">
        <v>3</v>
      </c>
      <c r="M5" s="143">
        <v>643</v>
      </c>
      <c r="N5" s="144" t="str">
        <f ca="1">VLOOKUP($M5,OFFSET([3]enemies!$A$1,0,0,COUNTA([3]enemies!$A:$A),MATCH(N$1,[3]enemies!$1:$1,0)-MATCH($M$1,[3]enemies!$1:$1,0)+1),MATCH(N$1,[3]enemies!$1:$1,0)-MATCH($M$1,[3]enemies!$1:$1,0)+1,FALSE)</f>
        <v>愛花天神 カーマ</v>
      </c>
      <c r="O5" s="144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44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44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44">
        <f ca="1">VLOOKUP($M5,OFFSET([3]enemies!$A$1,0,0,COUNTA([3]enemies!$A:$A),MATCH(R$1,[3]enemies!$1:$1,0)-MATCH($M$1,[3]enemies!$1:$1,0)+1),MATCH(R$1,[3]enemies!$1:$1,0)-MATCH($M$1,[3]enemies!$1:$1,0)+1,FALSE)</f>
        <v>60</v>
      </c>
      <c r="S5" s="145">
        <v>60</v>
      </c>
      <c r="T5" s="155">
        <v>3.2</v>
      </c>
      <c r="U5" s="147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321177.60000000003</v>
      </c>
      <c r="V5" s="156">
        <v>0.5</v>
      </c>
      <c r="W5" s="147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4646.5</v>
      </c>
      <c r="X5" s="145">
        <v>0</v>
      </c>
      <c r="Y5" s="142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5" s="148">
        <v>41013009</v>
      </c>
      <c r="AA5" s="157">
        <v>1</v>
      </c>
    </row>
    <row r="6" spans="1:27" ht="21" customHeight="1" thickTop="1" x14ac:dyDescent="0.15">
      <c r="A6" s="14" t="str">
        <f>B6&amp;"_"&amp;C6&amp;"-"&amp;G6&amp;"/"&amp;M6&amp;"&lt;lv"&amp;S6&amp;"&gt;sq"&amp;K6&amp;"st"&amp;L6</f>
        <v>41013_2-2/396&lt;lv80&gt;sq4st2</v>
      </c>
      <c r="B6" s="19">
        <v>41013</v>
      </c>
      <c r="C6" s="106">
        <v>2</v>
      </c>
      <c r="D6" s="108" t="str">
        <f>B6&amp;"_"&amp;C6</f>
        <v>41013_2</v>
      </c>
      <c r="E6" s="3" t="str">
        <f ca="1">VLOOKUP($B6,OFFSET([2]quests!$A$1,0,0,COUNTA([2]quests!$A:$A),MATCH(E$1,[2]quests!$1:$1,0)-MATCH($B$1,[2]quests!$1:$1,0)+1),MATCH(E$1,[2]quests!$1:$1,0)-MATCH($B$1,[2]quests!$1:$1,0)+1,FALSE)</f>
        <v>カーマ襲来！</v>
      </c>
      <c r="F6" s="3" t="str">
        <f ca="1">VLOOKUP($D6,OFFSET([2]stages!$A$1,0,0,COUNTA([2]stages!$A:$A),MATCH(F$1,[2]stages!$2:$2,0)-MATCH($D$1,[2]stages!$2:$2,0)+1),MATCH(F$1,[2]stages!$2:$2,0)-MATCH($D$1,[2]stages!$2:$2,0)+1,FALSE)</f>
        <v>【ウィザード級】カーマ襲来</v>
      </c>
      <c r="G6" s="106">
        <v>2</v>
      </c>
      <c r="H6" s="108" t="str">
        <f>B6&amp;"_"&amp;C6&amp;"-"&amp;G6</f>
        <v>41013_2-2</v>
      </c>
      <c r="I6" s="3">
        <f ca="1">VLOOKUP($H6,OFFSET(floors!$A$1,0,0,COUNTA(floors!$A:$A),MATCH(I$1,floors!$1:$1,0)-MATCH($H$1,floors!$1:$1,0)+1),MATCH(I$1,floors!$1:$1,0)-MATCH($H$1,floors!$1:$1,0)+1,FALSE)</f>
        <v>60</v>
      </c>
      <c r="J6" s="3">
        <f ca="1">VLOOKUP($H6,OFFSET(floors!$A$1,0,0,COUNTA(floors!$A:$A),MATCH(J$1,floors!$1:$1,0)-MATCH($H$1,floors!$1:$1,0)+1),MATCH(J$1,floors!$1:$1,0)-MATCH($H$1,floors!$1:$1,0)+1,FALSE)</f>
        <v>60</v>
      </c>
      <c r="K6" s="109">
        <v>4</v>
      </c>
      <c r="L6" s="109">
        <v>2</v>
      </c>
      <c r="M6" s="125">
        <v>396</v>
      </c>
      <c r="N6" s="15" t="str">
        <f ca="1">VLOOKUP($M6,OFFSET([3]enemies!$A$1,0,0,COUNTA([3]enemies!$A:$A),MATCH(N$1,[3]enemies!$1:$1,0)-MATCH($M$1,[3]enemies!$1:$1,0)+1),MATCH(N$1,[3]enemies!$1:$1,0)-MATCH($M$1,[3]enemies!$1:$1,0)+1,FALSE)</f>
        <v>竜宮の水雷 乙姫</v>
      </c>
      <c r="O6" s="15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5" t="str">
        <f ca="1">VLOOKUP($M6,OFFSET([4]characters!$A$1,0,0,COUNTA([4]characters!$A:$A),MATCH(P$1,[4]characters!$1:$1,0)-MATCH($M$1,[4]characters!$1:$1,0)+1),MATCH(P$1,[4]characters!$1:$1,0)-MATCH($M$1,[4]characters!$1:$1,0)+1,FALSE)</f>
        <v>PremiumS</v>
      </c>
      <c r="Q6" s="15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5">
        <f ca="1">VLOOKUP($M6,OFFSET([3]enemies!$A$1,0,0,COUNTA([3]enemies!$A:$A),MATCH(R$1,[3]enemies!$1:$1,0)-MATCH($M$1,[3]enemies!$1:$1,0)+1),MATCH(R$1,[3]enemies!$1:$1,0)-MATCH($M$1,[3]enemies!$1:$1,0)+1,FALSE)</f>
        <v>30</v>
      </c>
      <c r="S6" s="126">
        <v>80</v>
      </c>
      <c r="T6" s="127">
        <v>1.4</v>
      </c>
      <c r="U6" s="128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202174</v>
      </c>
      <c r="V6" s="127">
        <v>0.8</v>
      </c>
      <c r="W6" s="128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5452</v>
      </c>
      <c r="X6" s="126">
        <v>0</v>
      </c>
      <c r="Y6" s="3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6" s="94">
        <v>41013004</v>
      </c>
      <c r="AA6" s="154">
        <v>2</v>
      </c>
    </row>
    <row r="7" spans="1:27" ht="21" customHeight="1" x14ac:dyDescent="0.15">
      <c r="A7" s="14" t="str">
        <f t="shared" ref="A7:A8" si="3">B7&amp;"_"&amp;C7&amp;"-"&amp;G7&amp;"/"&amp;M7&amp;"&lt;lv"&amp;S7&amp;"&gt;sq"&amp;K7&amp;"st"&amp;L7</f>
        <v>41013_2-2/418&lt;lv80&gt;sq5st2</v>
      </c>
      <c r="B7" s="19">
        <v>41013</v>
      </c>
      <c r="C7" s="92">
        <v>2</v>
      </c>
      <c r="D7" s="1" t="str">
        <f t="shared" ref="D7:D8" si="4">B7&amp;"_"&amp;C7</f>
        <v>41013_2</v>
      </c>
      <c r="E7" s="3" t="str">
        <f ca="1">VLOOKUP($B7,OFFSET([2]quests!$A$1,0,0,COUNTA([2]quests!$A:$A),MATCH(E$1,[2]quests!$1:$1,0)-MATCH($B$1,[2]quests!$1:$1,0)+1),MATCH(E$1,[2]quests!$1:$1,0)-MATCH($B$1,[2]quests!$1:$1,0)+1,FALSE)</f>
        <v>カーマ襲来！</v>
      </c>
      <c r="F7" s="3" t="str">
        <f ca="1">VLOOKUP($D7,OFFSET([2]stages!$A$1,0,0,COUNTA([2]stages!$A:$A),MATCH(F$1,[2]stages!$2:$2,0)-MATCH($D$1,[2]stages!$2:$2,0)+1),MATCH(F$1,[2]stages!$2:$2,0)-MATCH($D$1,[2]stages!$2:$2,0)+1,FALSE)</f>
        <v>【ウィザード級】カーマ襲来</v>
      </c>
      <c r="G7" s="92">
        <v>2</v>
      </c>
      <c r="H7" s="13" t="str">
        <f t="shared" ref="H7:H8" si="5">B7&amp;"_"&amp;C7&amp;"-"&amp;G7</f>
        <v>41013_2-2</v>
      </c>
      <c r="I7" s="3">
        <f ca="1">VLOOKUP($H7,OFFSET(floors!$A$1,0,0,COUNTA(floors!$A:$A),MATCH(I$1,floors!$1:$1,0)-MATCH($H$1,floors!$1:$1,0)+1),MATCH(I$1,floors!$1:$1,0)-MATCH($H$1,floors!$1:$1,0)+1,FALSE)</f>
        <v>60</v>
      </c>
      <c r="J7" s="3">
        <f ca="1">VLOOKUP($H7,OFFSET(floors!$A$1,0,0,COUNTA(floors!$A:$A),MATCH(J$1,floors!$1:$1,0)-MATCH($H$1,floors!$1:$1,0)+1),MATCH(J$1,floors!$1:$1,0)-MATCH($H$1,floors!$1:$1,0)+1,FALSE)</f>
        <v>60</v>
      </c>
      <c r="K7" s="26">
        <v>5</v>
      </c>
      <c r="L7" s="26">
        <v>2</v>
      </c>
      <c r="M7" s="93">
        <v>418</v>
      </c>
      <c r="N7" s="15" t="str">
        <f ca="1">VLOOKUP($M7,OFFSET([3]enemies!$A$1,0,0,COUNTA([3]enemies!$A:$A),MATCH(N$1,[3]enemies!$1:$1,0)-MATCH($M$1,[3]enemies!$1:$1,0)+1),MATCH(N$1,[3]enemies!$1:$1,0)-MATCH($M$1,[3]enemies!$1:$1,0)+1,FALSE)</f>
        <v>ウラシマ</v>
      </c>
      <c r="O7" s="15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5" t="str">
        <f ca="1">VLOOKUP($M7,OFFSET([4]characters!$A$1,0,0,COUNTA([4]characters!$A:$A),MATCH(P$1,[4]characters!$1:$1,0)-MATCH($M$1,[4]characters!$1:$1,0)+1),MATCH(P$1,[4]characters!$1:$1,0)-MATCH($M$1,[4]characters!$1:$1,0)+1,FALSE)</f>
        <v>Drop2N</v>
      </c>
      <c r="Q7" s="15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5">
        <f ca="1">VLOOKUP($M7,OFFSET([3]enemies!$A$1,0,0,COUNTA([3]enemies!$A:$A),MATCH(R$1,[3]enemies!$1:$1,0)-MATCH($M$1,[3]enemies!$1:$1,0)+1),MATCH(R$1,[3]enemies!$1:$1,0)-MATCH($M$1,[3]enemies!$1:$1,0)+1,FALSE)</f>
        <v>30</v>
      </c>
      <c r="S7" s="4">
        <v>80</v>
      </c>
      <c r="T7" s="22">
        <v>1.4</v>
      </c>
      <c r="U7" s="90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202174</v>
      </c>
      <c r="V7" s="22">
        <v>1</v>
      </c>
      <c r="W7" s="90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7093</v>
      </c>
      <c r="X7" s="4">
        <v>0</v>
      </c>
      <c r="Y7" s="3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7" s="94">
        <v>41013006</v>
      </c>
      <c r="AA7" s="58">
        <v>2</v>
      </c>
    </row>
    <row r="8" spans="1:27" ht="21" customHeight="1" x14ac:dyDescent="0.15">
      <c r="A8" s="14" t="str">
        <f t="shared" si="3"/>
        <v>41013_2-3/836&lt;lv80&gt;sq6st2</v>
      </c>
      <c r="B8" s="19">
        <v>41013</v>
      </c>
      <c r="C8" s="92">
        <v>2</v>
      </c>
      <c r="D8" s="1" t="str">
        <f t="shared" si="4"/>
        <v>41013_2</v>
      </c>
      <c r="E8" s="3" t="str">
        <f ca="1">VLOOKUP($B8,OFFSET([2]quests!$A$1,0,0,COUNTA([2]quests!$A:$A),MATCH(E$1,[2]quests!$1:$1,0)-MATCH($B$1,[2]quests!$1:$1,0)+1),MATCH(E$1,[2]quests!$1:$1,0)-MATCH($B$1,[2]quests!$1:$1,0)+1,FALSE)</f>
        <v>カーマ襲来！</v>
      </c>
      <c r="F8" s="3" t="str">
        <f ca="1">VLOOKUP($D8,OFFSET([2]stages!$A$1,0,0,COUNTA([2]stages!$A:$A),MATCH(F$1,[2]stages!$2:$2,0)-MATCH($D$1,[2]stages!$2:$2,0)+1),MATCH(F$1,[2]stages!$2:$2,0)-MATCH($D$1,[2]stages!$2:$2,0)+1,FALSE)</f>
        <v>【ウィザード級】カーマ襲来</v>
      </c>
      <c r="G8" s="92">
        <v>3</v>
      </c>
      <c r="H8" s="13" t="str">
        <f t="shared" si="5"/>
        <v>41013_2-3</v>
      </c>
      <c r="I8" s="3">
        <f ca="1">VLOOKUP($H8,OFFSET(floors!$A$1,0,0,COUNTA(floors!$A:$A),MATCH(I$1,floors!$1:$1,0)-MATCH($H$1,floors!$1:$1,0)+1),MATCH(I$1,floors!$1:$1,0)-MATCH($H$1,floors!$1:$1,0)+1,FALSE)</f>
        <v>60</v>
      </c>
      <c r="J8" s="3">
        <f ca="1">VLOOKUP($H8,OFFSET(floors!$A$1,0,0,COUNTA(floors!$A:$A),MATCH(J$1,floors!$1:$1,0)-MATCH($H$1,floors!$1:$1,0)+1),MATCH(J$1,floors!$1:$1,0)-MATCH($H$1,floors!$1:$1,0)+1,FALSE)</f>
        <v>60</v>
      </c>
      <c r="K8" s="26">
        <v>6</v>
      </c>
      <c r="L8" s="26">
        <v>2</v>
      </c>
      <c r="M8" s="93">
        <v>836</v>
      </c>
      <c r="N8" s="15" t="str">
        <f ca="1">VLOOKUP($M8,OFFSET([3]enemies!$A$1,0,0,COUNTA([3]enemies!$A:$A),MATCH(N$1,[3]enemies!$1:$1,0)-MATCH($M$1,[3]enemies!$1:$1,0)+1),MATCH(N$1,[3]enemies!$1:$1,0)-MATCH($M$1,[3]enemies!$1:$1,0)+1,FALSE)</f>
        <v>射愛の恋華天神 カーマ</v>
      </c>
      <c r="O8" s="15" t="str">
        <f ca="1">VLOOKUP($M8,OFFSET([3]enemies!$A$1,0,0,COUNTA([3]enemies!$A:$A),MATCH(O$1,[3]enemies!$1:$1,0)-MATCH($M$1,[3]enemies!$1:$1,0)+1),MATCH(O$1,[3]enemies!$1:$1,0)-MATCH($M$1,[3]enemies!$1:$1,0)+1,FALSE)</f>
        <v>red</v>
      </c>
      <c r="P8" s="15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5" t="str">
        <f ca="1">VLOOKUP($M8,OFFSET([3]enemies!$A$1,0,0,COUNTA([3]enemies!$A:$A),MATCH(Q$1,[3]enemies!$1:$1,0)-MATCH($M$1,[3]enemies!$1:$1,0)+1),MATCH(Q$1,[3]enemies!$1:$1,0)-MATCH($M$1,[3]enemies!$1:$1,0)+1,FALSE)</f>
        <v>god</v>
      </c>
      <c r="R8" s="15">
        <f ca="1">VLOOKUP($M8,OFFSET([3]enemies!$A$1,0,0,COUNTA([3]enemies!$A:$A),MATCH(R$1,[3]enemies!$1:$1,0)-MATCH($M$1,[3]enemies!$1:$1,0)+1),MATCH(R$1,[3]enemies!$1:$1,0)-MATCH($M$1,[3]enemies!$1:$1,0)+1,FALSE)</f>
        <v>60</v>
      </c>
      <c r="S8" s="4">
        <v>80</v>
      </c>
      <c r="T8" s="22">
        <v>3.8</v>
      </c>
      <c r="U8" s="90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505430.39999999997</v>
      </c>
      <c r="V8" s="22">
        <v>1</v>
      </c>
      <c r="W8" s="90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12315</v>
      </c>
      <c r="X8" s="4">
        <v>0</v>
      </c>
      <c r="Y8" s="3" t="e">
        <f ca="1">VLOOKUP($Z8,OFFSET([5]enemy_skill_sets!$B$1,0,0,COUNTA([5]enemy_skill_sets!$B:$B),MATCH(N$1,[5]enemy_skill_sets!$1:$1,0)-MATCH($Z$1,[5]enemy_skill_sets!$1:$1,0)+2),MATCH(N$1,[5]enemy_skill_sets!$1:$1,0)-MATCH($Z$1,[5]enemy_skill_sets!$1:$1,0)+2,FALSE)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8" s="94">
        <v>41013011</v>
      </c>
      <c r="AA8" s="58">
        <v>2</v>
      </c>
    </row>
    <row r="9" spans="1:27" ht="21" customHeight="1" x14ac:dyDescent="0.15">
      <c r="A9" s="14" t="str">
        <f>B9&amp;"_"&amp;C9&amp;"-"&amp;G9&amp;"/"&amp;M9&amp;"&lt;lv"&amp;S9&amp;"&gt;sq"&amp;K9&amp;"st"&amp;L9</f>
        <v>41013_2-3/836&lt;lv80&gt;sq6st3</v>
      </c>
      <c r="B9" s="19">
        <v>41013</v>
      </c>
      <c r="C9" s="92">
        <v>2</v>
      </c>
      <c r="D9" s="1" t="str">
        <f>B9&amp;"_"&amp;C9</f>
        <v>41013_2</v>
      </c>
      <c r="E9" s="3" t="str">
        <f ca="1">VLOOKUP($B9,OFFSET([2]quests!$A$1,0,0,COUNTA([2]quests!$A:$A),MATCH(E$1,[2]quests!$1:$1,0)-MATCH($B$1,[2]quests!$1:$1,0)+1),MATCH(E$1,[2]quests!$1:$1,0)-MATCH($B$1,[2]quests!$1:$1,0)+1,FALSE)</f>
        <v>カーマ襲来！</v>
      </c>
      <c r="F9" s="3" t="str">
        <f ca="1">VLOOKUP($D9,OFFSET([2]stages!$A$1,0,0,COUNTA([2]stages!$A:$A),MATCH(F$1,[2]stages!$2:$2,0)-MATCH($D$1,[2]stages!$2:$2,0)+1),MATCH(F$1,[2]stages!$2:$2,0)-MATCH($D$1,[2]stages!$2:$2,0)+1,FALSE)</f>
        <v>【ウィザード級】カーマ襲来</v>
      </c>
      <c r="G9" s="92">
        <v>3</v>
      </c>
      <c r="H9" s="13" t="str">
        <f>B9&amp;"_"&amp;C9&amp;"-"&amp;G9</f>
        <v>41013_2-3</v>
      </c>
      <c r="I9" s="3">
        <f ca="1">VLOOKUP($H9,OFFSET(floors!$A$1,0,0,COUNTA(floors!$A:$A),MATCH(I$1,floors!$1:$1,0)-MATCH($H$1,floors!$1:$1,0)+1),MATCH(I$1,floors!$1:$1,0)-MATCH($H$1,floors!$1:$1,0)+1,FALSE)</f>
        <v>60</v>
      </c>
      <c r="J9" s="3">
        <f ca="1">VLOOKUP($H9,OFFSET(floors!$A$1,0,0,COUNTA(floors!$A:$A),MATCH(J$1,floors!$1:$1,0)-MATCH($H$1,floors!$1:$1,0)+1),MATCH(J$1,floors!$1:$1,0)-MATCH($H$1,floors!$1:$1,0)+1,FALSE)</f>
        <v>60</v>
      </c>
      <c r="K9" s="26">
        <v>6</v>
      </c>
      <c r="L9" s="26">
        <v>3</v>
      </c>
      <c r="M9" s="93">
        <v>836</v>
      </c>
      <c r="N9" s="15" t="str">
        <f ca="1">VLOOKUP($M9,OFFSET([3]enemies!$A$1,0,0,COUNTA([3]enemies!$A:$A),MATCH(N$1,[3]enemies!$1:$1,0)-MATCH($M$1,[3]enemies!$1:$1,0)+1),MATCH(N$1,[3]enemies!$1:$1,0)-MATCH($M$1,[3]enemies!$1:$1,0)+1,FALSE)</f>
        <v>射愛の恋華天神 カーマ</v>
      </c>
      <c r="O9" s="15" t="str">
        <f ca="1">VLOOKUP($M9,OFFSET([3]enemies!$A$1,0,0,COUNTA([3]enemies!$A:$A),MATCH(O$1,[3]enemies!$1:$1,0)-MATCH($M$1,[3]enemies!$1:$1,0)+1),MATCH(O$1,[3]enemies!$1:$1,0)-MATCH($M$1,[3]enemies!$1:$1,0)+1,FALSE)</f>
        <v>red</v>
      </c>
      <c r="P9" s="15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5" t="str">
        <f ca="1">VLOOKUP($M9,OFFSET([3]enemies!$A$1,0,0,COUNTA([3]enemies!$A:$A),MATCH(Q$1,[3]enemies!$1:$1,0)-MATCH($M$1,[3]enemies!$1:$1,0)+1),MATCH(Q$1,[3]enemies!$1:$1,0)-MATCH($M$1,[3]enemies!$1:$1,0)+1,FALSE)</f>
        <v>god</v>
      </c>
      <c r="R9" s="15">
        <f ca="1">VLOOKUP($M9,OFFSET([3]enemies!$A$1,0,0,COUNTA([3]enemies!$A:$A),MATCH(R$1,[3]enemies!$1:$1,0)-MATCH($M$1,[3]enemies!$1:$1,0)+1),MATCH(R$1,[3]enemies!$1:$1,0)-MATCH($M$1,[3]enemies!$1:$1,0)+1,FALSE)</f>
        <v>60</v>
      </c>
      <c r="S9" s="4">
        <v>80</v>
      </c>
      <c r="T9" s="95">
        <v>3.8</v>
      </c>
      <c r="U9" s="90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505430.39999999997</v>
      </c>
      <c r="V9" s="96">
        <v>0.8</v>
      </c>
      <c r="W9" s="90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9852</v>
      </c>
      <c r="X9" s="4">
        <v>0</v>
      </c>
      <c r="Y9" s="3" t="e">
        <f ca="1">VLOOKUP($Z9,OFFSET([5]enemy_skill_sets!$B$1,0,0,COUNTA([5]enemy_skill_sets!$B:$B),MATCH(N$1,[5]enemy_skill_sets!$1:$1,0)-MATCH($Z$1,[5]enemy_skill_sets!$1:$1,0)+2),MATCH(N$1,[5]enemy_skill_sets!$1:$1,0)-MATCH($Z$1,[5]enemy_skill_sets!$1:$1,0)+2,FALSE)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9" s="94">
        <v>41013012</v>
      </c>
      <c r="AA9" s="58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0"/>
  <sheetViews>
    <sheetView showGridLines="0" workbookViewId="0">
      <pane xSplit="5" ySplit="1" topLeftCell="F33" activePane="bottomRight" state="frozen"/>
      <selection pane="topRight"/>
      <selection pane="bottomLeft"/>
      <selection pane="bottomRight" activeCell="A40" sqref="A40:XFD40"/>
    </sheetView>
  </sheetViews>
  <sheetFormatPr baseColWidth="12" defaultColWidth="12.83203125" defaultRowHeight="21" customHeight="1" outlineLevelCol="1" x14ac:dyDescent="0.15"/>
  <cols>
    <col min="1" max="1" width="11.33203125" style="27" bestFit="1" customWidth="1"/>
    <col min="2" max="2" width="9.5" style="37" bestFit="1" customWidth="1"/>
    <col min="3" max="3" width="9.6640625" style="37" customWidth="1"/>
    <col min="4" max="4" width="20.1640625" style="37" customWidth="1" outlineLevel="1"/>
    <col min="5" max="5" width="44.1640625" style="37" bestFit="1" customWidth="1" outlineLevel="1"/>
    <col min="6" max="6" width="10.83203125" style="37" bestFit="1" customWidth="1"/>
    <col min="7" max="7" width="8.33203125" style="37" bestFit="1" customWidth="1" outlineLevel="1"/>
    <col min="8" max="9" width="12.83203125" style="37" outlineLevel="1"/>
    <col min="10" max="10" width="17.6640625" style="37" bestFit="1" customWidth="1" outlineLevel="1"/>
    <col min="11" max="15" width="12.83203125" style="37" outlineLevel="1"/>
    <col min="16" max="16" width="8.33203125" style="33" bestFit="1" customWidth="1"/>
    <col min="17" max="17" width="9.6640625" style="33" customWidth="1"/>
    <col min="18" max="18" width="56.5" style="33" bestFit="1" customWidth="1"/>
    <col min="19" max="16384" width="12.83203125" style="33"/>
  </cols>
  <sheetData>
    <row r="1" spans="1:18" ht="21" customHeight="1" x14ac:dyDescent="0.15">
      <c r="A1" s="27" t="s">
        <v>60</v>
      </c>
      <c r="B1" s="28" t="s">
        <v>61</v>
      </c>
      <c r="C1" s="28" t="s">
        <v>62</v>
      </c>
      <c r="D1" s="29" t="s">
        <v>63</v>
      </c>
      <c r="E1" s="29" t="s">
        <v>64</v>
      </c>
      <c r="F1" s="30" t="s">
        <v>65</v>
      </c>
      <c r="G1" s="31" t="s">
        <v>66</v>
      </c>
      <c r="H1" s="31" t="s">
        <v>68</v>
      </c>
      <c r="I1" s="31" t="s">
        <v>69</v>
      </c>
      <c r="J1" s="31" t="s">
        <v>70</v>
      </c>
      <c r="K1" s="32" t="s">
        <v>71</v>
      </c>
      <c r="L1" s="32" t="s">
        <v>72</v>
      </c>
      <c r="M1" s="31" t="s">
        <v>73</v>
      </c>
      <c r="N1" s="31" t="s">
        <v>74</v>
      </c>
      <c r="O1" s="31" t="s">
        <v>75</v>
      </c>
      <c r="P1" s="29" t="s">
        <v>76</v>
      </c>
      <c r="Q1" s="29" t="s">
        <v>77</v>
      </c>
      <c r="R1" s="29" t="s">
        <v>78</v>
      </c>
    </row>
    <row r="2" spans="1:18" ht="21" customHeight="1" x14ac:dyDescent="0.15">
      <c r="A2" s="27" t="str">
        <f t="shared" ref="A2:A3" si="0">B2&amp;"_"&amp;C2</f>
        <v>41013001_41013001</v>
      </c>
      <c r="B2" s="19">
        <v>41013001</v>
      </c>
      <c r="C2" s="19">
        <v>41013001</v>
      </c>
      <c r="D2" s="34" t="str">
        <f ca="1">VLOOKUP($C2,OFFSET(enemy_skills!$A$1,0,0,COUNTA(enemy_skills!$A:$A),MATCH(D$1,enemy_skills!$1:$1,0)-MATCH("enemy_skill_id",enemy_skills!$1:$1,0)+1),MATCH(D$1,enemy_skills!$1:$1,0)-MATCH("enemy_skill_id",enemy_skills!$1:$1,0)+1,FALSE)</f>
        <v>赤属性なんてッ…///</v>
      </c>
      <c r="E2" s="34" t="str">
        <f ca="1">VLOOKUP($C2,OFFSET(enemy_skills!$A$1,0,0,COUNTA(enemy_skills!$A:$A),MATCH(E$1,enemy_skills!$1:$1,0)-MATCH("enemy_skill_id",enemy_skills!$1:$1,0)+1),MATCH(E$1,enemy_skills!$1:$1,0)-MATCH("enemy_skill_id",enemy_skills!$1:$1,0)+1,FALSE)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2" s="97">
        <v>41013001</v>
      </c>
      <c r="G2" s="3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36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3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" s="3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3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36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3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3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3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" s="35"/>
      <c r="Q2" s="35"/>
      <c r="R2" s="35"/>
    </row>
    <row r="3" spans="1:18" ht="21" customHeight="1" x14ac:dyDescent="0.15">
      <c r="A3" s="27" t="str">
        <f t="shared" si="0"/>
        <v>41013001_41013036</v>
      </c>
      <c r="B3" s="19">
        <v>41013001</v>
      </c>
      <c r="C3" s="19">
        <v>41013036</v>
      </c>
      <c r="D3" s="3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もう！私は真剣なのに！</v>
      </c>
      <c r="E3" s="34" t="str">
        <f ca="1">VLOOKUP($C3,OFFSET(enemy_skills!$A$1,0,0,COUNTA(enemy_skills!$A:$A),MATCH(E$1,enemy_skills!$1:$1,0)-MATCH("enemy_skill_id",enemy_skills!$1:$1,0)+1),MATCH(E$1,enemy_skills!$1:$1,0)-MATCH("enemy_skill_id",enemy_skills!$1:$1,0)+1,FALSE)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3" s="97">
        <v>41013036</v>
      </c>
      <c r="G3" s="3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3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" s="3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3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3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3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3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3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3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35"/>
      <c r="Q3" s="35"/>
      <c r="R3" s="35"/>
    </row>
    <row r="4" spans="1:18" ht="21" customHeight="1" x14ac:dyDescent="0.15">
      <c r="A4" s="27" t="str">
        <f t="shared" ref="A4" si="1">B4&amp;"_"&amp;C4</f>
        <v>41013001_41013035</v>
      </c>
      <c r="B4" s="19">
        <v>41013001</v>
      </c>
      <c r="C4" s="19">
        <v>41013035</v>
      </c>
      <c r="D4" s="3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ほんと…鈍感なんだから！</v>
      </c>
      <c r="E4" s="34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ヨシタカを追って去っていった…</v>
      </c>
      <c r="F4" s="97">
        <v>41013035</v>
      </c>
      <c r="G4" s="3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3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3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3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3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36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36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36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50</v>
      </c>
      <c r="O4" s="3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35"/>
      <c r="Q4" s="35"/>
      <c r="R4" s="35"/>
    </row>
    <row r="5" spans="1:18" ht="21" customHeight="1" x14ac:dyDescent="0.15">
      <c r="A5" s="27" t="str">
        <f t="shared" ref="A5:A37" si="2">B5&amp;"_"&amp;C5</f>
        <v>41013002_41013034</v>
      </c>
      <c r="B5" s="19">
        <v>41013002</v>
      </c>
      <c r="C5" s="19">
        <v>41013034</v>
      </c>
      <c r="D5" s="3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あわわ、大丈夫？？</v>
      </c>
      <c r="E5" s="34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マイを追って去っていった…</v>
      </c>
      <c r="F5" s="97">
        <v>41013034</v>
      </c>
      <c r="G5" s="3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3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3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3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3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3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36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36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52</v>
      </c>
      <c r="O5" s="3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35"/>
      <c r="Q5" s="35"/>
      <c r="R5" s="35"/>
    </row>
    <row r="6" spans="1:18" ht="21" customHeight="1" x14ac:dyDescent="0.15">
      <c r="A6" s="27" t="str">
        <f t="shared" si="2"/>
        <v>41013002_41013002</v>
      </c>
      <c r="B6" s="19">
        <v>41013002</v>
      </c>
      <c r="C6" s="19">
        <v>41013002</v>
      </c>
      <c r="D6" s="3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マイちゃん落ち着いて！</v>
      </c>
      <c r="E6" s="34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マイを回復</v>
      </c>
      <c r="F6" s="97">
        <v>41013002</v>
      </c>
      <c r="G6" s="3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36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3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3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3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3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3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3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3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35"/>
      <c r="Q6" s="35"/>
      <c r="R6" s="35"/>
    </row>
    <row r="7" spans="1:18" ht="21" customHeight="1" x14ac:dyDescent="0.15">
      <c r="A7" s="27" t="str">
        <f t="shared" si="2"/>
        <v>41013003_41013003</v>
      </c>
      <c r="B7" s="19">
        <v>41013003</v>
      </c>
      <c r="C7" s="19">
        <v>41013003</v>
      </c>
      <c r="D7" s="3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ラブ・カウントダウン</v>
      </c>
      <c r="E7" s="34" t="str">
        <f ca="1">VLOOKUP($C7,OFFSET(enemy_skills!$A$1,0,0,COUNTA(enemy_skills!$A:$A),MATCH(E$1,enemy_skills!$1:$1,0)-MATCH("enemy_skill_id",enemy_skills!$1:$1,0)+1),MATCH(E$1,enemy_skills!$1:$1,0)-MATCH("enemy_skill_id",enemy_skills!$1:$1,0)+1,FALSE)</f>
        <v>5ターン確率で時限式ダメージパネルをドロップ</v>
      </c>
      <c r="F7" s="97">
        <v>41013003</v>
      </c>
      <c r="G7" s="3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3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" s="3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3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3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3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3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3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3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35"/>
      <c r="Q7" s="35"/>
      <c r="R7" s="35"/>
    </row>
    <row r="8" spans="1:18" ht="21" customHeight="1" x14ac:dyDescent="0.15">
      <c r="A8" s="27" t="str">
        <f t="shared" si="2"/>
        <v>41013003_41013004</v>
      </c>
      <c r="B8" s="19">
        <v>41013003</v>
      </c>
      <c r="C8" s="19">
        <v>41013004</v>
      </c>
      <c r="D8" s="34" t="str">
        <f ca="1">VLOOKUP($C8,OFFSET(enemy_skills!$A$1,0,0,COUNTA(enemy_skills!$A:$A),MATCH(D$1,enemy_skills!$1:$1,0)-MATCH("enemy_skill_id",enemy_skills!$1:$1,0)+1),MATCH(D$1,enemy_skills!$1:$1,0)-MATCH("enemy_skill_id",enemy_skills!$1:$1,0)+1,FALSE)</f>
        <v>束縛する慕情</v>
      </c>
      <c r="E8" s="34" t="str">
        <f ca="1">VLOOKUP($C8,OFFSET(enemy_skills!$A$1,0,0,COUNTA(enemy_skills!$A:$A),MATCH(E$1,enemy_skills!$1:$1,0)-MATCH("enemy_skill_id",enemy_skills!$1:$1,0)+1),MATCH(E$1,enemy_skills!$1:$1,0)-MATCH("enemy_skill_id",enemy_skills!$1:$1,0)+1,FALSE)</f>
        <v>単体に1ターンスキルバインド＋単体攻撃</v>
      </c>
      <c r="F8" s="97">
        <v>41013004</v>
      </c>
      <c r="G8" s="3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36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3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8" s="3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3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3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8" s="3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3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3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8" s="35"/>
      <c r="Q8" s="35"/>
      <c r="R8" s="35"/>
    </row>
    <row r="9" spans="1:18" ht="21" customHeight="1" x14ac:dyDescent="0.15">
      <c r="A9" s="27" t="str">
        <f t="shared" si="2"/>
        <v>41013003_41013005</v>
      </c>
      <c r="B9" s="19">
        <v>41013003</v>
      </c>
      <c r="C9" s="19">
        <v>41013005</v>
      </c>
      <c r="D9" s="3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キケンな衝動</v>
      </c>
      <c r="E9" s="34" t="str">
        <f ca="1">VLOOKUP($C9,OFFSET(enemy_skills!$A$1,0,0,COUNTA(enemy_skills!$A:$A),MATCH(E$1,enemy_skills!$1:$1,0)-MATCH("enemy_skill_id",enemy_skills!$1:$1,0)+1),MATCH(E$1,enemy_skills!$1:$1,0)-MATCH("enemy_skill_id",enemy_skills!$1:$1,0)+1,FALSE)</f>
        <v>次の攻撃ターンに青パネル吸収攻撃_x000D_＋2ターン青パネルがドロップしない</v>
      </c>
      <c r="F9" s="97">
        <v>41013005</v>
      </c>
      <c r="G9" s="3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3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9" s="3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36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3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3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3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3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3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35"/>
      <c r="Q9" s="35"/>
      <c r="R9" s="35"/>
    </row>
    <row r="10" spans="1:18" ht="21" customHeight="1" x14ac:dyDescent="0.15">
      <c r="A10" s="27" t="str">
        <f t="shared" si="2"/>
        <v>41013003_41013006</v>
      </c>
      <c r="B10" s="19">
        <v>41013003</v>
      </c>
      <c r="C10" s="19">
        <v>41013006</v>
      </c>
      <c r="D10" s="3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玉手箱ミサイル！</v>
      </c>
      <c r="E10" s="3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青パネル吸収攻撃</v>
      </c>
      <c r="F10" s="97">
        <v>41013006</v>
      </c>
      <c r="G10" s="3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3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0" s="3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36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3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3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3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3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3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35"/>
      <c r="Q10" s="35"/>
      <c r="R10" s="35"/>
    </row>
    <row r="11" spans="1:18" ht="21" customHeight="1" x14ac:dyDescent="0.15">
      <c r="A11" s="27" t="str">
        <f t="shared" si="2"/>
        <v>41013004_41013007</v>
      </c>
      <c r="B11" s="19">
        <v>41013004</v>
      </c>
      <c r="C11" s="19">
        <v>41013007</v>
      </c>
      <c r="D11" s="3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加速する恋情</v>
      </c>
      <c r="E11" s="3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11" s="97">
        <v>41013007</v>
      </c>
      <c r="G11" s="3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3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1" s="3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3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3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3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3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3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3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35"/>
      <c r="Q11" s="35"/>
      <c r="R11" s="35"/>
    </row>
    <row r="12" spans="1:18" ht="21" customHeight="1" x14ac:dyDescent="0.15">
      <c r="A12" s="27" t="str">
        <f t="shared" si="2"/>
        <v>41013004_41013008</v>
      </c>
      <c r="B12" s="19">
        <v>41013004</v>
      </c>
      <c r="C12" s="19">
        <v>41013008</v>
      </c>
      <c r="D12" s="3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溢れる想い</v>
      </c>
      <c r="E12" s="3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黄パネルを8個ハートパネルに変換_x000D_＋3連続攻撃</v>
      </c>
      <c r="F12" s="97">
        <v>41013008</v>
      </c>
      <c r="G12" s="3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36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3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2" s="3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3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36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3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3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3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2" s="35"/>
      <c r="Q12" s="35"/>
      <c r="R12" s="35"/>
    </row>
    <row r="13" spans="1:18" ht="21" customHeight="1" x14ac:dyDescent="0.15">
      <c r="A13" s="27" t="str">
        <f t="shared" si="2"/>
        <v>41013004_41013009</v>
      </c>
      <c r="B13" s="19">
        <v>41013004</v>
      </c>
      <c r="C13" s="19">
        <v>41013009</v>
      </c>
      <c r="D13" s="3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シークレット・ボム</v>
      </c>
      <c r="E13" s="3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13" s="97">
        <v>41013009</v>
      </c>
      <c r="G13" s="3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3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3" s="3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36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3" s="3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3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36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3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3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35"/>
      <c r="Q13" s="35"/>
      <c r="R13" s="35"/>
    </row>
    <row r="14" spans="1:18" ht="21" customHeight="1" x14ac:dyDescent="0.15">
      <c r="A14" s="27" t="str">
        <f t="shared" si="2"/>
        <v>41013005_41013010</v>
      </c>
      <c r="B14" s="19">
        <v>41013005</v>
      </c>
      <c r="C14" s="19">
        <v>41013010</v>
      </c>
      <c r="D14" s="3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パネルハッキング！</v>
      </c>
      <c r="E14" s="3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ランダムに10個ハートパネルに変換</v>
      </c>
      <c r="F14" s="97">
        <v>41013010</v>
      </c>
      <c r="G14" s="3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3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4" s="3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3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3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3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3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3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3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35"/>
      <c r="Q14" s="35"/>
      <c r="R14" s="35"/>
    </row>
    <row r="15" spans="1:18" ht="21" customHeight="1" x14ac:dyDescent="0.15">
      <c r="A15" s="27" t="str">
        <f t="shared" si="2"/>
        <v>41013005_41013011</v>
      </c>
      <c r="B15" s="19">
        <v>41013005</v>
      </c>
      <c r="C15" s="19">
        <v>41013011</v>
      </c>
      <c r="D15" s="3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ラブ・クロックアップ</v>
      </c>
      <c r="E15" s="3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敵全体が攻撃頻度UP</v>
      </c>
      <c r="F15" s="97">
        <v>41013011</v>
      </c>
      <c r="G15" s="3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3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5" s="3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36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3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3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36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3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3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35"/>
      <c r="Q15" s="35"/>
      <c r="R15" s="35"/>
    </row>
    <row r="16" spans="1:18" ht="21" customHeight="1" x14ac:dyDescent="0.15">
      <c r="A16" s="27" t="str">
        <f t="shared" si="2"/>
        <v>41013005_41013012</v>
      </c>
      <c r="B16" s="19">
        <v>41013005</v>
      </c>
      <c r="C16" s="19">
        <v>41013012</v>
      </c>
      <c r="D16" s="3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恋敵キラー</v>
      </c>
      <c r="E16" s="3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種族ヒューマンに大ダメージ</v>
      </c>
      <c r="F16" s="97">
        <v>41013012</v>
      </c>
      <c r="G16" s="3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3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6" s="3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6" s="3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3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36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3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3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3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6" s="35"/>
      <c r="Q16" s="35"/>
      <c r="R16" s="35"/>
    </row>
    <row r="17" spans="1:18" ht="21" customHeight="1" x14ac:dyDescent="0.15">
      <c r="A17" s="27" t="str">
        <f t="shared" si="2"/>
        <v>41013005_41013013</v>
      </c>
      <c r="B17" s="19">
        <v>41013005</v>
      </c>
      <c r="C17" s="19">
        <v>41013013</v>
      </c>
      <c r="D17" s="3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クラッキング！</v>
      </c>
      <c r="E17" s="3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7" s="97">
        <v>41013013</v>
      </c>
      <c r="G17" s="3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3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7" s="3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95</v>
      </c>
      <c r="J17" s="3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3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3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17" s="3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3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3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95</v>
      </c>
      <c r="P17" s="35"/>
      <c r="Q17" s="35"/>
      <c r="R17" s="35"/>
    </row>
    <row r="18" spans="1:18" ht="21" customHeight="1" x14ac:dyDescent="0.15">
      <c r="A18" s="27" t="str">
        <f t="shared" si="2"/>
        <v>41013006_41013014</v>
      </c>
      <c r="B18" s="19">
        <v>41013006</v>
      </c>
      <c r="C18" s="19">
        <v>41013014</v>
      </c>
      <c r="D18" s="3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アクセス制限</v>
      </c>
      <c r="E18" s="3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8ターン赤パネルの出現率DOWN</v>
      </c>
      <c r="F18" s="97">
        <v>41013014</v>
      </c>
      <c r="G18" s="3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3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8" s="3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3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3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3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3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3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3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35"/>
      <c r="Q18" s="35"/>
      <c r="R18" s="35"/>
    </row>
    <row r="19" spans="1:18" ht="21" customHeight="1" x14ac:dyDescent="0.15">
      <c r="A19" s="27" t="str">
        <f t="shared" si="2"/>
        <v>41013006_41013015</v>
      </c>
      <c r="B19" s="19">
        <v>41013006</v>
      </c>
      <c r="C19" s="19">
        <v>41013015</v>
      </c>
      <c r="D19" s="3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ステータス・クラック V1</v>
      </c>
      <c r="E19" s="3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3ターン攻撃力10％DOWN＋単体攻撃</v>
      </c>
      <c r="F19" s="97">
        <v>41013015</v>
      </c>
      <c r="G19" s="3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3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9" s="3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3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3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3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36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9" s="3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3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35"/>
      <c r="Q19" s="35"/>
      <c r="R19" s="35"/>
    </row>
    <row r="20" spans="1:18" ht="21" customHeight="1" x14ac:dyDescent="0.15">
      <c r="A20" s="27" t="str">
        <f t="shared" si="2"/>
        <v>41013006_41013016</v>
      </c>
      <c r="B20" s="19">
        <v>41013006</v>
      </c>
      <c r="C20" s="19">
        <v>41013016</v>
      </c>
      <c r="D20" s="3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ステータス・クラック V2</v>
      </c>
      <c r="E20" s="3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3ターン攻撃力20％DOWN＋単体攻撃</v>
      </c>
      <c r="F20" s="97">
        <v>41013016</v>
      </c>
      <c r="G20" s="3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3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0" s="3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3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3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36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36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0" s="3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3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35"/>
      <c r="Q20" s="35"/>
      <c r="R20" s="35"/>
    </row>
    <row r="21" spans="1:18" ht="21" customHeight="1" x14ac:dyDescent="0.15">
      <c r="A21" s="27" t="str">
        <f t="shared" si="2"/>
        <v>41013006_41013017</v>
      </c>
      <c r="B21" s="19">
        <v>41013006</v>
      </c>
      <c r="C21" s="19">
        <v>41013017</v>
      </c>
      <c r="D21" s="3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ステータス・クラック V3</v>
      </c>
      <c r="E21" s="3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3ターン攻撃力30％DOWN＋単体攻撃</v>
      </c>
      <c r="F21" s="97">
        <v>41013017</v>
      </c>
      <c r="G21" s="3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3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1" s="3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3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3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3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36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21" s="3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3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35"/>
      <c r="Q21" s="35"/>
      <c r="R21" s="35"/>
    </row>
    <row r="22" spans="1:18" ht="21" customHeight="1" x14ac:dyDescent="0.15">
      <c r="A22" s="27" t="str">
        <f t="shared" si="2"/>
        <v>41013006_41013018</v>
      </c>
      <c r="B22" s="19">
        <v>41013006</v>
      </c>
      <c r="C22" s="19">
        <v>41013018</v>
      </c>
      <c r="D22" s="3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モニター・ハック</v>
      </c>
      <c r="E22" s="3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3ターン暗闇＋単体攻撃</v>
      </c>
      <c r="F22" s="97">
        <v>41013018</v>
      </c>
      <c r="G22" s="3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3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22" s="3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36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3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36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36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3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3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35"/>
      <c r="Q22" s="35"/>
      <c r="R22" s="35"/>
    </row>
    <row r="23" spans="1:18" ht="21" customHeight="1" x14ac:dyDescent="0.15">
      <c r="A23" s="27" t="str">
        <f t="shared" si="2"/>
        <v>41013007_41013019</v>
      </c>
      <c r="B23" s="19">
        <v>41013007</v>
      </c>
      <c r="C23" s="19">
        <v>41013019</v>
      </c>
      <c r="D23" s="3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素晴らしき愛を君たちに！</v>
      </c>
      <c r="E23" s="3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ランダムに20個ハートパネルに変換</v>
      </c>
      <c r="F23" s="97">
        <v>41013019</v>
      </c>
      <c r="G23" s="3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3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3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3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3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36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3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3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3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35"/>
      <c r="Q23" s="35"/>
      <c r="R23" s="35"/>
    </row>
    <row r="24" spans="1:18" ht="21" customHeight="1" x14ac:dyDescent="0.15">
      <c r="A24" s="27" t="str">
        <f t="shared" si="2"/>
        <v>41013007_41013020</v>
      </c>
      <c r="B24" s="19">
        <v>41013007</v>
      </c>
      <c r="C24" s="19">
        <v>41013020</v>
      </c>
      <c r="D24" s="3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咲き誇れ恋の花！</v>
      </c>
      <c r="E24" s="3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青パネルを8個ハートパネルに変換_x000D_＋2連続攻撃</v>
      </c>
      <c r="F24" s="97">
        <v>41013020</v>
      </c>
      <c r="G24" s="3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3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4" s="3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36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3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36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36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4" s="3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3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35"/>
      <c r="Q24" s="35"/>
      <c r="R24" s="35"/>
    </row>
    <row r="25" spans="1:18" ht="21" customHeight="1" x14ac:dyDescent="0.15">
      <c r="A25" s="27" t="str">
        <f t="shared" si="2"/>
        <v>41013007_41013021</v>
      </c>
      <c r="B25" s="19">
        <v>41013007</v>
      </c>
      <c r="C25" s="19">
        <v>41013021</v>
      </c>
      <c r="D25" s="3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ラブ・アロー！</v>
      </c>
      <c r="E25" s="3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種族ヒューマンに大ダメージ</v>
      </c>
      <c r="F25" s="97">
        <v>41013021</v>
      </c>
      <c r="G25" s="3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36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5" s="3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5" s="3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3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36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36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3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3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5" s="35"/>
      <c r="Q25" s="35"/>
      <c r="R25" s="35"/>
    </row>
    <row r="26" spans="1:18" ht="21" customHeight="1" x14ac:dyDescent="0.15">
      <c r="A26" s="27" t="str">
        <f t="shared" si="2"/>
        <v>41013007_41013022</v>
      </c>
      <c r="B26" s="19">
        <v>41013007</v>
      </c>
      <c r="C26" s="19">
        <v>41013022</v>
      </c>
      <c r="D26" s="3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恋は盲目…♪</v>
      </c>
      <c r="E26" s="3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4ターン暗闇＋単体攻撃</v>
      </c>
      <c r="F26" s="97">
        <v>41013022</v>
      </c>
      <c r="G26" s="3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3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6" s="3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36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3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36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36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3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3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35"/>
      <c r="Q26" s="35"/>
      <c r="R26" s="35"/>
    </row>
    <row r="27" spans="1:18" ht="21" customHeight="1" x14ac:dyDescent="0.15">
      <c r="A27" s="27" t="str">
        <f t="shared" si="2"/>
        <v>41013007_41013023</v>
      </c>
      <c r="B27" s="19">
        <v>41013007</v>
      </c>
      <c r="C27" s="19">
        <v>41013023</v>
      </c>
      <c r="D27" s="3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フラワー・アロー！</v>
      </c>
      <c r="E27" s="3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7" s="97">
        <v>41013023</v>
      </c>
      <c r="G27" s="3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36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3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3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3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36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36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3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3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35"/>
      <c r="Q27" s="35"/>
      <c r="R27" s="35"/>
    </row>
    <row r="28" spans="1:18" ht="21" customHeight="1" x14ac:dyDescent="0.15">
      <c r="A28" s="27" t="str">
        <f t="shared" si="2"/>
        <v>41013008_41013024</v>
      </c>
      <c r="B28" s="19">
        <v>41013008</v>
      </c>
      <c r="C28" s="19">
        <v>41013024</v>
      </c>
      <c r="D28" s="3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世界を愛で満たすんだ！</v>
      </c>
      <c r="E28" s="3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</v>
      </c>
      <c r="F28" s="97">
        <v>41013024</v>
      </c>
      <c r="G28" s="3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3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3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36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3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36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36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3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3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35"/>
      <c r="Q28" s="35"/>
      <c r="R28" s="35"/>
    </row>
    <row r="29" spans="1:18" ht="21" customHeight="1" x14ac:dyDescent="0.15">
      <c r="A29" s="27" t="str">
        <f t="shared" si="2"/>
        <v>41013008_41013025</v>
      </c>
      <c r="B29" s="19">
        <v>41013008</v>
      </c>
      <c r="C29" s="19">
        <v>41013025</v>
      </c>
      <c r="D29" s="3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さあ、受け取ってくれ！</v>
      </c>
      <c r="E29" s="3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青パネルを8個ハートパネルに変換_x000D_＋3連続攻撃</v>
      </c>
      <c r="F29" s="97">
        <v>41013025</v>
      </c>
      <c r="G29" s="3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3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9" s="3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3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3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36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36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9" s="3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3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35"/>
      <c r="Q29" s="35"/>
      <c r="R29" s="35"/>
    </row>
    <row r="30" spans="1:18" ht="21" customHeight="1" x14ac:dyDescent="0.15">
      <c r="A30" s="27" t="str">
        <f t="shared" si="2"/>
        <v>41013008_41013026</v>
      </c>
      <c r="B30" s="19">
        <v>41013008</v>
      </c>
      <c r="C30" s="19">
        <v>41013026</v>
      </c>
      <c r="D30" s="3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そろそろ本気でいくよ！</v>
      </c>
      <c r="E30" s="3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攻撃頻度UP＋単体攻撃</v>
      </c>
      <c r="F30" s="97">
        <v>41013026</v>
      </c>
      <c r="G30" s="3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36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0" s="3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36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0" s="3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36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36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36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3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35"/>
      <c r="Q30" s="35"/>
      <c r="R30" s="35"/>
    </row>
    <row r="31" spans="1:18" ht="21" customHeight="1" x14ac:dyDescent="0.15">
      <c r="A31" s="27" t="str">
        <f t="shared" si="2"/>
        <v>41013008_41013027</v>
      </c>
      <c r="B31" s="19">
        <v>41013008</v>
      </c>
      <c r="C31" s="19">
        <v>41013027</v>
      </c>
      <c r="D31" s="3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ラブ・フレイム！</v>
      </c>
      <c r="E31" s="3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赤パネル吸収攻撃</v>
      </c>
      <c r="F31" s="97">
        <v>41013027</v>
      </c>
      <c r="G31" s="3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36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1" s="3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1" s="36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36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36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36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36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3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1" s="35"/>
      <c r="Q31" s="35"/>
      <c r="R31" s="35"/>
    </row>
    <row r="32" spans="1:18" ht="21" customHeight="1" x14ac:dyDescent="0.15">
      <c r="A32" s="27" t="str">
        <f t="shared" si="2"/>
        <v>41013008_41013028</v>
      </c>
      <c r="B32" s="19">
        <v>41013008</v>
      </c>
      <c r="C32" s="19">
        <v>41013028</v>
      </c>
      <c r="D32" s="3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フル・ブルーム！</v>
      </c>
      <c r="E32" s="3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2" s="97">
        <v>41013028</v>
      </c>
      <c r="G32" s="3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36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3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36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36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36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36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36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3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35"/>
      <c r="Q32" s="35"/>
      <c r="R32" s="35"/>
    </row>
    <row r="33" spans="1:18" ht="21" customHeight="1" x14ac:dyDescent="0.15">
      <c r="A33" s="27" t="str">
        <f t="shared" si="2"/>
        <v>41013009_41013029</v>
      </c>
      <c r="B33" s="19">
        <v>41013009</v>
      </c>
      <c r="C33" s="19">
        <v>41013029</v>
      </c>
      <c r="D33" s="3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僕の手で塗り替えるのさ！</v>
      </c>
      <c r="E33" s="3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</v>
      </c>
      <c r="F33" s="97">
        <v>41013029</v>
      </c>
      <c r="G33" s="3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36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3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36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3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36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36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36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3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35"/>
      <c r="Q33" s="35"/>
      <c r="R33" s="35"/>
    </row>
    <row r="34" spans="1:18" ht="21" customHeight="1" x14ac:dyDescent="0.15">
      <c r="A34" s="27" t="str">
        <f t="shared" si="2"/>
        <v>41013009_41013030</v>
      </c>
      <c r="B34" s="19">
        <v>41013009</v>
      </c>
      <c r="C34" s="19">
        <v>41013030</v>
      </c>
      <c r="D34" s="3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全てを焼く愛の炎！</v>
      </c>
      <c r="E34" s="3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青パネルを8個ハートパネルに変換_x000D_＋赤属性に大ダメージの3連続全体攻撃</v>
      </c>
      <c r="F34" s="97">
        <v>41013030</v>
      </c>
      <c r="G34" s="3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3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4" s="3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36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3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36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36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4" s="36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3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35"/>
      <c r="Q34" s="35"/>
      <c r="R34" s="35"/>
    </row>
    <row r="35" spans="1:18" ht="21" customHeight="1" x14ac:dyDescent="0.15">
      <c r="A35" s="27" t="str">
        <f t="shared" si="2"/>
        <v>41013009_41013031</v>
      </c>
      <c r="B35" s="19">
        <v>41013009</v>
      </c>
      <c r="C35" s="19">
        <v>41013031</v>
      </c>
      <c r="D35" s="3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ラブ・ファイア！</v>
      </c>
      <c r="E35" s="3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赤パネル吸収攻撃</v>
      </c>
      <c r="F35" s="97">
        <v>41013031</v>
      </c>
      <c r="G35" s="3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3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5" s="3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5" s="36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3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36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36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36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3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5" s="35"/>
      <c r="Q35" s="35"/>
      <c r="R35" s="35"/>
    </row>
    <row r="36" spans="1:18" ht="21" customHeight="1" x14ac:dyDescent="0.15">
      <c r="A36" s="27" t="str">
        <f t="shared" si="2"/>
        <v>41013009_41013032</v>
      </c>
      <c r="B36" s="19">
        <v>41013009</v>
      </c>
      <c r="C36" s="19">
        <v>41013032</v>
      </c>
      <c r="D36" s="3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ラブ・トラップ</v>
      </c>
      <c r="E36" s="3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次のターンにハートパネル吸収攻撃</v>
      </c>
      <c r="F36" s="97">
        <v>41013032</v>
      </c>
      <c r="G36" s="3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3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6" s="3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36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6" s="3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36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36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36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3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35"/>
      <c r="Q36" s="35"/>
      <c r="R36" s="35"/>
    </row>
    <row r="37" spans="1:18" ht="21" customHeight="1" x14ac:dyDescent="0.15">
      <c r="A37" s="27" t="str">
        <f t="shared" si="2"/>
        <v>41013009_41013033</v>
      </c>
      <c r="B37" s="19">
        <v>41013009</v>
      </c>
      <c r="C37" s="19">
        <v>41013033</v>
      </c>
      <c r="D37" s="3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ハート・ブレイク！</v>
      </c>
      <c r="E37" s="3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ハートパネル吸収攻撃</v>
      </c>
      <c r="F37" s="97">
        <v>41013033</v>
      </c>
      <c r="G37" s="3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36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7" s="3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36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7" s="3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36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36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36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3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35"/>
      <c r="Q37" s="35"/>
      <c r="R37" s="35"/>
    </row>
    <row r="38" spans="1:18" ht="21" customHeight="1" x14ac:dyDescent="0.15">
      <c r="A38" s="27" t="str">
        <f t="shared" ref="A38:A41" si="3">B38&amp;"_"&amp;C38</f>
        <v>41013010_41013003</v>
      </c>
      <c r="B38" s="159">
        <v>41013010</v>
      </c>
      <c r="C38" s="19">
        <v>41013003</v>
      </c>
      <c r="D38" s="3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ラブ・カウントダウン</v>
      </c>
      <c r="E38" s="3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5ターン確率で時限式ダメージパネルをドロップ</v>
      </c>
      <c r="F38" s="97">
        <v>41013003</v>
      </c>
      <c r="G38" s="3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36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8" s="3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36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3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36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36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36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3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35"/>
      <c r="Q38" s="35"/>
      <c r="R38" s="35"/>
    </row>
    <row r="39" spans="1:18" ht="21" customHeight="1" x14ac:dyDescent="0.15">
      <c r="A39" s="27" t="str">
        <f t="shared" si="3"/>
        <v>41013010_41013004</v>
      </c>
      <c r="B39" s="159">
        <v>41013010</v>
      </c>
      <c r="C39" s="19">
        <v>41013004</v>
      </c>
      <c r="D39" s="3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束縛する慕情</v>
      </c>
      <c r="E39" s="3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単体に1ターンスキルバインド＋単体攻撃</v>
      </c>
      <c r="F39" s="97">
        <v>41013004</v>
      </c>
      <c r="G39" s="36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36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36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39" s="36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36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36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39" s="36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36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3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39" s="35"/>
      <c r="Q39" s="35"/>
      <c r="R39" s="35"/>
    </row>
    <row r="40" spans="1:18" ht="21" customHeight="1" x14ac:dyDescent="0.15">
      <c r="A40" s="27" t="str">
        <f t="shared" si="3"/>
        <v>41013010_41013005</v>
      </c>
      <c r="B40" s="159">
        <v>41013010</v>
      </c>
      <c r="C40" s="19">
        <v>41013005</v>
      </c>
      <c r="D40" s="34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キケンな衝動</v>
      </c>
      <c r="E40" s="34" t="str">
        <f ca="1">VLOOKUP($C40,OFFSET(enemy_skills!$A$1,0,0,COUNTA(enemy_skills!$A:$A),MATCH(E$1,enemy_skills!$1:$1,0)-MATCH("enemy_skill_id",enemy_skills!$1:$1,0)+1),MATCH(E$1,enemy_skills!$1:$1,0)-MATCH("enemy_skill_id",enemy_skills!$1:$1,0)+1,FALSE)</f>
        <v>次の攻撃ターンに青パネル吸収攻撃_x000D_＋2ターン青パネルがドロップしない</v>
      </c>
      <c r="F40" s="97">
        <v>41013005</v>
      </c>
      <c r="G40" s="36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36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0" s="36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36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0" s="36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36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36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36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36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35"/>
      <c r="Q40" s="35"/>
      <c r="R40" s="35"/>
    </row>
    <row r="41" spans="1:18" ht="21" customHeight="1" x14ac:dyDescent="0.15">
      <c r="A41" s="27" t="str">
        <f t="shared" si="3"/>
        <v>41013010_41013037</v>
      </c>
      <c r="B41" s="159">
        <v>41013010</v>
      </c>
      <c r="C41" s="159">
        <v>41013037</v>
      </c>
      <c r="D41" s="3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玉手箱ミサイル！</v>
      </c>
      <c r="E41" s="3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青パネル吸収攻撃</v>
      </c>
      <c r="F41" s="97">
        <v>41013006</v>
      </c>
      <c r="G41" s="36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36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1" s="36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36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" s="36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36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36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36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36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35"/>
      <c r="Q41" s="35"/>
      <c r="R41" s="35"/>
    </row>
    <row r="42" spans="1:18" ht="21" customHeight="1" x14ac:dyDescent="0.15">
      <c r="A42" s="27" t="str">
        <f t="shared" ref="A42:A46" si="4">B42&amp;"_"&amp;C42</f>
        <v>41013011_41013024</v>
      </c>
      <c r="B42" s="159">
        <v>41013011</v>
      </c>
      <c r="C42" s="19">
        <v>41013024</v>
      </c>
      <c r="D42" s="34" t="str">
        <f ca="1">VLOOKUP($C42,OFFSET(enemy_skills!$A$1,0,0,COUNTA(enemy_skills!$A:$A),MATCH(D$1,enemy_skills!$1:$1,0)-MATCH("enemy_skill_id",enemy_skills!$1:$1,0)+1),MATCH(D$1,enemy_skills!$1:$1,0)-MATCH("enemy_skill_id",enemy_skills!$1:$1,0)+1,FALSE)</f>
        <v>世界を愛で満たすんだ！</v>
      </c>
      <c r="E42" s="34" t="str">
        <f ca="1">VLOOKUP($C42,OFFSET(enemy_skills!$A$1,0,0,COUNTA(enemy_skills!$A:$A),MATCH(E$1,enemy_skills!$1:$1,0)-MATCH("enemy_skill_id",enemy_skills!$1:$1,0)+1),MATCH(E$1,enemy_skills!$1:$1,0)-MATCH("enemy_skill_id",enemy_skills!$1:$1,0)+1,FALSE)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</v>
      </c>
      <c r="F42" s="97">
        <v>41013024</v>
      </c>
      <c r="G42" s="3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36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3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36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36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36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36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36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3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35"/>
      <c r="Q42" s="35"/>
      <c r="R42" s="35"/>
    </row>
    <row r="43" spans="1:18" ht="21" customHeight="1" x14ac:dyDescent="0.15">
      <c r="A43" s="27" t="str">
        <f t="shared" si="4"/>
        <v>41013011_41013025</v>
      </c>
      <c r="B43" s="159">
        <v>41013011</v>
      </c>
      <c r="C43" s="19">
        <v>41013025</v>
      </c>
      <c r="D43" s="34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さあ、受け取ってくれ！</v>
      </c>
      <c r="E43" s="34" t="str">
        <f ca="1">VLOOKUP($C43,OFFSET(enemy_skills!$A$1,0,0,COUNTA(enemy_skills!$A:$A),MATCH(E$1,enemy_skills!$1:$1,0)-MATCH("enemy_skill_id",enemy_skills!$1:$1,0)+1),MATCH(E$1,enemy_skills!$1:$1,0)-MATCH("enemy_skill_id",enemy_skills!$1:$1,0)+1,FALSE)</f>
        <v>青パネルを8個ハートパネルに変換_x000D_＋3連続攻撃</v>
      </c>
      <c r="F43" s="97">
        <v>41013025</v>
      </c>
      <c r="G43" s="36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36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3" s="36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36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36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36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36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3" s="36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36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35"/>
      <c r="Q43" s="35"/>
      <c r="R43" s="35"/>
    </row>
    <row r="44" spans="1:18" ht="21" customHeight="1" x14ac:dyDescent="0.15">
      <c r="A44" s="27" t="str">
        <f t="shared" si="4"/>
        <v>41013011_41013026</v>
      </c>
      <c r="B44" s="159">
        <v>41013011</v>
      </c>
      <c r="C44" s="19">
        <v>41013026</v>
      </c>
      <c r="D44" s="34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そろそろ本気でいくよ！</v>
      </c>
      <c r="E44" s="34" t="str">
        <f ca="1">VLOOKUP($C44,OFFSET(enemy_skills!$A$1,0,0,COUNTA(enemy_skills!$A:$A),MATCH(E$1,enemy_skills!$1:$1,0)-MATCH("enemy_skill_id",enemy_skills!$1:$1,0)+1),MATCH(E$1,enemy_skills!$1:$1,0)-MATCH("enemy_skill_id",enemy_skills!$1:$1,0)+1,FALSE)</f>
        <v>攻撃頻度UP＋単体攻撃</v>
      </c>
      <c r="F44" s="97">
        <v>41013026</v>
      </c>
      <c r="G44" s="36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36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4" s="36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36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4" s="36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36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36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36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36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35"/>
      <c r="Q44" s="35"/>
      <c r="R44" s="35"/>
    </row>
    <row r="45" spans="1:18" ht="21" customHeight="1" x14ac:dyDescent="0.15">
      <c r="A45" s="27" t="str">
        <f t="shared" si="4"/>
        <v>41013011_41013038</v>
      </c>
      <c r="B45" s="159">
        <v>41013011</v>
      </c>
      <c r="C45" s="159">
        <v>41013038</v>
      </c>
      <c r="D45" s="34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ラブ・フレイム！</v>
      </c>
      <c r="E45" s="34" t="str">
        <f ca="1">VLOOKUP($C45,OFFSET(enemy_skills!$A$1,0,0,COUNTA(enemy_skills!$A:$A),MATCH(E$1,enemy_skills!$1:$1,0)-MATCH("enemy_skill_id",enemy_skills!$1:$1,0)+1),MATCH(E$1,enemy_skills!$1:$1,0)-MATCH("enemy_skill_id",enemy_skills!$1:$1,0)+1,FALSE)</f>
        <v>赤パネル吸収攻撃</v>
      </c>
      <c r="F45" s="97">
        <v>41013027</v>
      </c>
      <c r="G45" s="36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36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5" s="36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45" s="36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36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36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36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36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36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45" s="35"/>
      <c r="Q45" s="35"/>
      <c r="R45" s="35"/>
    </row>
    <row r="46" spans="1:18" ht="21" customHeight="1" x14ac:dyDescent="0.15">
      <c r="A46" s="27" t="str">
        <f t="shared" si="4"/>
        <v>41013011_41013028</v>
      </c>
      <c r="B46" s="159">
        <v>41013011</v>
      </c>
      <c r="C46" s="19">
        <v>41013028</v>
      </c>
      <c r="D46" s="34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フル・ブルーム！</v>
      </c>
      <c r="E46" s="34" t="str">
        <f ca="1">VLOOKUP($C46,OFFSET(enemy_skills!$A$1,0,0,COUNTA(enemy_skills!$A:$A),MATCH(E$1,enemy_skills!$1:$1,0)-MATCH("enemy_skill_id",enemy_skills!$1:$1,0)+1),MATCH(E$1,enemy_skills!$1:$1,0)-MATCH("enemy_skill_id",enemy_skills!$1:$1,0)+1,FALSE)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6" s="97">
        <v>41013028</v>
      </c>
      <c r="G46" s="36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36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36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36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36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36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36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36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36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35"/>
      <c r="Q46" s="35"/>
      <c r="R46" s="35"/>
    </row>
    <row r="47" spans="1:18" ht="21" customHeight="1" x14ac:dyDescent="0.15">
      <c r="A47" s="27" t="str">
        <f t="shared" ref="A47:A51" si="5">B47&amp;"_"&amp;C47</f>
        <v>41013012_41013029</v>
      </c>
      <c r="B47" s="159">
        <v>41013012</v>
      </c>
      <c r="C47" s="19">
        <v>41013029</v>
      </c>
      <c r="D47" s="34" t="str">
        <f ca="1">VLOOKUP($C47,OFFSET(enemy_skills!$A$1,0,0,COUNTA(enemy_skills!$A:$A),MATCH(D$1,enemy_skills!$1:$1,0)-MATCH("enemy_skill_id",enemy_skills!$1:$1,0)+1),MATCH(D$1,enemy_skills!$1:$1,0)-MATCH("enemy_skill_id",enemy_skills!$1:$1,0)+1,FALSE)</f>
        <v>僕の手で塗り替えるのさ！</v>
      </c>
      <c r="E47" s="34" t="str">
        <f ca="1">VLOOKUP($C47,OFFSET(enemy_skills!$A$1,0,0,COUNTA(enemy_skills!$A:$A),MATCH(E$1,enemy_skills!$1:$1,0)-MATCH("enemy_skill_id",enemy_skills!$1:$1,0)+1),MATCH(E$1,enemy_skills!$1:$1,0)-MATCH("enemy_skill_id",enemy_skills!$1:$1,0)+1,FALSE)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</v>
      </c>
      <c r="F47" s="97">
        <v>41013029</v>
      </c>
      <c r="G47" s="36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36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36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36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36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36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36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36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36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35"/>
      <c r="Q47" s="35"/>
      <c r="R47" s="35"/>
    </row>
    <row r="48" spans="1:18" ht="21" customHeight="1" x14ac:dyDescent="0.15">
      <c r="A48" s="27" t="str">
        <f t="shared" si="5"/>
        <v>41013012_41013030</v>
      </c>
      <c r="B48" s="159">
        <v>41013012</v>
      </c>
      <c r="C48" s="19">
        <v>41013030</v>
      </c>
      <c r="D48" s="34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全てを焼く愛の炎！</v>
      </c>
      <c r="E48" s="34" t="str">
        <f ca="1">VLOOKUP($C48,OFFSET(enemy_skills!$A$1,0,0,COUNTA(enemy_skills!$A:$A),MATCH(E$1,enemy_skills!$1:$1,0)-MATCH("enemy_skill_id",enemy_skills!$1:$1,0)+1),MATCH(E$1,enemy_skills!$1:$1,0)-MATCH("enemy_skill_id",enemy_skills!$1:$1,0)+1,FALSE)</f>
        <v>青パネルを8個ハートパネルに変換_x000D_＋赤属性に大ダメージの3連続全体攻撃</v>
      </c>
      <c r="F48" s="97">
        <v>41013030</v>
      </c>
      <c r="G48" s="36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36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8" s="36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36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36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36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36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8" s="36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36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35"/>
      <c r="Q48" s="35"/>
      <c r="R48" s="35"/>
    </row>
    <row r="49" spans="1:18" ht="21" customHeight="1" x14ac:dyDescent="0.15">
      <c r="A49" s="27" t="str">
        <f t="shared" si="5"/>
        <v>41013012_41013039</v>
      </c>
      <c r="B49" s="159">
        <v>41013012</v>
      </c>
      <c r="C49" s="159">
        <v>41013039</v>
      </c>
      <c r="D49" s="34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ラブ・ファイア！</v>
      </c>
      <c r="E49" s="34" t="str">
        <f ca="1">VLOOKUP($C49,OFFSET(enemy_skills!$A$1,0,0,COUNTA(enemy_skills!$A:$A),MATCH(E$1,enemy_skills!$1:$1,0)-MATCH("enemy_skill_id",enemy_skills!$1:$1,0)+1),MATCH(E$1,enemy_skills!$1:$1,0)-MATCH("enemy_skill_id",enemy_skills!$1:$1,0)+1,FALSE)</f>
        <v>赤パネル吸収攻撃</v>
      </c>
      <c r="F49" s="97">
        <v>41013031</v>
      </c>
      <c r="G49" s="36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36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9" s="36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49" s="36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36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36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36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36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36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49" s="35"/>
      <c r="Q49" s="35"/>
      <c r="R49" s="35"/>
    </row>
    <row r="50" spans="1:18" ht="21" customHeight="1" x14ac:dyDescent="0.15">
      <c r="A50" s="27" t="str">
        <f t="shared" si="5"/>
        <v>41013012_41013032</v>
      </c>
      <c r="B50" s="159">
        <v>41013012</v>
      </c>
      <c r="C50" s="19">
        <v>41013032</v>
      </c>
      <c r="D50" s="34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ラブ・トラップ</v>
      </c>
      <c r="E50" s="34" t="str">
        <f ca="1">VLOOKUP($C50,OFFSET(enemy_skills!$A$1,0,0,COUNTA(enemy_skills!$A:$A),MATCH(E$1,enemy_skills!$1:$1,0)-MATCH("enemy_skill_id",enemy_skills!$1:$1,0)+1),MATCH(E$1,enemy_skills!$1:$1,0)-MATCH("enemy_skill_id",enemy_skills!$1:$1,0)+1,FALSE)</f>
        <v>次のターンにハートパネル吸収攻撃</v>
      </c>
      <c r="F50" s="97">
        <v>41013032</v>
      </c>
      <c r="G50" s="36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36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0" s="36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36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0" s="36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36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36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36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36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35"/>
      <c r="Q50" s="35"/>
      <c r="R50" s="35"/>
    </row>
    <row r="51" spans="1:18" ht="21" customHeight="1" x14ac:dyDescent="0.15">
      <c r="A51" s="27" t="str">
        <f t="shared" si="5"/>
        <v>41013012_41013040</v>
      </c>
      <c r="B51" s="159">
        <v>41013012</v>
      </c>
      <c r="C51" s="159">
        <v>41013040</v>
      </c>
      <c r="D51" s="34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ハート・ブレイク！</v>
      </c>
      <c r="E51" s="34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ハートパネル吸収攻撃</v>
      </c>
      <c r="F51" s="97">
        <v>41013033</v>
      </c>
      <c r="G51" s="36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36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1" s="36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36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1" s="36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36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36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36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36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35"/>
      <c r="Q51" s="35"/>
      <c r="R51" s="35"/>
    </row>
    <row r="52" spans="1:18" ht="21" customHeight="1" x14ac:dyDescent="0.15">
      <c r="A52" s="27" t="str">
        <f t="shared" ref="A52" si="6">B52&amp;"_"&amp;C52</f>
        <v>41013007_41013041</v>
      </c>
      <c r="B52" s="159">
        <v>41013007</v>
      </c>
      <c r="C52" s="159">
        <v>41013041</v>
      </c>
      <c r="D52" s="34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おもしろい、刺激的じゃないか</v>
      </c>
      <c r="E52" s="34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ランダムに20個ハートパネルに変換</v>
      </c>
      <c r="F52" s="97">
        <v>41013041</v>
      </c>
      <c r="G52" s="36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36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52" s="36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36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36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36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36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36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656</v>
      </c>
      <c r="O52" s="36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35"/>
      <c r="Q52" s="35"/>
      <c r="R52" s="35"/>
    </row>
    <row r="53" spans="1:18" ht="21" customHeight="1" x14ac:dyDescent="0.15">
      <c r="A53" s="27" t="str">
        <f t="shared" ref="A53:A60" si="7">B53&amp;"_"&amp;C53</f>
        <v>41013007_41013042</v>
      </c>
      <c r="B53" s="159">
        <v>41013007</v>
      </c>
      <c r="C53" s="159">
        <v>41013042</v>
      </c>
      <c r="D53" s="34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おもしろい、刺激的じゃないか</v>
      </c>
      <c r="E53" s="34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ランダムに20個ハートパネルに変換</v>
      </c>
      <c r="F53" s="97">
        <v>41013042</v>
      </c>
      <c r="G53" s="36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36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53" s="36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36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36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36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36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36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657</v>
      </c>
      <c r="O53" s="36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35"/>
      <c r="Q53" s="35"/>
      <c r="R53" s="35"/>
    </row>
    <row r="54" spans="1:18" ht="21" customHeight="1" x14ac:dyDescent="0.15">
      <c r="A54" s="27" t="str">
        <f t="shared" si="7"/>
        <v>41013007_41013043</v>
      </c>
      <c r="B54" s="159">
        <v>41013007</v>
      </c>
      <c r="C54" s="159">
        <v>41013043</v>
      </c>
      <c r="D54" s="34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おもしろい、刺激的じゃないか</v>
      </c>
      <c r="E54" s="34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ランダムに20個ハートパネルに変換</v>
      </c>
      <c r="F54" s="97">
        <v>41013043</v>
      </c>
      <c r="G54" s="36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36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54" s="36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36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36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36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36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36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834</v>
      </c>
      <c r="O54" s="36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35"/>
      <c r="Q54" s="35"/>
      <c r="R54" s="35"/>
    </row>
    <row r="55" spans="1:18" ht="21" customHeight="1" x14ac:dyDescent="0.15">
      <c r="A55" s="27" t="str">
        <f t="shared" si="7"/>
        <v>41013011_41013044</v>
      </c>
      <c r="B55" s="159">
        <v>41013011</v>
      </c>
      <c r="C55" s="159">
        <v>41013044</v>
      </c>
      <c r="D55" s="34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これもパールヴァティへの愛の賜物かな</v>
      </c>
      <c r="E55" s="34" t="str">
        <f ca="1">VLOOKUP($C55,OFFSET(enemy_skills!$A$1,0,0,COUNTA(enemy_skills!$A:$A),MATCH(E$1,enemy_skills!$1:$1,0)-MATCH("enemy_skill_id",enemy_skills!$1:$1,0)+1),MATCH(E$1,enemy_skills!$1:$1,0)-MATCH("enemy_skill_id",enemy_skills!$1:$1,0)+1,FALSE)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</v>
      </c>
      <c r="F55" s="97">
        <v>41013044</v>
      </c>
      <c r="G55" s="36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36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55" s="36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36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36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36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36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36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656</v>
      </c>
      <c r="O55" s="36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35"/>
      <c r="Q55" s="35"/>
      <c r="R55" s="35"/>
    </row>
    <row r="56" spans="1:18" ht="21" customHeight="1" x14ac:dyDescent="0.15">
      <c r="A56" s="27" t="str">
        <f t="shared" si="7"/>
        <v>41013011_41013045</v>
      </c>
      <c r="B56" s="159">
        <v>41013011</v>
      </c>
      <c r="C56" s="159">
        <v>41013045</v>
      </c>
      <c r="D56" s="34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これもパールヴァティへの愛の賜物かな</v>
      </c>
      <c r="E56" s="34" t="str">
        <f ca="1">VLOOKUP($C56,OFFSET(enemy_skills!$A$1,0,0,COUNTA(enemy_skills!$A:$A),MATCH(E$1,enemy_skills!$1:$1,0)-MATCH("enemy_skill_id",enemy_skills!$1:$1,0)+1),MATCH(E$1,enemy_skills!$1:$1,0)-MATCH("enemy_skill_id",enemy_skills!$1:$1,0)+1,FALSE)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</v>
      </c>
      <c r="F56" s="97">
        <v>41013045</v>
      </c>
      <c r="G56" s="36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36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56" s="36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36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36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36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36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36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657</v>
      </c>
      <c r="O56" s="36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35"/>
      <c r="Q56" s="35"/>
      <c r="R56" s="35"/>
    </row>
    <row r="57" spans="1:18" ht="21" customHeight="1" x14ac:dyDescent="0.15">
      <c r="A57" s="27" t="str">
        <f t="shared" si="7"/>
        <v>41013011_41013046</v>
      </c>
      <c r="B57" s="159">
        <v>41013011</v>
      </c>
      <c r="C57" s="159">
        <v>41013046</v>
      </c>
      <c r="D57" s="34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これもパールヴァティへの愛の賜物かな</v>
      </c>
      <c r="E57" s="34" t="str">
        <f ca="1">VLOOKUP($C57,OFFSET(enemy_skills!$A$1,0,0,COUNTA(enemy_skills!$A:$A),MATCH(E$1,enemy_skills!$1:$1,0)-MATCH("enemy_skill_id",enemy_skills!$1:$1,0)+1),MATCH(E$1,enemy_skills!$1:$1,0)-MATCH("enemy_skill_id",enemy_skills!$1:$1,0)+1,FALSE)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</v>
      </c>
      <c r="F57" s="97">
        <v>41013046</v>
      </c>
      <c r="G57" s="36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36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57" s="36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36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36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36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36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36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834</v>
      </c>
      <c r="O57" s="36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35"/>
      <c r="Q57" s="35"/>
      <c r="R57" s="35"/>
    </row>
    <row r="58" spans="1:18" ht="21" customHeight="1" x14ac:dyDescent="0.15">
      <c r="A58" s="27" t="str">
        <f t="shared" si="7"/>
        <v>41013012_41013047</v>
      </c>
      <c r="B58" s="159">
        <v>41013012</v>
      </c>
      <c r="C58" s="159">
        <v>41013047</v>
      </c>
      <c r="D58" s="34" t="str">
        <f ca="1">VLOOKUP($C58,OFFSET(enemy_skills!$A$1,0,0,COUNTA(enemy_skills!$A:$A),MATCH(D$1,enemy_skills!$1:$1,0)-MATCH("enemy_skill_id",enemy_skills!$1:$1,0)+1),MATCH(D$1,enemy_skills!$1:$1,0)-MATCH("enemy_skill_id",enemy_skills!$1:$1,0)+1,FALSE)</f>
        <v>彼女を返して欲しければもっと僕を楽しませなよ</v>
      </c>
      <c r="E58" s="34" t="str">
        <f ca="1">VLOOKUP($C58,OFFSET(enemy_skills!$A$1,0,0,COUNTA(enemy_skills!$A:$A),MATCH(E$1,enemy_skills!$1:$1,0)-MATCH("enemy_skill_id",enemy_skills!$1:$1,0)+1),MATCH(E$1,enemy_skills!$1:$1,0)-MATCH("enemy_skill_id",enemy_skills!$1:$1,0)+1,FALSE)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</v>
      </c>
      <c r="F58" s="97">
        <v>41013047</v>
      </c>
      <c r="G58" s="36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36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58" s="36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36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36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36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36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36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656</v>
      </c>
      <c r="O58" s="36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35"/>
      <c r="Q58" s="35"/>
      <c r="R58" s="35"/>
    </row>
    <row r="59" spans="1:18" ht="21" customHeight="1" x14ac:dyDescent="0.15">
      <c r="A59" s="27" t="str">
        <f t="shared" si="7"/>
        <v>41013012_41013048</v>
      </c>
      <c r="B59" s="159">
        <v>41013012</v>
      </c>
      <c r="C59" s="159">
        <v>41013048</v>
      </c>
      <c r="D59" s="34" t="str">
        <f ca="1">VLOOKUP($C59,OFFSET(enemy_skills!$A$1,0,0,COUNTA(enemy_skills!$A:$A),MATCH(D$1,enemy_skills!$1:$1,0)-MATCH("enemy_skill_id",enemy_skills!$1:$1,0)+1),MATCH(D$1,enemy_skills!$1:$1,0)-MATCH("enemy_skill_id",enemy_skills!$1:$1,0)+1,FALSE)</f>
        <v>彼女を返して欲しければもっと僕を楽しませなよ</v>
      </c>
      <c r="E59" s="34" t="str">
        <f ca="1">VLOOKUP($C59,OFFSET(enemy_skills!$A$1,0,0,COUNTA(enemy_skills!$A:$A),MATCH(E$1,enemy_skills!$1:$1,0)-MATCH("enemy_skill_id",enemy_skills!$1:$1,0)+1),MATCH(E$1,enemy_skills!$1:$1,0)-MATCH("enemy_skill_id",enemy_skills!$1:$1,0)+1,FALSE)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</v>
      </c>
      <c r="F59" s="97">
        <v>41013048</v>
      </c>
      <c r="G59" s="36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36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59" s="36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36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36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36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36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36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657</v>
      </c>
      <c r="O59" s="36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35"/>
      <c r="Q59" s="35"/>
      <c r="R59" s="35"/>
    </row>
    <row r="60" spans="1:18" ht="21" customHeight="1" x14ac:dyDescent="0.15">
      <c r="A60" s="27" t="str">
        <f t="shared" si="7"/>
        <v>41013012_41013049</v>
      </c>
      <c r="B60" s="159">
        <v>41013012</v>
      </c>
      <c r="C60" s="159">
        <v>41013049</v>
      </c>
      <c r="D60" s="34" t="str">
        <f ca="1">VLOOKUP($C60,OFFSET(enemy_skills!$A$1,0,0,COUNTA(enemy_skills!$A:$A),MATCH(D$1,enemy_skills!$1:$1,0)-MATCH("enemy_skill_id",enemy_skills!$1:$1,0)+1),MATCH(D$1,enemy_skills!$1:$1,0)-MATCH("enemy_skill_id",enemy_skills!$1:$1,0)+1,FALSE)</f>
        <v>彼女を返して欲しければもっと僕を楽しませなよ</v>
      </c>
      <c r="E60" s="34" t="str">
        <f ca="1">VLOOKUP($C60,OFFSET(enemy_skills!$A$1,0,0,COUNTA(enemy_skills!$A:$A),MATCH(E$1,enemy_skills!$1:$1,0)-MATCH("enemy_skill_id",enemy_skills!$1:$1,0)+1),MATCH(E$1,enemy_skills!$1:$1,0)-MATCH("enemy_skill_id",enemy_skills!$1:$1,0)+1,FALSE)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</v>
      </c>
      <c r="F60" s="97">
        <v>41013049</v>
      </c>
      <c r="G60" s="36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36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60" s="36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36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36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36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36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36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834</v>
      </c>
      <c r="O60" s="36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35"/>
      <c r="Q60" s="35"/>
      <c r="R60" s="3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0"/>
  <sheetViews>
    <sheetView showGridLines="0" tabSelected="1" zoomScale="110" zoomScaleNormal="110" zoomScalePageLayoutView="110" workbookViewId="0">
      <pane ySplit="1" topLeftCell="A20" activePane="bottomLeft" state="frozenSplit"/>
      <selection pane="bottomLeft" activeCell="E35" sqref="E35"/>
    </sheetView>
  </sheetViews>
  <sheetFormatPr baseColWidth="12" defaultColWidth="12.83203125" defaultRowHeight="21" customHeight="1" outlineLevelCol="1" x14ac:dyDescent="0.15"/>
  <cols>
    <col min="1" max="1" width="12.83203125" style="37"/>
    <col min="2" max="2" width="67.1640625" style="37" customWidth="1"/>
    <col min="3" max="4" width="12.83203125" style="37"/>
    <col min="5" max="5" width="23.6640625" style="37" bestFit="1" customWidth="1"/>
    <col min="6" max="6" width="44.1640625" style="37" bestFit="1" customWidth="1"/>
    <col min="7" max="7" width="52" style="37" hidden="1" customWidth="1" outlineLevel="1"/>
    <col min="8" max="8" width="18.33203125" style="37" hidden="1" customWidth="1" outlineLevel="1"/>
    <col min="9" max="11" width="18.6640625" style="37" hidden="1" customWidth="1" outlineLevel="1"/>
    <col min="12" max="12" width="23.6640625" style="37" customWidth="1" collapsed="1"/>
    <col min="13" max="18" width="23.6640625" style="37" hidden="1" customWidth="1" outlineLevel="1"/>
    <col min="19" max="19" width="23.6640625" style="37" customWidth="1" collapsed="1"/>
    <col min="20" max="24" width="23.6640625" style="37" hidden="1" customWidth="1" outlineLevel="1"/>
    <col min="25" max="25" width="23.6640625" style="37" customWidth="1" collapsed="1"/>
    <col min="26" max="27" width="12.83203125" style="37"/>
    <col min="28" max="28" width="44.5" style="37" customWidth="1"/>
    <col min="29" max="16384" width="12.83203125" style="37"/>
  </cols>
  <sheetData>
    <row r="1" spans="1:28" ht="21" customHeight="1" x14ac:dyDescent="0.15">
      <c r="A1" s="28" t="s">
        <v>79</v>
      </c>
      <c r="B1" s="28" t="s">
        <v>80</v>
      </c>
      <c r="C1" s="28" t="s">
        <v>81</v>
      </c>
      <c r="D1" s="28" t="s">
        <v>125</v>
      </c>
      <c r="E1" s="28" t="s">
        <v>82</v>
      </c>
      <c r="F1" s="28" t="s">
        <v>83</v>
      </c>
      <c r="G1" s="29" t="s">
        <v>131</v>
      </c>
      <c r="H1" s="29" t="s">
        <v>137</v>
      </c>
      <c r="I1" s="29" t="s">
        <v>139</v>
      </c>
      <c r="J1" s="29" t="s">
        <v>138</v>
      </c>
      <c r="K1" s="29" t="s">
        <v>140</v>
      </c>
      <c r="L1" s="29" t="s">
        <v>132</v>
      </c>
      <c r="M1" s="29" t="s">
        <v>130</v>
      </c>
      <c r="N1" s="29" t="s">
        <v>133</v>
      </c>
      <c r="O1" s="29" t="s">
        <v>141</v>
      </c>
      <c r="P1" s="29" t="s">
        <v>142</v>
      </c>
      <c r="Q1" s="29" t="s">
        <v>143</v>
      </c>
      <c r="R1" s="29" t="s">
        <v>144</v>
      </c>
      <c r="S1" s="29" t="s">
        <v>134</v>
      </c>
      <c r="T1" s="29" t="s">
        <v>135</v>
      </c>
      <c r="U1" s="29" t="s">
        <v>145</v>
      </c>
      <c r="V1" s="29" t="s">
        <v>146</v>
      </c>
      <c r="W1" s="29" t="s">
        <v>147</v>
      </c>
      <c r="X1" s="29" t="s">
        <v>148</v>
      </c>
      <c r="Y1" s="29" t="s">
        <v>136</v>
      </c>
      <c r="Z1" s="29" t="s">
        <v>76</v>
      </c>
      <c r="AA1" s="29" t="s">
        <v>77</v>
      </c>
      <c r="AB1" s="29" t="s">
        <v>78</v>
      </c>
    </row>
    <row r="2" spans="1:28" ht="21" customHeight="1" x14ac:dyDescent="0.15">
      <c r="A2" s="19">
        <v>41013001</v>
      </c>
      <c r="B2" s="35" t="s">
        <v>255</v>
      </c>
      <c r="C2" s="38">
        <v>3</v>
      </c>
      <c r="D2" s="38" t="s">
        <v>256</v>
      </c>
      <c r="E2" s="39" t="s">
        <v>257</v>
      </c>
      <c r="F2" s="39" t="s">
        <v>337</v>
      </c>
      <c r="G2" s="51" t="str">
        <f>IFERROR(LEFT(B2,FIND("],",B2)),B2)</f>
        <v>[effect:damage_anti_color, target:unit_all, color:red, val1:0.7, val2:0.2]</v>
      </c>
      <c r="H2" s="51">
        <f>FIND("effect:",G2)+7</f>
        <v>9</v>
      </c>
      <c r="I2" s="51">
        <f>IFERROR(FIND(",",G2),LEN(G2))</f>
        <v>26</v>
      </c>
      <c r="J2" s="51">
        <f>FIND("target:",G2)+7</f>
        <v>35</v>
      </c>
      <c r="K2" s="51">
        <f>FIND(",",G2,I2+1)</f>
        <v>43</v>
      </c>
      <c r="L2" s="51" t="str">
        <f>IFERROR(VLOOKUP(MID(G2,J2,K2-J2),[6]skilldef!$C:$D,2,FALSE),"-") &amp; " / " &amp; IFERROR(VLOOKUP(MID(G2,H2,I2-H2),[6]skilldef!$A:$B,2,FALSE),"-")</f>
        <v>味方全体に / 属性キラー</v>
      </c>
      <c r="M2" s="51" t="str">
        <f>IFERROR(RIGHT(B2,LEN(B2)-FIND("],",B2)-1),"none")</f>
        <v>none</v>
      </c>
      <c r="N2" s="36" t="str">
        <f>IFERROR(LEFT(M2,FIND("],",M2)+S12),M2)</f>
        <v>none</v>
      </c>
      <c r="O2" s="51" t="e">
        <f>FIND("effect:",N2)+7</f>
        <v>#VALUE!</v>
      </c>
      <c r="P2" s="51">
        <f>IFERROR(FIND(",",N2),LEN(N2))</f>
        <v>4</v>
      </c>
      <c r="Q2" s="51" t="e">
        <f>FIND("target:",N2)+7</f>
        <v>#VALUE!</v>
      </c>
      <c r="R2" s="51" t="e">
        <f>FIND(",",N2,P2+1)</f>
        <v>#VALUE!</v>
      </c>
      <c r="S2" s="51" t="str">
        <f>IFERROR(VLOOKUP(MID(N2,Q2,R2-Q2),[6]skilldef!$C:$D,2,FALSE),"-") &amp; " / " &amp; IFERROR(VLOOKUP(MID(N2,O2,P2-O2),[6]skilldef!$A:$B,2,FALSE),"-")</f>
        <v>- / -</v>
      </c>
      <c r="T2" s="36" t="str">
        <f>IFERROR(RIGHT(M2,LEN(M2)-FIND("],",M2)-1),"none")</f>
        <v>none</v>
      </c>
      <c r="U2" s="51" t="e">
        <f>FIND("effect:",T2)+7</f>
        <v>#VALUE!</v>
      </c>
      <c r="V2" s="51">
        <f>IFERROR(FIND(",",T2),LEN(T2))</f>
        <v>4</v>
      </c>
      <c r="W2" s="51" t="e">
        <f>FIND("target:",T2)+7</f>
        <v>#VALUE!</v>
      </c>
      <c r="X2" s="51" t="e">
        <f>FIND(",",T2,V2+1)</f>
        <v>#VALUE!</v>
      </c>
      <c r="Y2" s="51" t="str">
        <f>IFERROR(VLOOKUP(MID(T2,W2,X2-W2),[6]skilldef!$C:$D,2,FALSE),"-") &amp; " / " &amp; IFERROR(VLOOKUP(MID(T2,U2,V2-U2),[6]skilldef!$A:$B,2,FALSE),"-")</f>
        <v>- / -</v>
      </c>
      <c r="Z2" s="38"/>
      <c r="AA2" s="40"/>
      <c r="AB2" s="38"/>
    </row>
    <row r="3" spans="1:28" ht="21" customHeight="1" x14ac:dyDescent="0.15">
      <c r="A3" s="19">
        <v>41013002</v>
      </c>
      <c r="B3" s="35" t="s">
        <v>258</v>
      </c>
      <c r="C3" s="38">
        <v>3</v>
      </c>
      <c r="D3" s="38" t="s">
        <v>256</v>
      </c>
      <c r="E3" s="39" t="s">
        <v>259</v>
      </c>
      <c r="F3" s="39" t="s">
        <v>260</v>
      </c>
      <c r="G3" s="51" t="str">
        <f t="shared" ref="G3:G35" si="0">IFERROR(LEFT(B3,FIND("],",B3)),B3)</f>
        <v>[effect:heal, target:enemy_green, val:0.08, animation:enemy_heal]</v>
      </c>
      <c r="H3" s="51">
        <f t="shared" ref="H3:H35" si="1">FIND("effect:",G3)+7</f>
        <v>9</v>
      </c>
      <c r="I3" s="51">
        <f t="shared" ref="I3:I35" si="2">IFERROR(FIND(",",G3),LEN(G3))</f>
        <v>13</v>
      </c>
      <c r="J3" s="51">
        <f t="shared" ref="J3:J35" si="3">FIND("target:",G3)+7</f>
        <v>22</v>
      </c>
      <c r="K3" s="51">
        <f t="shared" ref="K3:K35" si="4">FIND(",",G3,I3+1)</f>
        <v>33</v>
      </c>
      <c r="L3" s="51" t="str">
        <f>IFERROR(VLOOKUP(MID(G3,J3,K3-J3),[6]skilldef!$C:$D,2,FALSE),"-") &amp; " / " &amp; IFERROR(VLOOKUP(MID(G3,H3,I3-H3),[6]skilldef!$A:$B,2,FALSE),"-")</f>
        <v>緑の敵に / 回復</v>
      </c>
      <c r="M3" s="51" t="str">
        <f t="shared" ref="M3:M35" si="5">IFERROR(RIGHT(B3,LEN(B3)-FIND("],",B3)-1),"none")</f>
        <v>[effect:rush, count:1, val:0.8]</v>
      </c>
      <c r="N3" s="36" t="str">
        <f t="shared" ref="N3:N27" si="6">IFERROR(LEFT(M3,FIND("],",M3)+S13),M3)</f>
        <v>[effect:rush, count:1, val:0.8]</v>
      </c>
      <c r="O3" s="51">
        <f t="shared" ref="O3:O35" si="7">FIND("effect:",N3)+7</f>
        <v>9</v>
      </c>
      <c r="P3" s="51">
        <f t="shared" ref="P3:P35" si="8">IFERROR(FIND(",",N3),LEN(N3))</f>
        <v>13</v>
      </c>
      <c r="Q3" s="51" t="e">
        <f t="shared" ref="Q3:Q35" si="9">FIND("target:",N3)+7</f>
        <v>#VALUE!</v>
      </c>
      <c r="R3" s="51">
        <f t="shared" ref="R3:R35" si="10">FIND(",",N3,P3+1)</f>
        <v>22</v>
      </c>
      <c r="S3" s="51" t="str">
        <f>IFERROR(VLOOKUP(MID(N3,Q3,R3-Q3),[6]skilldef!$C:$D,2,FALSE),"-") &amp; " / " &amp; IFERROR(VLOOKUP(MID(N3,O3,P3-O3),[6]skilldef!$A:$B,2,FALSE),"-")</f>
        <v>- / 連続攻撃</v>
      </c>
      <c r="T3" s="36" t="str">
        <f t="shared" ref="T3:T35" si="11">IFERROR(RIGHT(M3,LEN(M3)-FIND("],",M3)-1),"none")</f>
        <v>none</v>
      </c>
      <c r="U3" s="51" t="e">
        <f t="shared" ref="U3:U35" si="12">FIND("effect:",T3)+7</f>
        <v>#VALUE!</v>
      </c>
      <c r="V3" s="51">
        <f t="shared" ref="V3:V35" si="13">IFERROR(FIND(",",T3),LEN(T3))</f>
        <v>4</v>
      </c>
      <c r="W3" s="51" t="e">
        <f t="shared" ref="W3:W35" si="14">FIND("target:",T3)+7</f>
        <v>#VALUE!</v>
      </c>
      <c r="X3" s="51" t="e">
        <f t="shared" ref="X3:X35" si="15">FIND(",",T3,V3+1)</f>
        <v>#VALUE!</v>
      </c>
      <c r="Y3" s="51" t="str">
        <f>IFERROR(VLOOKUP(MID(T3,W3,X3-W3),[6]skilldef!$C:$D,2,FALSE),"-") &amp; " / " &amp; IFERROR(VLOOKUP(MID(T3,U3,V3-U3),[6]skilldef!$A:$B,2,FALSE),"-")</f>
        <v>- / -</v>
      </c>
      <c r="Z3" s="38"/>
      <c r="AA3" s="40"/>
      <c r="AB3" s="38"/>
    </row>
    <row r="4" spans="1:28" ht="21" customHeight="1" x14ac:dyDescent="0.15">
      <c r="A4" s="19">
        <v>41013003</v>
      </c>
      <c r="B4" s="35" t="s">
        <v>261</v>
      </c>
      <c r="C4" s="38">
        <v>3</v>
      </c>
      <c r="D4" s="38" t="s">
        <v>256</v>
      </c>
      <c r="E4" s="39" t="s">
        <v>262</v>
      </c>
      <c r="F4" s="39" t="s">
        <v>338</v>
      </c>
      <c r="G4" s="51" t="str">
        <f t="shared" si="0"/>
        <v>[effect:drop_block, block_type:time_bomb, color:block_red, val:8, rate:0.5, turn:5, min_time_count:5, max_time_count:5, animation:time_bomb_influence04]</v>
      </c>
      <c r="H4" s="51">
        <f t="shared" si="1"/>
        <v>9</v>
      </c>
      <c r="I4" s="51">
        <f t="shared" si="2"/>
        <v>19</v>
      </c>
      <c r="J4" s="51" t="e">
        <f t="shared" si="3"/>
        <v>#VALUE!</v>
      </c>
      <c r="K4" s="51">
        <f t="shared" si="4"/>
        <v>41</v>
      </c>
      <c r="L4" s="51" t="str">
        <f>IFERROR(VLOOKUP(MID(G4,J4,K4-J4),[6]skilldef!$C:$D,2,FALSE),"-") &amp; " / " &amp; IFERROR(VLOOKUP(MID(G4,H4,I4-H4),[6]skilldef!$A:$B,2,FALSE),"-")</f>
        <v>- / 特定ブロックの割合ドロップ</v>
      </c>
      <c r="M4" s="51" t="str">
        <f t="shared" si="5"/>
        <v>none</v>
      </c>
      <c r="N4" s="36" t="str">
        <f t="shared" si="6"/>
        <v>none</v>
      </c>
      <c r="O4" s="51" t="e">
        <f t="shared" si="7"/>
        <v>#VALUE!</v>
      </c>
      <c r="P4" s="51">
        <f t="shared" si="8"/>
        <v>4</v>
      </c>
      <c r="Q4" s="51" t="e">
        <f t="shared" si="9"/>
        <v>#VALUE!</v>
      </c>
      <c r="R4" s="51" t="e">
        <f t="shared" si="10"/>
        <v>#VALUE!</v>
      </c>
      <c r="S4" s="51" t="str">
        <f>IFERROR(VLOOKUP(MID(N4,Q4,R4-Q4),[6]skilldef!$C:$D,2,FALSE),"-") &amp; " / " &amp; IFERROR(VLOOKUP(MID(N4,O4,P4-O4),[6]skilldef!$A:$B,2,FALSE),"-")</f>
        <v>- / -</v>
      </c>
      <c r="T4" s="36" t="str">
        <f t="shared" si="11"/>
        <v>none</v>
      </c>
      <c r="U4" s="51" t="e">
        <f t="shared" si="12"/>
        <v>#VALUE!</v>
      </c>
      <c r="V4" s="51">
        <f t="shared" si="13"/>
        <v>4</v>
      </c>
      <c r="W4" s="51" t="e">
        <f t="shared" si="14"/>
        <v>#VALUE!</v>
      </c>
      <c r="X4" s="51" t="e">
        <f t="shared" si="15"/>
        <v>#VALUE!</v>
      </c>
      <c r="Y4" s="51" t="str">
        <f>IFERROR(VLOOKUP(MID(T4,W4,X4-W4),[6]skilldef!$C:$D,2,FALSE),"-") &amp; " / " &amp; IFERROR(VLOOKUP(MID(T4,U4,V4-U4),[6]skilldef!$A:$B,2,FALSE),"-")</f>
        <v>- / -</v>
      </c>
      <c r="Z4" s="38"/>
      <c r="AA4" s="40"/>
      <c r="AB4" s="38"/>
    </row>
    <row r="5" spans="1:28" ht="21" customHeight="1" x14ac:dyDescent="0.15">
      <c r="A5" s="19">
        <v>41013004</v>
      </c>
      <c r="B5" s="35" t="s">
        <v>263</v>
      </c>
      <c r="C5" s="38">
        <v>3</v>
      </c>
      <c r="D5" s="38" t="s">
        <v>256</v>
      </c>
      <c r="E5" s="39" t="s">
        <v>264</v>
      </c>
      <c r="F5" s="39" t="s">
        <v>367</v>
      </c>
      <c r="G5" s="51" t="str">
        <f t="shared" si="0"/>
        <v>[effect:hungup, target:unit_one, turn:1, rate:1, animation:hungup01]</v>
      </c>
      <c r="H5" s="51">
        <f t="shared" si="1"/>
        <v>9</v>
      </c>
      <c r="I5" s="51">
        <f t="shared" si="2"/>
        <v>15</v>
      </c>
      <c r="J5" s="51">
        <f t="shared" si="3"/>
        <v>24</v>
      </c>
      <c r="K5" s="51">
        <f t="shared" si="4"/>
        <v>32</v>
      </c>
      <c r="L5" s="51" t="str">
        <f>IFERROR(VLOOKUP(MID(G5,J5,K5-J5),[6]skilldef!$C:$D,2,FALSE),"-") &amp; " / " &amp; IFERROR(VLOOKUP(MID(G5,H5,I5-H5),[6]skilldef!$A:$B,2,FALSE),"-")</f>
        <v>味方単体に / ハングアップ</v>
      </c>
      <c r="M5" s="51" t="str">
        <f t="shared" si="5"/>
        <v>[effect:rush, count:1, val:1]</v>
      </c>
      <c r="N5" s="36" t="str">
        <f t="shared" si="6"/>
        <v>[effect:rush, count:1, val:1]</v>
      </c>
      <c r="O5" s="51">
        <f t="shared" si="7"/>
        <v>9</v>
      </c>
      <c r="P5" s="51">
        <f t="shared" si="8"/>
        <v>13</v>
      </c>
      <c r="Q5" s="51" t="e">
        <f t="shared" si="9"/>
        <v>#VALUE!</v>
      </c>
      <c r="R5" s="51">
        <f t="shared" si="10"/>
        <v>22</v>
      </c>
      <c r="S5" s="51" t="str">
        <f>IFERROR(VLOOKUP(MID(N5,Q5,R5-Q5),[6]skilldef!$C:$D,2,FALSE),"-") &amp; " / " &amp; IFERROR(VLOOKUP(MID(N5,O5,P5-O5),[6]skilldef!$A:$B,2,FALSE),"-")</f>
        <v>- / 連続攻撃</v>
      </c>
      <c r="T5" s="36" t="str">
        <f t="shared" si="11"/>
        <v>none</v>
      </c>
      <c r="U5" s="51" t="e">
        <f t="shared" si="12"/>
        <v>#VALUE!</v>
      </c>
      <c r="V5" s="51">
        <f t="shared" si="13"/>
        <v>4</v>
      </c>
      <c r="W5" s="51" t="e">
        <f t="shared" si="14"/>
        <v>#VALUE!</v>
      </c>
      <c r="X5" s="51" t="e">
        <f t="shared" si="15"/>
        <v>#VALUE!</v>
      </c>
      <c r="Y5" s="51" t="str">
        <f>IFERROR(VLOOKUP(MID(T5,W5,X5-W5),[6]skilldef!$C:$D,2,FALSE),"-") &amp; " / " &amp; IFERROR(VLOOKUP(MID(T5,U5,V5-U5),[6]skilldef!$A:$B,2,FALSE),"-")</f>
        <v>- / -</v>
      </c>
      <c r="Z5" s="38"/>
      <c r="AA5" s="40"/>
      <c r="AB5" s="38"/>
    </row>
    <row r="6" spans="1:28" ht="21" customHeight="1" x14ac:dyDescent="0.15">
      <c r="A6" s="19">
        <v>41013005</v>
      </c>
      <c r="B6" s="35" t="s">
        <v>366</v>
      </c>
      <c r="C6" s="38">
        <v>3</v>
      </c>
      <c r="D6" s="38" t="s">
        <v>256</v>
      </c>
      <c r="E6" s="39" t="s">
        <v>265</v>
      </c>
      <c r="F6" s="39" t="s">
        <v>339</v>
      </c>
      <c r="G6" s="51" t="str">
        <f t="shared" si="0"/>
        <v>[effect:enemy_message, val1:1.8, val2:2.2]</v>
      </c>
      <c r="H6" s="51">
        <f t="shared" si="1"/>
        <v>9</v>
      </c>
      <c r="I6" s="51">
        <f t="shared" si="2"/>
        <v>22</v>
      </c>
      <c r="J6" s="51" t="e">
        <f t="shared" si="3"/>
        <v>#VALUE!</v>
      </c>
      <c r="K6" s="51">
        <f t="shared" si="4"/>
        <v>32</v>
      </c>
      <c r="L6" s="51" t="str">
        <f>IFERROR(VLOOKUP(MID(G6,J6,K6-J6),[6]skilldef!$C:$D,2,FALSE),"-") &amp; " / " &amp; IFERROR(VLOOKUP(MID(G6,H6,I6-H6),[6]skilldef!$A:$B,2,FALSE),"-")</f>
        <v>- / -</v>
      </c>
      <c r="M6" s="51" t="str">
        <f t="shared" si="5"/>
        <v>[effect:rush, count:1, val:1],[effect:change_panel_ratio, turn:2, block_type:blue, val:0, animation:block_incidence04]</v>
      </c>
      <c r="N6" s="36" t="str">
        <f t="shared" si="6"/>
        <v>[effect:rush, count:1, val:1],[effect:change_panel_ratio, turn:2, block_type:blue, val:0, animation:block_incidence04]</v>
      </c>
      <c r="O6" s="51">
        <f t="shared" si="7"/>
        <v>9</v>
      </c>
      <c r="P6" s="51">
        <f t="shared" si="8"/>
        <v>13</v>
      </c>
      <c r="Q6" s="51" t="e">
        <f t="shared" si="9"/>
        <v>#VALUE!</v>
      </c>
      <c r="R6" s="51">
        <f t="shared" si="10"/>
        <v>22</v>
      </c>
      <c r="S6" s="51" t="str">
        <f>IFERROR(VLOOKUP(MID(N6,Q6,R6-Q6),[6]skilldef!$C:$D,2,FALSE),"-") &amp; " / " &amp; IFERROR(VLOOKUP(MID(N6,O6,P6-O6),[6]skilldef!$A:$B,2,FALSE),"-")</f>
        <v>- / 連続攻撃</v>
      </c>
      <c r="T6" s="36" t="str">
        <f t="shared" si="11"/>
        <v>[effect:change_panel_ratio, turn:2, block_type:blue, val:0, animation:block_incidence04]</v>
      </c>
      <c r="U6" s="51">
        <f t="shared" si="12"/>
        <v>9</v>
      </c>
      <c r="V6" s="51">
        <f t="shared" si="13"/>
        <v>27</v>
      </c>
      <c r="W6" s="51" t="e">
        <f t="shared" si="14"/>
        <v>#VALUE!</v>
      </c>
      <c r="X6" s="51">
        <f t="shared" si="15"/>
        <v>35</v>
      </c>
      <c r="Y6" s="51" t="str">
        <f>IFERROR(VLOOKUP(MID(T6,W6,X6-W6),[6]skilldef!$C:$D,2,FALSE),"-") &amp; " / " &amp; IFERROR(VLOOKUP(MID(T6,U6,V6-U6),[6]skilldef!$A:$B,2,FALSE),"-")</f>
        <v>- / -</v>
      </c>
      <c r="Z6" s="38"/>
      <c r="AA6" s="40"/>
      <c r="AB6" s="38"/>
    </row>
    <row r="7" spans="1:28" ht="21" customHeight="1" x14ac:dyDescent="0.15">
      <c r="A7" s="19">
        <v>41013006</v>
      </c>
      <c r="B7" s="35" t="s">
        <v>266</v>
      </c>
      <c r="C7" s="38">
        <v>3</v>
      </c>
      <c r="D7" s="38" t="s">
        <v>256</v>
      </c>
      <c r="E7" s="39" t="s">
        <v>267</v>
      </c>
      <c r="F7" s="39" t="s">
        <v>340</v>
      </c>
      <c r="G7" s="51" t="str">
        <f t="shared" si="0"/>
        <v xml:space="preserve">[effect:break_attack_fix, val:150, lowest_val:2000, count:-1, block:block_blue, target:unit_one]    </v>
      </c>
      <c r="H7" s="51">
        <f t="shared" si="1"/>
        <v>9</v>
      </c>
      <c r="I7" s="51">
        <f t="shared" si="2"/>
        <v>25</v>
      </c>
      <c r="J7" s="51">
        <f t="shared" si="3"/>
        <v>88</v>
      </c>
      <c r="K7" s="51">
        <f t="shared" si="4"/>
        <v>34</v>
      </c>
      <c r="L7" s="51" t="str">
        <f>IFERROR(VLOOKUP(MID(G7,J7,K7-J7),[6]skilldef!$C:$D,2,FALSE),"-") &amp; " / " &amp; IFERROR(VLOOKUP(MID(G7,H7,I7-H7),[6]skilldef!$A:$B,2,FALSE),"-")</f>
        <v>- / -</v>
      </c>
      <c r="M7" s="51" t="str">
        <f t="shared" si="5"/>
        <v>none</v>
      </c>
      <c r="N7" s="36" t="str">
        <f t="shared" si="6"/>
        <v>none</v>
      </c>
      <c r="O7" s="51" t="e">
        <f t="shared" si="7"/>
        <v>#VALUE!</v>
      </c>
      <c r="P7" s="51">
        <f t="shared" si="8"/>
        <v>4</v>
      </c>
      <c r="Q7" s="51" t="e">
        <f t="shared" si="9"/>
        <v>#VALUE!</v>
      </c>
      <c r="R7" s="51" t="e">
        <f t="shared" si="10"/>
        <v>#VALUE!</v>
      </c>
      <c r="S7" s="51" t="str">
        <f>IFERROR(VLOOKUP(MID(N7,Q7,R7-Q7),[6]skilldef!$C:$D,2,FALSE),"-") &amp; " / " &amp; IFERROR(VLOOKUP(MID(N7,O7,P7-O7),[6]skilldef!$A:$B,2,FALSE),"-")</f>
        <v>- / -</v>
      </c>
      <c r="T7" s="36" t="str">
        <f t="shared" si="11"/>
        <v>none</v>
      </c>
      <c r="U7" s="51" t="e">
        <f t="shared" si="12"/>
        <v>#VALUE!</v>
      </c>
      <c r="V7" s="51">
        <f t="shared" si="13"/>
        <v>4</v>
      </c>
      <c r="W7" s="51" t="e">
        <f t="shared" si="14"/>
        <v>#VALUE!</v>
      </c>
      <c r="X7" s="51" t="e">
        <f t="shared" si="15"/>
        <v>#VALUE!</v>
      </c>
      <c r="Y7" s="51" t="str">
        <f>IFERROR(VLOOKUP(MID(T7,W7,X7-W7),[6]skilldef!$C:$D,2,FALSE),"-") &amp; " / " &amp; IFERROR(VLOOKUP(MID(T7,U7,V7-U7),[6]skilldef!$A:$B,2,FALSE),"-")</f>
        <v>- / -</v>
      </c>
      <c r="Z7" s="38"/>
      <c r="AA7" s="40"/>
      <c r="AB7" s="38"/>
    </row>
    <row r="8" spans="1:28" ht="21" customHeight="1" x14ac:dyDescent="0.15">
      <c r="A8" s="19">
        <v>41013007</v>
      </c>
      <c r="B8" s="35" t="s">
        <v>268</v>
      </c>
      <c r="C8" s="38">
        <v>3</v>
      </c>
      <c r="D8" s="38" t="s">
        <v>256</v>
      </c>
      <c r="E8" s="39" t="s">
        <v>269</v>
      </c>
      <c r="F8" s="39" t="s">
        <v>270</v>
      </c>
      <c r="G8" s="51" t="str">
        <f t="shared" si="0"/>
        <v>[effect:freq_turn, target:myself, turn:-1, val:1, animation:enemy_freq_turn]</v>
      </c>
      <c r="H8" s="51">
        <f t="shared" si="1"/>
        <v>9</v>
      </c>
      <c r="I8" s="51">
        <f t="shared" si="2"/>
        <v>18</v>
      </c>
      <c r="J8" s="51">
        <f t="shared" si="3"/>
        <v>27</v>
      </c>
      <c r="K8" s="51">
        <f t="shared" si="4"/>
        <v>33</v>
      </c>
      <c r="L8" s="51" t="str">
        <f>IFERROR(VLOOKUP(MID(G8,J8,K8-J8),[6]skilldef!$C:$D,2,FALSE),"-") &amp; " / " &amp; IFERROR(VLOOKUP(MID(G8,H8,I8-H8),[6]skilldef!$A:$B,2,FALSE),"-")</f>
        <v>自分自身に / 攻撃頻度がUP</v>
      </c>
      <c r="M8" s="51" t="str">
        <f t="shared" si="5"/>
        <v>none</v>
      </c>
      <c r="N8" s="36" t="str">
        <f t="shared" si="6"/>
        <v>none</v>
      </c>
      <c r="O8" s="51" t="e">
        <f t="shared" si="7"/>
        <v>#VALUE!</v>
      </c>
      <c r="P8" s="51">
        <f t="shared" si="8"/>
        <v>4</v>
      </c>
      <c r="Q8" s="51" t="e">
        <f t="shared" si="9"/>
        <v>#VALUE!</v>
      </c>
      <c r="R8" s="51" t="e">
        <f t="shared" si="10"/>
        <v>#VALUE!</v>
      </c>
      <c r="S8" s="51" t="str">
        <f>IFERROR(VLOOKUP(MID(N8,Q8,R8-Q8),[6]skilldef!$C:$D,2,FALSE),"-") &amp; " / " &amp; IFERROR(VLOOKUP(MID(N8,O8,P8-O8),[6]skilldef!$A:$B,2,FALSE),"-")</f>
        <v>- / -</v>
      </c>
      <c r="T8" s="36" t="str">
        <f t="shared" si="11"/>
        <v>none</v>
      </c>
      <c r="U8" s="51" t="e">
        <f t="shared" si="12"/>
        <v>#VALUE!</v>
      </c>
      <c r="V8" s="51">
        <f t="shared" si="13"/>
        <v>4</v>
      </c>
      <c r="W8" s="51" t="e">
        <f t="shared" si="14"/>
        <v>#VALUE!</v>
      </c>
      <c r="X8" s="51" t="e">
        <f t="shared" si="15"/>
        <v>#VALUE!</v>
      </c>
      <c r="Y8" s="51" t="str">
        <f>IFERROR(VLOOKUP(MID(T8,W8,X8-W8),[6]skilldef!$C:$D,2,FALSE),"-") &amp; " / " &amp; IFERROR(VLOOKUP(MID(T8,U8,V8-U8),[6]skilldef!$A:$B,2,FALSE),"-")</f>
        <v>- / -</v>
      </c>
      <c r="Z8" s="38"/>
      <c r="AA8" s="40"/>
      <c r="AB8" s="38"/>
    </row>
    <row r="9" spans="1:28" ht="21" customHeight="1" x14ac:dyDescent="0.15">
      <c r="A9" s="19">
        <v>41013008</v>
      </c>
      <c r="B9" s="35" t="s">
        <v>271</v>
      </c>
      <c r="C9" s="38">
        <v>3</v>
      </c>
      <c r="D9" s="38" t="s">
        <v>256</v>
      </c>
      <c r="E9" s="39" t="s">
        <v>272</v>
      </c>
      <c r="F9" s="39" t="s">
        <v>341</v>
      </c>
      <c r="G9" s="51" t="str">
        <f t="shared" si="0"/>
        <v>[effect:change_block, new_block:block_heart, target:block_yellow, count:8, val:0, no_effect_msg:no_effect_msg_change_block, animation:change_block]</v>
      </c>
      <c r="H9" s="51">
        <f t="shared" si="1"/>
        <v>9</v>
      </c>
      <c r="I9" s="51">
        <f t="shared" si="2"/>
        <v>21</v>
      </c>
      <c r="J9" s="51">
        <f t="shared" si="3"/>
        <v>53</v>
      </c>
      <c r="K9" s="51">
        <f t="shared" si="4"/>
        <v>44</v>
      </c>
      <c r="L9" s="51" t="str">
        <f>IFERROR(VLOOKUP(MID(G9,J9,K9-J9),[6]skilldef!$C:$D,2,FALSE),"-") &amp; " / " &amp; IFERROR(VLOOKUP(MID(G9,H9,I9-H9),[6]skilldef!$A:$B,2,FALSE),"-")</f>
        <v>- / ブロック変換</v>
      </c>
      <c r="M9" s="51" t="str">
        <f t="shared" si="5"/>
        <v>[effect:rush, count:3, val:0.5]</v>
      </c>
      <c r="N9" s="36" t="str">
        <f t="shared" si="6"/>
        <v>[effect:rush, count:3, val:0.5]</v>
      </c>
      <c r="O9" s="51">
        <f t="shared" si="7"/>
        <v>9</v>
      </c>
      <c r="P9" s="51">
        <f t="shared" si="8"/>
        <v>13</v>
      </c>
      <c r="Q9" s="51" t="e">
        <f t="shared" si="9"/>
        <v>#VALUE!</v>
      </c>
      <c r="R9" s="51">
        <f t="shared" si="10"/>
        <v>22</v>
      </c>
      <c r="S9" s="51" t="str">
        <f>IFERROR(VLOOKUP(MID(N9,Q9,R9-Q9),[6]skilldef!$C:$D,2,FALSE),"-") &amp; " / " &amp; IFERROR(VLOOKUP(MID(N9,O9,P9-O9),[6]skilldef!$A:$B,2,FALSE),"-")</f>
        <v>- / 連続攻撃</v>
      </c>
      <c r="T9" s="36" t="str">
        <f t="shared" si="11"/>
        <v>none</v>
      </c>
      <c r="U9" s="51" t="e">
        <f t="shared" si="12"/>
        <v>#VALUE!</v>
      </c>
      <c r="V9" s="51">
        <f t="shared" si="13"/>
        <v>4</v>
      </c>
      <c r="W9" s="51" t="e">
        <f t="shared" si="14"/>
        <v>#VALUE!</v>
      </c>
      <c r="X9" s="51" t="e">
        <f t="shared" si="15"/>
        <v>#VALUE!</v>
      </c>
      <c r="Y9" s="51" t="str">
        <f>IFERROR(VLOOKUP(MID(T9,W9,X9-W9),[6]skilldef!$C:$D,2,FALSE),"-") &amp; " / " &amp; IFERROR(VLOOKUP(MID(T9,U9,V9-U9),[6]skilldef!$A:$B,2,FALSE),"-")</f>
        <v>- / -</v>
      </c>
      <c r="Z9" s="38"/>
      <c r="AA9" s="40"/>
      <c r="AB9" s="38"/>
    </row>
    <row r="10" spans="1:28" ht="21" customHeight="1" x14ac:dyDescent="0.15">
      <c r="A10" s="19">
        <v>41013009</v>
      </c>
      <c r="B10" s="35" t="s">
        <v>273</v>
      </c>
      <c r="C10" s="38">
        <v>3</v>
      </c>
      <c r="D10" s="38" t="s">
        <v>256</v>
      </c>
      <c r="E10" s="39" t="s">
        <v>274</v>
      </c>
      <c r="F10" s="39" t="s">
        <v>347</v>
      </c>
      <c r="G10" s="51" t="str">
        <f t="shared" si="0"/>
        <v>[effect:charge, status:attack, val:1.5]</v>
      </c>
      <c r="H10" s="51">
        <f t="shared" si="1"/>
        <v>9</v>
      </c>
      <c r="I10" s="51">
        <f t="shared" si="2"/>
        <v>15</v>
      </c>
      <c r="J10" s="51" t="e">
        <f t="shared" si="3"/>
        <v>#VALUE!</v>
      </c>
      <c r="K10" s="51">
        <f t="shared" si="4"/>
        <v>30</v>
      </c>
      <c r="L10" s="51" t="str">
        <f>IFERROR(VLOOKUP(MID(G10,J10,K10-J10),[6]skilldef!$C:$D,2,FALSE),"-") &amp; " / " &amp; IFERROR(VLOOKUP(MID(G10,H10,I10-H10),[6]skilldef!$A:$B,2,FALSE),"-")</f>
        <v>- / 溜め</v>
      </c>
      <c r="M10" s="51" t="str">
        <f t="shared" si="5"/>
        <v>none</v>
      </c>
      <c r="N10" s="36" t="str">
        <f t="shared" si="6"/>
        <v>none</v>
      </c>
      <c r="O10" s="51" t="e">
        <f t="shared" si="7"/>
        <v>#VALUE!</v>
      </c>
      <c r="P10" s="51">
        <f t="shared" si="8"/>
        <v>4</v>
      </c>
      <c r="Q10" s="51" t="e">
        <f t="shared" si="9"/>
        <v>#VALUE!</v>
      </c>
      <c r="R10" s="51" t="e">
        <f t="shared" si="10"/>
        <v>#VALUE!</v>
      </c>
      <c r="S10" s="51" t="str">
        <f>IFERROR(VLOOKUP(MID(N10,Q10,R10-Q10),[6]skilldef!$C:$D,2,FALSE),"-") &amp; " / " &amp; IFERROR(VLOOKUP(MID(N10,O10,P10-O10),[6]skilldef!$A:$B,2,FALSE),"-")</f>
        <v>- / -</v>
      </c>
      <c r="T10" s="36" t="str">
        <f t="shared" si="11"/>
        <v>none</v>
      </c>
      <c r="U10" s="51" t="e">
        <f t="shared" si="12"/>
        <v>#VALUE!</v>
      </c>
      <c r="V10" s="51">
        <f t="shared" si="13"/>
        <v>4</v>
      </c>
      <c r="W10" s="51" t="e">
        <f t="shared" si="14"/>
        <v>#VALUE!</v>
      </c>
      <c r="X10" s="51" t="e">
        <f t="shared" si="15"/>
        <v>#VALUE!</v>
      </c>
      <c r="Y10" s="51" t="str">
        <f>IFERROR(VLOOKUP(MID(T10,W10,X10-W10),[6]skilldef!$C:$D,2,FALSE),"-") &amp; " / " &amp; IFERROR(VLOOKUP(MID(T10,U10,V10-U10),[6]skilldef!$A:$B,2,FALSE),"-")</f>
        <v>- / -</v>
      </c>
      <c r="Z10" s="38"/>
      <c r="AA10" s="40"/>
      <c r="AB10" s="38"/>
    </row>
    <row r="11" spans="1:28" ht="21" customHeight="1" x14ac:dyDescent="0.15">
      <c r="A11" s="19">
        <v>41013010</v>
      </c>
      <c r="B11" s="35" t="s">
        <v>375</v>
      </c>
      <c r="C11" s="38">
        <v>3</v>
      </c>
      <c r="D11" s="38" t="s">
        <v>256</v>
      </c>
      <c r="E11" s="39" t="s">
        <v>275</v>
      </c>
      <c r="F11" s="39" t="s">
        <v>345</v>
      </c>
      <c r="G11" s="51" t="str">
        <f t="shared" si="0"/>
        <v>[effect:fix_speed, target:enemy_all, turn:2]</v>
      </c>
      <c r="H11" s="51">
        <f t="shared" si="1"/>
        <v>9</v>
      </c>
      <c r="I11" s="51">
        <f t="shared" si="2"/>
        <v>18</v>
      </c>
      <c r="J11" s="51">
        <f t="shared" si="3"/>
        <v>27</v>
      </c>
      <c r="K11" s="51">
        <f t="shared" si="4"/>
        <v>36</v>
      </c>
      <c r="L11" s="51" t="str">
        <f>IFERROR(VLOOKUP(MID(G11,J11,K11-J11),[6]skilldef!$C:$D,2,FALSE),"-") &amp; " / " &amp; IFERROR(VLOOKUP(MID(G11,H11,I11-H11),[6]skilldef!$A:$B,2,FALSE),"-")</f>
        <v>敵全体に / 行動値設定</v>
      </c>
      <c r="M11" s="51" t="str">
        <f t="shared" si="5"/>
        <v>[effect:force_change_block, new_block:block_heart, target:block_all, ignore01:block_positive, ignore02:block_negative, ignore03:block_heart, count:10, val:0]</v>
      </c>
      <c r="N11" s="36" t="str">
        <f t="shared" si="6"/>
        <v>[effect:force_change_block, new_block:block_heart, target:block_all, ignore01:block_positive, ignore02:block_negative, ignore03:block_heart, count:10, val:0]</v>
      </c>
      <c r="O11" s="51">
        <f t="shared" si="7"/>
        <v>9</v>
      </c>
      <c r="P11" s="51">
        <f t="shared" si="8"/>
        <v>27</v>
      </c>
      <c r="Q11" s="51">
        <f t="shared" si="9"/>
        <v>59</v>
      </c>
      <c r="R11" s="51">
        <f t="shared" si="10"/>
        <v>50</v>
      </c>
      <c r="S11" s="51" t="str">
        <f>IFERROR(VLOOKUP(MID(N11,Q11,R11-Q11),[6]skilldef!$C:$D,2,FALSE),"-") &amp; " / " &amp; IFERROR(VLOOKUP(MID(N11,O11,P11-O11),[6]skilldef!$A:$B,2,FALSE),"-")</f>
        <v>- / -</v>
      </c>
      <c r="T11" s="36" t="str">
        <f t="shared" si="11"/>
        <v>none</v>
      </c>
      <c r="U11" s="51" t="e">
        <f t="shared" si="12"/>
        <v>#VALUE!</v>
      </c>
      <c r="V11" s="51">
        <f t="shared" si="13"/>
        <v>4</v>
      </c>
      <c r="W11" s="51" t="e">
        <f t="shared" si="14"/>
        <v>#VALUE!</v>
      </c>
      <c r="X11" s="51" t="e">
        <f t="shared" si="15"/>
        <v>#VALUE!</v>
      </c>
      <c r="Y11" s="51" t="str">
        <f>IFERROR(VLOOKUP(MID(T11,W11,X11-W11),[6]skilldef!$C:$D,2,FALSE),"-") &amp; " / " &amp; IFERROR(VLOOKUP(MID(T11,U11,V11-U11),[6]skilldef!$A:$B,2,FALSE),"-")</f>
        <v>- / -</v>
      </c>
      <c r="Z11" s="38"/>
      <c r="AA11" s="40"/>
      <c r="AB11" s="38"/>
    </row>
    <row r="12" spans="1:28" ht="21" customHeight="1" x14ac:dyDescent="0.15">
      <c r="A12" s="19">
        <v>41013011</v>
      </c>
      <c r="B12" s="35" t="s">
        <v>276</v>
      </c>
      <c r="C12" s="38">
        <v>3</v>
      </c>
      <c r="D12" s="38" t="s">
        <v>256</v>
      </c>
      <c r="E12" s="39" t="s">
        <v>277</v>
      </c>
      <c r="F12" s="39" t="s">
        <v>342</v>
      </c>
      <c r="G12" s="51" t="str">
        <f t="shared" si="0"/>
        <v>[effect:freq_turn, target:enemy_all, turn:-1, val:1, animation:enemy_freq_turn]</v>
      </c>
      <c r="H12" s="51">
        <f t="shared" si="1"/>
        <v>9</v>
      </c>
      <c r="I12" s="51">
        <f t="shared" si="2"/>
        <v>18</v>
      </c>
      <c r="J12" s="51">
        <f t="shared" si="3"/>
        <v>27</v>
      </c>
      <c r="K12" s="51">
        <f t="shared" si="4"/>
        <v>36</v>
      </c>
      <c r="L12" s="51" t="str">
        <f>IFERROR(VLOOKUP(MID(G12,J12,K12-J12),[6]skilldef!$C:$D,2,FALSE),"-") &amp; " / " &amp; IFERROR(VLOOKUP(MID(G12,H12,I12-H12),[6]skilldef!$A:$B,2,FALSE),"-")</f>
        <v>敵全体に / 攻撃頻度がUP</v>
      </c>
      <c r="M12" s="51" t="str">
        <f t="shared" si="5"/>
        <v>none</v>
      </c>
      <c r="N12" s="36" t="str">
        <f t="shared" si="6"/>
        <v>none</v>
      </c>
      <c r="O12" s="51" t="e">
        <f t="shared" si="7"/>
        <v>#VALUE!</v>
      </c>
      <c r="P12" s="51">
        <f t="shared" si="8"/>
        <v>4</v>
      </c>
      <c r="Q12" s="51" t="e">
        <f t="shared" si="9"/>
        <v>#VALUE!</v>
      </c>
      <c r="R12" s="51" t="e">
        <f t="shared" si="10"/>
        <v>#VALUE!</v>
      </c>
      <c r="S12" s="51" t="str">
        <f>IFERROR(VLOOKUP(MID(N12,Q12,R12-Q12),[6]skilldef!$C:$D,2,FALSE),"-") &amp; " / " &amp; IFERROR(VLOOKUP(MID(N12,O12,P12-O12),[6]skilldef!$A:$B,2,FALSE),"-")</f>
        <v>- / -</v>
      </c>
      <c r="T12" s="36" t="str">
        <f t="shared" si="11"/>
        <v>none</v>
      </c>
      <c r="U12" s="51" t="e">
        <f t="shared" si="12"/>
        <v>#VALUE!</v>
      </c>
      <c r="V12" s="51">
        <f t="shared" si="13"/>
        <v>4</v>
      </c>
      <c r="W12" s="51" t="e">
        <f t="shared" si="14"/>
        <v>#VALUE!</v>
      </c>
      <c r="X12" s="51" t="e">
        <f t="shared" si="15"/>
        <v>#VALUE!</v>
      </c>
      <c r="Y12" s="51" t="str">
        <f>IFERROR(VLOOKUP(MID(T12,W12,X12-W12),[6]skilldef!$C:$D,2,FALSE),"-") &amp; " / " &amp; IFERROR(VLOOKUP(MID(T12,U12,V12-U12),[6]skilldef!$A:$B,2,FALSE),"-")</f>
        <v>- / -</v>
      </c>
      <c r="Z12" s="38"/>
      <c r="AA12" s="40"/>
      <c r="AB12" s="38"/>
    </row>
    <row r="13" spans="1:28" ht="21" customHeight="1" x14ac:dyDescent="0.15">
      <c r="A13" s="19">
        <v>41013012</v>
      </c>
      <c r="B13" s="35" t="s">
        <v>278</v>
      </c>
      <c r="C13" s="38">
        <v>3</v>
      </c>
      <c r="D13" s="38" t="s">
        <v>256</v>
      </c>
      <c r="E13" s="39" t="s">
        <v>279</v>
      </c>
      <c r="F13" s="39" t="s">
        <v>343</v>
      </c>
      <c r="G13" s="51" t="str">
        <f t="shared" si="0"/>
        <v>[effect:damage_anti_tribe, target:unit_all, tribe:human, val1:0.4, val2:0.2]</v>
      </c>
      <c r="H13" s="51">
        <f t="shared" si="1"/>
        <v>9</v>
      </c>
      <c r="I13" s="51">
        <f t="shared" si="2"/>
        <v>26</v>
      </c>
      <c r="J13" s="51">
        <f t="shared" si="3"/>
        <v>35</v>
      </c>
      <c r="K13" s="51">
        <f t="shared" si="4"/>
        <v>43</v>
      </c>
      <c r="L13" s="51" t="str">
        <f>IFERROR(VLOOKUP(MID(G13,J13,K13-J13),[6]skilldef!$C:$D,2,FALSE),"-") &amp; " / " &amp; IFERROR(VLOOKUP(MID(G13,H13,I13-H13),[6]skilldef!$A:$B,2,FALSE),"-")</f>
        <v>味方全体に / 種族キラー</v>
      </c>
      <c r="M13" s="51" t="str">
        <f t="shared" si="5"/>
        <v>none</v>
      </c>
      <c r="N13" s="36" t="str">
        <f t="shared" si="6"/>
        <v>none</v>
      </c>
      <c r="O13" s="51" t="e">
        <f t="shared" si="7"/>
        <v>#VALUE!</v>
      </c>
      <c r="P13" s="51">
        <f t="shared" si="8"/>
        <v>4</v>
      </c>
      <c r="Q13" s="51" t="e">
        <f t="shared" si="9"/>
        <v>#VALUE!</v>
      </c>
      <c r="R13" s="51" t="e">
        <f t="shared" si="10"/>
        <v>#VALUE!</v>
      </c>
      <c r="S13" s="51" t="str">
        <f>IFERROR(VLOOKUP(MID(N13,Q13,R13-Q13),[6]skilldef!$C:$D,2,FALSE),"-") &amp; " / " &amp; IFERROR(VLOOKUP(MID(N13,O13,P13-O13),[6]skilldef!$A:$B,2,FALSE),"-")</f>
        <v>- / -</v>
      </c>
      <c r="T13" s="36" t="str">
        <f t="shared" si="11"/>
        <v>none</v>
      </c>
      <c r="U13" s="51" t="e">
        <f t="shared" si="12"/>
        <v>#VALUE!</v>
      </c>
      <c r="V13" s="51">
        <f t="shared" si="13"/>
        <v>4</v>
      </c>
      <c r="W13" s="51" t="e">
        <f t="shared" si="14"/>
        <v>#VALUE!</v>
      </c>
      <c r="X13" s="51" t="e">
        <f t="shared" si="15"/>
        <v>#VALUE!</v>
      </c>
      <c r="Y13" s="51" t="str">
        <f>IFERROR(VLOOKUP(MID(T13,W13,X13-W13),[6]skilldef!$C:$D,2,FALSE),"-") &amp; " / " &amp; IFERROR(VLOOKUP(MID(T13,U13,V13-U13),[6]skilldef!$A:$B,2,FALSE),"-")</f>
        <v>- / -</v>
      </c>
      <c r="Z13" s="38"/>
      <c r="AA13" s="40"/>
      <c r="AB13" s="38"/>
    </row>
    <row r="14" spans="1:28" ht="21" customHeight="1" x14ac:dyDescent="0.15">
      <c r="A14" s="19">
        <v>41013013</v>
      </c>
      <c r="B14" s="35" t="s">
        <v>280</v>
      </c>
      <c r="C14" s="38">
        <v>3</v>
      </c>
      <c r="D14" s="38" t="s">
        <v>256</v>
      </c>
      <c r="E14" s="39" t="s">
        <v>281</v>
      </c>
      <c r="F14" s="39" t="s">
        <v>282</v>
      </c>
      <c r="G14" s="51" t="str">
        <f t="shared" si="0"/>
        <v>[effect:critical, val:1.5]</v>
      </c>
      <c r="H14" s="51">
        <f t="shared" si="1"/>
        <v>9</v>
      </c>
      <c r="I14" s="51">
        <f t="shared" si="2"/>
        <v>17</v>
      </c>
      <c r="J14" s="51" t="e">
        <f t="shared" si="3"/>
        <v>#VALUE!</v>
      </c>
      <c r="K14" s="51" t="e">
        <f t="shared" si="4"/>
        <v>#VALUE!</v>
      </c>
      <c r="L14" s="51" t="str">
        <f>IFERROR(VLOOKUP(MID(G14,J14,K14-J14),[6]skilldef!$C:$D,2,FALSE),"-") &amp; " / " &amp; IFERROR(VLOOKUP(MID(G14,H14,I14-H14),[6]skilldef!$A:$B,2,FALSE),"-")</f>
        <v>- / 大攻撃</v>
      </c>
      <c r="M14" s="51" t="str">
        <f t="shared" si="5"/>
        <v>none</v>
      </c>
      <c r="N14" s="36" t="str">
        <f t="shared" si="6"/>
        <v>none</v>
      </c>
      <c r="O14" s="51" t="e">
        <f t="shared" si="7"/>
        <v>#VALUE!</v>
      </c>
      <c r="P14" s="51">
        <f t="shared" si="8"/>
        <v>4</v>
      </c>
      <c r="Q14" s="51" t="e">
        <f t="shared" si="9"/>
        <v>#VALUE!</v>
      </c>
      <c r="R14" s="51" t="e">
        <f t="shared" si="10"/>
        <v>#VALUE!</v>
      </c>
      <c r="S14" s="51" t="str">
        <f>IFERROR(VLOOKUP(MID(N14,Q14,R14-Q14),[6]skilldef!$C:$D,2,FALSE),"-") &amp; " / " &amp; IFERROR(VLOOKUP(MID(N14,O14,P14-O14),[6]skilldef!$A:$B,2,FALSE),"-")</f>
        <v>- / -</v>
      </c>
      <c r="T14" s="36" t="str">
        <f t="shared" si="11"/>
        <v>none</v>
      </c>
      <c r="U14" s="51" t="e">
        <f t="shared" si="12"/>
        <v>#VALUE!</v>
      </c>
      <c r="V14" s="51">
        <f t="shared" si="13"/>
        <v>4</v>
      </c>
      <c r="W14" s="51" t="e">
        <f t="shared" si="14"/>
        <v>#VALUE!</v>
      </c>
      <c r="X14" s="51" t="e">
        <f t="shared" si="15"/>
        <v>#VALUE!</v>
      </c>
      <c r="Y14" s="51" t="str">
        <f>IFERROR(VLOOKUP(MID(T14,W14,X14-W14),[6]skilldef!$C:$D,2,FALSE),"-") &amp; " / " &amp; IFERROR(VLOOKUP(MID(T14,U14,V14-U14),[6]skilldef!$A:$B,2,FALSE),"-")</f>
        <v>- / -</v>
      </c>
      <c r="Z14" s="38"/>
      <c r="AA14" s="40"/>
      <c r="AB14" s="38"/>
    </row>
    <row r="15" spans="1:28" ht="21" customHeight="1" x14ac:dyDescent="0.15">
      <c r="A15" s="19">
        <v>41013014</v>
      </c>
      <c r="B15" s="35" t="s">
        <v>283</v>
      </c>
      <c r="C15" s="38">
        <v>3</v>
      </c>
      <c r="D15" s="38" t="s">
        <v>256</v>
      </c>
      <c r="E15" s="39" t="s">
        <v>284</v>
      </c>
      <c r="F15" s="39" t="s">
        <v>344</v>
      </c>
      <c r="G15" s="51" t="str">
        <f t="shared" si="0"/>
        <v xml:space="preserve">[effect:change_panel_ratio, turn:8, block_type:red, val:0.1, animation:block_incidence04]    </v>
      </c>
      <c r="H15" s="51">
        <f t="shared" si="1"/>
        <v>9</v>
      </c>
      <c r="I15" s="51">
        <f t="shared" si="2"/>
        <v>27</v>
      </c>
      <c r="J15" s="51" t="e">
        <f t="shared" si="3"/>
        <v>#VALUE!</v>
      </c>
      <c r="K15" s="51">
        <f t="shared" si="4"/>
        <v>35</v>
      </c>
      <c r="L15" s="51" t="str">
        <f>IFERROR(VLOOKUP(MID(G15,J15,K15-J15),[6]skilldef!$C:$D,2,FALSE),"-") &amp; " / " &amp; IFERROR(VLOOKUP(MID(G15,H15,I15-H15),[6]skilldef!$A:$B,2,FALSE),"-")</f>
        <v>- / -</v>
      </c>
      <c r="M15" s="51" t="str">
        <f t="shared" si="5"/>
        <v>none</v>
      </c>
      <c r="N15" s="36" t="str">
        <f t="shared" si="6"/>
        <v>none</v>
      </c>
      <c r="O15" s="51" t="e">
        <f t="shared" si="7"/>
        <v>#VALUE!</v>
      </c>
      <c r="P15" s="51">
        <f t="shared" si="8"/>
        <v>4</v>
      </c>
      <c r="Q15" s="51" t="e">
        <f t="shared" si="9"/>
        <v>#VALUE!</v>
      </c>
      <c r="R15" s="51" t="e">
        <f t="shared" si="10"/>
        <v>#VALUE!</v>
      </c>
      <c r="S15" s="51" t="str">
        <f>IFERROR(VLOOKUP(MID(N15,Q15,R15-Q15),[6]skilldef!$C:$D,2,FALSE),"-") &amp; " / " &amp; IFERROR(VLOOKUP(MID(N15,O15,P15-O15),[6]skilldef!$A:$B,2,FALSE),"-")</f>
        <v>- / -</v>
      </c>
      <c r="T15" s="36" t="str">
        <f t="shared" si="11"/>
        <v>none</v>
      </c>
      <c r="U15" s="51" t="e">
        <f t="shared" si="12"/>
        <v>#VALUE!</v>
      </c>
      <c r="V15" s="51">
        <f t="shared" si="13"/>
        <v>4</v>
      </c>
      <c r="W15" s="51" t="e">
        <f t="shared" si="14"/>
        <v>#VALUE!</v>
      </c>
      <c r="X15" s="51" t="e">
        <f t="shared" si="15"/>
        <v>#VALUE!</v>
      </c>
      <c r="Y15" s="51" t="str">
        <f>IFERROR(VLOOKUP(MID(T15,W15,X15-W15),[6]skilldef!$C:$D,2,FALSE),"-") &amp; " / " &amp; IFERROR(VLOOKUP(MID(T15,U15,V15-U15),[6]skilldef!$A:$B,2,FALSE),"-")</f>
        <v>- / -</v>
      </c>
      <c r="Z15" s="38"/>
      <c r="AA15" s="40"/>
      <c r="AB15" s="38"/>
    </row>
    <row r="16" spans="1:28" ht="21" customHeight="1" x14ac:dyDescent="0.15">
      <c r="A16" s="19">
        <v>41013015</v>
      </c>
      <c r="B16" s="35" t="s">
        <v>285</v>
      </c>
      <c r="C16" s="38">
        <v>3</v>
      </c>
      <c r="D16" s="38" t="s">
        <v>286</v>
      </c>
      <c r="E16" s="39" t="s">
        <v>287</v>
      </c>
      <c r="F16" s="39" t="s">
        <v>368</v>
      </c>
      <c r="G16" s="51" t="str">
        <f t="shared" si="0"/>
        <v>[effect:degrade_unit, target:unit_all, turn:3, status:attack, val:0.1, calc:mul]</v>
      </c>
      <c r="H16" s="51">
        <f t="shared" si="1"/>
        <v>9</v>
      </c>
      <c r="I16" s="51">
        <f t="shared" si="2"/>
        <v>21</v>
      </c>
      <c r="J16" s="51">
        <f t="shared" si="3"/>
        <v>30</v>
      </c>
      <c r="K16" s="51">
        <f t="shared" si="4"/>
        <v>38</v>
      </c>
      <c r="L16" s="51" t="str">
        <f>IFERROR(VLOOKUP(MID(G16,J16,K16-J16),[6]skilldef!$C:$D,2,FALSE),"-") &amp; " / " &amp; IFERROR(VLOOKUP(MID(G16,H16,I16-H16),[6]skilldef!$A:$B,2,FALSE),"-")</f>
        <v>味方全体に / ステータスDOWN</v>
      </c>
      <c r="M16" s="51" t="str">
        <f t="shared" si="5"/>
        <v>[effect:rush, count:1, val:1]</v>
      </c>
      <c r="N16" s="36" t="str">
        <f t="shared" si="6"/>
        <v>[effect:rush, count:1, val:1]</v>
      </c>
      <c r="O16" s="51">
        <f t="shared" si="7"/>
        <v>9</v>
      </c>
      <c r="P16" s="51">
        <f t="shared" si="8"/>
        <v>13</v>
      </c>
      <c r="Q16" s="51" t="e">
        <f t="shared" si="9"/>
        <v>#VALUE!</v>
      </c>
      <c r="R16" s="51">
        <f t="shared" si="10"/>
        <v>22</v>
      </c>
      <c r="S16" s="51" t="str">
        <f>IFERROR(VLOOKUP(MID(N16,Q16,R16-Q16),[6]skilldef!$C:$D,2,FALSE),"-") &amp; " / " &amp; IFERROR(VLOOKUP(MID(N16,O16,P16-O16),[6]skilldef!$A:$B,2,FALSE),"-")</f>
        <v>- / 連続攻撃</v>
      </c>
      <c r="T16" s="36" t="str">
        <f t="shared" si="11"/>
        <v>none</v>
      </c>
      <c r="U16" s="51" t="e">
        <f t="shared" si="12"/>
        <v>#VALUE!</v>
      </c>
      <c r="V16" s="51">
        <f t="shared" si="13"/>
        <v>4</v>
      </c>
      <c r="W16" s="51" t="e">
        <f t="shared" si="14"/>
        <v>#VALUE!</v>
      </c>
      <c r="X16" s="51" t="e">
        <f t="shared" si="15"/>
        <v>#VALUE!</v>
      </c>
      <c r="Y16" s="51" t="str">
        <f>IFERROR(VLOOKUP(MID(T16,W16,X16-W16),[6]skilldef!$C:$D,2,FALSE),"-") &amp; " / " &amp; IFERROR(VLOOKUP(MID(T16,U16,V16-U16),[6]skilldef!$A:$B,2,FALSE),"-")</f>
        <v>- / -</v>
      </c>
      <c r="Z16" s="38"/>
      <c r="AA16" s="40"/>
      <c r="AB16" s="38"/>
    </row>
    <row r="17" spans="1:28" ht="21" customHeight="1" x14ac:dyDescent="0.15">
      <c r="A17" s="19">
        <v>41013016</v>
      </c>
      <c r="B17" s="35" t="s">
        <v>288</v>
      </c>
      <c r="C17" s="38">
        <v>3</v>
      </c>
      <c r="D17" s="38" t="s">
        <v>286</v>
      </c>
      <c r="E17" s="39" t="s">
        <v>289</v>
      </c>
      <c r="F17" s="39" t="s">
        <v>369</v>
      </c>
      <c r="G17" s="51" t="str">
        <f t="shared" si="0"/>
        <v>[effect:degrade_unit, target:unit_all, turn:3, status:attack, val:0.2, calc:mul]</v>
      </c>
      <c r="H17" s="51">
        <f t="shared" si="1"/>
        <v>9</v>
      </c>
      <c r="I17" s="51">
        <f t="shared" si="2"/>
        <v>21</v>
      </c>
      <c r="J17" s="51">
        <f t="shared" si="3"/>
        <v>30</v>
      </c>
      <c r="K17" s="51">
        <f t="shared" si="4"/>
        <v>38</v>
      </c>
      <c r="L17" s="51" t="str">
        <f>IFERROR(VLOOKUP(MID(G17,J17,K17-J17),[6]skilldef!$C:$D,2,FALSE),"-") &amp; " / " &amp; IFERROR(VLOOKUP(MID(G17,H17,I17-H17),[6]skilldef!$A:$B,2,FALSE),"-")</f>
        <v>味方全体に / ステータスDOWN</v>
      </c>
      <c r="M17" s="51" t="str">
        <f t="shared" si="5"/>
        <v>[effect:rush, count:1, val:1]</v>
      </c>
      <c r="N17" s="36" t="str">
        <f t="shared" si="6"/>
        <v>[effect:rush, count:1, val:1]</v>
      </c>
      <c r="O17" s="51">
        <f t="shared" si="7"/>
        <v>9</v>
      </c>
      <c r="P17" s="51">
        <f t="shared" si="8"/>
        <v>13</v>
      </c>
      <c r="Q17" s="51" t="e">
        <f t="shared" si="9"/>
        <v>#VALUE!</v>
      </c>
      <c r="R17" s="51">
        <f t="shared" si="10"/>
        <v>22</v>
      </c>
      <c r="S17" s="51" t="str">
        <f>IFERROR(VLOOKUP(MID(N17,Q17,R17-Q17),[6]skilldef!$C:$D,2,FALSE),"-") &amp; " / " &amp; IFERROR(VLOOKUP(MID(N17,O17,P17-O17),[6]skilldef!$A:$B,2,FALSE),"-")</f>
        <v>- / 連続攻撃</v>
      </c>
      <c r="T17" s="36" t="str">
        <f t="shared" si="11"/>
        <v>none</v>
      </c>
      <c r="U17" s="51" t="e">
        <f t="shared" si="12"/>
        <v>#VALUE!</v>
      </c>
      <c r="V17" s="51">
        <f t="shared" si="13"/>
        <v>4</v>
      </c>
      <c r="W17" s="51" t="e">
        <f t="shared" si="14"/>
        <v>#VALUE!</v>
      </c>
      <c r="X17" s="51" t="e">
        <f t="shared" si="15"/>
        <v>#VALUE!</v>
      </c>
      <c r="Y17" s="51" t="str">
        <f>IFERROR(VLOOKUP(MID(T17,W17,X17-W17),[6]skilldef!$C:$D,2,FALSE),"-") &amp; " / " &amp; IFERROR(VLOOKUP(MID(T17,U17,V17-U17),[6]skilldef!$A:$B,2,FALSE),"-")</f>
        <v>- / -</v>
      </c>
      <c r="Z17" s="38"/>
      <c r="AA17" s="40"/>
      <c r="AB17" s="38"/>
    </row>
    <row r="18" spans="1:28" ht="21" customHeight="1" x14ac:dyDescent="0.15">
      <c r="A18" s="19">
        <v>41013017</v>
      </c>
      <c r="B18" s="35" t="s">
        <v>290</v>
      </c>
      <c r="C18" s="38">
        <v>3</v>
      </c>
      <c r="D18" s="38" t="s">
        <v>291</v>
      </c>
      <c r="E18" s="39" t="s">
        <v>292</v>
      </c>
      <c r="F18" s="39" t="s">
        <v>370</v>
      </c>
      <c r="G18" s="51" t="str">
        <f t="shared" si="0"/>
        <v>[effect:degrade_unit, target:unit_all, turn:3, status:attack, val:0.3, calc:mul]</v>
      </c>
      <c r="H18" s="51">
        <f t="shared" si="1"/>
        <v>9</v>
      </c>
      <c r="I18" s="51">
        <f t="shared" si="2"/>
        <v>21</v>
      </c>
      <c r="J18" s="51">
        <f t="shared" si="3"/>
        <v>30</v>
      </c>
      <c r="K18" s="51">
        <f t="shared" si="4"/>
        <v>38</v>
      </c>
      <c r="L18" s="51" t="str">
        <f>IFERROR(VLOOKUP(MID(G18,J18,K18-J18),[6]skilldef!$C:$D,2,FALSE),"-") &amp; " / " &amp; IFERROR(VLOOKUP(MID(G18,H18,I18-H18),[6]skilldef!$A:$B,2,FALSE),"-")</f>
        <v>味方全体に / ステータスDOWN</v>
      </c>
      <c r="M18" s="51" t="str">
        <f t="shared" si="5"/>
        <v>[effect:rush, count:1, val:1]</v>
      </c>
      <c r="N18" s="36" t="str">
        <f t="shared" si="6"/>
        <v>[effect:rush, count:1, val:1]</v>
      </c>
      <c r="O18" s="51">
        <f t="shared" si="7"/>
        <v>9</v>
      </c>
      <c r="P18" s="51">
        <f t="shared" si="8"/>
        <v>13</v>
      </c>
      <c r="Q18" s="51" t="e">
        <f t="shared" si="9"/>
        <v>#VALUE!</v>
      </c>
      <c r="R18" s="51">
        <f t="shared" si="10"/>
        <v>22</v>
      </c>
      <c r="S18" s="51" t="str">
        <f>IFERROR(VLOOKUP(MID(N18,Q18,R18-Q18),[6]skilldef!$C:$D,2,FALSE),"-") &amp; " / " &amp; IFERROR(VLOOKUP(MID(N18,O18,P18-O18),[6]skilldef!$A:$B,2,FALSE),"-")</f>
        <v>- / 連続攻撃</v>
      </c>
      <c r="T18" s="36" t="str">
        <f t="shared" si="11"/>
        <v>none</v>
      </c>
      <c r="U18" s="51" t="e">
        <f t="shared" si="12"/>
        <v>#VALUE!</v>
      </c>
      <c r="V18" s="51">
        <f t="shared" si="13"/>
        <v>4</v>
      </c>
      <c r="W18" s="51" t="e">
        <f t="shared" si="14"/>
        <v>#VALUE!</v>
      </c>
      <c r="X18" s="51" t="e">
        <f t="shared" si="15"/>
        <v>#VALUE!</v>
      </c>
      <c r="Y18" s="51" t="str">
        <f>IFERROR(VLOOKUP(MID(T18,W18,X18-W18),[6]skilldef!$C:$D,2,FALSE),"-") &amp; " / " &amp; IFERROR(VLOOKUP(MID(T18,U18,V18-U18),[6]skilldef!$A:$B,2,FALSE),"-")</f>
        <v>- / -</v>
      </c>
      <c r="Z18" s="38"/>
      <c r="AA18" s="40"/>
      <c r="AB18" s="38"/>
    </row>
    <row r="19" spans="1:28" ht="21" customHeight="1" x14ac:dyDescent="0.15">
      <c r="A19" s="19">
        <v>41013018</v>
      </c>
      <c r="B19" s="35" t="s">
        <v>293</v>
      </c>
      <c r="C19" s="38">
        <v>3</v>
      </c>
      <c r="D19" s="38" t="s">
        <v>291</v>
      </c>
      <c r="E19" s="39" t="s">
        <v>294</v>
      </c>
      <c r="F19" s="39" t="s">
        <v>371</v>
      </c>
      <c r="G19" s="51" t="str">
        <f t="shared" si="0"/>
        <v>[effect:dark, target:unit_all, turn:3, animation:enemy_dark]</v>
      </c>
      <c r="H19" s="51">
        <f t="shared" si="1"/>
        <v>9</v>
      </c>
      <c r="I19" s="51">
        <f t="shared" si="2"/>
        <v>13</v>
      </c>
      <c r="J19" s="51">
        <f t="shared" si="3"/>
        <v>22</v>
      </c>
      <c r="K19" s="51">
        <f t="shared" si="4"/>
        <v>30</v>
      </c>
      <c r="L19" s="51" t="str">
        <f>IFERROR(VLOOKUP(MID(G19,J19,K19-J19),[6]skilldef!$C:$D,2,FALSE),"-") &amp; " / " &amp; IFERROR(VLOOKUP(MID(G19,H19,I19-H19),[6]skilldef!$A:$B,2,FALSE),"-")</f>
        <v>味方全体に / 暗黒</v>
      </c>
      <c r="M19" s="51" t="str">
        <f t="shared" si="5"/>
        <v>[effect:rush, count:1, val:1]</v>
      </c>
      <c r="N19" s="36" t="str">
        <f t="shared" si="6"/>
        <v>[effect:rush, count:1, val:1]</v>
      </c>
      <c r="O19" s="51">
        <f t="shared" si="7"/>
        <v>9</v>
      </c>
      <c r="P19" s="51">
        <f t="shared" si="8"/>
        <v>13</v>
      </c>
      <c r="Q19" s="51" t="e">
        <f t="shared" si="9"/>
        <v>#VALUE!</v>
      </c>
      <c r="R19" s="51">
        <f t="shared" si="10"/>
        <v>22</v>
      </c>
      <c r="S19" s="51" t="str">
        <f>IFERROR(VLOOKUP(MID(N19,Q19,R19-Q19),[6]skilldef!$C:$D,2,FALSE),"-") &amp; " / " &amp; IFERROR(VLOOKUP(MID(N19,O19,P19-O19),[6]skilldef!$A:$B,2,FALSE),"-")</f>
        <v>- / 連続攻撃</v>
      </c>
      <c r="T19" s="36" t="str">
        <f t="shared" si="11"/>
        <v>none</v>
      </c>
      <c r="U19" s="51" t="e">
        <f t="shared" si="12"/>
        <v>#VALUE!</v>
      </c>
      <c r="V19" s="51">
        <f t="shared" si="13"/>
        <v>4</v>
      </c>
      <c r="W19" s="51" t="e">
        <f t="shared" si="14"/>
        <v>#VALUE!</v>
      </c>
      <c r="X19" s="51" t="e">
        <f t="shared" si="15"/>
        <v>#VALUE!</v>
      </c>
      <c r="Y19" s="51" t="str">
        <f>IFERROR(VLOOKUP(MID(T19,W19,X19-W19),[6]skilldef!$C:$D,2,FALSE),"-") &amp; " / " &amp; IFERROR(VLOOKUP(MID(T19,U19,V19-U19),[6]skilldef!$A:$B,2,FALSE),"-")</f>
        <v>- / -</v>
      </c>
      <c r="Z19" s="38"/>
      <c r="AA19" s="40"/>
      <c r="AB19" s="38"/>
    </row>
    <row r="20" spans="1:28" ht="21" customHeight="1" x14ac:dyDescent="0.15">
      <c r="A20" s="19">
        <v>41013019</v>
      </c>
      <c r="B20" s="35" t="s">
        <v>376</v>
      </c>
      <c r="C20" s="38">
        <v>3</v>
      </c>
      <c r="D20" s="38" t="s">
        <v>291</v>
      </c>
      <c r="E20" s="39" t="s">
        <v>295</v>
      </c>
      <c r="F20" s="39" t="s">
        <v>346</v>
      </c>
      <c r="G20" s="51" t="str">
        <f t="shared" si="0"/>
        <v>[effect:force_change_block, new_block:block_heart, target:block_all, ignore01:block_positive, ignore02:block_negative, ignore03:block_heart, count:20, val:0]</v>
      </c>
      <c r="H20" s="51">
        <f t="shared" si="1"/>
        <v>9</v>
      </c>
      <c r="I20" s="51">
        <f t="shared" si="2"/>
        <v>27</v>
      </c>
      <c r="J20" s="51">
        <f t="shared" si="3"/>
        <v>59</v>
      </c>
      <c r="K20" s="51">
        <f t="shared" si="4"/>
        <v>50</v>
      </c>
      <c r="L20" s="51" t="str">
        <f>IFERROR(VLOOKUP(MID(G20,J20,K20-J20),[6]skilldef!$C:$D,2,FALSE),"-") &amp; " / " &amp; IFERROR(VLOOKUP(MID(G20,H20,I20-H20),[6]skilldef!$A:$B,2,FALSE),"-")</f>
        <v>- / -</v>
      </c>
      <c r="M20" s="51" t="str">
        <f t="shared" si="5"/>
        <v>none</v>
      </c>
      <c r="N20" s="36" t="str">
        <f t="shared" si="6"/>
        <v>none</v>
      </c>
      <c r="O20" s="51" t="e">
        <f t="shared" si="7"/>
        <v>#VALUE!</v>
      </c>
      <c r="P20" s="51">
        <f t="shared" si="8"/>
        <v>4</v>
      </c>
      <c r="Q20" s="51" t="e">
        <f t="shared" si="9"/>
        <v>#VALUE!</v>
      </c>
      <c r="R20" s="51" t="e">
        <f t="shared" si="10"/>
        <v>#VALUE!</v>
      </c>
      <c r="S20" s="51" t="str">
        <f>IFERROR(VLOOKUP(MID(N20,Q20,R20-Q20),[6]skilldef!$C:$D,2,FALSE),"-") &amp; " / " &amp; IFERROR(VLOOKUP(MID(N20,O20,P20-O20),[6]skilldef!$A:$B,2,FALSE),"-")</f>
        <v>- / -</v>
      </c>
      <c r="T20" s="36" t="str">
        <f t="shared" si="11"/>
        <v>none</v>
      </c>
      <c r="U20" s="51" t="e">
        <f t="shared" si="12"/>
        <v>#VALUE!</v>
      </c>
      <c r="V20" s="51">
        <f t="shared" si="13"/>
        <v>4</v>
      </c>
      <c r="W20" s="51" t="e">
        <f t="shared" si="14"/>
        <v>#VALUE!</v>
      </c>
      <c r="X20" s="51" t="e">
        <f t="shared" si="15"/>
        <v>#VALUE!</v>
      </c>
      <c r="Y20" s="51" t="str">
        <f>IFERROR(VLOOKUP(MID(T20,W20,X20-W20),[6]skilldef!$C:$D,2,FALSE),"-") &amp; " / " &amp; IFERROR(VLOOKUP(MID(T20,U20,V20-U20),[6]skilldef!$A:$B,2,FALSE),"-")</f>
        <v>- / -</v>
      </c>
      <c r="Z20" s="38"/>
      <c r="AA20" s="40"/>
      <c r="AB20" s="38"/>
    </row>
    <row r="21" spans="1:28" ht="21" customHeight="1" x14ac:dyDescent="0.15">
      <c r="A21" s="19">
        <v>41013020</v>
      </c>
      <c r="B21" s="35" t="s">
        <v>296</v>
      </c>
      <c r="C21" s="38">
        <v>3</v>
      </c>
      <c r="D21" s="38" t="s">
        <v>126</v>
      </c>
      <c r="E21" s="39" t="s">
        <v>297</v>
      </c>
      <c r="F21" s="39" t="s">
        <v>348</v>
      </c>
      <c r="G21" s="51" t="str">
        <f t="shared" si="0"/>
        <v>[effect:change_block, new_block:block_heart, target:block_blue, count:8, val:0, no_effect_msg:no_effect_msg_change_block, animation:change_block]</v>
      </c>
      <c r="H21" s="51">
        <f t="shared" si="1"/>
        <v>9</v>
      </c>
      <c r="I21" s="51">
        <f t="shared" si="2"/>
        <v>21</v>
      </c>
      <c r="J21" s="51">
        <f t="shared" si="3"/>
        <v>53</v>
      </c>
      <c r="K21" s="51">
        <f t="shared" si="4"/>
        <v>44</v>
      </c>
      <c r="L21" s="51" t="str">
        <f>IFERROR(VLOOKUP(MID(G21,J21,K21-J21),[6]skilldef!$C:$D,2,FALSE),"-") &amp; " / " &amp; IFERROR(VLOOKUP(MID(G21,H21,I21-H21),[6]skilldef!$A:$B,2,FALSE),"-")</f>
        <v>- / ブロック変換</v>
      </c>
      <c r="M21" s="51" t="str">
        <f t="shared" si="5"/>
        <v>[effect:rush, count:2, val:0.7]</v>
      </c>
      <c r="N21" s="36" t="str">
        <f t="shared" si="6"/>
        <v>[effect:rush, count:2, val:0.7]</v>
      </c>
      <c r="O21" s="51">
        <f t="shared" si="7"/>
        <v>9</v>
      </c>
      <c r="P21" s="51">
        <f t="shared" si="8"/>
        <v>13</v>
      </c>
      <c r="Q21" s="51" t="e">
        <f t="shared" si="9"/>
        <v>#VALUE!</v>
      </c>
      <c r="R21" s="51">
        <f t="shared" si="10"/>
        <v>22</v>
      </c>
      <c r="S21" s="51" t="str">
        <f>IFERROR(VLOOKUP(MID(N21,Q21,R21-Q21),[6]skilldef!$C:$D,2,FALSE),"-") &amp; " / " &amp; IFERROR(VLOOKUP(MID(N21,O21,P21-O21),[6]skilldef!$A:$B,2,FALSE),"-")</f>
        <v>- / 連続攻撃</v>
      </c>
      <c r="T21" s="36" t="str">
        <f t="shared" si="11"/>
        <v>none</v>
      </c>
      <c r="U21" s="51" t="e">
        <f t="shared" si="12"/>
        <v>#VALUE!</v>
      </c>
      <c r="V21" s="51">
        <f t="shared" si="13"/>
        <v>4</v>
      </c>
      <c r="W21" s="51" t="e">
        <f t="shared" si="14"/>
        <v>#VALUE!</v>
      </c>
      <c r="X21" s="51" t="e">
        <f t="shared" si="15"/>
        <v>#VALUE!</v>
      </c>
      <c r="Y21" s="51" t="str">
        <f>IFERROR(VLOOKUP(MID(T21,W21,X21-W21),[6]skilldef!$C:$D,2,FALSE),"-") &amp; " / " &amp; IFERROR(VLOOKUP(MID(T21,U21,V21-U21),[6]skilldef!$A:$B,2,FALSE),"-")</f>
        <v>- / -</v>
      </c>
      <c r="Z21" s="38"/>
      <c r="AA21" s="40"/>
      <c r="AB21" s="38"/>
    </row>
    <row r="22" spans="1:28" ht="21" customHeight="1" x14ac:dyDescent="0.15">
      <c r="A22" s="19">
        <v>41013021</v>
      </c>
      <c r="B22" s="35" t="s">
        <v>298</v>
      </c>
      <c r="C22" s="38">
        <v>3</v>
      </c>
      <c r="D22" s="38" t="s">
        <v>126</v>
      </c>
      <c r="E22" s="39" t="s">
        <v>299</v>
      </c>
      <c r="F22" s="39" t="s">
        <v>343</v>
      </c>
      <c r="G22" s="51" t="str">
        <f t="shared" si="0"/>
        <v>[effect:damage_anti_tribe, target:unit_all, tribe:human, val1:0.8, val2:0.4]</v>
      </c>
      <c r="H22" s="51">
        <f t="shared" si="1"/>
        <v>9</v>
      </c>
      <c r="I22" s="51">
        <f t="shared" si="2"/>
        <v>26</v>
      </c>
      <c r="J22" s="51">
        <f t="shared" si="3"/>
        <v>35</v>
      </c>
      <c r="K22" s="51">
        <f t="shared" si="4"/>
        <v>43</v>
      </c>
      <c r="L22" s="51" t="str">
        <f>IFERROR(VLOOKUP(MID(G22,J22,K22-J22),[6]skilldef!$C:$D,2,FALSE),"-") &amp; " / " &amp; IFERROR(VLOOKUP(MID(G22,H22,I22-H22),[6]skilldef!$A:$B,2,FALSE),"-")</f>
        <v>味方全体に / 種族キラー</v>
      </c>
      <c r="M22" s="51" t="str">
        <f t="shared" si="5"/>
        <v>none</v>
      </c>
      <c r="N22" s="36" t="str">
        <f t="shared" si="6"/>
        <v>none</v>
      </c>
      <c r="O22" s="51" t="e">
        <f t="shared" si="7"/>
        <v>#VALUE!</v>
      </c>
      <c r="P22" s="51">
        <f t="shared" si="8"/>
        <v>4</v>
      </c>
      <c r="Q22" s="51" t="e">
        <f t="shared" si="9"/>
        <v>#VALUE!</v>
      </c>
      <c r="R22" s="51" t="e">
        <f t="shared" si="10"/>
        <v>#VALUE!</v>
      </c>
      <c r="S22" s="51" t="str">
        <f>IFERROR(VLOOKUP(MID(N22,Q22,R22-Q22),[6]skilldef!$C:$D,2,FALSE),"-") &amp; " / " &amp; IFERROR(VLOOKUP(MID(N22,O22,P22-O22),[6]skilldef!$A:$B,2,FALSE),"-")</f>
        <v>- / -</v>
      </c>
      <c r="T22" s="36" t="str">
        <f t="shared" si="11"/>
        <v>none</v>
      </c>
      <c r="U22" s="51" t="e">
        <f t="shared" si="12"/>
        <v>#VALUE!</v>
      </c>
      <c r="V22" s="51">
        <f t="shared" si="13"/>
        <v>4</v>
      </c>
      <c r="W22" s="51" t="e">
        <f t="shared" si="14"/>
        <v>#VALUE!</v>
      </c>
      <c r="X22" s="51" t="e">
        <f t="shared" si="15"/>
        <v>#VALUE!</v>
      </c>
      <c r="Y22" s="51" t="str">
        <f>IFERROR(VLOOKUP(MID(T22,W22,X22-W22),[6]skilldef!$C:$D,2,FALSE),"-") &amp; " / " &amp; IFERROR(VLOOKUP(MID(T22,U22,V22-U22),[6]skilldef!$A:$B,2,FALSE),"-")</f>
        <v>- / -</v>
      </c>
      <c r="Z22" s="38"/>
      <c r="AA22" s="40"/>
      <c r="AB22" s="38"/>
    </row>
    <row r="23" spans="1:28" ht="21" customHeight="1" x14ac:dyDescent="0.15">
      <c r="A23" s="19">
        <v>41013022</v>
      </c>
      <c r="B23" s="35" t="s">
        <v>300</v>
      </c>
      <c r="C23" s="38">
        <v>3</v>
      </c>
      <c r="D23" s="38" t="s">
        <v>126</v>
      </c>
      <c r="E23" s="39" t="s">
        <v>301</v>
      </c>
      <c r="F23" s="39" t="s">
        <v>372</v>
      </c>
      <c r="G23" s="51" t="str">
        <f t="shared" si="0"/>
        <v>[effect:dark, target:unit_all, turn:4, animation:enemy_dark]</v>
      </c>
      <c r="H23" s="51">
        <f t="shared" si="1"/>
        <v>9</v>
      </c>
      <c r="I23" s="51">
        <f t="shared" si="2"/>
        <v>13</v>
      </c>
      <c r="J23" s="51">
        <f t="shared" si="3"/>
        <v>22</v>
      </c>
      <c r="K23" s="51">
        <f t="shared" si="4"/>
        <v>30</v>
      </c>
      <c r="L23" s="51" t="str">
        <f>IFERROR(VLOOKUP(MID(G23,J23,K23-J23),[6]skilldef!$C:$D,2,FALSE),"-") &amp; " / " &amp; IFERROR(VLOOKUP(MID(G23,H23,I23-H23),[6]skilldef!$A:$B,2,FALSE),"-")</f>
        <v>味方全体に / 暗黒</v>
      </c>
      <c r="M23" s="51" t="str">
        <f t="shared" si="5"/>
        <v>[effect:rush, count:1, val:1]</v>
      </c>
      <c r="N23" s="36" t="str">
        <f t="shared" si="6"/>
        <v>[effect:rush, count:1, val:1]</v>
      </c>
      <c r="O23" s="51">
        <f t="shared" si="7"/>
        <v>9</v>
      </c>
      <c r="P23" s="51">
        <f t="shared" si="8"/>
        <v>13</v>
      </c>
      <c r="Q23" s="51" t="e">
        <f t="shared" si="9"/>
        <v>#VALUE!</v>
      </c>
      <c r="R23" s="51">
        <f t="shared" si="10"/>
        <v>22</v>
      </c>
      <c r="S23" s="51" t="str">
        <f>IFERROR(VLOOKUP(MID(N23,Q23,R23-Q23),[6]skilldef!$C:$D,2,FALSE),"-") &amp; " / " &amp; IFERROR(VLOOKUP(MID(N23,O23,P23-O23),[6]skilldef!$A:$B,2,FALSE),"-")</f>
        <v>- / 連続攻撃</v>
      </c>
      <c r="T23" s="36" t="str">
        <f t="shared" si="11"/>
        <v>none</v>
      </c>
      <c r="U23" s="51" t="e">
        <f t="shared" si="12"/>
        <v>#VALUE!</v>
      </c>
      <c r="V23" s="51">
        <f t="shared" si="13"/>
        <v>4</v>
      </c>
      <c r="W23" s="51" t="e">
        <f t="shared" si="14"/>
        <v>#VALUE!</v>
      </c>
      <c r="X23" s="51" t="e">
        <f t="shared" si="15"/>
        <v>#VALUE!</v>
      </c>
      <c r="Y23" s="51" t="str">
        <f>IFERROR(VLOOKUP(MID(T23,W23,X23-W23),[6]skilldef!$C:$D,2,FALSE),"-") &amp; " / " &amp; IFERROR(VLOOKUP(MID(T23,U23,V23-U23),[6]skilldef!$A:$B,2,FALSE),"-")</f>
        <v>- / -</v>
      </c>
      <c r="Z23" s="38"/>
      <c r="AA23" s="40"/>
      <c r="AB23" s="38"/>
    </row>
    <row r="24" spans="1:28" ht="21" customHeight="1" x14ac:dyDescent="0.15">
      <c r="A24" s="19">
        <v>41013023</v>
      </c>
      <c r="B24" s="35" t="s">
        <v>302</v>
      </c>
      <c r="C24" s="38">
        <v>3</v>
      </c>
      <c r="D24" s="38" t="s">
        <v>126</v>
      </c>
      <c r="E24" s="39" t="s">
        <v>303</v>
      </c>
      <c r="F24" s="39" t="s">
        <v>304</v>
      </c>
      <c r="G24" s="51" t="str">
        <f t="shared" si="0"/>
        <v>[effect:spread, val:0.3]</v>
      </c>
      <c r="H24" s="51">
        <f t="shared" si="1"/>
        <v>9</v>
      </c>
      <c r="I24" s="51">
        <f t="shared" si="2"/>
        <v>15</v>
      </c>
      <c r="J24" s="51" t="e">
        <f t="shared" si="3"/>
        <v>#VALUE!</v>
      </c>
      <c r="K24" s="51" t="e">
        <f t="shared" si="4"/>
        <v>#VALUE!</v>
      </c>
      <c r="L24" s="51" t="str">
        <f>IFERROR(VLOOKUP(MID(G24,J24,K24-J24),[6]skilldef!$C:$D,2,FALSE),"-") &amp; " / " &amp; IFERROR(VLOOKUP(MID(G24,H24,I24-H24),[6]skilldef!$A:$B,2,FALSE),"-")</f>
        <v>- / 全体攻撃</v>
      </c>
      <c r="M24" s="51" t="str">
        <f t="shared" si="5"/>
        <v>none</v>
      </c>
      <c r="N24" s="36" t="str">
        <f t="shared" si="6"/>
        <v>none</v>
      </c>
      <c r="O24" s="51" t="e">
        <f t="shared" si="7"/>
        <v>#VALUE!</v>
      </c>
      <c r="P24" s="51">
        <f t="shared" si="8"/>
        <v>4</v>
      </c>
      <c r="Q24" s="51" t="e">
        <f t="shared" si="9"/>
        <v>#VALUE!</v>
      </c>
      <c r="R24" s="51" t="e">
        <f t="shared" si="10"/>
        <v>#VALUE!</v>
      </c>
      <c r="S24" s="51" t="str">
        <f>IFERROR(VLOOKUP(MID(N24,Q24,R24-Q24),[6]skilldef!$C:$D,2,FALSE),"-") &amp; " / " &amp; IFERROR(VLOOKUP(MID(N24,O24,P24-O24),[6]skilldef!$A:$B,2,FALSE),"-")</f>
        <v>- / -</v>
      </c>
      <c r="T24" s="36" t="str">
        <f t="shared" si="11"/>
        <v>none</v>
      </c>
      <c r="U24" s="51" t="e">
        <f t="shared" si="12"/>
        <v>#VALUE!</v>
      </c>
      <c r="V24" s="51">
        <f t="shared" si="13"/>
        <v>4</v>
      </c>
      <c r="W24" s="51" t="e">
        <f t="shared" si="14"/>
        <v>#VALUE!</v>
      </c>
      <c r="X24" s="51" t="e">
        <f t="shared" si="15"/>
        <v>#VALUE!</v>
      </c>
      <c r="Y24" s="51" t="str">
        <f>IFERROR(VLOOKUP(MID(T24,W24,X24-W24),[6]skilldef!$C:$D,2,FALSE),"-") &amp; " / " &amp; IFERROR(VLOOKUP(MID(T24,U24,V24-U24),[6]skilldef!$A:$B,2,FALSE),"-")</f>
        <v>- / -</v>
      </c>
      <c r="Z24" s="38"/>
      <c r="AA24" s="40"/>
      <c r="AB24" s="38"/>
    </row>
    <row r="25" spans="1:28" ht="21" customHeight="1" x14ac:dyDescent="0.15">
      <c r="A25" s="19">
        <v>41013024</v>
      </c>
      <c r="B25" s="35" t="s">
        <v>305</v>
      </c>
      <c r="C25" s="38">
        <v>3</v>
      </c>
      <c r="D25" s="38" t="s">
        <v>126</v>
      </c>
      <c r="E25" s="39" t="s">
        <v>306</v>
      </c>
      <c r="F25" s="39" t="s">
        <v>353</v>
      </c>
      <c r="G25" s="51" t="str">
        <f t="shared" si="0"/>
        <v>[effect:change_block, new_block:block_heart, target:block_blue, count:-1, val:0, no_effect_msg:no_effect_msg_change_block, animation:change_block]</v>
      </c>
      <c r="H25" s="51">
        <f t="shared" si="1"/>
        <v>9</v>
      </c>
      <c r="I25" s="51">
        <f t="shared" si="2"/>
        <v>21</v>
      </c>
      <c r="J25" s="51">
        <f t="shared" si="3"/>
        <v>53</v>
      </c>
      <c r="K25" s="51">
        <f t="shared" si="4"/>
        <v>44</v>
      </c>
      <c r="L25" s="51" t="str">
        <f>IFERROR(VLOOKUP(MID(G25,J25,K25-J25),[6]skilldef!$C:$D,2,FALSE),"-") &amp; " / " &amp; IFERROR(VLOOKUP(MID(G25,H25,I25-H25),[6]skilldef!$A:$B,2,FALSE),"-")</f>
        <v>- / ブロック変換</v>
      </c>
      <c r="M25" s="51" t="str">
        <f t="shared" si="5"/>
        <v>none</v>
      </c>
      <c r="N25" s="36" t="str">
        <f t="shared" si="6"/>
        <v>none</v>
      </c>
      <c r="O25" s="51" t="e">
        <f t="shared" si="7"/>
        <v>#VALUE!</v>
      </c>
      <c r="P25" s="51">
        <f t="shared" si="8"/>
        <v>4</v>
      </c>
      <c r="Q25" s="51" t="e">
        <f t="shared" si="9"/>
        <v>#VALUE!</v>
      </c>
      <c r="R25" s="51" t="e">
        <f t="shared" si="10"/>
        <v>#VALUE!</v>
      </c>
      <c r="S25" s="51" t="str">
        <f>IFERROR(VLOOKUP(MID(N25,Q25,R25-Q25),[6]skilldef!$C:$D,2,FALSE),"-") &amp; " / " &amp; IFERROR(VLOOKUP(MID(N25,O25,P25-O25),[6]skilldef!$A:$B,2,FALSE),"-")</f>
        <v>- / -</v>
      </c>
      <c r="T25" s="36" t="str">
        <f t="shared" si="11"/>
        <v>none</v>
      </c>
      <c r="U25" s="51" t="e">
        <f t="shared" si="12"/>
        <v>#VALUE!</v>
      </c>
      <c r="V25" s="51">
        <f t="shared" si="13"/>
        <v>4</v>
      </c>
      <c r="W25" s="51" t="e">
        <f t="shared" si="14"/>
        <v>#VALUE!</v>
      </c>
      <c r="X25" s="51" t="e">
        <f t="shared" si="15"/>
        <v>#VALUE!</v>
      </c>
      <c r="Y25" s="51" t="str">
        <f>IFERROR(VLOOKUP(MID(T25,W25,X25-W25),[6]skilldef!$C:$D,2,FALSE),"-") &amp; " / " &amp; IFERROR(VLOOKUP(MID(T25,U25,V25-U25),[6]skilldef!$A:$B,2,FALSE),"-")</f>
        <v>- / -</v>
      </c>
      <c r="Z25" s="38"/>
      <c r="AA25" s="40"/>
      <c r="AB25" s="38"/>
    </row>
    <row r="26" spans="1:28" ht="21" customHeight="1" x14ac:dyDescent="0.15">
      <c r="A26" s="19">
        <v>41013025</v>
      </c>
      <c r="B26" s="35" t="s">
        <v>307</v>
      </c>
      <c r="C26" s="38">
        <v>3</v>
      </c>
      <c r="D26" s="38" t="s">
        <v>126</v>
      </c>
      <c r="E26" s="39" t="s">
        <v>308</v>
      </c>
      <c r="F26" s="39" t="s">
        <v>349</v>
      </c>
      <c r="G26" s="51" t="str">
        <f t="shared" si="0"/>
        <v>[effect:change_block, new_block:block_heart, target:block_blue, count:8, val:0, no_effect_msg:no_effect_msg_change_block, animation:change_block]</v>
      </c>
      <c r="H26" s="51">
        <f t="shared" si="1"/>
        <v>9</v>
      </c>
      <c r="I26" s="51">
        <f t="shared" si="2"/>
        <v>21</v>
      </c>
      <c r="J26" s="51">
        <f t="shared" si="3"/>
        <v>53</v>
      </c>
      <c r="K26" s="51">
        <f t="shared" si="4"/>
        <v>44</v>
      </c>
      <c r="L26" s="51" t="str">
        <f>IFERROR(VLOOKUP(MID(G26,J26,K26-J26),[6]skilldef!$C:$D,2,FALSE),"-") &amp; " / " &amp; IFERROR(VLOOKUP(MID(G26,H26,I26-H26),[6]skilldef!$A:$B,2,FALSE),"-")</f>
        <v>- / ブロック変換</v>
      </c>
      <c r="M26" s="51" t="str">
        <f t="shared" si="5"/>
        <v>[effect:rush, count:3, val:0.6]</v>
      </c>
      <c r="N26" s="36" t="str">
        <f t="shared" si="6"/>
        <v>[effect:rush, count:3, val:0.6]</v>
      </c>
      <c r="O26" s="51">
        <f t="shared" si="7"/>
        <v>9</v>
      </c>
      <c r="P26" s="51">
        <f t="shared" si="8"/>
        <v>13</v>
      </c>
      <c r="Q26" s="51" t="e">
        <f t="shared" si="9"/>
        <v>#VALUE!</v>
      </c>
      <c r="R26" s="51">
        <f t="shared" si="10"/>
        <v>22</v>
      </c>
      <c r="S26" s="51" t="str">
        <f>IFERROR(VLOOKUP(MID(N26,Q26,R26-Q26),[6]skilldef!$C:$D,2,FALSE),"-") &amp; " / " &amp; IFERROR(VLOOKUP(MID(N26,O26,P26-O26),[6]skilldef!$A:$B,2,FALSE),"-")</f>
        <v>- / 連続攻撃</v>
      </c>
      <c r="T26" s="36" t="str">
        <f t="shared" si="11"/>
        <v>none</v>
      </c>
      <c r="U26" s="51" t="e">
        <f t="shared" si="12"/>
        <v>#VALUE!</v>
      </c>
      <c r="V26" s="51">
        <f t="shared" si="13"/>
        <v>4</v>
      </c>
      <c r="W26" s="51" t="e">
        <f t="shared" si="14"/>
        <v>#VALUE!</v>
      </c>
      <c r="X26" s="51" t="e">
        <f t="shared" si="15"/>
        <v>#VALUE!</v>
      </c>
      <c r="Y26" s="51" t="str">
        <f>IFERROR(VLOOKUP(MID(T26,W26,X26-W26),[6]skilldef!$C:$D,2,FALSE),"-") &amp; " / " &amp; IFERROR(VLOOKUP(MID(T26,U26,V26-U26),[6]skilldef!$A:$B,2,FALSE),"-")</f>
        <v>- / -</v>
      </c>
      <c r="Z26" s="38"/>
      <c r="AA26" s="40"/>
      <c r="AB26" s="38"/>
    </row>
    <row r="27" spans="1:28" ht="21" customHeight="1" x14ac:dyDescent="0.15">
      <c r="A27" s="19">
        <v>41013026</v>
      </c>
      <c r="B27" s="35" t="s">
        <v>309</v>
      </c>
      <c r="C27" s="38">
        <v>3</v>
      </c>
      <c r="D27" s="38" t="s">
        <v>126</v>
      </c>
      <c r="E27" s="39" t="s">
        <v>310</v>
      </c>
      <c r="F27" s="39" t="s">
        <v>373</v>
      </c>
      <c r="G27" s="51" t="str">
        <f t="shared" si="0"/>
        <v>[effect:freq_turn, target:myself, turn:-1, val:1, animation:enemy_freq_turn]</v>
      </c>
      <c r="H27" s="51">
        <f t="shared" si="1"/>
        <v>9</v>
      </c>
      <c r="I27" s="51">
        <f t="shared" si="2"/>
        <v>18</v>
      </c>
      <c r="J27" s="51">
        <f t="shared" si="3"/>
        <v>27</v>
      </c>
      <c r="K27" s="51">
        <f t="shared" si="4"/>
        <v>33</v>
      </c>
      <c r="L27" s="51" t="str">
        <f>IFERROR(VLOOKUP(MID(G27,J27,K27-J27),[6]skilldef!$C:$D,2,FALSE),"-") &amp; " / " &amp; IFERROR(VLOOKUP(MID(G27,H27,I27-H27),[6]skilldef!$A:$B,2,FALSE),"-")</f>
        <v>自分自身に / 攻撃頻度がUP</v>
      </c>
      <c r="M27" s="51" t="str">
        <f t="shared" si="5"/>
        <v>[effect:rush, count:1, val:1]</v>
      </c>
      <c r="N27" s="36" t="str">
        <f t="shared" si="6"/>
        <v>[effect:rush, count:1, val:1]</v>
      </c>
      <c r="O27" s="51">
        <f t="shared" si="7"/>
        <v>9</v>
      </c>
      <c r="P27" s="51">
        <f t="shared" si="8"/>
        <v>13</v>
      </c>
      <c r="Q27" s="51" t="e">
        <f t="shared" si="9"/>
        <v>#VALUE!</v>
      </c>
      <c r="R27" s="51">
        <f t="shared" si="10"/>
        <v>22</v>
      </c>
      <c r="S27" s="51" t="str">
        <f>IFERROR(VLOOKUP(MID(N27,Q27,R27-Q27),[6]skilldef!$C:$D,2,FALSE),"-") &amp; " / " &amp; IFERROR(VLOOKUP(MID(N27,O27,P27-O27),[6]skilldef!$A:$B,2,FALSE),"-")</f>
        <v>- / 連続攻撃</v>
      </c>
      <c r="T27" s="36" t="str">
        <f t="shared" si="11"/>
        <v>none</v>
      </c>
      <c r="U27" s="51" t="e">
        <f t="shared" si="12"/>
        <v>#VALUE!</v>
      </c>
      <c r="V27" s="51">
        <f t="shared" si="13"/>
        <v>4</v>
      </c>
      <c r="W27" s="51" t="e">
        <f t="shared" si="14"/>
        <v>#VALUE!</v>
      </c>
      <c r="X27" s="51" t="e">
        <f t="shared" si="15"/>
        <v>#VALUE!</v>
      </c>
      <c r="Y27" s="51" t="str">
        <f>IFERROR(VLOOKUP(MID(T27,W27,X27-W27),[6]skilldef!$C:$D,2,FALSE),"-") &amp; " / " &amp; IFERROR(VLOOKUP(MID(T27,U27,V27-U27),[6]skilldef!$A:$B,2,FALSE),"-")</f>
        <v>- / -</v>
      </c>
      <c r="Z27" s="38"/>
      <c r="AA27" s="40"/>
      <c r="AB27" s="38"/>
    </row>
    <row r="28" spans="1:28" ht="21" customHeight="1" x14ac:dyDescent="0.15">
      <c r="A28" s="19">
        <v>41013027</v>
      </c>
      <c r="B28" s="35" t="s">
        <v>357</v>
      </c>
      <c r="C28" s="38">
        <v>3</v>
      </c>
      <c r="D28" s="38" t="s">
        <v>126</v>
      </c>
      <c r="E28" s="39" t="s">
        <v>311</v>
      </c>
      <c r="F28" s="39" t="s">
        <v>350</v>
      </c>
      <c r="G28" s="51" t="str">
        <f t="shared" si="0"/>
        <v>[effect:break_attack_fix, val:1000, lowest_val:2500, count:-1, block:block_red, target:unit_one]</v>
      </c>
      <c r="H28" s="51">
        <f t="shared" si="1"/>
        <v>9</v>
      </c>
      <c r="I28" s="51">
        <f t="shared" si="2"/>
        <v>25</v>
      </c>
      <c r="J28" s="51">
        <f t="shared" si="3"/>
        <v>88</v>
      </c>
      <c r="K28" s="51">
        <f t="shared" si="4"/>
        <v>35</v>
      </c>
      <c r="L28" s="51" t="str">
        <f>IFERROR(VLOOKUP(MID(G28,J28,K28-J28),[6]skilldef!$C:$D,2,FALSE),"-") &amp; " / " &amp; IFERROR(VLOOKUP(MID(G28,H28,I28-H28),[6]skilldef!$A:$B,2,FALSE),"-")</f>
        <v>- / -</v>
      </c>
      <c r="M28" s="51" t="str">
        <f t="shared" si="5"/>
        <v>none</v>
      </c>
      <c r="N28" s="36" t="str">
        <f>IFERROR(LEFT(M28,FIND("],",M28)+#REF!),M28)</f>
        <v>none</v>
      </c>
      <c r="O28" s="51" t="e">
        <f t="shared" si="7"/>
        <v>#VALUE!</v>
      </c>
      <c r="P28" s="51">
        <f t="shared" si="8"/>
        <v>4</v>
      </c>
      <c r="Q28" s="51" t="e">
        <f t="shared" si="9"/>
        <v>#VALUE!</v>
      </c>
      <c r="R28" s="51" t="e">
        <f t="shared" si="10"/>
        <v>#VALUE!</v>
      </c>
      <c r="S28" s="51" t="str">
        <f>IFERROR(VLOOKUP(MID(N28,Q28,R28-Q28),[6]skilldef!$C:$D,2,FALSE),"-") &amp; " / " &amp; IFERROR(VLOOKUP(MID(N28,O28,P28-O28),[6]skilldef!$A:$B,2,FALSE),"-")</f>
        <v>- / -</v>
      </c>
      <c r="T28" s="36" t="str">
        <f t="shared" si="11"/>
        <v>none</v>
      </c>
      <c r="U28" s="51" t="e">
        <f t="shared" si="12"/>
        <v>#VALUE!</v>
      </c>
      <c r="V28" s="51">
        <f t="shared" si="13"/>
        <v>4</v>
      </c>
      <c r="W28" s="51" t="e">
        <f t="shared" si="14"/>
        <v>#VALUE!</v>
      </c>
      <c r="X28" s="51" t="e">
        <f t="shared" si="15"/>
        <v>#VALUE!</v>
      </c>
      <c r="Y28" s="51" t="str">
        <f>IFERROR(VLOOKUP(MID(T28,W28,X28-W28),[6]skilldef!$C:$D,2,FALSE),"-") &amp; " / " &amp; IFERROR(VLOOKUP(MID(T28,U28,V28-U28),[6]skilldef!$A:$B,2,FALSE),"-")</f>
        <v>- / -</v>
      </c>
      <c r="Z28" s="38"/>
      <c r="AA28" s="40"/>
      <c r="AB28" s="38"/>
    </row>
    <row r="29" spans="1:28" ht="21" customHeight="1" x14ac:dyDescent="0.15">
      <c r="A29" s="19">
        <v>41013028</v>
      </c>
      <c r="B29" s="35" t="s">
        <v>312</v>
      </c>
      <c r="C29" s="38">
        <v>3</v>
      </c>
      <c r="D29" s="38" t="s">
        <v>126</v>
      </c>
      <c r="E29" s="39" t="s">
        <v>313</v>
      </c>
      <c r="F29" s="39" t="s">
        <v>304</v>
      </c>
      <c r="G29" s="51" t="str">
        <f t="shared" si="0"/>
        <v>[effect:spread, val:0.4]</v>
      </c>
      <c r="H29" s="51">
        <f t="shared" si="1"/>
        <v>9</v>
      </c>
      <c r="I29" s="51">
        <f t="shared" si="2"/>
        <v>15</v>
      </c>
      <c r="J29" s="51" t="e">
        <f t="shared" si="3"/>
        <v>#VALUE!</v>
      </c>
      <c r="K29" s="51" t="e">
        <f t="shared" si="4"/>
        <v>#VALUE!</v>
      </c>
      <c r="L29" s="51" t="str">
        <f>IFERROR(VLOOKUP(MID(G29,J29,K29-J29),[6]skilldef!$C:$D,2,FALSE),"-") &amp; " / " &amp; IFERROR(VLOOKUP(MID(G29,H29,I29-H29),[6]skilldef!$A:$B,2,FALSE),"-")</f>
        <v>- / 全体攻撃</v>
      </c>
      <c r="M29" s="51" t="str">
        <f t="shared" si="5"/>
        <v>none</v>
      </c>
      <c r="N29" s="36" t="str">
        <f t="shared" ref="N29:N37" si="16">IFERROR(LEFT(M29,FIND("],",M29)+S38),M29)</f>
        <v>none</v>
      </c>
      <c r="O29" s="51" t="e">
        <f t="shared" si="7"/>
        <v>#VALUE!</v>
      </c>
      <c r="P29" s="51">
        <f t="shared" si="8"/>
        <v>4</v>
      </c>
      <c r="Q29" s="51" t="e">
        <f t="shared" si="9"/>
        <v>#VALUE!</v>
      </c>
      <c r="R29" s="51" t="e">
        <f t="shared" si="10"/>
        <v>#VALUE!</v>
      </c>
      <c r="S29" s="51" t="str">
        <f>IFERROR(VLOOKUP(MID(N29,Q29,R29-Q29),[6]skilldef!$C:$D,2,FALSE),"-") &amp; " / " &amp; IFERROR(VLOOKUP(MID(N29,O29,P29-O29),[6]skilldef!$A:$B,2,FALSE),"-")</f>
        <v>- / -</v>
      </c>
      <c r="T29" s="36" t="str">
        <f t="shared" si="11"/>
        <v>none</v>
      </c>
      <c r="U29" s="51" t="e">
        <f t="shared" si="12"/>
        <v>#VALUE!</v>
      </c>
      <c r="V29" s="51">
        <f t="shared" si="13"/>
        <v>4</v>
      </c>
      <c r="W29" s="51" t="e">
        <f t="shared" si="14"/>
        <v>#VALUE!</v>
      </c>
      <c r="X29" s="51" t="e">
        <f t="shared" si="15"/>
        <v>#VALUE!</v>
      </c>
      <c r="Y29" s="51" t="str">
        <f>IFERROR(VLOOKUP(MID(T29,W29,X29-W29),[6]skilldef!$C:$D,2,FALSE),"-") &amp; " / " &amp; IFERROR(VLOOKUP(MID(T29,U29,V29-U29),[6]skilldef!$A:$B,2,FALSE),"-")</f>
        <v>- / -</v>
      </c>
      <c r="Z29" s="38"/>
      <c r="AA29" s="40"/>
      <c r="AB29" s="38"/>
    </row>
    <row r="30" spans="1:28" ht="21" customHeight="1" x14ac:dyDescent="0.15">
      <c r="A30" s="19">
        <v>41013029</v>
      </c>
      <c r="B30" s="35" t="s">
        <v>305</v>
      </c>
      <c r="C30" s="38">
        <v>3</v>
      </c>
      <c r="D30" s="38" t="s">
        <v>126</v>
      </c>
      <c r="E30" s="39" t="s">
        <v>314</v>
      </c>
      <c r="F30" s="39" t="s">
        <v>353</v>
      </c>
      <c r="G30" s="51" t="str">
        <f t="shared" si="0"/>
        <v>[effect:change_block, new_block:block_heart, target:block_blue, count:-1, val:0, no_effect_msg:no_effect_msg_change_block, animation:change_block]</v>
      </c>
      <c r="H30" s="51">
        <f t="shared" si="1"/>
        <v>9</v>
      </c>
      <c r="I30" s="51">
        <f t="shared" si="2"/>
        <v>21</v>
      </c>
      <c r="J30" s="51">
        <f t="shared" si="3"/>
        <v>53</v>
      </c>
      <c r="K30" s="51">
        <f t="shared" si="4"/>
        <v>44</v>
      </c>
      <c r="L30" s="51" t="str">
        <f>IFERROR(VLOOKUP(MID(G30,J30,K30-J30),[6]skilldef!$C:$D,2,FALSE),"-") &amp; " / " &amp; IFERROR(VLOOKUP(MID(G30,H30,I30-H30),[6]skilldef!$A:$B,2,FALSE),"-")</f>
        <v>- / ブロック変換</v>
      </c>
      <c r="M30" s="51" t="str">
        <f t="shared" si="5"/>
        <v>none</v>
      </c>
      <c r="N30" s="36" t="str">
        <f t="shared" si="16"/>
        <v>none</v>
      </c>
      <c r="O30" s="51" t="e">
        <f t="shared" si="7"/>
        <v>#VALUE!</v>
      </c>
      <c r="P30" s="51">
        <f t="shared" si="8"/>
        <v>4</v>
      </c>
      <c r="Q30" s="51" t="e">
        <f t="shared" si="9"/>
        <v>#VALUE!</v>
      </c>
      <c r="R30" s="51" t="e">
        <f t="shared" si="10"/>
        <v>#VALUE!</v>
      </c>
      <c r="S30" s="51" t="str">
        <f>IFERROR(VLOOKUP(MID(N30,Q30,R30-Q30),[6]skilldef!$C:$D,2,FALSE),"-") &amp; " / " &amp; IFERROR(VLOOKUP(MID(N30,O30,P30-O30),[6]skilldef!$A:$B,2,FALSE),"-")</f>
        <v>- / -</v>
      </c>
      <c r="T30" s="36" t="str">
        <f t="shared" si="11"/>
        <v>none</v>
      </c>
      <c r="U30" s="51" t="e">
        <f t="shared" si="12"/>
        <v>#VALUE!</v>
      </c>
      <c r="V30" s="51">
        <f t="shared" si="13"/>
        <v>4</v>
      </c>
      <c r="W30" s="51" t="e">
        <f t="shared" si="14"/>
        <v>#VALUE!</v>
      </c>
      <c r="X30" s="51" t="e">
        <f t="shared" si="15"/>
        <v>#VALUE!</v>
      </c>
      <c r="Y30" s="51" t="str">
        <f>IFERROR(VLOOKUP(MID(T30,W30,X30-W30),[6]skilldef!$C:$D,2,FALSE),"-") &amp; " / " &amp; IFERROR(VLOOKUP(MID(T30,U30,V30-U30),[6]skilldef!$A:$B,2,FALSE),"-")</f>
        <v>- / -</v>
      </c>
      <c r="Z30" s="38"/>
      <c r="AA30" s="40"/>
      <c r="AB30" s="38"/>
    </row>
    <row r="31" spans="1:28" ht="21" customHeight="1" x14ac:dyDescent="0.15">
      <c r="A31" s="19">
        <v>41013030</v>
      </c>
      <c r="B31" s="35" t="s">
        <v>365</v>
      </c>
      <c r="C31" s="38">
        <v>3</v>
      </c>
      <c r="D31" s="38" t="s">
        <v>126</v>
      </c>
      <c r="E31" s="39" t="s">
        <v>315</v>
      </c>
      <c r="F31" s="39" t="s">
        <v>374</v>
      </c>
      <c r="G31" s="51" t="str">
        <f t="shared" si="0"/>
        <v>[effect:enemy_message, val1:1, val2:2.2]</v>
      </c>
      <c r="H31" s="51">
        <f t="shared" si="1"/>
        <v>9</v>
      </c>
      <c r="I31" s="51">
        <f t="shared" si="2"/>
        <v>22</v>
      </c>
      <c r="J31" s="51" t="e">
        <f t="shared" si="3"/>
        <v>#VALUE!</v>
      </c>
      <c r="K31" s="51">
        <f t="shared" si="4"/>
        <v>30</v>
      </c>
      <c r="L31" s="51" t="str">
        <f>IFERROR(VLOOKUP(MID(G31,J31,K31-J31),[6]skilldef!$C:$D,2,FALSE),"-") &amp; " / " &amp; IFERROR(VLOOKUP(MID(G31,H31,I31-H31),[6]skilldef!$A:$B,2,FALSE),"-")</f>
        <v>- / -</v>
      </c>
      <c r="M31" s="51" t="str">
        <f t="shared" si="5"/>
        <v>[effect:change_block, new_block:block_heart, target:block_blue, count:8, val:0, no_effect_msg:no_effect_msg_change_block, animation:change_block],[effect:damage_anti_color, target:unit_all, color:red, val1:0.2, val2:0.1],[effect:damage_anti_color, target:unit_all, color:red, val1:0.2, val2:0.1],[effect:damage_anti_color, target:unit_all, color:red, val1:0.3, val2:0.1]</v>
      </c>
      <c r="N31" s="36" t="str">
        <f t="shared" si="16"/>
        <v>[effect:change_block, new_block:block_heart, target:block_blue, count:8, val:0, no_effect_msg:no_effect_msg_change_block, animation:change_block],[effect:damage_anti_color, target:unit_all, color:red, val1:0.2, val2:0.1],[effect:damage_anti_color, target:unit_all, color:red, val1:0.2, val2:0.1],[effect:damage_anti_color, target:unit_all, color:red, val1:0.3, val2:0.1]</v>
      </c>
      <c r="O31" s="51">
        <f t="shared" si="7"/>
        <v>9</v>
      </c>
      <c r="P31" s="51">
        <f t="shared" si="8"/>
        <v>21</v>
      </c>
      <c r="Q31" s="51">
        <f t="shared" si="9"/>
        <v>53</v>
      </c>
      <c r="R31" s="51">
        <f t="shared" si="10"/>
        <v>44</v>
      </c>
      <c r="S31" s="51" t="str">
        <f>IFERROR(VLOOKUP(MID(N31,Q31,R31-Q31),[6]skilldef!$C:$D,2,FALSE),"-") &amp; " / " &amp; IFERROR(VLOOKUP(MID(N31,O31,P31-O31),[6]skilldef!$A:$B,2,FALSE),"-")</f>
        <v>- / ブロック変換</v>
      </c>
      <c r="T31" s="36" t="str">
        <f t="shared" si="11"/>
        <v>[effect:damage_anti_color, target:unit_all, color:red, val1:0.2, val2:0.1],[effect:damage_anti_color, target:unit_all, color:red, val1:0.2, val2:0.1],[effect:damage_anti_color, target:unit_all, color:red, val1:0.3, val2:0.1]</v>
      </c>
      <c r="U31" s="51">
        <f t="shared" si="12"/>
        <v>9</v>
      </c>
      <c r="V31" s="51">
        <f t="shared" si="13"/>
        <v>26</v>
      </c>
      <c r="W31" s="51">
        <f t="shared" si="14"/>
        <v>35</v>
      </c>
      <c r="X31" s="51">
        <f t="shared" si="15"/>
        <v>43</v>
      </c>
      <c r="Y31" s="51" t="str">
        <f>IFERROR(VLOOKUP(MID(T31,W31,X31-W31),[6]skilldef!$C:$D,2,FALSE),"-") &amp; " / " &amp; IFERROR(VLOOKUP(MID(T31,U31,V31-U31),[6]skilldef!$A:$B,2,FALSE),"-")</f>
        <v>味方全体に / 属性キラー</v>
      </c>
      <c r="Z31" s="38"/>
      <c r="AA31" s="40"/>
      <c r="AB31" s="38"/>
    </row>
    <row r="32" spans="1:28" ht="21" customHeight="1" x14ac:dyDescent="0.15">
      <c r="A32" s="19">
        <v>41013031</v>
      </c>
      <c r="B32" s="35" t="s">
        <v>316</v>
      </c>
      <c r="C32" s="38">
        <v>3</v>
      </c>
      <c r="D32" s="38" t="s">
        <v>291</v>
      </c>
      <c r="E32" s="39" t="s">
        <v>317</v>
      </c>
      <c r="F32" s="39" t="s">
        <v>350</v>
      </c>
      <c r="G32" s="51" t="str">
        <f t="shared" si="0"/>
        <v>[effect:break_attack_fix, val:180, lowest_val:800, count:-1, block:block_red, target:unit_all]</v>
      </c>
      <c r="H32" s="51">
        <f t="shared" si="1"/>
        <v>9</v>
      </c>
      <c r="I32" s="51">
        <f t="shared" si="2"/>
        <v>25</v>
      </c>
      <c r="J32" s="51">
        <f t="shared" si="3"/>
        <v>86</v>
      </c>
      <c r="K32" s="51">
        <f t="shared" si="4"/>
        <v>34</v>
      </c>
      <c r="L32" s="51" t="str">
        <f>IFERROR(VLOOKUP(MID(G32,J32,K32-J32),[6]skilldef!$C:$D,2,FALSE),"-") &amp; " / " &amp; IFERROR(VLOOKUP(MID(G32,H32,I32-H32),[6]skilldef!$A:$B,2,FALSE),"-")</f>
        <v>- / -</v>
      </c>
      <c r="M32" s="51" t="str">
        <f t="shared" si="5"/>
        <v>none</v>
      </c>
      <c r="N32" s="36" t="str">
        <f t="shared" si="16"/>
        <v>none</v>
      </c>
      <c r="O32" s="51" t="e">
        <f t="shared" si="7"/>
        <v>#VALUE!</v>
      </c>
      <c r="P32" s="51">
        <f t="shared" si="8"/>
        <v>4</v>
      </c>
      <c r="Q32" s="51" t="e">
        <f t="shared" si="9"/>
        <v>#VALUE!</v>
      </c>
      <c r="R32" s="51" t="e">
        <f t="shared" si="10"/>
        <v>#VALUE!</v>
      </c>
      <c r="S32" s="51" t="str">
        <f>IFERROR(VLOOKUP(MID(N32,Q32,R32-Q32),[6]skilldef!$C:$D,2,FALSE),"-") &amp; " / " &amp; IFERROR(VLOOKUP(MID(N32,O32,P32-O32),[6]skilldef!$A:$B,2,FALSE),"-")</f>
        <v>- / -</v>
      </c>
      <c r="T32" s="36" t="str">
        <f t="shared" si="11"/>
        <v>none</v>
      </c>
      <c r="U32" s="51" t="e">
        <f t="shared" si="12"/>
        <v>#VALUE!</v>
      </c>
      <c r="V32" s="51">
        <f t="shared" si="13"/>
        <v>4</v>
      </c>
      <c r="W32" s="51" t="e">
        <f t="shared" si="14"/>
        <v>#VALUE!</v>
      </c>
      <c r="X32" s="51" t="e">
        <f t="shared" si="15"/>
        <v>#VALUE!</v>
      </c>
      <c r="Y32" s="51" t="str">
        <f>IFERROR(VLOOKUP(MID(T32,W32,X32-W32),[6]skilldef!$C:$D,2,FALSE),"-") &amp; " / " &amp; IFERROR(VLOOKUP(MID(T32,U32,V32-U32),[6]skilldef!$A:$B,2,FALSE),"-")</f>
        <v>- / -</v>
      </c>
      <c r="Z32" s="38"/>
      <c r="AA32" s="40"/>
      <c r="AB32" s="38"/>
    </row>
    <row r="33" spans="1:28" ht="21" customHeight="1" x14ac:dyDescent="0.15">
      <c r="A33" s="19">
        <v>41013032</v>
      </c>
      <c r="B33" s="98" t="s">
        <v>377</v>
      </c>
      <c r="C33" s="38">
        <v>3</v>
      </c>
      <c r="D33" s="38" t="s">
        <v>291</v>
      </c>
      <c r="E33" s="39" t="s">
        <v>318</v>
      </c>
      <c r="F33" s="160" t="s">
        <v>351</v>
      </c>
      <c r="G33" s="51" t="str">
        <f t="shared" si="0"/>
        <v>[effect:spread, val:0.4]</v>
      </c>
      <c r="H33" s="51">
        <f t="shared" si="1"/>
        <v>9</v>
      </c>
      <c r="I33" s="51">
        <f t="shared" si="2"/>
        <v>15</v>
      </c>
      <c r="J33" s="51" t="e">
        <f t="shared" si="3"/>
        <v>#VALUE!</v>
      </c>
      <c r="K33" s="51" t="e">
        <f t="shared" si="4"/>
        <v>#VALUE!</v>
      </c>
      <c r="L33" s="51" t="str">
        <f>IFERROR(VLOOKUP(MID(G33,J33,K33-J33),[6]skilldef!$C:$D,2,FALSE),"-") &amp; " / " &amp; IFERROR(VLOOKUP(MID(G33,H33,I33-H33),[6]skilldef!$A:$B,2,FALSE),"-")</f>
        <v>- / 全体攻撃</v>
      </c>
      <c r="M33" s="51" t="str">
        <f t="shared" si="5"/>
        <v>[effect:force_change_block, new_block:block_heart, target:block_all, ignore01:block_positive, ignore02:block_negative, count:15, val:0]</v>
      </c>
      <c r="N33" s="36" t="str">
        <f t="shared" si="16"/>
        <v>[effect:force_change_block, new_block:block_heart, target:block_all, ignore01:block_positive, ignore02:block_negative, count:15, val:0]</v>
      </c>
      <c r="O33" s="51">
        <f t="shared" si="7"/>
        <v>9</v>
      </c>
      <c r="P33" s="51">
        <f t="shared" si="8"/>
        <v>27</v>
      </c>
      <c r="Q33" s="51">
        <f t="shared" si="9"/>
        <v>59</v>
      </c>
      <c r="R33" s="51">
        <f t="shared" si="10"/>
        <v>50</v>
      </c>
      <c r="S33" s="51" t="str">
        <f>IFERROR(VLOOKUP(MID(N33,Q33,R33-Q33),[6]skilldef!$C:$D,2,FALSE),"-") &amp; " / " &amp; IFERROR(VLOOKUP(MID(N33,O33,P33-O33),[6]skilldef!$A:$B,2,FALSE),"-")</f>
        <v>- / -</v>
      </c>
      <c r="T33" s="36" t="str">
        <f t="shared" si="11"/>
        <v>none</v>
      </c>
      <c r="U33" s="51" t="e">
        <f t="shared" si="12"/>
        <v>#VALUE!</v>
      </c>
      <c r="V33" s="51">
        <f t="shared" si="13"/>
        <v>4</v>
      </c>
      <c r="W33" s="51" t="e">
        <f t="shared" si="14"/>
        <v>#VALUE!</v>
      </c>
      <c r="X33" s="51" t="e">
        <f t="shared" si="15"/>
        <v>#VALUE!</v>
      </c>
      <c r="Y33" s="51" t="str">
        <f>IFERROR(VLOOKUP(MID(T33,W33,X33-W33),[6]skilldef!$C:$D,2,FALSE),"-") &amp; " / " &amp; IFERROR(VLOOKUP(MID(T33,U33,V33-U33),[6]skilldef!$A:$B,2,FALSE),"-")</f>
        <v>- / -</v>
      </c>
      <c r="Z33" s="38"/>
      <c r="AA33" s="40"/>
      <c r="AB33" s="38"/>
    </row>
    <row r="34" spans="1:28" ht="21" customHeight="1" x14ac:dyDescent="0.15">
      <c r="A34" s="19">
        <v>41013033</v>
      </c>
      <c r="B34" s="35" t="s">
        <v>319</v>
      </c>
      <c r="C34" s="38">
        <v>3</v>
      </c>
      <c r="D34" s="38" t="s">
        <v>291</v>
      </c>
      <c r="E34" s="39" t="s">
        <v>320</v>
      </c>
      <c r="F34" s="39" t="s">
        <v>352</v>
      </c>
      <c r="G34" s="51" t="str">
        <f t="shared" si="0"/>
        <v>[effect:break_attack_fix, val:400, lowest_val:500, count:-1, block:block_heart, target:unit_all]</v>
      </c>
      <c r="H34" s="51">
        <f t="shared" si="1"/>
        <v>9</v>
      </c>
      <c r="I34" s="51">
        <f t="shared" si="2"/>
        <v>25</v>
      </c>
      <c r="J34" s="51">
        <f t="shared" si="3"/>
        <v>88</v>
      </c>
      <c r="K34" s="51">
        <f t="shared" si="4"/>
        <v>34</v>
      </c>
      <c r="L34" s="51" t="str">
        <f>IFERROR(VLOOKUP(MID(G34,J34,K34-J34),[6]skilldef!$C:$D,2,FALSE),"-") &amp; " / " &amp; IFERROR(VLOOKUP(MID(G34,H34,I34-H34),[6]skilldef!$A:$B,2,FALSE),"-")</f>
        <v>- / -</v>
      </c>
      <c r="M34" s="51" t="str">
        <f t="shared" si="5"/>
        <v>none</v>
      </c>
      <c r="N34" s="36" t="str">
        <f t="shared" si="16"/>
        <v>none</v>
      </c>
      <c r="O34" s="51" t="e">
        <f t="shared" si="7"/>
        <v>#VALUE!</v>
      </c>
      <c r="P34" s="51">
        <f t="shared" si="8"/>
        <v>4</v>
      </c>
      <c r="Q34" s="51" t="e">
        <f t="shared" si="9"/>
        <v>#VALUE!</v>
      </c>
      <c r="R34" s="51" t="e">
        <f t="shared" si="10"/>
        <v>#VALUE!</v>
      </c>
      <c r="S34" s="51" t="str">
        <f>IFERROR(VLOOKUP(MID(N34,Q34,R34-Q34),[6]skilldef!$C:$D,2,FALSE),"-") &amp; " / " &amp; IFERROR(VLOOKUP(MID(N34,O34,P34-O34),[6]skilldef!$A:$B,2,FALSE),"-")</f>
        <v>- / -</v>
      </c>
      <c r="T34" s="36" t="str">
        <f t="shared" si="11"/>
        <v>none</v>
      </c>
      <c r="U34" s="51" t="e">
        <f t="shared" si="12"/>
        <v>#VALUE!</v>
      </c>
      <c r="V34" s="51">
        <f t="shared" si="13"/>
        <v>4</v>
      </c>
      <c r="W34" s="51" t="e">
        <f t="shared" si="14"/>
        <v>#VALUE!</v>
      </c>
      <c r="X34" s="51" t="e">
        <f t="shared" si="15"/>
        <v>#VALUE!</v>
      </c>
      <c r="Y34" s="51" t="str">
        <f>IFERROR(VLOOKUP(MID(T34,W34,X34-W34),[6]skilldef!$C:$D,2,FALSE),"-") &amp; " / " &amp; IFERROR(VLOOKUP(MID(T34,U34,V34-U34),[6]skilldef!$A:$B,2,FALSE),"-")</f>
        <v>- / -</v>
      </c>
      <c r="Z34" s="38"/>
      <c r="AA34" s="40"/>
      <c r="AB34" s="38"/>
    </row>
    <row r="35" spans="1:28" ht="21" customHeight="1" x14ac:dyDescent="0.15">
      <c r="A35" s="19">
        <v>41013034</v>
      </c>
      <c r="B35" s="35" t="s">
        <v>321</v>
      </c>
      <c r="C35" s="38">
        <v>3</v>
      </c>
      <c r="D35" s="38" t="s">
        <v>291</v>
      </c>
      <c r="E35" s="39" t="s">
        <v>322</v>
      </c>
      <c r="F35" s="39" t="s">
        <v>323</v>
      </c>
      <c r="G35" s="51" t="str">
        <f t="shared" si="0"/>
        <v xml:space="preserve">[effect:suicide, val:1, dead_type:escape]    </v>
      </c>
      <c r="H35" s="51">
        <f t="shared" si="1"/>
        <v>9</v>
      </c>
      <c r="I35" s="51">
        <f t="shared" si="2"/>
        <v>16</v>
      </c>
      <c r="J35" s="51" t="e">
        <f t="shared" si="3"/>
        <v>#VALUE!</v>
      </c>
      <c r="K35" s="51">
        <f t="shared" si="4"/>
        <v>23</v>
      </c>
      <c r="L35" s="51" t="str">
        <f>IFERROR(VLOOKUP(MID(G35,J35,K35-J35),[6]skilldef!$C:$D,2,FALSE),"-") &amp; " / " &amp; IFERROR(VLOOKUP(MID(G35,H35,I35-H35),[6]skilldef!$A:$B,2,FALSE),"-")</f>
        <v>- / -</v>
      </c>
      <c r="M35" s="51" t="str">
        <f t="shared" si="5"/>
        <v>none</v>
      </c>
      <c r="N35" s="36" t="str">
        <f t="shared" si="16"/>
        <v>none</v>
      </c>
      <c r="O35" s="51" t="e">
        <f t="shared" si="7"/>
        <v>#VALUE!</v>
      </c>
      <c r="P35" s="51">
        <f t="shared" si="8"/>
        <v>4</v>
      </c>
      <c r="Q35" s="51" t="e">
        <f t="shared" si="9"/>
        <v>#VALUE!</v>
      </c>
      <c r="R35" s="51" t="e">
        <f t="shared" si="10"/>
        <v>#VALUE!</v>
      </c>
      <c r="S35" s="51" t="str">
        <f>IFERROR(VLOOKUP(MID(N35,Q35,R35-Q35),[6]skilldef!$C:$D,2,FALSE),"-") &amp; " / " &amp; IFERROR(VLOOKUP(MID(N35,O35,P35-O35),[6]skilldef!$A:$B,2,FALSE),"-")</f>
        <v>- / -</v>
      </c>
      <c r="T35" s="36" t="str">
        <f t="shared" si="11"/>
        <v>none</v>
      </c>
      <c r="U35" s="51" t="e">
        <f t="shared" si="12"/>
        <v>#VALUE!</v>
      </c>
      <c r="V35" s="51">
        <f t="shared" si="13"/>
        <v>4</v>
      </c>
      <c r="W35" s="51" t="e">
        <f t="shared" si="14"/>
        <v>#VALUE!</v>
      </c>
      <c r="X35" s="51" t="e">
        <f t="shared" si="15"/>
        <v>#VALUE!</v>
      </c>
      <c r="Y35" s="51" t="str">
        <f>IFERROR(VLOOKUP(MID(T35,W35,X35-W35),[6]skilldef!$C:$D,2,FALSE),"-") &amp; " / " &amp; IFERROR(VLOOKUP(MID(T35,U35,V35-U35),[6]skilldef!$A:$B,2,FALSE),"-")</f>
        <v>- / -</v>
      </c>
      <c r="Z35" s="38"/>
      <c r="AA35" s="40"/>
      <c r="AB35" s="38"/>
    </row>
    <row r="36" spans="1:28" ht="21" customHeight="1" x14ac:dyDescent="0.15">
      <c r="A36" s="19">
        <v>41013035</v>
      </c>
      <c r="B36" s="35" t="s">
        <v>321</v>
      </c>
      <c r="C36" s="38">
        <v>3</v>
      </c>
      <c r="D36" s="38" t="s">
        <v>291</v>
      </c>
      <c r="E36" s="39" t="s">
        <v>332</v>
      </c>
      <c r="F36" s="39" t="s">
        <v>330</v>
      </c>
      <c r="G36" s="51" t="str">
        <f t="shared" ref="G36" si="17">IFERROR(LEFT(B36,FIND("],",B36)),B36)</f>
        <v xml:space="preserve">[effect:suicide, val:1, dead_type:escape]    </v>
      </c>
      <c r="H36" s="51">
        <f t="shared" ref="H36" si="18">FIND("effect:",G36)+7</f>
        <v>9</v>
      </c>
      <c r="I36" s="51">
        <f t="shared" ref="I36" si="19">IFERROR(FIND(",",G36),LEN(G36))</f>
        <v>16</v>
      </c>
      <c r="J36" s="51" t="e">
        <f t="shared" ref="J36" si="20">FIND("target:",G36)+7</f>
        <v>#VALUE!</v>
      </c>
      <c r="K36" s="51">
        <f t="shared" ref="K36" si="21">FIND(",",G36,I36+1)</f>
        <v>23</v>
      </c>
      <c r="L36" s="51" t="str">
        <f>IFERROR(VLOOKUP(MID(G36,J36,K36-J36),[6]skilldef!$C:$D,2,FALSE),"-") &amp; " / " &amp; IFERROR(VLOOKUP(MID(G36,H36,I36-H36),[6]skilldef!$A:$B,2,FALSE),"-")</f>
        <v>- / -</v>
      </c>
      <c r="M36" s="51" t="str">
        <f t="shared" ref="M36" si="22">IFERROR(RIGHT(B36,LEN(B36)-FIND("],",B36)-1),"none")</f>
        <v>none</v>
      </c>
      <c r="N36" s="36" t="str">
        <f t="shared" si="16"/>
        <v>none</v>
      </c>
      <c r="O36" s="51" t="e">
        <f t="shared" ref="O36" si="23">FIND("effect:",N36)+7</f>
        <v>#VALUE!</v>
      </c>
      <c r="P36" s="51">
        <f t="shared" ref="P36" si="24">IFERROR(FIND(",",N36),LEN(N36))</f>
        <v>4</v>
      </c>
      <c r="Q36" s="51" t="e">
        <f t="shared" ref="Q36" si="25">FIND("target:",N36)+7</f>
        <v>#VALUE!</v>
      </c>
      <c r="R36" s="51" t="e">
        <f t="shared" ref="R36" si="26">FIND(",",N36,P36+1)</f>
        <v>#VALUE!</v>
      </c>
      <c r="S36" s="51" t="str">
        <f>IFERROR(VLOOKUP(MID(N36,Q36,R36-Q36),[6]skilldef!$C:$D,2,FALSE),"-") &amp; " / " &amp; IFERROR(VLOOKUP(MID(N36,O36,P36-O36),[6]skilldef!$A:$B,2,FALSE),"-")</f>
        <v>- / -</v>
      </c>
      <c r="T36" s="36" t="str">
        <f t="shared" ref="T36" si="27">IFERROR(RIGHT(M36,LEN(M36)-FIND("],",M36)-1),"none")</f>
        <v>none</v>
      </c>
      <c r="U36" s="51" t="e">
        <f t="shared" ref="U36" si="28">FIND("effect:",T36)+7</f>
        <v>#VALUE!</v>
      </c>
      <c r="V36" s="51">
        <f t="shared" ref="V36" si="29">IFERROR(FIND(",",T36),LEN(T36))</f>
        <v>4</v>
      </c>
      <c r="W36" s="51" t="e">
        <f t="shared" ref="W36" si="30">FIND("target:",T36)+7</f>
        <v>#VALUE!</v>
      </c>
      <c r="X36" s="51" t="e">
        <f t="shared" ref="X36" si="31">FIND(",",T36,V36+1)</f>
        <v>#VALUE!</v>
      </c>
      <c r="Y36" s="51" t="str">
        <f>IFERROR(VLOOKUP(MID(T36,W36,X36-W36),[6]skilldef!$C:$D,2,FALSE),"-") &amp; " / " &amp; IFERROR(VLOOKUP(MID(T36,U36,V36-U36),[6]skilldef!$A:$B,2,FALSE),"-")</f>
        <v>- / -</v>
      </c>
      <c r="Z36" s="38"/>
      <c r="AA36" s="40"/>
      <c r="AB36" s="38"/>
    </row>
    <row r="37" spans="1:28" ht="21" customHeight="1" x14ac:dyDescent="0.15">
      <c r="A37" s="19">
        <v>41013036</v>
      </c>
      <c r="B37" s="35" t="s">
        <v>255</v>
      </c>
      <c r="C37" s="38">
        <v>3</v>
      </c>
      <c r="D37" s="38" t="s">
        <v>291</v>
      </c>
      <c r="E37" s="39" t="s">
        <v>331</v>
      </c>
      <c r="F37" s="39" t="s">
        <v>337</v>
      </c>
      <c r="G37" s="51" t="str">
        <f t="shared" ref="G37" si="32">IFERROR(LEFT(B37,FIND("],",B37)),B37)</f>
        <v>[effect:damage_anti_color, target:unit_all, color:red, val1:0.7, val2:0.2]</v>
      </c>
      <c r="H37" s="51">
        <f t="shared" ref="H37" si="33">FIND("effect:",G37)+7</f>
        <v>9</v>
      </c>
      <c r="I37" s="51">
        <f t="shared" ref="I37" si="34">IFERROR(FIND(",",G37),LEN(G37))</f>
        <v>26</v>
      </c>
      <c r="J37" s="51">
        <f t="shared" ref="J37" si="35">FIND("target:",G37)+7</f>
        <v>35</v>
      </c>
      <c r="K37" s="51">
        <f t="shared" ref="K37" si="36">FIND(",",G37,I37+1)</f>
        <v>43</v>
      </c>
      <c r="L37" s="51" t="str">
        <f>IFERROR(VLOOKUP(MID(G37,J37,K37-J37),[6]skilldef!$C:$D,2,FALSE),"-") &amp; " / " &amp; IFERROR(VLOOKUP(MID(G37,H37,I37-H37),[6]skilldef!$A:$B,2,FALSE),"-")</f>
        <v>味方全体に / 属性キラー</v>
      </c>
      <c r="M37" s="51" t="str">
        <f t="shared" ref="M37" si="37">IFERROR(RIGHT(B37,LEN(B37)-FIND("],",B37)-1),"none")</f>
        <v>none</v>
      </c>
      <c r="N37" s="36" t="str">
        <f t="shared" si="16"/>
        <v>none</v>
      </c>
      <c r="O37" s="51" t="e">
        <f t="shared" ref="O37" si="38">FIND("effect:",N37)+7</f>
        <v>#VALUE!</v>
      </c>
      <c r="P37" s="51">
        <f t="shared" ref="P37" si="39">IFERROR(FIND(",",N37),LEN(N37))</f>
        <v>4</v>
      </c>
      <c r="Q37" s="51" t="e">
        <f t="shared" ref="Q37" si="40">FIND("target:",N37)+7</f>
        <v>#VALUE!</v>
      </c>
      <c r="R37" s="51" t="e">
        <f t="shared" ref="R37" si="41">FIND(",",N37,P37+1)</f>
        <v>#VALUE!</v>
      </c>
      <c r="S37" s="51" t="str">
        <f>IFERROR(VLOOKUP(MID(N37,Q37,R37-Q37),[6]skilldef!$C:$D,2,FALSE),"-") &amp; " / " &amp; IFERROR(VLOOKUP(MID(N37,O37,P37-O37),[6]skilldef!$A:$B,2,FALSE),"-")</f>
        <v>- / -</v>
      </c>
      <c r="T37" s="36" t="str">
        <f t="shared" ref="T37" si="42">IFERROR(RIGHT(M37,LEN(M37)-FIND("],",M37)-1),"none")</f>
        <v>none</v>
      </c>
      <c r="U37" s="51" t="e">
        <f t="shared" ref="U37" si="43">FIND("effect:",T37)+7</f>
        <v>#VALUE!</v>
      </c>
      <c r="V37" s="51">
        <f t="shared" ref="V37" si="44">IFERROR(FIND(",",T37),LEN(T37))</f>
        <v>4</v>
      </c>
      <c r="W37" s="51" t="e">
        <f t="shared" ref="W37" si="45">FIND("target:",T37)+7</f>
        <v>#VALUE!</v>
      </c>
      <c r="X37" s="51" t="e">
        <f t="shared" ref="X37" si="46">FIND(",",T37,V37+1)</f>
        <v>#VALUE!</v>
      </c>
      <c r="Y37" s="51" t="str">
        <f>IFERROR(VLOOKUP(MID(T37,W37,X37-W37),[6]skilldef!$C:$D,2,FALSE),"-") &amp; " / " &amp; IFERROR(VLOOKUP(MID(T37,U37,V37-U37),[6]skilldef!$A:$B,2,FALSE),"-")</f>
        <v>- / -</v>
      </c>
      <c r="Z37" s="38"/>
      <c r="AA37" s="40"/>
      <c r="AB37" s="38"/>
    </row>
    <row r="38" spans="1:28" ht="21" customHeight="1" x14ac:dyDescent="0.15">
      <c r="A38" s="159">
        <v>41013037</v>
      </c>
      <c r="B38" s="35" t="s">
        <v>333</v>
      </c>
      <c r="C38" s="38">
        <v>3</v>
      </c>
      <c r="D38" s="38" t="s">
        <v>256</v>
      </c>
      <c r="E38" s="39" t="s">
        <v>267</v>
      </c>
      <c r="F38" s="39" t="s">
        <v>340</v>
      </c>
      <c r="G38" s="51" t="str">
        <f t="shared" ref="G38:G41" si="47">IFERROR(LEFT(B38,FIND("],",B38)),B38)</f>
        <v xml:space="preserve">[effect:break_attack_fix, val:200, lowest_val:2500, count:-1, block:block_blue, target:unit_one]    </v>
      </c>
      <c r="H38" s="51">
        <f t="shared" ref="H38:H41" si="48">FIND("effect:",G38)+7</f>
        <v>9</v>
      </c>
      <c r="I38" s="51">
        <f t="shared" ref="I38:I41" si="49">IFERROR(FIND(",",G38),LEN(G38))</f>
        <v>25</v>
      </c>
      <c r="J38" s="51">
        <f t="shared" ref="J38:J41" si="50">FIND("target:",G38)+7</f>
        <v>88</v>
      </c>
      <c r="K38" s="51">
        <f t="shared" ref="K38:K41" si="51">FIND(",",G38,I38+1)</f>
        <v>34</v>
      </c>
      <c r="L38" s="51" t="str">
        <f>IFERROR(VLOOKUP(MID(G38,J38,K38-J38),[6]skilldef!$C:$D,2,FALSE),"-") &amp; " / " &amp; IFERROR(VLOOKUP(MID(G38,H38,I38-H38),[6]skilldef!$A:$B,2,FALSE),"-")</f>
        <v>- / -</v>
      </c>
      <c r="M38" s="51" t="str">
        <f t="shared" ref="M38:M41" si="52">IFERROR(RIGHT(B38,LEN(B38)-FIND("],",B38)-1),"none")</f>
        <v>none</v>
      </c>
      <c r="N38" s="36" t="str">
        <f t="shared" ref="N38:N41" si="53">IFERROR(LEFT(M38,FIND("],",M38)+S48),M38)</f>
        <v>none</v>
      </c>
      <c r="O38" s="51" t="e">
        <f t="shared" ref="O38:O41" si="54">FIND("effect:",N38)+7</f>
        <v>#VALUE!</v>
      </c>
      <c r="P38" s="51">
        <f t="shared" ref="P38:P41" si="55">IFERROR(FIND(",",N38),LEN(N38))</f>
        <v>4</v>
      </c>
      <c r="Q38" s="51" t="e">
        <f t="shared" ref="Q38:Q41" si="56">FIND("target:",N38)+7</f>
        <v>#VALUE!</v>
      </c>
      <c r="R38" s="51" t="e">
        <f t="shared" ref="R38:R41" si="57">FIND(",",N38,P38+1)</f>
        <v>#VALUE!</v>
      </c>
      <c r="S38" s="51" t="str">
        <f>IFERROR(VLOOKUP(MID(N38,Q38,R38-Q38),[6]skilldef!$C:$D,2,FALSE),"-") &amp; " / " &amp; IFERROR(VLOOKUP(MID(N38,O38,P38-O38),[6]skilldef!$A:$B,2,FALSE),"-")</f>
        <v>- / -</v>
      </c>
      <c r="T38" s="36" t="str">
        <f t="shared" ref="T38:T41" si="58">IFERROR(RIGHT(M38,LEN(M38)-FIND("],",M38)-1),"none")</f>
        <v>none</v>
      </c>
      <c r="U38" s="51" t="e">
        <f t="shared" ref="U38:U41" si="59">FIND("effect:",T38)+7</f>
        <v>#VALUE!</v>
      </c>
      <c r="V38" s="51">
        <f t="shared" ref="V38:V41" si="60">IFERROR(FIND(",",T38),LEN(T38))</f>
        <v>4</v>
      </c>
      <c r="W38" s="51" t="e">
        <f t="shared" ref="W38:W41" si="61">FIND("target:",T38)+7</f>
        <v>#VALUE!</v>
      </c>
      <c r="X38" s="51" t="e">
        <f t="shared" ref="X38:X41" si="62">FIND(",",T38,V38+1)</f>
        <v>#VALUE!</v>
      </c>
      <c r="Y38" s="51" t="str">
        <f>IFERROR(VLOOKUP(MID(T38,W38,X38-W38),[6]skilldef!$C:$D,2,FALSE),"-") &amp; " / " &amp; IFERROR(VLOOKUP(MID(T38,U38,V38-U38),[6]skilldef!$A:$B,2,FALSE),"-")</f>
        <v>- / -</v>
      </c>
      <c r="Z38" s="38"/>
      <c r="AA38" s="40"/>
      <c r="AB38" s="38"/>
    </row>
    <row r="39" spans="1:28" ht="21" customHeight="1" x14ac:dyDescent="0.15">
      <c r="A39" s="159">
        <v>41013038</v>
      </c>
      <c r="B39" s="35" t="s">
        <v>334</v>
      </c>
      <c r="C39" s="38">
        <v>3</v>
      </c>
      <c r="D39" s="38" t="s">
        <v>126</v>
      </c>
      <c r="E39" s="39" t="s">
        <v>311</v>
      </c>
      <c r="F39" s="39" t="s">
        <v>350</v>
      </c>
      <c r="G39" s="51" t="str">
        <f t="shared" si="47"/>
        <v>[effect:break_attack_fix, val:650, lowest_val:2500, count:-1, block:block_red, target:unit_one]</v>
      </c>
      <c r="H39" s="51">
        <f t="shared" si="48"/>
        <v>9</v>
      </c>
      <c r="I39" s="51">
        <f t="shared" si="49"/>
        <v>25</v>
      </c>
      <c r="J39" s="51">
        <f t="shared" si="50"/>
        <v>87</v>
      </c>
      <c r="K39" s="51">
        <f t="shared" si="51"/>
        <v>34</v>
      </c>
      <c r="L39" s="51" t="str">
        <f>IFERROR(VLOOKUP(MID(G39,J39,K39-J39),[6]skilldef!$C:$D,2,FALSE),"-") &amp; " / " &amp; IFERROR(VLOOKUP(MID(G39,H39,I39-H39),[6]skilldef!$A:$B,2,FALSE),"-")</f>
        <v>- / -</v>
      </c>
      <c r="M39" s="51" t="str">
        <f t="shared" si="52"/>
        <v>none</v>
      </c>
      <c r="N39" s="36" t="str">
        <f t="shared" si="53"/>
        <v>none</v>
      </c>
      <c r="O39" s="51" t="e">
        <f t="shared" si="54"/>
        <v>#VALUE!</v>
      </c>
      <c r="P39" s="51">
        <f t="shared" si="55"/>
        <v>4</v>
      </c>
      <c r="Q39" s="51" t="e">
        <f t="shared" si="56"/>
        <v>#VALUE!</v>
      </c>
      <c r="R39" s="51" t="e">
        <f t="shared" si="57"/>
        <v>#VALUE!</v>
      </c>
      <c r="S39" s="51" t="str">
        <f>IFERROR(VLOOKUP(MID(N39,Q39,R39-Q39),[6]skilldef!$C:$D,2,FALSE),"-") &amp; " / " &amp; IFERROR(VLOOKUP(MID(N39,O39,P39-O39),[6]skilldef!$A:$B,2,FALSE),"-")</f>
        <v>- / -</v>
      </c>
      <c r="T39" s="36" t="str">
        <f t="shared" si="58"/>
        <v>none</v>
      </c>
      <c r="U39" s="51" t="e">
        <f t="shared" si="59"/>
        <v>#VALUE!</v>
      </c>
      <c r="V39" s="51">
        <f t="shared" si="60"/>
        <v>4</v>
      </c>
      <c r="W39" s="51" t="e">
        <f t="shared" si="61"/>
        <v>#VALUE!</v>
      </c>
      <c r="X39" s="51" t="e">
        <f t="shared" si="62"/>
        <v>#VALUE!</v>
      </c>
      <c r="Y39" s="51" t="str">
        <f>IFERROR(VLOOKUP(MID(T39,W39,X39-W39),[6]skilldef!$C:$D,2,FALSE),"-") &amp; " / " &amp; IFERROR(VLOOKUP(MID(T39,U39,V39-U39),[6]skilldef!$A:$B,2,FALSE),"-")</f>
        <v>- / -</v>
      </c>
      <c r="Z39" s="38"/>
      <c r="AA39" s="40"/>
      <c r="AB39" s="38"/>
    </row>
    <row r="40" spans="1:28" ht="21" customHeight="1" x14ac:dyDescent="0.15">
      <c r="A40" s="159">
        <v>41013039</v>
      </c>
      <c r="B40" s="35" t="s">
        <v>335</v>
      </c>
      <c r="C40" s="38">
        <v>3</v>
      </c>
      <c r="D40" s="38" t="s">
        <v>291</v>
      </c>
      <c r="E40" s="39" t="s">
        <v>317</v>
      </c>
      <c r="F40" s="39" t="s">
        <v>350</v>
      </c>
      <c r="G40" s="51" t="str">
        <f t="shared" si="47"/>
        <v>[effect:break_attack_fix, val:200, lowest_val:1000, count:-1, block:block_red, target:unit_all]</v>
      </c>
      <c r="H40" s="51">
        <f t="shared" si="48"/>
        <v>9</v>
      </c>
      <c r="I40" s="51">
        <f t="shared" si="49"/>
        <v>25</v>
      </c>
      <c r="J40" s="51">
        <f t="shared" si="50"/>
        <v>87</v>
      </c>
      <c r="K40" s="51">
        <f t="shared" si="51"/>
        <v>34</v>
      </c>
      <c r="L40" s="51" t="str">
        <f>IFERROR(VLOOKUP(MID(G40,J40,K40-J40),[6]skilldef!$C:$D,2,FALSE),"-") &amp; " / " &amp; IFERROR(VLOOKUP(MID(G40,H40,I40-H40),[6]skilldef!$A:$B,2,FALSE),"-")</f>
        <v>- / -</v>
      </c>
      <c r="M40" s="51" t="str">
        <f t="shared" si="52"/>
        <v>none</v>
      </c>
      <c r="N40" s="36" t="str">
        <f t="shared" si="53"/>
        <v>none</v>
      </c>
      <c r="O40" s="51" t="e">
        <f t="shared" si="54"/>
        <v>#VALUE!</v>
      </c>
      <c r="P40" s="51">
        <f t="shared" si="55"/>
        <v>4</v>
      </c>
      <c r="Q40" s="51" t="e">
        <f t="shared" si="56"/>
        <v>#VALUE!</v>
      </c>
      <c r="R40" s="51" t="e">
        <f t="shared" si="57"/>
        <v>#VALUE!</v>
      </c>
      <c r="S40" s="51" t="str">
        <f>IFERROR(VLOOKUP(MID(N40,Q40,R40-Q40),[6]skilldef!$C:$D,2,FALSE),"-") &amp; " / " &amp; IFERROR(VLOOKUP(MID(N40,O40,P40-O40),[6]skilldef!$A:$B,2,FALSE),"-")</f>
        <v>- / -</v>
      </c>
      <c r="T40" s="36" t="str">
        <f t="shared" si="58"/>
        <v>none</v>
      </c>
      <c r="U40" s="51" t="e">
        <f t="shared" si="59"/>
        <v>#VALUE!</v>
      </c>
      <c r="V40" s="51">
        <f t="shared" si="60"/>
        <v>4</v>
      </c>
      <c r="W40" s="51" t="e">
        <f t="shared" si="61"/>
        <v>#VALUE!</v>
      </c>
      <c r="X40" s="51" t="e">
        <f t="shared" si="62"/>
        <v>#VALUE!</v>
      </c>
      <c r="Y40" s="51" t="str">
        <f>IFERROR(VLOOKUP(MID(T40,W40,X40-W40),[6]skilldef!$C:$D,2,FALSE),"-") &amp; " / " &amp; IFERROR(VLOOKUP(MID(T40,U40,V40-U40),[6]skilldef!$A:$B,2,FALSE),"-")</f>
        <v>- / -</v>
      </c>
      <c r="Z40" s="38"/>
      <c r="AA40" s="40"/>
      <c r="AB40" s="38"/>
    </row>
    <row r="41" spans="1:28" ht="21" customHeight="1" x14ac:dyDescent="0.15">
      <c r="A41" s="159">
        <v>41013040</v>
      </c>
      <c r="B41" s="35" t="s">
        <v>336</v>
      </c>
      <c r="C41" s="38">
        <v>3</v>
      </c>
      <c r="D41" s="38" t="s">
        <v>291</v>
      </c>
      <c r="E41" s="39" t="s">
        <v>320</v>
      </c>
      <c r="F41" s="39" t="s">
        <v>352</v>
      </c>
      <c r="G41" s="51" t="str">
        <f t="shared" si="47"/>
        <v>[effect:break_attack_fix, val:680, lowest_val:2500, count:-1, block:block_heart, target:unit_all]</v>
      </c>
      <c r="H41" s="51">
        <f t="shared" si="48"/>
        <v>9</v>
      </c>
      <c r="I41" s="51">
        <f t="shared" si="49"/>
        <v>25</v>
      </c>
      <c r="J41" s="51">
        <f t="shared" si="50"/>
        <v>89</v>
      </c>
      <c r="K41" s="51">
        <f t="shared" si="51"/>
        <v>34</v>
      </c>
      <c r="L41" s="51" t="str">
        <f>IFERROR(VLOOKUP(MID(G41,J41,K41-J41),[6]skilldef!$C:$D,2,FALSE),"-") &amp; " / " &amp; IFERROR(VLOOKUP(MID(G41,H41,I41-H41),[6]skilldef!$A:$B,2,FALSE),"-")</f>
        <v>- / -</v>
      </c>
      <c r="M41" s="51" t="str">
        <f t="shared" si="52"/>
        <v>none</v>
      </c>
      <c r="N41" s="36" t="str">
        <f t="shared" si="53"/>
        <v>none</v>
      </c>
      <c r="O41" s="51" t="e">
        <f t="shared" si="54"/>
        <v>#VALUE!</v>
      </c>
      <c r="P41" s="51">
        <f t="shared" si="55"/>
        <v>4</v>
      </c>
      <c r="Q41" s="51" t="e">
        <f t="shared" si="56"/>
        <v>#VALUE!</v>
      </c>
      <c r="R41" s="51" t="e">
        <f t="shared" si="57"/>
        <v>#VALUE!</v>
      </c>
      <c r="S41" s="51" t="str">
        <f>IFERROR(VLOOKUP(MID(N41,Q41,R41-Q41),[6]skilldef!$C:$D,2,FALSE),"-") &amp; " / " &amp; IFERROR(VLOOKUP(MID(N41,O41,P41-O41),[6]skilldef!$A:$B,2,FALSE),"-")</f>
        <v>- / -</v>
      </c>
      <c r="T41" s="36" t="str">
        <f t="shared" si="58"/>
        <v>none</v>
      </c>
      <c r="U41" s="51" t="e">
        <f t="shared" si="59"/>
        <v>#VALUE!</v>
      </c>
      <c r="V41" s="51">
        <f t="shared" si="60"/>
        <v>4</v>
      </c>
      <c r="W41" s="51" t="e">
        <f t="shared" si="61"/>
        <v>#VALUE!</v>
      </c>
      <c r="X41" s="51" t="e">
        <f t="shared" si="62"/>
        <v>#VALUE!</v>
      </c>
      <c r="Y41" s="51" t="str">
        <f>IFERROR(VLOOKUP(MID(T41,W41,X41-W41),[6]skilldef!$C:$D,2,FALSE),"-") &amp; " / " &amp; IFERROR(VLOOKUP(MID(T41,U41,V41-U41),[6]skilldef!$A:$B,2,FALSE),"-")</f>
        <v>- / -</v>
      </c>
      <c r="Z41" s="38"/>
      <c r="AA41" s="40"/>
      <c r="AB41" s="38"/>
    </row>
    <row r="42" spans="1:28" ht="21" customHeight="1" x14ac:dyDescent="0.15">
      <c r="A42" s="171">
        <v>41013041</v>
      </c>
      <c r="B42" s="35" t="s">
        <v>376</v>
      </c>
      <c r="C42" s="38">
        <v>3</v>
      </c>
      <c r="D42" s="38" t="s">
        <v>256</v>
      </c>
      <c r="E42" s="39" t="s">
        <v>358</v>
      </c>
      <c r="F42" s="39" t="s">
        <v>346</v>
      </c>
      <c r="G42" s="51" t="str">
        <f t="shared" ref="G42:G50" si="63">IFERROR(LEFT(B42,FIND("],",B42)),B42)</f>
        <v>[effect:force_change_block, new_block:block_heart, target:block_all, ignore01:block_positive, ignore02:block_negative, ignore03:block_heart, count:20, val:0]</v>
      </c>
      <c r="H42" s="51">
        <f t="shared" ref="H42:H50" si="64">FIND("effect:",G42)+7</f>
        <v>9</v>
      </c>
      <c r="I42" s="51">
        <f t="shared" ref="I42:I50" si="65">IFERROR(FIND(",",G42),LEN(G42))</f>
        <v>27</v>
      </c>
      <c r="J42" s="51">
        <f t="shared" ref="J42:J50" si="66">FIND("target:",G42)+7</f>
        <v>59</v>
      </c>
      <c r="K42" s="51">
        <f t="shared" ref="K42:K50" si="67">FIND(",",G42,I42+1)</f>
        <v>50</v>
      </c>
      <c r="L42" s="51" t="str">
        <f>IFERROR(VLOOKUP(MID(G42,J42,K42-J42),[6]skilldef!$C:$D,2,FALSE),"-") &amp; " / " &amp; IFERROR(VLOOKUP(MID(G42,H42,I42-H42),[6]skilldef!$A:$B,2,FALSE),"-")</f>
        <v>- / -</v>
      </c>
      <c r="M42" s="51" t="str">
        <f t="shared" ref="M42:M50" si="68">IFERROR(RIGHT(B42,LEN(B42)-FIND("],",B42)-1),"none")</f>
        <v>none</v>
      </c>
      <c r="N42" s="36" t="str">
        <f t="shared" ref="N42:N50" si="69">IFERROR(LEFT(M42,FIND("],",M42)+S52),M42)</f>
        <v>none</v>
      </c>
      <c r="O42" s="51" t="e">
        <f t="shared" ref="O42:O50" si="70">FIND("effect:",N42)+7</f>
        <v>#VALUE!</v>
      </c>
      <c r="P42" s="51">
        <f t="shared" ref="P42:P50" si="71">IFERROR(FIND(",",N42),LEN(N42))</f>
        <v>4</v>
      </c>
      <c r="Q42" s="51" t="e">
        <f t="shared" ref="Q42:Q50" si="72">FIND("target:",N42)+7</f>
        <v>#VALUE!</v>
      </c>
      <c r="R42" s="51" t="e">
        <f t="shared" ref="R42:R50" si="73">FIND(",",N42,P42+1)</f>
        <v>#VALUE!</v>
      </c>
      <c r="S42" s="51" t="str">
        <f>IFERROR(VLOOKUP(MID(N42,Q42,R42-Q42),[6]skilldef!$C:$D,2,FALSE),"-") &amp; " / " &amp; IFERROR(VLOOKUP(MID(N42,O42,P42-O42),[6]skilldef!$A:$B,2,FALSE),"-")</f>
        <v>- / -</v>
      </c>
      <c r="T42" s="36" t="str">
        <f t="shared" ref="T42:T50" si="74">IFERROR(RIGHT(M42,LEN(M42)-FIND("],",M42)-1),"none")</f>
        <v>none</v>
      </c>
      <c r="U42" s="51" t="e">
        <f t="shared" ref="U42:U50" si="75">FIND("effect:",T42)+7</f>
        <v>#VALUE!</v>
      </c>
      <c r="V42" s="51">
        <f t="shared" ref="V42:V50" si="76">IFERROR(FIND(",",T42),LEN(T42))</f>
        <v>4</v>
      </c>
      <c r="W42" s="51" t="e">
        <f t="shared" ref="W42:W50" si="77">FIND("target:",T42)+7</f>
        <v>#VALUE!</v>
      </c>
      <c r="X42" s="51" t="e">
        <f t="shared" ref="X42:X50" si="78">FIND(",",T42,V42+1)</f>
        <v>#VALUE!</v>
      </c>
      <c r="Y42" s="51" t="str">
        <f>IFERROR(VLOOKUP(MID(T42,W42,X42-W42),[6]skilldef!$C:$D,2,FALSE),"-") &amp; " / " &amp; IFERROR(VLOOKUP(MID(T42,U42,V42-U42),[6]skilldef!$A:$B,2,FALSE),"-")</f>
        <v>- / -</v>
      </c>
      <c r="Z42" s="38"/>
      <c r="AA42" s="40"/>
      <c r="AB42" s="38"/>
    </row>
    <row r="43" spans="1:28" ht="21" customHeight="1" x14ac:dyDescent="0.15">
      <c r="A43" s="171">
        <v>41013042</v>
      </c>
      <c r="B43" s="35" t="s">
        <v>376</v>
      </c>
      <c r="C43" s="38">
        <v>3</v>
      </c>
      <c r="D43" s="38" t="s">
        <v>256</v>
      </c>
      <c r="E43" s="39" t="s">
        <v>358</v>
      </c>
      <c r="F43" s="39" t="s">
        <v>346</v>
      </c>
      <c r="G43" s="51" t="str">
        <f t="shared" si="63"/>
        <v>[effect:force_change_block, new_block:block_heart, target:block_all, ignore01:block_positive, ignore02:block_negative, ignore03:block_heart, count:20, val:0]</v>
      </c>
      <c r="H43" s="51">
        <f t="shared" si="64"/>
        <v>9</v>
      </c>
      <c r="I43" s="51">
        <f t="shared" si="65"/>
        <v>27</v>
      </c>
      <c r="J43" s="51">
        <f t="shared" si="66"/>
        <v>59</v>
      </c>
      <c r="K43" s="51">
        <f t="shared" si="67"/>
        <v>50</v>
      </c>
      <c r="L43" s="51" t="str">
        <f>IFERROR(VLOOKUP(MID(G43,J43,K43-J43),[6]skilldef!$C:$D,2,FALSE),"-") &amp; " / " &amp; IFERROR(VLOOKUP(MID(G43,H43,I43-H43),[6]skilldef!$A:$B,2,FALSE),"-")</f>
        <v>- / -</v>
      </c>
      <c r="M43" s="51" t="str">
        <f t="shared" si="68"/>
        <v>none</v>
      </c>
      <c r="N43" s="36" t="str">
        <f t="shared" si="69"/>
        <v>none</v>
      </c>
      <c r="O43" s="51" t="e">
        <f t="shared" si="70"/>
        <v>#VALUE!</v>
      </c>
      <c r="P43" s="51">
        <f t="shared" si="71"/>
        <v>4</v>
      </c>
      <c r="Q43" s="51" t="e">
        <f t="shared" si="72"/>
        <v>#VALUE!</v>
      </c>
      <c r="R43" s="51" t="e">
        <f t="shared" si="73"/>
        <v>#VALUE!</v>
      </c>
      <c r="S43" s="51" t="str">
        <f>IFERROR(VLOOKUP(MID(N43,Q43,R43-Q43),[6]skilldef!$C:$D,2,FALSE),"-") &amp; " / " &amp; IFERROR(VLOOKUP(MID(N43,O43,P43-O43),[6]skilldef!$A:$B,2,FALSE),"-")</f>
        <v>- / -</v>
      </c>
      <c r="T43" s="36" t="str">
        <f t="shared" si="74"/>
        <v>none</v>
      </c>
      <c r="U43" s="51" t="e">
        <f t="shared" si="75"/>
        <v>#VALUE!</v>
      </c>
      <c r="V43" s="51">
        <f t="shared" si="76"/>
        <v>4</v>
      </c>
      <c r="W43" s="51" t="e">
        <f t="shared" si="77"/>
        <v>#VALUE!</v>
      </c>
      <c r="X43" s="51" t="e">
        <f t="shared" si="78"/>
        <v>#VALUE!</v>
      </c>
      <c r="Y43" s="51" t="str">
        <f>IFERROR(VLOOKUP(MID(T43,W43,X43-W43),[6]skilldef!$C:$D,2,FALSE),"-") &amp; " / " &amp; IFERROR(VLOOKUP(MID(T43,U43,V43-U43),[6]skilldef!$A:$B,2,FALSE),"-")</f>
        <v>- / -</v>
      </c>
      <c r="Z43" s="38"/>
      <c r="AA43" s="40"/>
      <c r="AB43" s="38"/>
    </row>
    <row r="44" spans="1:28" ht="21" customHeight="1" x14ac:dyDescent="0.15">
      <c r="A44" s="171">
        <v>41013043</v>
      </c>
      <c r="B44" s="35" t="s">
        <v>376</v>
      </c>
      <c r="C44" s="38">
        <v>3</v>
      </c>
      <c r="D44" s="38" t="s">
        <v>256</v>
      </c>
      <c r="E44" s="39" t="s">
        <v>358</v>
      </c>
      <c r="F44" s="39" t="s">
        <v>346</v>
      </c>
      <c r="G44" s="51" t="str">
        <f t="shared" si="63"/>
        <v>[effect:force_change_block, new_block:block_heart, target:block_all, ignore01:block_positive, ignore02:block_negative, ignore03:block_heart, count:20, val:0]</v>
      </c>
      <c r="H44" s="51">
        <f t="shared" si="64"/>
        <v>9</v>
      </c>
      <c r="I44" s="51">
        <f t="shared" si="65"/>
        <v>27</v>
      </c>
      <c r="J44" s="51">
        <f t="shared" si="66"/>
        <v>59</v>
      </c>
      <c r="K44" s="51">
        <f t="shared" si="67"/>
        <v>50</v>
      </c>
      <c r="L44" s="51" t="str">
        <f>IFERROR(VLOOKUP(MID(G44,J44,K44-J44),[6]skilldef!$C:$D,2,FALSE),"-") &amp; " / " &amp; IFERROR(VLOOKUP(MID(G44,H44,I44-H44),[6]skilldef!$A:$B,2,FALSE),"-")</f>
        <v>- / -</v>
      </c>
      <c r="M44" s="51" t="str">
        <f t="shared" si="68"/>
        <v>none</v>
      </c>
      <c r="N44" s="36" t="str">
        <f t="shared" si="69"/>
        <v>none</v>
      </c>
      <c r="O44" s="51" t="e">
        <f t="shared" si="70"/>
        <v>#VALUE!</v>
      </c>
      <c r="P44" s="51">
        <f t="shared" si="71"/>
        <v>4</v>
      </c>
      <c r="Q44" s="51" t="e">
        <f t="shared" si="72"/>
        <v>#VALUE!</v>
      </c>
      <c r="R44" s="51" t="e">
        <f t="shared" si="73"/>
        <v>#VALUE!</v>
      </c>
      <c r="S44" s="51" t="str">
        <f>IFERROR(VLOOKUP(MID(N44,Q44,R44-Q44),[6]skilldef!$C:$D,2,FALSE),"-") &amp; " / " &amp; IFERROR(VLOOKUP(MID(N44,O44,P44-O44),[6]skilldef!$A:$B,2,FALSE),"-")</f>
        <v>- / -</v>
      </c>
      <c r="T44" s="36" t="str">
        <f t="shared" si="74"/>
        <v>none</v>
      </c>
      <c r="U44" s="51" t="e">
        <f t="shared" si="75"/>
        <v>#VALUE!</v>
      </c>
      <c r="V44" s="51">
        <f t="shared" si="76"/>
        <v>4</v>
      </c>
      <c r="W44" s="51" t="e">
        <f t="shared" si="77"/>
        <v>#VALUE!</v>
      </c>
      <c r="X44" s="51" t="e">
        <f t="shared" si="78"/>
        <v>#VALUE!</v>
      </c>
      <c r="Y44" s="51" t="str">
        <f>IFERROR(VLOOKUP(MID(T44,W44,X44-W44),[6]skilldef!$C:$D,2,FALSE),"-") &amp; " / " &amp; IFERROR(VLOOKUP(MID(T44,U44,V44-U44),[6]skilldef!$A:$B,2,FALSE),"-")</f>
        <v>- / -</v>
      </c>
      <c r="Z44" s="38"/>
      <c r="AA44" s="40"/>
      <c r="AB44" s="38"/>
    </row>
    <row r="45" spans="1:28" ht="21" customHeight="1" x14ac:dyDescent="0.15">
      <c r="A45" s="171">
        <v>41013044</v>
      </c>
      <c r="B45" s="35" t="s">
        <v>361</v>
      </c>
      <c r="C45" s="38">
        <v>3</v>
      </c>
      <c r="D45" s="38" t="s">
        <v>256</v>
      </c>
      <c r="E45" s="39" t="s">
        <v>359</v>
      </c>
      <c r="F45" s="39" t="s">
        <v>353</v>
      </c>
      <c r="G45" s="51" t="str">
        <f t="shared" si="63"/>
        <v>[effect:enemy_message, val1:1.5, val2:1.8]</v>
      </c>
      <c r="H45" s="51">
        <f t="shared" si="64"/>
        <v>9</v>
      </c>
      <c r="I45" s="51">
        <f t="shared" si="65"/>
        <v>22</v>
      </c>
      <c r="J45" s="51" t="e">
        <f t="shared" si="66"/>
        <v>#VALUE!</v>
      </c>
      <c r="K45" s="51">
        <f t="shared" si="67"/>
        <v>32</v>
      </c>
      <c r="L45" s="51" t="str">
        <f>IFERROR(VLOOKUP(MID(G45,J45,K45-J45),[6]skilldef!$C:$D,2,FALSE),"-") &amp; " / " &amp; IFERROR(VLOOKUP(MID(G45,H45,I45-H45),[6]skilldef!$A:$B,2,FALSE),"-")</f>
        <v>- / -</v>
      </c>
      <c r="M45" s="51" t="str">
        <f t="shared" si="68"/>
        <v>[effect:change_block, new_block:block_heart, target:block_blue, count:-1, val:0, no_effect_msg:no_effect_msg_change_block, animation:change_block]</v>
      </c>
      <c r="N45" s="36" t="str">
        <f t="shared" si="69"/>
        <v>[effect:change_block, new_block:block_heart, target:block_blue, count:-1, val:0, no_effect_msg:no_effect_msg_change_block, animation:change_block]</v>
      </c>
      <c r="O45" s="51">
        <f t="shared" si="70"/>
        <v>9</v>
      </c>
      <c r="P45" s="51">
        <f t="shared" si="71"/>
        <v>21</v>
      </c>
      <c r="Q45" s="51">
        <f t="shared" si="72"/>
        <v>53</v>
      </c>
      <c r="R45" s="51">
        <f t="shared" si="73"/>
        <v>44</v>
      </c>
      <c r="S45" s="51" t="str">
        <f>IFERROR(VLOOKUP(MID(N45,Q45,R45-Q45),[6]skilldef!$C:$D,2,FALSE),"-") &amp; " / " &amp; IFERROR(VLOOKUP(MID(N45,O45,P45-O45),[6]skilldef!$A:$B,2,FALSE),"-")</f>
        <v>- / ブロック変換</v>
      </c>
      <c r="T45" s="36" t="str">
        <f t="shared" si="74"/>
        <v>none</v>
      </c>
      <c r="U45" s="51" t="e">
        <f t="shared" si="75"/>
        <v>#VALUE!</v>
      </c>
      <c r="V45" s="51">
        <f t="shared" si="76"/>
        <v>4</v>
      </c>
      <c r="W45" s="51" t="e">
        <f t="shared" si="77"/>
        <v>#VALUE!</v>
      </c>
      <c r="X45" s="51" t="e">
        <f t="shared" si="78"/>
        <v>#VALUE!</v>
      </c>
      <c r="Y45" s="51" t="str">
        <f>IFERROR(VLOOKUP(MID(T45,W45,X45-W45),[6]skilldef!$C:$D,2,FALSE),"-") &amp; " / " &amp; IFERROR(VLOOKUP(MID(T45,U45,V45-U45),[6]skilldef!$A:$B,2,FALSE),"-")</f>
        <v>- / -</v>
      </c>
      <c r="Z45" s="38"/>
      <c r="AA45" s="40"/>
      <c r="AB45" s="38"/>
    </row>
    <row r="46" spans="1:28" ht="21" customHeight="1" x14ac:dyDescent="0.15">
      <c r="A46" s="171">
        <v>41013045</v>
      </c>
      <c r="B46" s="35" t="s">
        <v>362</v>
      </c>
      <c r="C46" s="38">
        <v>3</v>
      </c>
      <c r="D46" s="38" t="s">
        <v>256</v>
      </c>
      <c r="E46" s="39" t="s">
        <v>359</v>
      </c>
      <c r="F46" s="39" t="s">
        <v>353</v>
      </c>
      <c r="G46" s="51" t="str">
        <f t="shared" si="63"/>
        <v>[effect:enemy_message, val1:1.5, val2:1.8]</v>
      </c>
      <c r="H46" s="51">
        <f t="shared" si="64"/>
        <v>9</v>
      </c>
      <c r="I46" s="51">
        <f t="shared" si="65"/>
        <v>22</v>
      </c>
      <c r="J46" s="51" t="e">
        <f t="shared" si="66"/>
        <v>#VALUE!</v>
      </c>
      <c r="K46" s="51">
        <f t="shared" si="67"/>
        <v>32</v>
      </c>
      <c r="L46" s="51" t="str">
        <f>IFERROR(VLOOKUP(MID(G46,J46,K46-J46),[6]skilldef!$C:$D,2,FALSE),"-") &amp; " / " &amp; IFERROR(VLOOKUP(MID(G46,H46,I46-H46),[6]skilldef!$A:$B,2,FALSE),"-")</f>
        <v>- / -</v>
      </c>
      <c r="M46" s="51" t="str">
        <f t="shared" si="68"/>
        <v>[effect:change_block, new_block:block_heart, target:block_blue, count:-1, val:0, no_effect_msg:no_effect_msg_change_block, animation:change_block]</v>
      </c>
      <c r="N46" s="36" t="str">
        <f t="shared" si="69"/>
        <v>[effect:change_block, new_block:block_heart, target:block_blue, count:-1, val:0, no_effect_msg:no_effect_msg_change_block, animation:change_block]</v>
      </c>
      <c r="O46" s="51">
        <f t="shared" si="70"/>
        <v>9</v>
      </c>
      <c r="P46" s="51">
        <f t="shared" si="71"/>
        <v>21</v>
      </c>
      <c r="Q46" s="51">
        <f t="shared" si="72"/>
        <v>53</v>
      </c>
      <c r="R46" s="51">
        <f t="shared" si="73"/>
        <v>44</v>
      </c>
      <c r="S46" s="51" t="str">
        <f>IFERROR(VLOOKUP(MID(N46,Q46,R46-Q46),[6]skilldef!$C:$D,2,FALSE),"-") &amp; " / " &amp; IFERROR(VLOOKUP(MID(N46,O46,P46-O46),[6]skilldef!$A:$B,2,FALSE),"-")</f>
        <v>- / ブロック変換</v>
      </c>
      <c r="T46" s="36" t="str">
        <f t="shared" si="74"/>
        <v>none</v>
      </c>
      <c r="U46" s="51" t="e">
        <f t="shared" si="75"/>
        <v>#VALUE!</v>
      </c>
      <c r="V46" s="51">
        <f t="shared" si="76"/>
        <v>4</v>
      </c>
      <c r="W46" s="51" t="e">
        <f t="shared" si="77"/>
        <v>#VALUE!</v>
      </c>
      <c r="X46" s="51" t="e">
        <f t="shared" si="78"/>
        <v>#VALUE!</v>
      </c>
      <c r="Y46" s="51" t="str">
        <f>IFERROR(VLOOKUP(MID(T46,W46,X46-W46),[6]skilldef!$C:$D,2,FALSE),"-") &amp; " / " &amp; IFERROR(VLOOKUP(MID(T46,U46,V46-U46),[6]skilldef!$A:$B,2,FALSE),"-")</f>
        <v>- / -</v>
      </c>
      <c r="Z46" s="38"/>
      <c r="AA46" s="40"/>
      <c r="AB46" s="38"/>
    </row>
    <row r="47" spans="1:28" ht="21" customHeight="1" x14ac:dyDescent="0.15">
      <c r="A47" s="171">
        <v>41013046</v>
      </c>
      <c r="B47" s="35" t="s">
        <v>361</v>
      </c>
      <c r="C47" s="38">
        <v>3</v>
      </c>
      <c r="D47" s="38" t="s">
        <v>256</v>
      </c>
      <c r="E47" s="39" t="s">
        <v>359</v>
      </c>
      <c r="F47" s="39" t="s">
        <v>353</v>
      </c>
      <c r="G47" s="51" t="str">
        <f t="shared" si="63"/>
        <v>[effect:enemy_message, val1:1.5, val2:1.8]</v>
      </c>
      <c r="H47" s="51">
        <f t="shared" si="64"/>
        <v>9</v>
      </c>
      <c r="I47" s="51">
        <f t="shared" si="65"/>
        <v>22</v>
      </c>
      <c r="J47" s="51" t="e">
        <f t="shared" si="66"/>
        <v>#VALUE!</v>
      </c>
      <c r="K47" s="51">
        <f t="shared" si="67"/>
        <v>32</v>
      </c>
      <c r="L47" s="51" t="str">
        <f>IFERROR(VLOOKUP(MID(G47,J47,K47-J47),[6]skilldef!$C:$D,2,FALSE),"-") &amp; " / " &amp; IFERROR(VLOOKUP(MID(G47,H47,I47-H47),[6]skilldef!$A:$B,2,FALSE),"-")</f>
        <v>- / -</v>
      </c>
      <c r="M47" s="51" t="str">
        <f t="shared" si="68"/>
        <v>[effect:change_block, new_block:block_heart, target:block_blue, count:-1, val:0, no_effect_msg:no_effect_msg_change_block, animation:change_block]</v>
      </c>
      <c r="N47" s="36" t="str">
        <f t="shared" si="69"/>
        <v>[effect:change_block, new_block:block_heart, target:block_blue, count:-1, val:0, no_effect_msg:no_effect_msg_change_block, animation:change_block]</v>
      </c>
      <c r="O47" s="51">
        <f t="shared" si="70"/>
        <v>9</v>
      </c>
      <c r="P47" s="51">
        <f t="shared" si="71"/>
        <v>21</v>
      </c>
      <c r="Q47" s="51">
        <f t="shared" si="72"/>
        <v>53</v>
      </c>
      <c r="R47" s="51">
        <f t="shared" si="73"/>
        <v>44</v>
      </c>
      <c r="S47" s="51" t="str">
        <f>IFERROR(VLOOKUP(MID(N47,Q47,R47-Q47),[6]skilldef!$C:$D,2,FALSE),"-") &amp; " / " &amp; IFERROR(VLOOKUP(MID(N47,O47,P47-O47),[6]skilldef!$A:$B,2,FALSE),"-")</f>
        <v>- / ブロック変換</v>
      </c>
      <c r="T47" s="36" t="str">
        <f t="shared" si="74"/>
        <v>none</v>
      </c>
      <c r="U47" s="51" t="e">
        <f t="shared" si="75"/>
        <v>#VALUE!</v>
      </c>
      <c r="V47" s="51">
        <f t="shared" si="76"/>
        <v>4</v>
      </c>
      <c r="W47" s="51" t="e">
        <f t="shared" si="77"/>
        <v>#VALUE!</v>
      </c>
      <c r="X47" s="51" t="e">
        <f t="shared" si="78"/>
        <v>#VALUE!</v>
      </c>
      <c r="Y47" s="51" t="str">
        <f>IFERROR(VLOOKUP(MID(T47,W47,X47-W47),[6]skilldef!$C:$D,2,FALSE),"-") &amp; " / " &amp; IFERROR(VLOOKUP(MID(T47,U47,V47-U47),[6]skilldef!$A:$B,2,FALSE),"-")</f>
        <v>- / -</v>
      </c>
      <c r="Z47" s="38"/>
      <c r="AA47" s="40"/>
      <c r="AB47" s="38"/>
    </row>
    <row r="48" spans="1:28" ht="21" customHeight="1" x14ac:dyDescent="0.15">
      <c r="A48" s="171">
        <v>41013047</v>
      </c>
      <c r="B48" s="35" t="s">
        <v>363</v>
      </c>
      <c r="C48" s="38">
        <v>3</v>
      </c>
      <c r="D48" s="38" t="s">
        <v>256</v>
      </c>
      <c r="E48" s="39" t="s">
        <v>360</v>
      </c>
      <c r="F48" s="39" t="s">
        <v>353</v>
      </c>
      <c r="G48" s="51" t="str">
        <f t="shared" si="63"/>
        <v>[effect:enemy_message, val1:1.8, val2:1.8]</v>
      </c>
      <c r="H48" s="51">
        <f t="shared" si="64"/>
        <v>9</v>
      </c>
      <c r="I48" s="51">
        <f t="shared" si="65"/>
        <v>22</v>
      </c>
      <c r="J48" s="51" t="e">
        <f t="shared" si="66"/>
        <v>#VALUE!</v>
      </c>
      <c r="K48" s="51">
        <f t="shared" si="67"/>
        <v>32</v>
      </c>
      <c r="L48" s="51" t="str">
        <f>IFERROR(VLOOKUP(MID(G48,J48,K48-J48),[6]skilldef!$C:$D,2,FALSE),"-") &amp; " / " &amp; IFERROR(VLOOKUP(MID(G48,H48,I48-H48),[6]skilldef!$A:$B,2,FALSE),"-")</f>
        <v>- / -</v>
      </c>
      <c r="M48" s="51" t="str">
        <f t="shared" si="68"/>
        <v>[effect:change_block, new_block:block_heart, target:block_blue, count:-1, val:0, no_effect_msg:no_effect_msg_change_block, animation:change_block]</v>
      </c>
      <c r="N48" s="36" t="str">
        <f t="shared" si="69"/>
        <v>[effect:change_block, new_block:block_heart, target:block_blue, count:-1, val:0, no_effect_msg:no_effect_msg_change_block, animation:change_block]</v>
      </c>
      <c r="O48" s="51">
        <f t="shared" si="70"/>
        <v>9</v>
      </c>
      <c r="P48" s="51">
        <f t="shared" si="71"/>
        <v>21</v>
      </c>
      <c r="Q48" s="51">
        <f t="shared" si="72"/>
        <v>53</v>
      </c>
      <c r="R48" s="51">
        <f t="shared" si="73"/>
        <v>44</v>
      </c>
      <c r="S48" s="51" t="str">
        <f>IFERROR(VLOOKUP(MID(N48,Q48,R48-Q48),[6]skilldef!$C:$D,2,FALSE),"-") &amp; " / " &amp; IFERROR(VLOOKUP(MID(N48,O48,P48-O48),[6]skilldef!$A:$B,2,FALSE),"-")</f>
        <v>- / ブロック変換</v>
      </c>
      <c r="T48" s="36" t="str">
        <f t="shared" si="74"/>
        <v>none</v>
      </c>
      <c r="U48" s="51" t="e">
        <f t="shared" si="75"/>
        <v>#VALUE!</v>
      </c>
      <c r="V48" s="51">
        <f t="shared" si="76"/>
        <v>4</v>
      </c>
      <c r="W48" s="51" t="e">
        <f t="shared" si="77"/>
        <v>#VALUE!</v>
      </c>
      <c r="X48" s="51" t="e">
        <f t="shared" si="78"/>
        <v>#VALUE!</v>
      </c>
      <c r="Y48" s="51" t="str">
        <f>IFERROR(VLOOKUP(MID(T48,W48,X48-W48),[6]skilldef!$C:$D,2,FALSE),"-") &amp; " / " &amp; IFERROR(VLOOKUP(MID(T48,U48,V48-U48),[6]skilldef!$A:$B,2,FALSE),"-")</f>
        <v>- / -</v>
      </c>
      <c r="Z48" s="38"/>
      <c r="AA48" s="40"/>
      <c r="AB48" s="38"/>
    </row>
    <row r="49" spans="1:28" ht="21" customHeight="1" x14ac:dyDescent="0.15">
      <c r="A49" s="171">
        <v>41013048</v>
      </c>
      <c r="B49" s="35" t="s">
        <v>364</v>
      </c>
      <c r="C49" s="38">
        <v>3</v>
      </c>
      <c r="D49" s="38" t="s">
        <v>256</v>
      </c>
      <c r="E49" s="39" t="s">
        <v>360</v>
      </c>
      <c r="F49" s="39" t="s">
        <v>353</v>
      </c>
      <c r="G49" s="51" t="str">
        <f t="shared" si="63"/>
        <v>[effect:enemy_message, val1:1.8, val2:1.8]</v>
      </c>
      <c r="H49" s="51">
        <f t="shared" si="64"/>
        <v>9</v>
      </c>
      <c r="I49" s="51">
        <f t="shared" si="65"/>
        <v>22</v>
      </c>
      <c r="J49" s="51" t="e">
        <f t="shared" si="66"/>
        <v>#VALUE!</v>
      </c>
      <c r="K49" s="51">
        <f t="shared" si="67"/>
        <v>32</v>
      </c>
      <c r="L49" s="51" t="str">
        <f>IFERROR(VLOOKUP(MID(G49,J49,K49-J49),[6]skilldef!$C:$D,2,FALSE),"-") &amp; " / " &amp; IFERROR(VLOOKUP(MID(G49,H49,I49-H49),[6]skilldef!$A:$B,2,FALSE),"-")</f>
        <v>- / -</v>
      </c>
      <c r="M49" s="51" t="str">
        <f t="shared" si="68"/>
        <v>[effect:change_block, new_block:block_heart, target:block_blue, count:-1, val:0, no_effect_msg:no_effect_msg_change_block, animation:change_block]</v>
      </c>
      <c r="N49" s="36" t="str">
        <f t="shared" si="69"/>
        <v>[effect:change_block, new_block:block_heart, target:block_blue, count:-1, val:0, no_effect_msg:no_effect_msg_change_block, animation:change_block]</v>
      </c>
      <c r="O49" s="51">
        <f t="shared" si="70"/>
        <v>9</v>
      </c>
      <c r="P49" s="51">
        <f t="shared" si="71"/>
        <v>21</v>
      </c>
      <c r="Q49" s="51">
        <f t="shared" si="72"/>
        <v>53</v>
      </c>
      <c r="R49" s="51">
        <f t="shared" si="73"/>
        <v>44</v>
      </c>
      <c r="S49" s="51" t="str">
        <f>IFERROR(VLOOKUP(MID(N49,Q49,R49-Q49),[6]skilldef!$C:$D,2,FALSE),"-") &amp; " / " &amp; IFERROR(VLOOKUP(MID(N49,O49,P49-O49),[6]skilldef!$A:$B,2,FALSE),"-")</f>
        <v>- / ブロック変換</v>
      </c>
      <c r="T49" s="36" t="str">
        <f t="shared" si="74"/>
        <v>none</v>
      </c>
      <c r="U49" s="51" t="e">
        <f t="shared" si="75"/>
        <v>#VALUE!</v>
      </c>
      <c r="V49" s="51">
        <f t="shared" si="76"/>
        <v>4</v>
      </c>
      <c r="W49" s="51" t="e">
        <f t="shared" si="77"/>
        <v>#VALUE!</v>
      </c>
      <c r="X49" s="51" t="e">
        <f t="shared" si="78"/>
        <v>#VALUE!</v>
      </c>
      <c r="Y49" s="51" t="str">
        <f>IFERROR(VLOOKUP(MID(T49,W49,X49-W49),[6]skilldef!$C:$D,2,FALSE),"-") &amp; " / " &amp; IFERROR(VLOOKUP(MID(T49,U49,V49-U49),[6]skilldef!$A:$B,2,FALSE),"-")</f>
        <v>- / -</v>
      </c>
      <c r="Z49" s="38"/>
      <c r="AA49" s="40"/>
      <c r="AB49" s="38"/>
    </row>
    <row r="50" spans="1:28" ht="21" customHeight="1" x14ac:dyDescent="0.15">
      <c r="A50" s="171">
        <v>41013049</v>
      </c>
      <c r="B50" s="35" t="s">
        <v>363</v>
      </c>
      <c r="C50" s="38">
        <v>3</v>
      </c>
      <c r="D50" s="38" t="s">
        <v>256</v>
      </c>
      <c r="E50" s="39" t="s">
        <v>360</v>
      </c>
      <c r="F50" s="39" t="s">
        <v>353</v>
      </c>
      <c r="G50" s="51" t="str">
        <f t="shared" si="63"/>
        <v>[effect:enemy_message, val1:1.8, val2:1.8]</v>
      </c>
      <c r="H50" s="51">
        <f t="shared" si="64"/>
        <v>9</v>
      </c>
      <c r="I50" s="51">
        <f t="shared" si="65"/>
        <v>22</v>
      </c>
      <c r="J50" s="51" t="e">
        <f t="shared" si="66"/>
        <v>#VALUE!</v>
      </c>
      <c r="K50" s="51">
        <f t="shared" si="67"/>
        <v>32</v>
      </c>
      <c r="L50" s="51" t="str">
        <f>IFERROR(VLOOKUP(MID(G50,J50,K50-J50),[6]skilldef!$C:$D,2,FALSE),"-") &amp; " / " &amp; IFERROR(VLOOKUP(MID(G50,H50,I50-H50),[6]skilldef!$A:$B,2,FALSE),"-")</f>
        <v>- / -</v>
      </c>
      <c r="M50" s="51" t="str">
        <f t="shared" si="68"/>
        <v>[effect:change_block, new_block:block_heart, target:block_blue, count:-1, val:0, no_effect_msg:no_effect_msg_change_block, animation:change_block]</v>
      </c>
      <c r="N50" s="36" t="str">
        <f t="shared" si="69"/>
        <v>[effect:change_block, new_block:block_heart, target:block_blue, count:-1, val:0, no_effect_msg:no_effect_msg_change_block, animation:change_block]</v>
      </c>
      <c r="O50" s="51">
        <f t="shared" si="70"/>
        <v>9</v>
      </c>
      <c r="P50" s="51">
        <f t="shared" si="71"/>
        <v>21</v>
      </c>
      <c r="Q50" s="51">
        <f t="shared" si="72"/>
        <v>53</v>
      </c>
      <c r="R50" s="51">
        <f t="shared" si="73"/>
        <v>44</v>
      </c>
      <c r="S50" s="51" t="str">
        <f>IFERROR(VLOOKUP(MID(N50,Q50,R50-Q50),[6]skilldef!$C:$D,2,FALSE),"-") &amp; " / " &amp; IFERROR(VLOOKUP(MID(N50,O50,P50-O50),[6]skilldef!$A:$B,2,FALSE),"-")</f>
        <v>- / ブロック変換</v>
      </c>
      <c r="T50" s="36" t="str">
        <f t="shared" si="74"/>
        <v>none</v>
      </c>
      <c r="U50" s="51" t="e">
        <f t="shared" si="75"/>
        <v>#VALUE!</v>
      </c>
      <c r="V50" s="51">
        <f t="shared" si="76"/>
        <v>4</v>
      </c>
      <c r="W50" s="51" t="e">
        <f t="shared" si="77"/>
        <v>#VALUE!</v>
      </c>
      <c r="X50" s="51" t="e">
        <f t="shared" si="78"/>
        <v>#VALUE!</v>
      </c>
      <c r="Y50" s="51" t="str">
        <f>IFERROR(VLOOKUP(MID(T50,W50,X50-W50),[6]skilldef!$C:$D,2,FALSE),"-") &amp; " / " &amp; IFERROR(VLOOKUP(MID(T50,U50,V50-U50),[6]skilldef!$A:$B,2,FALSE),"-")</f>
        <v>- / -</v>
      </c>
      <c r="Z50" s="38"/>
      <c r="AA50" s="40"/>
      <c r="AB50" s="3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6"/>
  <sheetViews>
    <sheetView showGridLines="0" zoomScale="83" zoomScaleNormal="75" zoomScalePageLayoutView="75" workbookViewId="0">
      <pane ySplit="1" topLeftCell="A16" activePane="bottomLeft" state="frozenSplit"/>
      <selection pane="bottomLeft" activeCell="I48" sqref="I48"/>
    </sheetView>
  </sheetViews>
  <sheetFormatPr baseColWidth="12" defaultColWidth="12.83203125" defaultRowHeight="21" customHeight="1" x14ac:dyDescent="0.15"/>
  <cols>
    <col min="1" max="1" width="16.1640625" style="37" bestFit="1" customWidth="1"/>
    <col min="2" max="2" width="13.33203125" style="37" bestFit="1" customWidth="1"/>
    <col min="3" max="3" width="11.83203125" style="37" bestFit="1" customWidth="1"/>
    <col min="4" max="4" width="14.6640625" style="37" bestFit="1" customWidth="1"/>
    <col min="5" max="5" width="15.6640625" style="37" bestFit="1" customWidth="1"/>
    <col min="6" max="6" width="17" style="37" bestFit="1" customWidth="1"/>
    <col min="7" max="7" width="15.6640625" style="37" bestFit="1" customWidth="1"/>
    <col min="8" max="9" width="14.6640625" style="37" customWidth="1"/>
    <col min="10" max="10" width="14.6640625" style="37" bestFit="1" customWidth="1"/>
    <col min="11" max="11" width="22.83203125" style="27" bestFit="1" customWidth="1"/>
    <col min="12" max="16384" width="12.83203125" style="33"/>
  </cols>
  <sheetData>
    <row r="1" spans="1:11" ht="21" customHeight="1" x14ac:dyDescent="0.15">
      <c r="A1" s="30" t="s">
        <v>84</v>
      </c>
      <c r="B1" s="30" t="s">
        <v>85</v>
      </c>
      <c r="C1" s="30" t="s">
        <v>86</v>
      </c>
      <c r="D1" s="30" t="s">
        <v>87</v>
      </c>
      <c r="E1" s="30" t="s">
        <v>70</v>
      </c>
      <c r="F1" s="41" t="s">
        <v>71</v>
      </c>
      <c r="G1" s="41" t="s">
        <v>72</v>
      </c>
      <c r="H1" s="30" t="s">
        <v>73</v>
      </c>
      <c r="I1" s="30" t="s">
        <v>74</v>
      </c>
      <c r="J1" s="30" t="s">
        <v>75</v>
      </c>
      <c r="K1" s="42" t="s">
        <v>88</v>
      </c>
    </row>
    <row r="2" spans="1:11" ht="21" customHeight="1" x14ac:dyDescent="0.15">
      <c r="A2" s="97">
        <v>41013001</v>
      </c>
      <c r="B2" s="35">
        <v>0</v>
      </c>
      <c r="C2" s="35" t="s">
        <v>53</v>
      </c>
      <c r="D2" s="35">
        <v>70</v>
      </c>
      <c r="E2" s="35" t="s">
        <v>53</v>
      </c>
      <c r="F2" s="35" t="s">
        <v>53</v>
      </c>
      <c r="G2" s="35" t="s">
        <v>53</v>
      </c>
      <c r="H2" s="35" t="s">
        <v>53</v>
      </c>
      <c r="I2" s="35" t="s">
        <v>53</v>
      </c>
      <c r="J2" s="36">
        <f t="shared" ref="J2:J35" si="0">D2</f>
        <v>70</v>
      </c>
    </row>
    <row r="3" spans="1:11" ht="21" customHeight="1" x14ac:dyDescent="0.15">
      <c r="A3" s="97">
        <v>41013002</v>
      </c>
      <c r="B3" s="35">
        <v>0</v>
      </c>
      <c r="C3" s="35" t="s">
        <v>53</v>
      </c>
      <c r="D3" s="35">
        <v>100</v>
      </c>
      <c r="E3" s="35" t="s">
        <v>53</v>
      </c>
      <c r="F3" s="35" t="s">
        <v>53</v>
      </c>
      <c r="G3" s="35" t="s">
        <v>53</v>
      </c>
      <c r="H3" s="35" t="s">
        <v>53</v>
      </c>
      <c r="I3" s="35" t="s">
        <v>53</v>
      </c>
      <c r="J3" s="36">
        <f t="shared" si="0"/>
        <v>100</v>
      </c>
    </row>
    <row r="4" spans="1:11" ht="21" customHeight="1" x14ac:dyDescent="0.15">
      <c r="A4" s="97">
        <v>41013003</v>
      </c>
      <c r="B4" s="35">
        <v>1</v>
      </c>
      <c r="C4" s="35">
        <v>10</v>
      </c>
      <c r="D4" s="35">
        <v>100</v>
      </c>
      <c r="E4" s="35" t="s">
        <v>53</v>
      </c>
      <c r="F4" s="35" t="s">
        <v>53</v>
      </c>
      <c r="G4" s="35">
        <v>1</v>
      </c>
      <c r="H4" s="35" t="s">
        <v>53</v>
      </c>
      <c r="I4" s="35" t="s">
        <v>53</v>
      </c>
      <c r="J4" s="36">
        <f t="shared" si="0"/>
        <v>100</v>
      </c>
    </row>
    <row r="5" spans="1:11" ht="21" customHeight="1" x14ac:dyDescent="0.15">
      <c r="A5" s="97">
        <v>41013004</v>
      </c>
      <c r="B5" s="35">
        <v>0</v>
      </c>
      <c r="C5" s="35" t="s">
        <v>53</v>
      </c>
      <c r="D5" s="35">
        <v>65</v>
      </c>
      <c r="E5" s="35" t="s">
        <v>53</v>
      </c>
      <c r="F5" s="35" t="s">
        <v>53</v>
      </c>
      <c r="G5" s="35">
        <v>4</v>
      </c>
      <c r="H5" s="35" t="s">
        <v>53</v>
      </c>
      <c r="I5" s="35" t="s">
        <v>53</v>
      </c>
      <c r="J5" s="36">
        <f t="shared" si="0"/>
        <v>65</v>
      </c>
    </row>
    <row r="6" spans="1:11" ht="21" customHeight="1" x14ac:dyDescent="0.15">
      <c r="A6" s="97">
        <v>41013005</v>
      </c>
      <c r="B6" s="35">
        <v>0</v>
      </c>
      <c r="C6" s="35">
        <v>5</v>
      </c>
      <c r="D6" s="35">
        <v>100</v>
      </c>
      <c r="E6" s="35">
        <v>50</v>
      </c>
      <c r="F6" s="35" t="s">
        <v>53</v>
      </c>
      <c r="G6" s="35">
        <v>1</v>
      </c>
      <c r="H6" s="35" t="s">
        <v>53</v>
      </c>
      <c r="I6" s="35" t="s">
        <v>53</v>
      </c>
      <c r="J6" s="36">
        <f t="shared" si="0"/>
        <v>100</v>
      </c>
    </row>
    <row r="7" spans="1:11" ht="21" customHeight="1" x14ac:dyDescent="0.15">
      <c r="A7" s="97">
        <v>41013006</v>
      </c>
      <c r="B7" s="35">
        <v>0</v>
      </c>
      <c r="C7" s="35">
        <v>3</v>
      </c>
      <c r="D7" s="35">
        <v>100</v>
      </c>
      <c r="E7" s="35">
        <v>50</v>
      </c>
      <c r="F7" s="35" t="s">
        <v>53</v>
      </c>
      <c r="G7" s="35">
        <v>1</v>
      </c>
      <c r="H7" s="35" t="s">
        <v>53</v>
      </c>
      <c r="I7" s="35" t="s">
        <v>53</v>
      </c>
      <c r="J7" s="36">
        <f t="shared" si="0"/>
        <v>100</v>
      </c>
    </row>
    <row r="8" spans="1:11" ht="21" customHeight="1" x14ac:dyDescent="0.15">
      <c r="A8" s="97">
        <v>41013007</v>
      </c>
      <c r="B8" s="35">
        <v>1</v>
      </c>
      <c r="C8" s="35">
        <v>10</v>
      </c>
      <c r="D8" s="35">
        <v>100</v>
      </c>
      <c r="E8" s="35" t="s">
        <v>53</v>
      </c>
      <c r="F8" s="35" t="s">
        <v>53</v>
      </c>
      <c r="G8" s="35">
        <v>1</v>
      </c>
      <c r="H8" s="35" t="s">
        <v>53</v>
      </c>
      <c r="I8" s="35" t="s">
        <v>53</v>
      </c>
      <c r="J8" s="36">
        <f t="shared" si="0"/>
        <v>100</v>
      </c>
    </row>
    <row r="9" spans="1:11" ht="21" customHeight="1" x14ac:dyDescent="0.15">
      <c r="A9" s="97">
        <v>41013008</v>
      </c>
      <c r="B9" s="35">
        <v>0</v>
      </c>
      <c r="C9" s="35" t="s">
        <v>53</v>
      </c>
      <c r="D9" s="35">
        <v>80</v>
      </c>
      <c r="E9" s="35" t="s">
        <v>53</v>
      </c>
      <c r="F9" s="35" t="s">
        <v>53</v>
      </c>
      <c r="G9" s="35" t="s">
        <v>53</v>
      </c>
      <c r="H9" s="35" t="s">
        <v>53</v>
      </c>
      <c r="I9" s="35" t="s">
        <v>53</v>
      </c>
      <c r="J9" s="36">
        <f t="shared" si="0"/>
        <v>80</v>
      </c>
    </row>
    <row r="10" spans="1:11" ht="21" customHeight="1" x14ac:dyDescent="0.15">
      <c r="A10" s="97">
        <v>41013009</v>
      </c>
      <c r="B10" s="35">
        <v>0</v>
      </c>
      <c r="C10" s="35">
        <v>5</v>
      </c>
      <c r="D10" s="35">
        <v>100</v>
      </c>
      <c r="E10" s="35">
        <v>30</v>
      </c>
      <c r="F10" s="35" t="s">
        <v>53</v>
      </c>
      <c r="G10" s="35">
        <v>1</v>
      </c>
      <c r="H10" s="35">
        <v>1</v>
      </c>
      <c r="I10" s="35" t="s">
        <v>53</v>
      </c>
      <c r="J10" s="36">
        <f t="shared" si="0"/>
        <v>100</v>
      </c>
    </row>
    <row r="11" spans="1:11" ht="21" customHeight="1" x14ac:dyDescent="0.15">
      <c r="A11" s="97">
        <v>41013010</v>
      </c>
      <c r="B11" s="35">
        <v>1</v>
      </c>
      <c r="C11" s="35">
        <v>10</v>
      </c>
      <c r="D11" s="35">
        <v>100</v>
      </c>
      <c r="E11" s="35" t="s">
        <v>53</v>
      </c>
      <c r="F11" s="35" t="s">
        <v>53</v>
      </c>
      <c r="G11" s="35">
        <v>1</v>
      </c>
      <c r="H11" s="35" t="s">
        <v>53</v>
      </c>
      <c r="I11" s="35" t="s">
        <v>53</v>
      </c>
      <c r="J11" s="36">
        <f t="shared" si="0"/>
        <v>100</v>
      </c>
    </row>
    <row r="12" spans="1:11" ht="21" customHeight="1" x14ac:dyDescent="0.15">
      <c r="A12" s="97">
        <v>41013011</v>
      </c>
      <c r="B12" s="35">
        <v>0</v>
      </c>
      <c r="C12" s="35">
        <v>5</v>
      </c>
      <c r="D12" s="35">
        <v>100</v>
      </c>
      <c r="E12" s="35">
        <v>50</v>
      </c>
      <c r="F12" s="35" t="s">
        <v>53</v>
      </c>
      <c r="G12" s="35">
        <v>1</v>
      </c>
      <c r="H12" s="35">
        <v>1</v>
      </c>
      <c r="I12" s="35" t="s">
        <v>53</v>
      </c>
      <c r="J12" s="36">
        <f t="shared" si="0"/>
        <v>100</v>
      </c>
    </row>
    <row r="13" spans="1:11" ht="21" customHeight="1" x14ac:dyDescent="0.15">
      <c r="A13" s="97">
        <v>41013012</v>
      </c>
      <c r="B13" s="35">
        <v>0</v>
      </c>
      <c r="C13" s="35">
        <v>4</v>
      </c>
      <c r="D13" s="35">
        <v>75</v>
      </c>
      <c r="E13" s="35" t="s">
        <v>53</v>
      </c>
      <c r="F13" s="35" t="s">
        <v>53</v>
      </c>
      <c r="G13" s="35" t="s">
        <v>53</v>
      </c>
      <c r="H13" s="35" t="s">
        <v>53</v>
      </c>
      <c r="I13" s="35" t="s">
        <v>53</v>
      </c>
      <c r="J13" s="36">
        <f t="shared" si="0"/>
        <v>75</v>
      </c>
    </row>
    <row r="14" spans="1:11" ht="21" customHeight="1" x14ac:dyDescent="0.15">
      <c r="A14" s="97">
        <v>41013013</v>
      </c>
      <c r="B14" s="99">
        <v>0</v>
      </c>
      <c r="C14" s="100">
        <v>3</v>
      </c>
      <c r="D14" s="100">
        <v>95</v>
      </c>
      <c r="E14" s="100" t="s">
        <v>254</v>
      </c>
      <c r="F14" s="100" t="s">
        <v>254</v>
      </c>
      <c r="G14" s="100">
        <v>4</v>
      </c>
      <c r="H14" s="100" t="s">
        <v>254</v>
      </c>
      <c r="I14" s="100" t="s">
        <v>254</v>
      </c>
      <c r="J14" s="36">
        <f t="shared" si="0"/>
        <v>95</v>
      </c>
    </row>
    <row r="15" spans="1:11" ht="21" customHeight="1" x14ac:dyDescent="0.15">
      <c r="A15" s="97">
        <v>41013014</v>
      </c>
      <c r="B15" s="35">
        <v>1</v>
      </c>
      <c r="C15" s="35">
        <v>10</v>
      </c>
      <c r="D15" s="35">
        <v>100</v>
      </c>
      <c r="E15" s="35" t="s">
        <v>53</v>
      </c>
      <c r="F15" s="35" t="s">
        <v>53</v>
      </c>
      <c r="G15" s="35">
        <v>1</v>
      </c>
      <c r="H15" s="35" t="s">
        <v>53</v>
      </c>
      <c r="I15" s="35" t="s">
        <v>53</v>
      </c>
      <c r="J15" s="36">
        <f t="shared" si="0"/>
        <v>100</v>
      </c>
    </row>
    <row r="16" spans="1:11" ht="21" customHeight="1" x14ac:dyDescent="0.15">
      <c r="A16" s="97">
        <v>41013015</v>
      </c>
      <c r="B16" s="35">
        <v>0</v>
      </c>
      <c r="C16" s="35">
        <v>5</v>
      </c>
      <c r="D16" s="35">
        <v>100</v>
      </c>
      <c r="E16" s="35" t="s">
        <v>53</v>
      </c>
      <c r="F16" s="35" t="s">
        <v>53</v>
      </c>
      <c r="G16" s="35">
        <v>1</v>
      </c>
      <c r="H16" s="35">
        <v>3</v>
      </c>
      <c r="I16" s="35" t="s">
        <v>53</v>
      </c>
      <c r="J16" s="36">
        <f t="shared" si="0"/>
        <v>100</v>
      </c>
    </row>
    <row r="17" spans="1:10" ht="21" customHeight="1" x14ac:dyDescent="0.15">
      <c r="A17" s="97">
        <v>41013016</v>
      </c>
      <c r="B17" s="35">
        <v>0</v>
      </c>
      <c r="C17" s="35">
        <v>4</v>
      </c>
      <c r="D17" s="35">
        <v>100</v>
      </c>
      <c r="E17" s="35" t="s">
        <v>53</v>
      </c>
      <c r="F17" s="35" t="s">
        <v>53</v>
      </c>
      <c r="G17" s="35">
        <v>1</v>
      </c>
      <c r="H17" s="35">
        <v>6</v>
      </c>
      <c r="I17" s="35" t="s">
        <v>53</v>
      </c>
      <c r="J17" s="36">
        <f t="shared" si="0"/>
        <v>100</v>
      </c>
    </row>
    <row r="18" spans="1:10" ht="21" customHeight="1" x14ac:dyDescent="0.15">
      <c r="A18" s="97">
        <v>41013017</v>
      </c>
      <c r="B18" s="35">
        <v>0</v>
      </c>
      <c r="C18" s="35">
        <v>3</v>
      </c>
      <c r="D18" s="35">
        <v>100</v>
      </c>
      <c r="E18" s="35" t="s">
        <v>53</v>
      </c>
      <c r="F18" s="35" t="s">
        <v>53</v>
      </c>
      <c r="G18" s="35">
        <v>1</v>
      </c>
      <c r="H18" s="35">
        <v>9</v>
      </c>
      <c r="I18" s="35" t="s">
        <v>53</v>
      </c>
      <c r="J18" s="36">
        <f t="shared" si="0"/>
        <v>100</v>
      </c>
    </row>
    <row r="19" spans="1:10" ht="21" customHeight="1" x14ac:dyDescent="0.15">
      <c r="A19" s="97">
        <v>41013018</v>
      </c>
      <c r="B19" s="35">
        <v>0</v>
      </c>
      <c r="C19" s="35">
        <v>9</v>
      </c>
      <c r="D19" s="35">
        <v>100</v>
      </c>
      <c r="E19" s="35">
        <v>50</v>
      </c>
      <c r="F19" s="35" t="s">
        <v>53</v>
      </c>
      <c r="G19" s="35">
        <v>1</v>
      </c>
      <c r="H19" s="35">
        <v>1</v>
      </c>
      <c r="I19" s="35" t="s">
        <v>53</v>
      </c>
      <c r="J19" s="36">
        <f t="shared" si="0"/>
        <v>100</v>
      </c>
    </row>
    <row r="20" spans="1:10" ht="21" customHeight="1" x14ac:dyDescent="0.15">
      <c r="A20" s="97">
        <v>41013019</v>
      </c>
      <c r="B20" s="35">
        <v>1</v>
      </c>
      <c r="C20" s="35">
        <v>100</v>
      </c>
      <c r="D20" s="35">
        <v>100</v>
      </c>
      <c r="E20" s="35" t="s">
        <v>254</v>
      </c>
      <c r="F20" s="35" t="s">
        <v>254</v>
      </c>
      <c r="G20" s="35">
        <v>1</v>
      </c>
      <c r="H20" s="35" t="s">
        <v>53</v>
      </c>
      <c r="I20" s="35" t="s">
        <v>254</v>
      </c>
      <c r="J20" s="36">
        <f t="shared" si="0"/>
        <v>100</v>
      </c>
    </row>
    <row r="21" spans="1:10" ht="21" customHeight="1" x14ac:dyDescent="0.15">
      <c r="A21" s="97">
        <v>41013020</v>
      </c>
      <c r="B21" s="35">
        <v>0</v>
      </c>
      <c r="C21" s="35">
        <v>50</v>
      </c>
      <c r="D21" s="35">
        <v>100</v>
      </c>
      <c r="E21" s="35" t="s">
        <v>254</v>
      </c>
      <c r="F21" s="35" t="s">
        <v>254</v>
      </c>
      <c r="G21" s="35" t="s">
        <v>254</v>
      </c>
      <c r="H21" s="35">
        <v>3</v>
      </c>
      <c r="I21" s="35" t="s">
        <v>254</v>
      </c>
      <c r="J21" s="36">
        <f t="shared" si="0"/>
        <v>100</v>
      </c>
    </row>
    <row r="22" spans="1:10" ht="21" customHeight="1" x14ac:dyDescent="0.15">
      <c r="A22" s="97">
        <v>41013021</v>
      </c>
      <c r="B22" s="35">
        <v>0</v>
      </c>
      <c r="C22" s="35">
        <v>30</v>
      </c>
      <c r="D22" s="35">
        <v>70</v>
      </c>
      <c r="E22" s="35" t="s">
        <v>254</v>
      </c>
      <c r="F22" s="35" t="s">
        <v>254</v>
      </c>
      <c r="G22" s="35" t="s">
        <v>254</v>
      </c>
      <c r="H22" s="35" t="s">
        <v>254</v>
      </c>
      <c r="I22" s="35" t="s">
        <v>254</v>
      </c>
      <c r="J22" s="36">
        <f t="shared" si="0"/>
        <v>70</v>
      </c>
    </row>
    <row r="23" spans="1:10" ht="21" customHeight="1" x14ac:dyDescent="0.15">
      <c r="A23" s="97">
        <v>41013022</v>
      </c>
      <c r="B23" s="35">
        <v>0</v>
      </c>
      <c r="C23" s="35">
        <v>90</v>
      </c>
      <c r="D23" s="35">
        <v>100</v>
      </c>
      <c r="E23" s="35">
        <v>50</v>
      </c>
      <c r="F23" s="35" t="s">
        <v>254</v>
      </c>
      <c r="G23" s="35">
        <v>1</v>
      </c>
      <c r="H23" s="35">
        <v>1</v>
      </c>
      <c r="I23" s="35" t="s">
        <v>254</v>
      </c>
      <c r="J23" s="36">
        <f t="shared" si="0"/>
        <v>100</v>
      </c>
    </row>
    <row r="24" spans="1:10" ht="21" customHeight="1" x14ac:dyDescent="0.15">
      <c r="A24" s="97">
        <v>41013023</v>
      </c>
      <c r="B24" s="35">
        <v>0</v>
      </c>
      <c r="C24" s="35" t="s">
        <v>254</v>
      </c>
      <c r="D24" s="35">
        <v>100</v>
      </c>
      <c r="E24" s="35" t="s">
        <v>254</v>
      </c>
      <c r="F24" s="35" t="s">
        <v>254</v>
      </c>
      <c r="G24" s="35" t="s">
        <v>254</v>
      </c>
      <c r="H24" s="35" t="s">
        <v>254</v>
      </c>
      <c r="I24" s="35" t="s">
        <v>254</v>
      </c>
      <c r="J24" s="36">
        <f t="shared" si="0"/>
        <v>100</v>
      </c>
    </row>
    <row r="25" spans="1:10" ht="21" customHeight="1" x14ac:dyDescent="0.15">
      <c r="A25" s="97">
        <v>41013024</v>
      </c>
      <c r="B25" s="35">
        <v>1</v>
      </c>
      <c r="C25" s="35">
        <v>100</v>
      </c>
      <c r="D25" s="35">
        <v>100</v>
      </c>
      <c r="E25" s="35" t="s">
        <v>254</v>
      </c>
      <c r="F25" s="35" t="s">
        <v>254</v>
      </c>
      <c r="G25" s="35">
        <v>1</v>
      </c>
      <c r="H25" s="35" t="s">
        <v>254</v>
      </c>
      <c r="I25" s="35" t="s">
        <v>254</v>
      </c>
      <c r="J25" s="36">
        <f t="shared" si="0"/>
        <v>100</v>
      </c>
    </row>
    <row r="26" spans="1:10" ht="21" customHeight="1" x14ac:dyDescent="0.15">
      <c r="A26" s="97">
        <v>41013025</v>
      </c>
      <c r="B26" s="35">
        <v>0</v>
      </c>
      <c r="C26" s="35">
        <v>50</v>
      </c>
      <c r="D26" s="35">
        <v>100</v>
      </c>
      <c r="E26" s="35" t="s">
        <v>254</v>
      </c>
      <c r="F26" s="35" t="s">
        <v>254</v>
      </c>
      <c r="G26" s="35" t="s">
        <v>254</v>
      </c>
      <c r="H26" s="35">
        <v>3</v>
      </c>
      <c r="I26" s="35" t="s">
        <v>254</v>
      </c>
      <c r="J26" s="36">
        <f t="shared" si="0"/>
        <v>100</v>
      </c>
    </row>
    <row r="27" spans="1:10" ht="21" customHeight="1" x14ac:dyDescent="0.15">
      <c r="A27" s="97">
        <v>41013026</v>
      </c>
      <c r="B27" s="35">
        <v>0</v>
      </c>
      <c r="C27" s="35">
        <v>90</v>
      </c>
      <c r="D27" s="35">
        <v>100</v>
      </c>
      <c r="E27" s="35">
        <v>50</v>
      </c>
      <c r="F27" s="35" t="s">
        <v>254</v>
      </c>
      <c r="G27" s="35">
        <v>1</v>
      </c>
      <c r="H27" s="35">
        <v>1</v>
      </c>
      <c r="I27" s="35" t="s">
        <v>254</v>
      </c>
      <c r="J27" s="36">
        <f t="shared" si="0"/>
        <v>100</v>
      </c>
    </row>
    <row r="28" spans="1:10" ht="21" customHeight="1" x14ac:dyDescent="0.15">
      <c r="A28" s="97">
        <v>41013027</v>
      </c>
      <c r="B28" s="35">
        <v>0</v>
      </c>
      <c r="C28" s="35">
        <v>30</v>
      </c>
      <c r="D28" s="35">
        <v>70</v>
      </c>
      <c r="E28" s="35" t="s">
        <v>254</v>
      </c>
      <c r="F28" s="35" t="s">
        <v>254</v>
      </c>
      <c r="G28" s="35" t="s">
        <v>254</v>
      </c>
      <c r="H28" s="35" t="s">
        <v>254</v>
      </c>
      <c r="I28" s="35" t="s">
        <v>254</v>
      </c>
      <c r="J28" s="36">
        <f t="shared" si="0"/>
        <v>70</v>
      </c>
    </row>
    <row r="29" spans="1:10" ht="21" customHeight="1" x14ac:dyDescent="0.15">
      <c r="A29" s="97">
        <v>41013028</v>
      </c>
      <c r="B29" s="35">
        <v>0</v>
      </c>
      <c r="C29" s="35" t="s">
        <v>254</v>
      </c>
      <c r="D29" s="35">
        <v>100</v>
      </c>
      <c r="E29" s="35" t="s">
        <v>254</v>
      </c>
      <c r="F29" s="35" t="s">
        <v>254</v>
      </c>
      <c r="G29" s="35" t="s">
        <v>254</v>
      </c>
      <c r="H29" s="35" t="s">
        <v>254</v>
      </c>
      <c r="I29" s="35" t="s">
        <v>254</v>
      </c>
      <c r="J29" s="36">
        <f t="shared" si="0"/>
        <v>100</v>
      </c>
    </row>
    <row r="30" spans="1:10" ht="21" customHeight="1" x14ac:dyDescent="0.15">
      <c r="A30" s="97">
        <v>41013029</v>
      </c>
      <c r="B30" s="35">
        <v>1</v>
      </c>
      <c r="C30" s="35">
        <v>100</v>
      </c>
      <c r="D30" s="35">
        <v>100</v>
      </c>
      <c r="E30" s="35" t="s">
        <v>254</v>
      </c>
      <c r="F30" s="35" t="s">
        <v>254</v>
      </c>
      <c r="G30" s="35">
        <v>1</v>
      </c>
      <c r="H30" s="35" t="s">
        <v>254</v>
      </c>
      <c r="I30" s="35" t="s">
        <v>254</v>
      </c>
      <c r="J30" s="36">
        <f t="shared" si="0"/>
        <v>100</v>
      </c>
    </row>
    <row r="31" spans="1:10" ht="21" customHeight="1" x14ac:dyDescent="0.15">
      <c r="A31" s="97">
        <v>41013030</v>
      </c>
      <c r="B31" s="35">
        <v>0</v>
      </c>
      <c r="C31" s="35">
        <v>50</v>
      </c>
      <c r="D31" s="35">
        <v>100</v>
      </c>
      <c r="E31" s="35" t="s">
        <v>254</v>
      </c>
      <c r="F31" s="35" t="s">
        <v>254</v>
      </c>
      <c r="G31" s="35" t="s">
        <v>254</v>
      </c>
      <c r="H31" s="35">
        <v>3</v>
      </c>
      <c r="I31" s="35" t="s">
        <v>254</v>
      </c>
      <c r="J31" s="36">
        <f t="shared" si="0"/>
        <v>100</v>
      </c>
    </row>
    <row r="32" spans="1:10" ht="21" customHeight="1" x14ac:dyDescent="0.15">
      <c r="A32" s="97">
        <v>41013031</v>
      </c>
      <c r="B32" s="35">
        <v>0</v>
      </c>
      <c r="C32" s="35">
        <v>30</v>
      </c>
      <c r="D32" s="35">
        <v>70</v>
      </c>
      <c r="E32" s="35" t="s">
        <v>254</v>
      </c>
      <c r="F32" s="35" t="s">
        <v>254</v>
      </c>
      <c r="G32" s="35" t="s">
        <v>53</v>
      </c>
      <c r="H32" s="35" t="s">
        <v>254</v>
      </c>
      <c r="I32" s="35" t="s">
        <v>254</v>
      </c>
      <c r="J32" s="36">
        <f t="shared" si="0"/>
        <v>70</v>
      </c>
    </row>
    <row r="33" spans="1:10" ht="21" customHeight="1" x14ac:dyDescent="0.15">
      <c r="A33" s="97">
        <v>41013032</v>
      </c>
      <c r="B33" s="35">
        <v>0</v>
      </c>
      <c r="C33" s="35">
        <v>90</v>
      </c>
      <c r="D33" s="35">
        <v>100</v>
      </c>
      <c r="E33" s="35">
        <v>50</v>
      </c>
      <c r="F33" s="35" t="s">
        <v>254</v>
      </c>
      <c r="G33" s="35">
        <v>1</v>
      </c>
      <c r="H33" s="35">
        <v>1</v>
      </c>
      <c r="I33" s="35" t="s">
        <v>254</v>
      </c>
      <c r="J33" s="36">
        <f t="shared" si="0"/>
        <v>100</v>
      </c>
    </row>
    <row r="34" spans="1:10" ht="21" customHeight="1" x14ac:dyDescent="0.15">
      <c r="A34" s="97">
        <v>41013033</v>
      </c>
      <c r="B34" s="35">
        <v>0</v>
      </c>
      <c r="C34" s="35">
        <v>80</v>
      </c>
      <c r="D34" s="35">
        <v>100</v>
      </c>
      <c r="E34" s="35">
        <v>50</v>
      </c>
      <c r="F34" s="35" t="s">
        <v>254</v>
      </c>
      <c r="G34" s="35">
        <v>1</v>
      </c>
      <c r="H34" s="35">
        <v>1</v>
      </c>
      <c r="I34" s="35" t="s">
        <v>254</v>
      </c>
      <c r="J34" s="36">
        <f t="shared" si="0"/>
        <v>100</v>
      </c>
    </row>
    <row r="35" spans="1:10" ht="21" customHeight="1" x14ac:dyDescent="0.15">
      <c r="A35" s="97">
        <v>41013034</v>
      </c>
      <c r="B35" s="35">
        <v>0</v>
      </c>
      <c r="C35" s="35">
        <v>100</v>
      </c>
      <c r="D35" s="35">
        <v>100</v>
      </c>
      <c r="E35" s="35" t="s">
        <v>53</v>
      </c>
      <c r="F35" s="35" t="s">
        <v>254</v>
      </c>
      <c r="G35" s="35">
        <v>1</v>
      </c>
      <c r="H35" s="35">
        <v>1</v>
      </c>
      <c r="I35" s="93">
        <v>52</v>
      </c>
      <c r="J35" s="36">
        <f t="shared" si="0"/>
        <v>100</v>
      </c>
    </row>
    <row r="36" spans="1:10" ht="21" customHeight="1" x14ac:dyDescent="0.15">
      <c r="A36" s="97">
        <v>41013035</v>
      </c>
      <c r="B36" s="35">
        <v>0</v>
      </c>
      <c r="C36" s="35">
        <v>100</v>
      </c>
      <c r="D36" s="35">
        <v>100</v>
      </c>
      <c r="E36" s="35" t="s">
        <v>53</v>
      </c>
      <c r="F36" s="35" t="s">
        <v>254</v>
      </c>
      <c r="G36" s="35">
        <v>1</v>
      </c>
      <c r="H36" s="35">
        <v>1</v>
      </c>
      <c r="I36" s="93">
        <v>50</v>
      </c>
      <c r="J36" s="36">
        <f t="shared" ref="J36:J38" si="1">D36</f>
        <v>100</v>
      </c>
    </row>
    <row r="37" spans="1:10" ht="22" customHeight="1" x14ac:dyDescent="0.15">
      <c r="A37" s="35">
        <v>41013036</v>
      </c>
      <c r="B37" s="35">
        <v>0</v>
      </c>
      <c r="C37" s="35">
        <v>110</v>
      </c>
      <c r="D37" s="35">
        <v>100</v>
      </c>
      <c r="E37" s="35" t="s">
        <v>254</v>
      </c>
      <c r="F37" s="35" t="s">
        <v>254</v>
      </c>
      <c r="G37" s="35">
        <v>1</v>
      </c>
      <c r="H37" s="35" t="s">
        <v>254</v>
      </c>
      <c r="I37" s="35" t="s">
        <v>254</v>
      </c>
      <c r="J37" s="36">
        <f t="shared" si="1"/>
        <v>100</v>
      </c>
    </row>
    <row r="38" spans="1:10" ht="21" customHeight="1" x14ac:dyDescent="0.15">
      <c r="A38" s="97">
        <v>41013041</v>
      </c>
      <c r="B38" s="35">
        <v>1</v>
      </c>
      <c r="C38" s="35">
        <v>101</v>
      </c>
      <c r="D38" s="35">
        <v>100</v>
      </c>
      <c r="E38" s="35" t="s">
        <v>254</v>
      </c>
      <c r="F38" s="35" t="s">
        <v>254</v>
      </c>
      <c r="G38" s="35">
        <v>1</v>
      </c>
      <c r="H38" s="35" t="s">
        <v>254</v>
      </c>
      <c r="I38" s="35">
        <v>656</v>
      </c>
      <c r="J38" s="36">
        <f t="shared" si="1"/>
        <v>100</v>
      </c>
    </row>
    <row r="39" spans="1:10" ht="21" customHeight="1" x14ac:dyDescent="0.15">
      <c r="A39" s="97">
        <v>41013042</v>
      </c>
      <c r="B39" s="35">
        <v>1</v>
      </c>
      <c r="C39" s="35">
        <v>102</v>
      </c>
      <c r="D39" s="35">
        <v>100</v>
      </c>
      <c r="E39" s="35" t="s">
        <v>254</v>
      </c>
      <c r="F39" s="35" t="s">
        <v>254</v>
      </c>
      <c r="G39" s="35">
        <v>1</v>
      </c>
      <c r="H39" s="35" t="s">
        <v>254</v>
      </c>
      <c r="I39" s="35">
        <v>657</v>
      </c>
      <c r="J39" s="36">
        <f t="shared" ref="J39:J46" si="2">D39</f>
        <v>100</v>
      </c>
    </row>
    <row r="40" spans="1:10" ht="21" customHeight="1" x14ac:dyDescent="0.15">
      <c r="A40" s="97">
        <v>41013043</v>
      </c>
      <c r="B40" s="35">
        <v>1</v>
      </c>
      <c r="C40" s="35">
        <v>103</v>
      </c>
      <c r="D40" s="35">
        <v>100</v>
      </c>
      <c r="E40" s="35" t="s">
        <v>254</v>
      </c>
      <c r="F40" s="35" t="s">
        <v>254</v>
      </c>
      <c r="G40" s="35">
        <v>1</v>
      </c>
      <c r="H40" s="35" t="s">
        <v>254</v>
      </c>
      <c r="I40" s="35">
        <v>834</v>
      </c>
      <c r="J40" s="36">
        <f t="shared" si="2"/>
        <v>100</v>
      </c>
    </row>
    <row r="41" spans="1:10" ht="21" customHeight="1" x14ac:dyDescent="0.15">
      <c r="A41" s="97">
        <v>41013044</v>
      </c>
      <c r="B41" s="35">
        <v>1</v>
      </c>
      <c r="C41" s="35">
        <v>101</v>
      </c>
      <c r="D41" s="35">
        <v>100</v>
      </c>
      <c r="E41" s="35" t="s">
        <v>254</v>
      </c>
      <c r="F41" s="35" t="s">
        <v>254</v>
      </c>
      <c r="G41" s="35">
        <v>1</v>
      </c>
      <c r="H41" s="35" t="s">
        <v>254</v>
      </c>
      <c r="I41" s="35">
        <v>656</v>
      </c>
      <c r="J41" s="36">
        <f t="shared" si="2"/>
        <v>100</v>
      </c>
    </row>
    <row r="42" spans="1:10" ht="21" customHeight="1" x14ac:dyDescent="0.15">
      <c r="A42" s="97">
        <v>41013045</v>
      </c>
      <c r="B42" s="35">
        <v>1</v>
      </c>
      <c r="C42" s="35">
        <v>102</v>
      </c>
      <c r="D42" s="35">
        <v>100</v>
      </c>
      <c r="E42" s="35" t="s">
        <v>254</v>
      </c>
      <c r="F42" s="35" t="s">
        <v>254</v>
      </c>
      <c r="G42" s="35">
        <v>1</v>
      </c>
      <c r="H42" s="35" t="s">
        <v>254</v>
      </c>
      <c r="I42" s="35">
        <v>657</v>
      </c>
      <c r="J42" s="36">
        <f t="shared" si="2"/>
        <v>100</v>
      </c>
    </row>
    <row r="43" spans="1:10" ht="21" customHeight="1" x14ac:dyDescent="0.15">
      <c r="A43" s="97">
        <v>41013046</v>
      </c>
      <c r="B43" s="35">
        <v>1</v>
      </c>
      <c r="C43" s="35">
        <v>103</v>
      </c>
      <c r="D43" s="35">
        <v>100</v>
      </c>
      <c r="E43" s="35" t="s">
        <v>254</v>
      </c>
      <c r="F43" s="35" t="s">
        <v>254</v>
      </c>
      <c r="G43" s="35">
        <v>1</v>
      </c>
      <c r="H43" s="35" t="s">
        <v>254</v>
      </c>
      <c r="I43" s="35">
        <v>834</v>
      </c>
      <c r="J43" s="36">
        <f t="shared" si="2"/>
        <v>100</v>
      </c>
    </row>
    <row r="44" spans="1:10" ht="21" customHeight="1" x14ac:dyDescent="0.15">
      <c r="A44" s="97">
        <v>41013047</v>
      </c>
      <c r="B44" s="35">
        <v>1</v>
      </c>
      <c r="C44" s="35">
        <v>101</v>
      </c>
      <c r="D44" s="35">
        <v>100</v>
      </c>
      <c r="E44" s="35" t="s">
        <v>254</v>
      </c>
      <c r="F44" s="35" t="s">
        <v>254</v>
      </c>
      <c r="G44" s="35">
        <v>1</v>
      </c>
      <c r="H44" s="35" t="s">
        <v>254</v>
      </c>
      <c r="I44" s="35">
        <v>656</v>
      </c>
      <c r="J44" s="36">
        <f t="shared" si="2"/>
        <v>100</v>
      </c>
    </row>
    <row r="45" spans="1:10" ht="21" customHeight="1" x14ac:dyDescent="0.15">
      <c r="A45" s="97">
        <v>41013048</v>
      </c>
      <c r="B45" s="35">
        <v>1</v>
      </c>
      <c r="C45" s="35">
        <v>102</v>
      </c>
      <c r="D45" s="35">
        <v>100</v>
      </c>
      <c r="E45" s="35" t="s">
        <v>254</v>
      </c>
      <c r="F45" s="35" t="s">
        <v>254</v>
      </c>
      <c r="G45" s="35">
        <v>1</v>
      </c>
      <c r="H45" s="35" t="s">
        <v>254</v>
      </c>
      <c r="I45" s="35">
        <v>657</v>
      </c>
      <c r="J45" s="36">
        <f t="shared" si="2"/>
        <v>100</v>
      </c>
    </row>
    <row r="46" spans="1:10" ht="21" customHeight="1" x14ac:dyDescent="0.15">
      <c r="A46" s="97">
        <v>41013049</v>
      </c>
      <c r="B46" s="35">
        <v>1</v>
      </c>
      <c r="C46" s="35">
        <v>103</v>
      </c>
      <c r="D46" s="35">
        <v>100</v>
      </c>
      <c r="E46" s="35" t="s">
        <v>254</v>
      </c>
      <c r="F46" s="35" t="s">
        <v>254</v>
      </c>
      <c r="G46" s="35">
        <v>1</v>
      </c>
      <c r="H46" s="35" t="s">
        <v>254</v>
      </c>
      <c r="I46" s="35">
        <v>834</v>
      </c>
      <c r="J46" s="36">
        <f t="shared" si="2"/>
        <v>100</v>
      </c>
    </row>
  </sheetData>
  <autoFilter ref="A1:G1"/>
  <phoneticPr fontId="5"/>
  <conditionalFormatting sqref="K47:K1048576 K1:K38">
    <cfRule type="duplicateValues" dxfId="1" priority="2"/>
  </conditionalFormatting>
  <conditionalFormatting sqref="K39:K46">
    <cfRule type="duplicateValues" dxfId="0" priority="4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G18" sqref="G18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163" t="s">
        <v>149</v>
      </c>
      <c r="B1" s="163" t="s">
        <v>150</v>
      </c>
      <c r="C1" s="53" t="s">
        <v>151</v>
      </c>
      <c r="D1" s="164" t="s">
        <v>152</v>
      </c>
      <c r="E1" s="165" t="s">
        <v>153</v>
      </c>
      <c r="F1" s="163" t="s">
        <v>154</v>
      </c>
      <c r="G1" s="163" t="s">
        <v>155</v>
      </c>
      <c r="H1" s="163" t="s">
        <v>156</v>
      </c>
      <c r="I1" s="163" t="s">
        <v>157</v>
      </c>
      <c r="J1" s="163" t="s">
        <v>158</v>
      </c>
      <c r="K1" s="163" t="s">
        <v>159</v>
      </c>
      <c r="L1" s="163" t="s">
        <v>160</v>
      </c>
      <c r="M1" s="163" t="s">
        <v>161</v>
      </c>
      <c r="N1" s="163" t="s">
        <v>162</v>
      </c>
      <c r="O1" s="163" t="s">
        <v>163</v>
      </c>
      <c r="P1" s="163" t="s">
        <v>164</v>
      </c>
      <c r="Q1" s="163" t="s">
        <v>165</v>
      </c>
      <c r="R1" s="163" t="s">
        <v>166</v>
      </c>
    </row>
    <row r="2" spans="1:18" s="167" customFormat="1" x14ac:dyDescent="0.15">
      <c r="A2" s="67">
        <v>41013</v>
      </c>
      <c r="B2" s="67">
        <v>1</v>
      </c>
      <c r="C2" s="161" t="str">
        <f t="shared" ref="C2:C18" si="0">A2&amp; "_"&amp;B2</f>
        <v>41013_1</v>
      </c>
      <c r="D2" s="166" t="str">
        <f ca="1">VLOOKUP($C2,OFFSET([2]stages!$A$1,0,0,COUNTA([2]stages!$A:$A),MATCH(D$1,[2]stages!$2:$2,0)-MATCH($C$1,[2]stages!$2:$2,0)+1),MATCH(D$1,[2]stages!$2:$2,0)-MATCH($C$1,[2]stages!$2:$2,0)+1,FALSE)</f>
        <v>everyone</v>
      </c>
      <c r="E2" s="67">
        <v>1</v>
      </c>
      <c r="F2" s="67" t="s">
        <v>167</v>
      </c>
      <c r="G2" s="67">
        <v>40000</v>
      </c>
      <c r="H2" s="67" t="s">
        <v>53</v>
      </c>
      <c r="I2" s="67">
        <v>1</v>
      </c>
      <c r="J2" s="67">
        <v>1</v>
      </c>
      <c r="K2" s="67">
        <v>0</v>
      </c>
      <c r="L2" s="67">
        <v>0</v>
      </c>
      <c r="M2" s="67">
        <v>0</v>
      </c>
      <c r="N2" s="67">
        <v>0</v>
      </c>
      <c r="O2" s="67">
        <v>1</v>
      </c>
      <c r="P2" s="67">
        <v>150</v>
      </c>
      <c r="Q2" s="67" t="s">
        <v>168</v>
      </c>
      <c r="R2" s="67" t="s">
        <v>169</v>
      </c>
    </row>
    <row r="3" spans="1:18" s="167" customFormat="1" x14ac:dyDescent="0.15">
      <c r="A3" s="67">
        <v>41013</v>
      </c>
      <c r="B3" s="67">
        <v>1</v>
      </c>
      <c r="C3" s="161" t="str">
        <f t="shared" si="0"/>
        <v>41013_1</v>
      </c>
      <c r="D3" s="166" t="str">
        <f ca="1">VLOOKUP($C3,OFFSET([2]stages!$A$1,0,0,COUNTA([2]stages!$A:$A),MATCH(D$1,[2]stages!$2:$2,0)-MATCH($C$1,[2]stages!$2:$2,0)+1),MATCH(D$1,[2]stages!$2:$2,0)-MATCH($C$1,[2]stages!$2:$2,0)+1,FALSE)</f>
        <v>everyone</v>
      </c>
      <c r="E3" s="67">
        <v>2</v>
      </c>
      <c r="F3" s="67" t="s">
        <v>355</v>
      </c>
      <c r="G3" s="67">
        <v>30</v>
      </c>
      <c r="H3" s="67" t="s">
        <v>53</v>
      </c>
      <c r="I3" s="67">
        <v>1</v>
      </c>
      <c r="J3" s="67">
        <v>1</v>
      </c>
      <c r="K3" s="67">
        <v>0</v>
      </c>
      <c r="L3" s="67">
        <v>0</v>
      </c>
      <c r="M3" s="67">
        <v>0</v>
      </c>
      <c r="N3" s="67">
        <v>0</v>
      </c>
      <c r="O3" s="67">
        <v>1</v>
      </c>
      <c r="P3" s="67">
        <v>150</v>
      </c>
      <c r="Q3" s="67" t="s">
        <v>168</v>
      </c>
      <c r="R3" s="67" t="s">
        <v>169</v>
      </c>
    </row>
    <row r="4" spans="1:18" s="167" customFormat="1" x14ac:dyDescent="0.15">
      <c r="A4" s="67">
        <v>41013</v>
      </c>
      <c r="B4" s="67">
        <v>1</v>
      </c>
      <c r="C4" s="161" t="str">
        <f t="shared" si="0"/>
        <v>41013_1</v>
      </c>
      <c r="D4" s="166" t="str">
        <f ca="1">VLOOKUP($C4,OFFSET([2]stages!$A$1,0,0,COUNTA([2]stages!$A:$A),MATCH(D$1,[2]stages!$2:$2,0)-MATCH($C$1,[2]stages!$2:$2,0)+1),MATCH(D$1,[2]stages!$2:$2,0)-MATCH($C$1,[2]stages!$2:$2,0)+1,FALSE)</f>
        <v>everyone</v>
      </c>
      <c r="E4" s="67">
        <v>3</v>
      </c>
      <c r="F4" s="67" t="s">
        <v>227</v>
      </c>
      <c r="G4" s="67">
        <v>333</v>
      </c>
      <c r="H4" s="67">
        <v>1</v>
      </c>
      <c r="I4" s="67">
        <v>1</v>
      </c>
      <c r="J4" s="67">
        <v>1</v>
      </c>
      <c r="K4" s="67">
        <v>0</v>
      </c>
      <c r="L4" s="67">
        <v>0</v>
      </c>
      <c r="M4" s="67">
        <v>0</v>
      </c>
      <c r="N4" s="67">
        <v>0</v>
      </c>
      <c r="O4" s="67">
        <v>1</v>
      </c>
      <c r="P4" s="67">
        <v>28</v>
      </c>
      <c r="Q4" s="67" t="s">
        <v>168</v>
      </c>
      <c r="R4" s="67" t="s">
        <v>169</v>
      </c>
    </row>
    <row r="5" spans="1:18" s="167" customFormat="1" x14ac:dyDescent="0.15">
      <c r="A5" s="67">
        <v>41013</v>
      </c>
      <c r="B5" s="67">
        <v>1</v>
      </c>
      <c r="C5" s="161" t="str">
        <f t="shared" si="0"/>
        <v>41013_1</v>
      </c>
      <c r="D5" s="166" t="str">
        <f ca="1">VLOOKUP($C5,OFFSET([2]stages!$A$1,0,0,COUNTA([2]stages!$A:$A),MATCH(D$1,[2]stages!$2:$2,0)-MATCH($C$1,[2]stages!$2:$2,0)+1),MATCH(D$1,[2]stages!$2:$2,0)-MATCH($C$1,[2]stages!$2:$2,0)+1,FALSE)</f>
        <v>everyone</v>
      </c>
      <c r="E5" s="67">
        <v>4</v>
      </c>
      <c r="F5" s="67" t="s">
        <v>227</v>
      </c>
      <c r="G5" s="67">
        <v>334</v>
      </c>
      <c r="H5" s="67">
        <v>1</v>
      </c>
      <c r="I5" s="67">
        <v>1</v>
      </c>
      <c r="J5" s="67">
        <v>1</v>
      </c>
      <c r="K5" s="67">
        <v>0</v>
      </c>
      <c r="L5" s="67">
        <v>0</v>
      </c>
      <c r="M5" s="67">
        <v>0</v>
      </c>
      <c r="N5" s="67">
        <v>0</v>
      </c>
      <c r="O5" s="67">
        <v>1</v>
      </c>
      <c r="P5" s="67">
        <v>112</v>
      </c>
      <c r="Q5" s="67" t="s">
        <v>168</v>
      </c>
      <c r="R5" s="67" t="s">
        <v>169</v>
      </c>
    </row>
    <row r="6" spans="1:18" s="167" customFormat="1" x14ac:dyDescent="0.15">
      <c r="A6" s="67">
        <v>41013</v>
      </c>
      <c r="B6" s="67">
        <v>1</v>
      </c>
      <c r="C6" s="161" t="str">
        <f t="shared" si="0"/>
        <v>41013_1</v>
      </c>
      <c r="D6" s="166" t="str">
        <f ca="1">VLOOKUP($C6,OFFSET([2]stages!$A$1,0,0,COUNTA([2]stages!$A:$A),MATCH(D$1,[2]stages!$2:$2,0)-MATCH($C$1,[2]stages!$2:$2,0)+1),MATCH(D$1,[2]stages!$2:$2,0)-MATCH($C$1,[2]stages!$2:$2,0)+1,FALSE)</f>
        <v>everyone</v>
      </c>
      <c r="E6" s="67">
        <v>5</v>
      </c>
      <c r="F6" s="67" t="s">
        <v>227</v>
      </c>
      <c r="G6" s="67">
        <v>121</v>
      </c>
      <c r="H6" s="67">
        <v>1</v>
      </c>
      <c r="I6" s="67">
        <v>1</v>
      </c>
      <c r="J6" s="67">
        <v>1</v>
      </c>
      <c r="K6" s="67">
        <v>0</v>
      </c>
      <c r="L6" s="67">
        <v>0</v>
      </c>
      <c r="M6" s="67">
        <v>0</v>
      </c>
      <c r="N6" s="67">
        <v>0</v>
      </c>
      <c r="O6" s="67">
        <v>1</v>
      </c>
      <c r="P6" s="67">
        <v>100</v>
      </c>
      <c r="Q6" s="67" t="s">
        <v>168</v>
      </c>
      <c r="R6" s="67" t="s">
        <v>169</v>
      </c>
    </row>
    <row r="7" spans="1:18" s="167" customFormat="1" x14ac:dyDescent="0.15">
      <c r="A7" s="67">
        <v>41013</v>
      </c>
      <c r="B7" s="67">
        <v>1</v>
      </c>
      <c r="C7" s="161" t="str">
        <f t="shared" si="0"/>
        <v>41013_1</v>
      </c>
      <c r="D7" s="166" t="str">
        <f ca="1">VLOOKUP($C7,OFFSET([2]stages!$A$1,0,0,COUNTA([2]stages!$A:$A),MATCH(D$1,[2]stages!$2:$2,0)-MATCH($C$1,[2]stages!$2:$2,0)+1),MATCH(D$1,[2]stages!$2:$2,0)-MATCH($C$1,[2]stages!$2:$2,0)+1,FALSE)</f>
        <v>everyone</v>
      </c>
      <c r="E7" s="67">
        <v>6</v>
      </c>
      <c r="F7" s="67" t="s">
        <v>227</v>
      </c>
      <c r="G7" s="67">
        <v>122</v>
      </c>
      <c r="H7" s="67">
        <v>1</v>
      </c>
      <c r="I7" s="67">
        <v>1</v>
      </c>
      <c r="J7" s="67">
        <v>1</v>
      </c>
      <c r="K7" s="67">
        <v>0</v>
      </c>
      <c r="L7" s="67">
        <v>0</v>
      </c>
      <c r="M7" s="67">
        <v>0</v>
      </c>
      <c r="N7" s="67">
        <v>0</v>
      </c>
      <c r="O7" s="67">
        <v>1</v>
      </c>
      <c r="P7" s="67">
        <v>100</v>
      </c>
      <c r="Q7" s="67" t="s">
        <v>168</v>
      </c>
      <c r="R7" s="67" t="s">
        <v>169</v>
      </c>
    </row>
    <row r="8" spans="1:18" s="167" customFormat="1" x14ac:dyDescent="0.15">
      <c r="A8" s="67">
        <v>41013</v>
      </c>
      <c r="B8" s="67">
        <v>1</v>
      </c>
      <c r="C8" s="161" t="str">
        <f t="shared" si="0"/>
        <v>41013_1</v>
      </c>
      <c r="D8" s="166" t="str">
        <f ca="1">VLOOKUP($C8,OFFSET([2]stages!$A$1,0,0,COUNTA([2]stages!$A:$A),MATCH(D$1,[2]stages!$2:$2,0)-MATCH($C$1,[2]stages!$2:$2,0)+1),MATCH(D$1,[2]stages!$2:$2,0)-MATCH($C$1,[2]stages!$2:$2,0)+1,FALSE)</f>
        <v>everyone</v>
      </c>
      <c r="E8" s="67">
        <v>7</v>
      </c>
      <c r="F8" s="67" t="s">
        <v>227</v>
      </c>
      <c r="G8" s="67">
        <v>123</v>
      </c>
      <c r="H8" s="67">
        <v>1</v>
      </c>
      <c r="I8" s="67">
        <v>1</v>
      </c>
      <c r="J8" s="67">
        <v>1</v>
      </c>
      <c r="K8" s="67">
        <v>0</v>
      </c>
      <c r="L8" s="67">
        <v>0</v>
      </c>
      <c r="M8" s="67">
        <v>0</v>
      </c>
      <c r="N8" s="67">
        <v>0</v>
      </c>
      <c r="O8" s="67">
        <v>1</v>
      </c>
      <c r="P8" s="67">
        <v>100</v>
      </c>
      <c r="Q8" s="67" t="s">
        <v>168</v>
      </c>
      <c r="R8" s="67" t="s">
        <v>169</v>
      </c>
    </row>
    <row r="9" spans="1:18" s="167" customFormat="1" x14ac:dyDescent="0.15">
      <c r="A9" s="67">
        <v>41013</v>
      </c>
      <c r="B9" s="67">
        <v>1</v>
      </c>
      <c r="C9" s="161" t="str">
        <f t="shared" si="0"/>
        <v>41013_1</v>
      </c>
      <c r="D9" s="166" t="str">
        <f ca="1">VLOOKUP($C9,OFFSET([2]stages!$A$1,0,0,COUNTA([2]stages!$A:$A),MATCH(D$1,[2]stages!$2:$2,0)-MATCH($C$1,[2]stages!$2:$2,0)+1),MATCH(D$1,[2]stages!$2:$2,0)-MATCH($C$1,[2]stages!$2:$2,0)+1,FALSE)</f>
        <v>everyone</v>
      </c>
      <c r="E9" s="67">
        <v>8</v>
      </c>
      <c r="F9" s="67" t="s">
        <v>227</v>
      </c>
      <c r="G9" s="67">
        <v>125</v>
      </c>
      <c r="H9" s="67">
        <v>1</v>
      </c>
      <c r="I9" s="67">
        <v>1</v>
      </c>
      <c r="J9" s="67">
        <v>1</v>
      </c>
      <c r="K9" s="67">
        <v>0</v>
      </c>
      <c r="L9" s="67">
        <v>0</v>
      </c>
      <c r="M9" s="67">
        <v>0</v>
      </c>
      <c r="N9" s="67">
        <v>0</v>
      </c>
      <c r="O9" s="67">
        <v>1</v>
      </c>
      <c r="P9" s="67">
        <v>10</v>
      </c>
      <c r="Q9" s="67" t="s">
        <v>168</v>
      </c>
      <c r="R9" s="67" t="s">
        <v>169</v>
      </c>
    </row>
    <row r="10" spans="1:18" s="167" customFormat="1" x14ac:dyDescent="0.15">
      <c r="A10" s="67">
        <v>41013</v>
      </c>
      <c r="B10" s="67">
        <v>1</v>
      </c>
      <c r="C10" s="161" t="str">
        <f t="shared" si="0"/>
        <v>41013_1</v>
      </c>
      <c r="D10" s="166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67">
        <v>9</v>
      </c>
      <c r="F10" s="67" t="s">
        <v>227</v>
      </c>
      <c r="G10" s="67">
        <v>642</v>
      </c>
      <c r="H10" s="67">
        <v>1</v>
      </c>
      <c r="I10" s="67">
        <v>1</v>
      </c>
      <c r="J10" s="67">
        <v>1</v>
      </c>
      <c r="K10" s="67">
        <v>0</v>
      </c>
      <c r="L10" s="67">
        <v>0</v>
      </c>
      <c r="M10" s="67">
        <v>0</v>
      </c>
      <c r="N10" s="67">
        <v>0</v>
      </c>
      <c r="O10" s="67">
        <v>1</v>
      </c>
      <c r="P10" s="67">
        <v>100</v>
      </c>
      <c r="Q10" s="67" t="s">
        <v>168</v>
      </c>
      <c r="R10" s="67" t="s">
        <v>169</v>
      </c>
    </row>
    <row r="11" spans="1:18" s="167" customFormat="1" x14ac:dyDescent="0.15">
      <c r="A11" s="67">
        <v>41013</v>
      </c>
      <c r="B11" s="67">
        <v>1</v>
      </c>
      <c r="C11" s="161" t="str">
        <f t="shared" si="0"/>
        <v>41013_1</v>
      </c>
      <c r="D11" s="166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67">
        <v>10</v>
      </c>
      <c r="F11" s="67" t="s">
        <v>227</v>
      </c>
      <c r="G11" s="67">
        <v>348</v>
      </c>
      <c r="H11" s="67">
        <v>1</v>
      </c>
      <c r="I11" s="67">
        <v>1</v>
      </c>
      <c r="J11" s="67">
        <v>1</v>
      </c>
      <c r="K11" s="67">
        <v>0</v>
      </c>
      <c r="L11" s="67">
        <v>0</v>
      </c>
      <c r="M11" s="67">
        <v>0</v>
      </c>
      <c r="N11" s="67">
        <v>0</v>
      </c>
      <c r="O11" s="67">
        <v>1</v>
      </c>
      <c r="P11" s="67">
        <v>150</v>
      </c>
      <c r="Q11" s="67" t="s">
        <v>168</v>
      </c>
      <c r="R11" s="67" t="s">
        <v>169</v>
      </c>
    </row>
    <row r="12" spans="1:18" s="167" customFormat="1" ht="16" x14ac:dyDescent="0.2">
      <c r="A12" s="67">
        <v>41013</v>
      </c>
      <c r="B12" s="168">
        <v>2</v>
      </c>
      <c r="C12" s="162" t="str">
        <f t="shared" si="0"/>
        <v>41013_2</v>
      </c>
      <c r="D12" s="166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68">
        <v>1</v>
      </c>
      <c r="F12" s="168" t="s">
        <v>356</v>
      </c>
      <c r="G12" s="169">
        <v>334</v>
      </c>
      <c r="H12" s="168">
        <v>1</v>
      </c>
      <c r="I12" s="168">
        <v>1</v>
      </c>
      <c r="J12" s="168">
        <v>1</v>
      </c>
      <c r="K12" s="168">
        <v>0</v>
      </c>
      <c r="L12" s="168">
        <v>0</v>
      </c>
      <c r="M12" s="168">
        <v>0</v>
      </c>
      <c r="N12" s="168">
        <v>0</v>
      </c>
      <c r="O12" s="168">
        <v>1</v>
      </c>
      <c r="P12" s="168">
        <v>50</v>
      </c>
      <c r="Q12" s="168" t="s">
        <v>168</v>
      </c>
      <c r="R12" s="168" t="s">
        <v>169</v>
      </c>
    </row>
    <row r="13" spans="1:18" s="167" customFormat="1" x14ac:dyDescent="0.15">
      <c r="A13" s="67">
        <v>41013</v>
      </c>
      <c r="B13" s="168">
        <v>2</v>
      </c>
      <c r="C13" s="162" t="str">
        <f t="shared" si="0"/>
        <v>41013_2</v>
      </c>
      <c r="D13" s="166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68">
        <v>2</v>
      </c>
      <c r="F13" s="168" t="s">
        <v>356</v>
      </c>
      <c r="G13" s="170">
        <v>607</v>
      </c>
      <c r="H13" s="168">
        <v>1</v>
      </c>
      <c r="I13" s="168">
        <v>1</v>
      </c>
      <c r="J13" s="168">
        <v>1</v>
      </c>
      <c r="K13" s="168">
        <v>0</v>
      </c>
      <c r="L13" s="168">
        <v>0</v>
      </c>
      <c r="M13" s="168">
        <v>0</v>
      </c>
      <c r="N13" s="168">
        <v>0</v>
      </c>
      <c r="O13" s="168">
        <v>1</v>
      </c>
      <c r="P13" s="168">
        <v>100</v>
      </c>
      <c r="Q13" s="168" t="s">
        <v>168</v>
      </c>
      <c r="R13" s="168" t="s">
        <v>169</v>
      </c>
    </row>
    <row r="14" spans="1:18" s="167" customFormat="1" x14ac:dyDescent="0.15">
      <c r="A14" s="67">
        <v>41013</v>
      </c>
      <c r="B14" s="168">
        <v>2</v>
      </c>
      <c r="C14" s="162" t="str">
        <f t="shared" si="0"/>
        <v>41013_2</v>
      </c>
      <c r="D14" s="166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68">
        <v>3</v>
      </c>
      <c r="F14" s="168" t="s">
        <v>356</v>
      </c>
      <c r="G14" s="170">
        <v>608</v>
      </c>
      <c r="H14" s="168">
        <v>1</v>
      </c>
      <c r="I14" s="168">
        <v>1</v>
      </c>
      <c r="J14" s="168">
        <v>1</v>
      </c>
      <c r="K14" s="168">
        <v>0</v>
      </c>
      <c r="L14" s="168">
        <v>0</v>
      </c>
      <c r="M14" s="168">
        <v>0</v>
      </c>
      <c r="N14" s="168">
        <v>0</v>
      </c>
      <c r="O14" s="168">
        <v>1</v>
      </c>
      <c r="P14" s="168">
        <v>100</v>
      </c>
      <c r="Q14" s="168" t="s">
        <v>168</v>
      </c>
      <c r="R14" s="168" t="s">
        <v>169</v>
      </c>
    </row>
    <row r="15" spans="1:18" s="167" customFormat="1" x14ac:dyDescent="0.15">
      <c r="A15" s="67">
        <v>41013</v>
      </c>
      <c r="B15" s="168">
        <v>2</v>
      </c>
      <c r="C15" s="162" t="str">
        <f t="shared" si="0"/>
        <v>41013_2</v>
      </c>
      <c r="D15" s="166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168">
        <v>4</v>
      </c>
      <c r="F15" s="168" t="s">
        <v>356</v>
      </c>
      <c r="G15" s="170">
        <v>609</v>
      </c>
      <c r="H15" s="168">
        <v>1</v>
      </c>
      <c r="I15" s="168">
        <v>1</v>
      </c>
      <c r="J15" s="168">
        <v>1</v>
      </c>
      <c r="K15" s="168">
        <v>0</v>
      </c>
      <c r="L15" s="168">
        <v>0</v>
      </c>
      <c r="M15" s="168">
        <v>0</v>
      </c>
      <c r="N15" s="168">
        <v>0</v>
      </c>
      <c r="O15" s="168">
        <v>1</v>
      </c>
      <c r="P15" s="168">
        <v>100</v>
      </c>
      <c r="Q15" s="168" t="s">
        <v>168</v>
      </c>
      <c r="R15" s="168" t="s">
        <v>169</v>
      </c>
    </row>
    <row r="16" spans="1:18" s="167" customFormat="1" x14ac:dyDescent="0.15">
      <c r="A16" s="67">
        <v>41013</v>
      </c>
      <c r="B16" s="168">
        <v>2</v>
      </c>
      <c r="C16" s="162" t="str">
        <f t="shared" si="0"/>
        <v>41013_2</v>
      </c>
      <c r="D16" s="166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168">
        <v>5</v>
      </c>
      <c r="F16" s="168" t="s">
        <v>356</v>
      </c>
      <c r="G16" s="170">
        <v>125</v>
      </c>
      <c r="H16" s="168">
        <v>1</v>
      </c>
      <c r="I16" s="168">
        <v>1</v>
      </c>
      <c r="J16" s="168">
        <v>1</v>
      </c>
      <c r="K16" s="168">
        <v>0</v>
      </c>
      <c r="L16" s="168">
        <v>0</v>
      </c>
      <c r="M16" s="168">
        <v>0</v>
      </c>
      <c r="N16" s="168">
        <v>0</v>
      </c>
      <c r="O16" s="168">
        <v>1</v>
      </c>
      <c r="P16" s="168">
        <v>30</v>
      </c>
      <c r="Q16" s="168" t="s">
        <v>168</v>
      </c>
      <c r="R16" s="168" t="s">
        <v>169</v>
      </c>
    </row>
    <row r="17" spans="1:18" s="167" customFormat="1" x14ac:dyDescent="0.15">
      <c r="A17" s="67">
        <v>41013</v>
      </c>
      <c r="B17" s="168">
        <v>2</v>
      </c>
      <c r="C17" s="162" t="str">
        <f t="shared" si="0"/>
        <v>41013_2</v>
      </c>
      <c r="D17" s="166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168">
        <v>6</v>
      </c>
      <c r="F17" s="168" t="s">
        <v>356</v>
      </c>
      <c r="G17" s="170">
        <v>642</v>
      </c>
      <c r="H17" s="168">
        <v>1</v>
      </c>
      <c r="I17" s="168">
        <v>1</v>
      </c>
      <c r="J17" s="168">
        <v>1</v>
      </c>
      <c r="K17" s="168">
        <v>0</v>
      </c>
      <c r="L17" s="168">
        <v>0</v>
      </c>
      <c r="M17" s="168">
        <v>0</v>
      </c>
      <c r="N17" s="168">
        <v>0</v>
      </c>
      <c r="O17" s="168">
        <v>1</v>
      </c>
      <c r="P17" s="168">
        <v>500</v>
      </c>
      <c r="Q17" s="168" t="s">
        <v>168</v>
      </c>
      <c r="R17" s="168" t="s">
        <v>169</v>
      </c>
    </row>
    <row r="18" spans="1:18" s="167" customFormat="1" ht="16" x14ac:dyDescent="0.2">
      <c r="A18" s="67">
        <v>41013</v>
      </c>
      <c r="B18" s="168">
        <v>2</v>
      </c>
      <c r="C18" s="162" t="str">
        <f t="shared" si="0"/>
        <v>41013_2</v>
      </c>
      <c r="D18" s="166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68">
        <v>7</v>
      </c>
      <c r="F18" s="168" t="s">
        <v>356</v>
      </c>
      <c r="G18" s="169">
        <v>348</v>
      </c>
      <c r="H18" s="168">
        <v>1</v>
      </c>
      <c r="I18" s="168">
        <v>1</v>
      </c>
      <c r="J18" s="168">
        <v>1</v>
      </c>
      <c r="K18" s="168">
        <v>0</v>
      </c>
      <c r="L18" s="168">
        <v>0</v>
      </c>
      <c r="M18" s="168">
        <v>0</v>
      </c>
      <c r="N18" s="168">
        <v>0</v>
      </c>
      <c r="O18" s="168">
        <v>1</v>
      </c>
      <c r="P18" s="168">
        <v>120</v>
      </c>
      <c r="Q18" s="168" t="s">
        <v>168</v>
      </c>
      <c r="R18" s="168" t="s">
        <v>169</v>
      </c>
    </row>
  </sheetData>
  <phoneticPr fontId="5"/>
  <dataValidations disablePrompts="1"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27"/>
  <sheetViews>
    <sheetView showGridLines="0" workbookViewId="0">
      <pane ySplit="1" topLeftCell="A2" activePane="bottomLeft" state="frozen"/>
      <selection pane="bottomLeft" activeCell="E38" sqref="E38"/>
    </sheetView>
  </sheetViews>
  <sheetFormatPr baseColWidth="12" defaultColWidth="13" defaultRowHeight="15" outlineLevelCol="1" x14ac:dyDescent="0.15"/>
  <cols>
    <col min="1" max="1" width="13" style="7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2" t="s">
        <v>186</v>
      </c>
      <c r="B1" s="59" t="s">
        <v>187</v>
      </c>
      <c r="C1" s="63" t="s">
        <v>188</v>
      </c>
      <c r="D1" s="63" t="s">
        <v>33</v>
      </c>
      <c r="E1" s="59" t="s">
        <v>189</v>
      </c>
      <c r="F1" s="63" t="s">
        <v>190</v>
      </c>
      <c r="G1" s="63" t="s">
        <v>33</v>
      </c>
      <c r="H1" s="59" t="s">
        <v>191</v>
      </c>
      <c r="I1" s="77" t="s">
        <v>193</v>
      </c>
      <c r="J1" s="65" t="s">
        <v>125</v>
      </c>
      <c r="K1" s="64" t="s">
        <v>185</v>
      </c>
      <c r="L1" s="78" t="s">
        <v>184</v>
      </c>
      <c r="M1" s="66" t="s">
        <v>194</v>
      </c>
    </row>
    <row r="2" spans="1:13" x14ac:dyDescent="0.15">
      <c r="A2" s="67" t="s">
        <v>199</v>
      </c>
      <c r="B2" s="68">
        <f>floors!$C$2</f>
        <v>41013</v>
      </c>
      <c r="C2" s="69" t="str">
        <f ca="1">VLOOKUP($B2,OFFSET([2]quests!$A$1,0,0,COUNTA([2]quests!$A:$A),MATCH(C$1,[2]quests!$1:$1,0)-MATCH($B$1,[2]quests!$1:$1,0)+1),MATCH(C$1,[2]quests!$1:$1,0)-MATCH($B$1,[2]quests!$1:$1,0)+1,FALSE)</f>
        <v>カーマ襲来！</v>
      </c>
      <c r="D2" s="69" t="str">
        <f ca="1">VLOOKUP($B2,OFFSET([2]quests!$A$1,0,0,COUNTA([2]quests!$A:$A),MATCH(D$1,[2]quests!$1:$1,0)-MATCH($B$1,[2]quests!$1:$1,0)+1),MATCH(D$1,[2]quests!$1:$1,0)-MATCH($B$1,[2]quests!$1:$1,0)+1,FALSE)</f>
        <v>降臨1</v>
      </c>
      <c r="E2" s="73">
        <v>1</v>
      </c>
      <c r="F2" s="69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【超絶級】カーマ襲来</v>
      </c>
      <c r="G2" s="69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71">
        <v>0</v>
      </c>
      <c r="I2">
        <v>12</v>
      </c>
      <c r="J2" s="70" t="s">
        <v>196</v>
      </c>
      <c r="K2" s="79" t="str">
        <f>VLOOKUP(I2,[7]stage_hints!$A:$C,3,FALSE)</f>
        <v>ユニットのお気に入り登録</v>
      </c>
      <c r="L2" s="80" t="str">
        <f>VLOOKUP(I2,[7]stage_hints!$A:$D,4,FALSE)</f>
        <v>大事なユニットを誤って消さないように_x000D_フォルダから「お気に入り登録」しましょう</v>
      </c>
      <c r="M2" s="45" t="s">
        <v>209</v>
      </c>
    </row>
    <row r="3" spans="1:13" x14ac:dyDescent="0.15">
      <c r="A3" s="67" t="s">
        <v>199</v>
      </c>
      <c r="B3" s="68">
        <f>floors!$C$2</f>
        <v>41013</v>
      </c>
      <c r="C3" s="69" t="str">
        <f ca="1">VLOOKUP($B3,OFFSET([2]quests!$A$1,0,0,COUNTA([2]quests!$A:$A),MATCH(C$1,[2]quests!$1:$1,0)-MATCH($B$1,[2]quests!$1:$1,0)+1),MATCH(C$1,[2]quests!$1:$1,0)-MATCH($B$1,[2]quests!$1:$1,0)+1,FALSE)</f>
        <v>カーマ襲来！</v>
      </c>
      <c r="D3" s="69" t="str">
        <f ca="1">VLOOKUP($B3,OFFSET([2]quests!$A$1,0,0,COUNTA([2]quests!$A:$A),MATCH(D$1,[2]quests!$1:$1,0)-MATCH($B$1,[2]quests!$1:$1,0)+1),MATCH(D$1,[2]quests!$1:$1,0)-MATCH($B$1,[2]quests!$1:$1,0)+1,FALSE)</f>
        <v>降臨1</v>
      </c>
      <c r="E3" s="73">
        <v>1</v>
      </c>
      <c r="F3" s="69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【超絶級】カーマ襲来</v>
      </c>
      <c r="G3" s="69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71">
        <v>0</v>
      </c>
      <c r="I3">
        <v>17</v>
      </c>
      <c r="J3" s="70" t="s">
        <v>196</v>
      </c>
      <c r="K3" s="79" t="str">
        <f>VLOOKUP(I3,[7]stage_hints!$A:$C,3,FALSE)</f>
        <v>リンクガチャ</v>
      </c>
      <c r="L3" s="80" t="str">
        <f>VLOOKUP(I3,[7]stage_hints!$A:$D,4,FALSE)</f>
        <v>無料のリンクガチャを回して_x000D_経験値素材や売却素材を獲得しましょう</v>
      </c>
      <c r="M3" s="45" t="s">
        <v>209</v>
      </c>
    </row>
    <row r="4" spans="1:13" x14ac:dyDescent="0.15">
      <c r="A4" s="67" t="s">
        <v>199</v>
      </c>
      <c r="B4" s="68">
        <f>floors!$C$2</f>
        <v>41013</v>
      </c>
      <c r="C4" s="69" t="str">
        <f ca="1">VLOOKUP($B4,OFFSET([2]quests!$A$1,0,0,COUNTA([2]quests!$A:$A),MATCH(C$1,[2]quests!$1:$1,0)-MATCH($B$1,[2]quests!$1:$1,0)+1),MATCH(C$1,[2]quests!$1:$1,0)-MATCH($B$1,[2]quests!$1:$1,0)+1,FALSE)</f>
        <v>カーマ襲来！</v>
      </c>
      <c r="D4" s="69" t="str">
        <f ca="1">VLOOKUP($B4,OFFSET([2]quests!$A$1,0,0,COUNTA([2]quests!$A:$A),MATCH(D$1,[2]quests!$1:$1,0)-MATCH($B$1,[2]quests!$1:$1,0)+1),MATCH(D$1,[2]quests!$1:$1,0)-MATCH($B$1,[2]quests!$1:$1,0)+1,FALSE)</f>
        <v>降臨1</v>
      </c>
      <c r="E4" s="73">
        <v>1</v>
      </c>
      <c r="F4" s="69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【超絶級】カーマ襲来</v>
      </c>
      <c r="G4" s="69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71">
        <v>0</v>
      </c>
      <c r="I4">
        <v>19</v>
      </c>
      <c r="J4" s="70" t="s">
        <v>196</v>
      </c>
      <c r="K4" s="79" t="str">
        <f>VLOOKUP(I4,[7]stage_hints!$A:$C,3,FALSE)</f>
        <v>ソロ専用タワーオブザクイーン</v>
      </c>
      <c r="L4" s="80" t="str">
        <f>VLOOKUP(I4,[7]stage_hints!$A:$D,4,FALSE)</f>
        <v>ソロ専用の「タワーオブザクイーン」は_x000D_期間限定で定期的に開催されます_x000D_ここでしか獲得できない報酬もあるようです</v>
      </c>
      <c r="M4" s="45" t="s">
        <v>209</v>
      </c>
    </row>
    <row r="5" spans="1:13" x14ac:dyDescent="0.15">
      <c r="A5" s="67" t="s">
        <v>199</v>
      </c>
      <c r="B5" s="68">
        <f>floors!$C$2</f>
        <v>41013</v>
      </c>
      <c r="C5" s="69" t="str">
        <f ca="1">VLOOKUP($B5,OFFSET([2]quests!$A$1,0,0,COUNTA([2]quests!$A:$A),MATCH(C$1,[2]quests!$1:$1,0)-MATCH($B$1,[2]quests!$1:$1,0)+1),MATCH(C$1,[2]quests!$1:$1,0)-MATCH($B$1,[2]quests!$1:$1,0)+1,FALSE)</f>
        <v>カーマ襲来！</v>
      </c>
      <c r="D5" s="69" t="str">
        <f ca="1">VLOOKUP($B5,OFFSET([2]quests!$A$1,0,0,COUNTA([2]quests!$A:$A),MATCH(D$1,[2]quests!$1:$1,0)-MATCH($B$1,[2]quests!$1:$1,0)+1),MATCH(D$1,[2]quests!$1:$1,0)-MATCH($B$1,[2]quests!$1:$1,0)+1,FALSE)</f>
        <v>降臨1</v>
      </c>
      <c r="E5" s="73">
        <v>1</v>
      </c>
      <c r="F5" s="69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【超絶級】カーマ襲来</v>
      </c>
      <c r="G5" s="69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71">
        <v>0</v>
      </c>
      <c r="I5">
        <v>21</v>
      </c>
      <c r="J5" s="70" t="s">
        <v>196</v>
      </c>
      <c r="K5" s="79" t="str">
        <f>VLOOKUP(I5,[7]stage_hints!$A:$C,3,FALSE)</f>
        <v>スキルを有効に</v>
      </c>
      <c r="L5" s="80" t="str">
        <f>VLOOKUP(I5,[7]stage_hints!$A:$D,4,FALSE)</f>
        <v>ターン経過でユニットのスキルが使えます_x000D_強力スキルでバトルを有利に進めましょう</v>
      </c>
      <c r="M5" s="45" t="s">
        <v>209</v>
      </c>
    </row>
    <row r="6" spans="1:13" x14ac:dyDescent="0.15">
      <c r="A6" s="67" t="s">
        <v>199</v>
      </c>
      <c r="B6" s="68">
        <f>floors!$C$2</f>
        <v>41013</v>
      </c>
      <c r="C6" s="69" t="str">
        <f ca="1">VLOOKUP($B6,OFFSET([2]quests!$A$1,0,0,COUNTA([2]quests!$A:$A),MATCH(C$1,[2]quests!$1:$1,0)-MATCH($B$1,[2]quests!$1:$1,0)+1),MATCH(C$1,[2]quests!$1:$1,0)-MATCH($B$1,[2]quests!$1:$1,0)+1,FALSE)</f>
        <v>カーマ襲来！</v>
      </c>
      <c r="D6" s="69" t="str">
        <f ca="1">VLOOKUP($B6,OFFSET([2]quests!$A$1,0,0,COUNTA([2]quests!$A:$A),MATCH(D$1,[2]quests!$1:$1,0)-MATCH($B$1,[2]quests!$1:$1,0)+1),MATCH(D$1,[2]quests!$1:$1,0)-MATCH($B$1,[2]quests!$1:$1,0)+1,FALSE)</f>
        <v>降臨1</v>
      </c>
      <c r="E6" s="73">
        <v>1</v>
      </c>
      <c r="F6" s="69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【超絶級】カーマ襲来</v>
      </c>
      <c r="G6" s="69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71">
        <v>0</v>
      </c>
      <c r="I6">
        <v>29</v>
      </c>
      <c r="J6" s="70" t="s">
        <v>196</v>
      </c>
      <c r="K6" s="79" t="str">
        <f>VLOOKUP(I6,[7]stage_hints!$A:$C,3,FALSE)</f>
        <v>「バグ」のメリット</v>
      </c>
      <c r="L6" s="80" t="str">
        <f>VLOOKUP(I6,[7]stage_hints!$A:$D,4,FALSE)</f>
        <v>ユニットの「バグ」を増やすと_x000D_報酬をもらえる確率がアップします</v>
      </c>
      <c r="M6" s="45" t="s">
        <v>209</v>
      </c>
    </row>
    <row r="7" spans="1:13" x14ac:dyDescent="0.15">
      <c r="A7" s="67" t="s">
        <v>199</v>
      </c>
      <c r="B7" s="68">
        <f>floors!$C$2</f>
        <v>41013</v>
      </c>
      <c r="C7" s="69" t="str">
        <f ca="1">VLOOKUP($B7,OFFSET([2]quests!$A$1,0,0,COUNTA([2]quests!$A:$A),MATCH(C$1,[2]quests!$1:$1,0)-MATCH($B$1,[2]quests!$1:$1,0)+1),MATCH(C$1,[2]quests!$1:$1,0)-MATCH($B$1,[2]quests!$1:$1,0)+1,FALSE)</f>
        <v>カーマ襲来！</v>
      </c>
      <c r="D7" s="69" t="str">
        <f ca="1">VLOOKUP($B7,OFFSET([2]quests!$A$1,0,0,COUNTA([2]quests!$A:$A),MATCH(D$1,[2]quests!$1:$1,0)-MATCH($B$1,[2]quests!$1:$1,0)+1),MATCH(D$1,[2]quests!$1:$1,0)-MATCH($B$1,[2]quests!$1:$1,0)+1,FALSE)</f>
        <v>降臨1</v>
      </c>
      <c r="E7" s="73">
        <v>1</v>
      </c>
      <c r="F7" s="69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【超絶級】カーマ襲来</v>
      </c>
      <c r="G7" s="69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71">
        <v>0</v>
      </c>
      <c r="I7">
        <v>30</v>
      </c>
      <c r="J7" s="70" t="s">
        <v>196</v>
      </c>
      <c r="K7" s="79" t="str">
        <f>VLOOKUP(I7,[7]stage_hints!$A:$C,3,FALSE)</f>
        <v>「バグ」の増やし方</v>
      </c>
      <c r="L7" s="80" t="str">
        <f>VLOOKUP(I7,[7]stage_hints!$A:$D,4,FALSE)</f>
        <v>同じユニット同士を強化で合成すると_x000D_「バグ」を増やすことができます</v>
      </c>
      <c r="M7" s="45" t="s">
        <v>209</v>
      </c>
    </row>
    <row r="8" spans="1:13" x14ac:dyDescent="0.15">
      <c r="A8" s="67" t="s">
        <v>199</v>
      </c>
      <c r="B8" s="68">
        <f>floors!$C$2</f>
        <v>41013</v>
      </c>
      <c r="C8" s="69" t="str">
        <f ca="1">VLOOKUP($B8,OFFSET([2]quests!$A$1,0,0,COUNTA([2]quests!$A:$A),MATCH(C$1,[2]quests!$1:$1,0)-MATCH($B$1,[2]quests!$1:$1,0)+1),MATCH(C$1,[2]quests!$1:$1,0)-MATCH($B$1,[2]quests!$1:$1,0)+1,FALSE)</f>
        <v>カーマ襲来！</v>
      </c>
      <c r="D8" s="69" t="str">
        <f ca="1">VLOOKUP($B8,OFFSET([2]quests!$A$1,0,0,COUNTA([2]quests!$A:$A),MATCH(D$1,[2]quests!$1:$1,0)-MATCH($B$1,[2]quests!$1:$1,0)+1),MATCH(D$1,[2]quests!$1:$1,0)-MATCH($B$1,[2]quests!$1:$1,0)+1,FALSE)</f>
        <v>降臨1</v>
      </c>
      <c r="E8" s="73">
        <v>1</v>
      </c>
      <c r="F8" s="69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【超絶級】カーマ襲来</v>
      </c>
      <c r="G8" s="69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71">
        <v>0</v>
      </c>
      <c r="I8">
        <v>32</v>
      </c>
      <c r="J8" s="70" t="s">
        <v>196</v>
      </c>
      <c r="K8" s="79" t="str">
        <f>VLOOKUP(I8,[7]stage_hints!$A:$C,3,FALSE)</f>
        <v>敵の連続攻撃には</v>
      </c>
      <c r="L8" s="80" t="str">
        <f>VLOOKUP(I8,[7]stage_hints!$A:$D,4,FALSE)</f>
        <v>カウンタースキルを持つユニットがいれば_x000D_ダメージ回数分の反撃ができます</v>
      </c>
      <c r="M8" s="45" t="s">
        <v>209</v>
      </c>
    </row>
    <row r="9" spans="1:13" x14ac:dyDescent="0.15">
      <c r="A9" s="67" t="s">
        <v>199</v>
      </c>
      <c r="B9" s="68">
        <f>floors!$C$2</f>
        <v>41013</v>
      </c>
      <c r="C9" s="69" t="str">
        <f ca="1">VLOOKUP($B9,OFFSET([2]quests!$A$1,0,0,COUNTA([2]quests!$A:$A),MATCH(C$1,[2]quests!$1:$1,0)-MATCH($B$1,[2]quests!$1:$1,0)+1),MATCH(C$1,[2]quests!$1:$1,0)-MATCH($B$1,[2]quests!$1:$1,0)+1,FALSE)</f>
        <v>カーマ襲来！</v>
      </c>
      <c r="D9" s="69" t="str">
        <f ca="1">VLOOKUP($B9,OFFSET([2]quests!$A$1,0,0,COUNTA([2]quests!$A:$A),MATCH(D$1,[2]quests!$1:$1,0)-MATCH($B$1,[2]quests!$1:$1,0)+1),MATCH(D$1,[2]quests!$1:$1,0)-MATCH($B$1,[2]quests!$1:$1,0)+1,FALSE)</f>
        <v>降臨1</v>
      </c>
      <c r="E9" s="73">
        <v>1</v>
      </c>
      <c r="F9" s="69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【超絶級】カーマ襲来</v>
      </c>
      <c r="G9" s="69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71">
        <v>0</v>
      </c>
      <c r="I9">
        <v>33</v>
      </c>
      <c r="J9" s="70" t="s">
        <v>196</v>
      </c>
      <c r="K9" s="79" t="str">
        <f>VLOOKUP(I9,[7]stage_hints!$A:$C,3,FALSE)</f>
        <v>敵のカウンター攻撃には</v>
      </c>
      <c r="L9" s="80" t="str">
        <f>VLOOKUP(I9,[7]stage_hints!$A:$D,4,FALSE)</f>
        <v>カウンターブレイクスキルを持っていれば_x000D_敵のカウンターを解除して攻撃ができます</v>
      </c>
      <c r="M9" s="45" t="s">
        <v>209</v>
      </c>
    </row>
    <row r="10" spans="1:13" x14ac:dyDescent="0.15">
      <c r="A10" s="67" t="s">
        <v>199</v>
      </c>
      <c r="B10" s="68">
        <f>floors!$C$2</f>
        <v>41013</v>
      </c>
      <c r="C10" s="69" t="str">
        <f ca="1">VLOOKUP($B10,OFFSET([2]quests!$A$1,0,0,COUNTA([2]quests!$A:$A),MATCH(C$1,[2]quests!$1:$1,0)-MATCH($B$1,[2]quests!$1:$1,0)+1),MATCH(C$1,[2]quests!$1:$1,0)-MATCH($B$1,[2]quests!$1:$1,0)+1,FALSE)</f>
        <v>カーマ襲来！</v>
      </c>
      <c r="D10" s="69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73">
        <v>1</v>
      </c>
      <c r="F10" s="69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【超絶級】カーマ襲来</v>
      </c>
      <c r="G10" s="69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71">
        <v>0</v>
      </c>
      <c r="I10">
        <v>34</v>
      </c>
      <c r="J10" s="70" t="s">
        <v>196</v>
      </c>
      <c r="K10" s="79" t="str">
        <f>VLOOKUP(I10,[7]stage_hints!$A:$C,3,FALSE)</f>
        <v>ステータスをスキルで下げられたら</v>
      </c>
      <c r="L10" s="80" t="str">
        <f>VLOOKUP(I10,[7]stage_hints!$A:$D,4,FALSE)</f>
        <v>ステータスダウンのスキルを受けたら_x000D_ステータスアップスキルで上書きしましょう</v>
      </c>
      <c r="M10" s="45" t="s">
        <v>209</v>
      </c>
    </row>
    <row r="11" spans="1:13" x14ac:dyDescent="0.15">
      <c r="A11" s="67" t="s">
        <v>199</v>
      </c>
      <c r="B11" s="68">
        <f>floors!$C$2</f>
        <v>41013</v>
      </c>
      <c r="C11" s="69" t="str">
        <f ca="1">VLOOKUP($B11,OFFSET([2]quests!$A$1,0,0,COUNTA([2]quests!$A:$A),MATCH(C$1,[2]quests!$1:$1,0)-MATCH($B$1,[2]quests!$1:$1,0)+1),MATCH(C$1,[2]quests!$1:$1,0)-MATCH($B$1,[2]quests!$1:$1,0)+1,FALSE)</f>
        <v>カーマ襲来！</v>
      </c>
      <c r="D11" s="69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73">
        <v>1</v>
      </c>
      <c r="F11" s="69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【超絶級】カーマ襲来</v>
      </c>
      <c r="G11" s="69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71">
        <v>0</v>
      </c>
      <c r="I11">
        <v>35</v>
      </c>
      <c r="J11" s="70" t="s">
        <v>196</v>
      </c>
      <c r="K11" s="79" t="str">
        <f>VLOOKUP(I11,[7]stage_hints!$A:$C,3,FALSE)</f>
        <v>敵のステータスがスキルで上がったら</v>
      </c>
      <c r="L11" s="80" t="str">
        <f>VLOOKUP(I11,[7]stage_hints!$A:$D,4,FALSE)</f>
        <v>敵のステータスがスキルでアップしたときは_x000D_ステータスダウンスキルで上書きしましょう</v>
      </c>
      <c r="M11" s="45" t="s">
        <v>209</v>
      </c>
    </row>
    <row r="12" spans="1:13" x14ac:dyDescent="0.15">
      <c r="A12" s="67" t="s">
        <v>199</v>
      </c>
      <c r="B12" s="68">
        <f>floors!$C$2</f>
        <v>41013</v>
      </c>
      <c r="C12" s="69" t="str">
        <f ca="1">VLOOKUP($B12,OFFSET([2]quests!$A$1,0,0,COUNTA([2]quests!$A:$A),MATCH(C$1,[2]quests!$1:$1,0)-MATCH($B$1,[2]quests!$1:$1,0)+1),MATCH(C$1,[2]quests!$1:$1,0)-MATCH($B$1,[2]quests!$1:$1,0)+1,FALSE)</f>
        <v>カーマ襲来！</v>
      </c>
      <c r="D12" s="69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73">
        <v>1</v>
      </c>
      <c r="F12" s="69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【超絶級】カーマ襲来</v>
      </c>
      <c r="G12" s="69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71">
        <v>0</v>
      </c>
      <c r="I12">
        <v>36</v>
      </c>
      <c r="J12" s="70" t="s">
        <v>196</v>
      </c>
      <c r="K12" s="79" t="str">
        <f>VLOOKUP(I12,[7]stage_hints!$A:$C,3,FALSE)</f>
        <v>タワーオブザクイーンのボス</v>
      </c>
      <c r="L12" s="80" t="str">
        <f>VLOOKUP(I12,[7]stage_hints!$A:$D,4,FALSE)</f>
        <v>「タワーオブザクイーン」最上階のボスは_x000D_15階の初回クリア報酬で獲得できるほか_x000D_その階にて低確率でドロップもします</v>
      </c>
      <c r="M12" s="45" t="s">
        <v>209</v>
      </c>
    </row>
    <row r="13" spans="1:13" x14ac:dyDescent="0.15">
      <c r="A13" s="67" t="s">
        <v>199</v>
      </c>
      <c r="B13" s="68">
        <f>floors!$C$2</f>
        <v>41013</v>
      </c>
      <c r="C13" s="69" t="str">
        <f ca="1">VLOOKUP($B13,OFFSET([2]quests!$A$1,0,0,COUNTA([2]quests!$A:$A),MATCH(C$1,[2]quests!$1:$1,0)-MATCH($B$1,[2]quests!$1:$1,0)+1),MATCH(C$1,[2]quests!$1:$1,0)-MATCH($B$1,[2]quests!$1:$1,0)+1,FALSE)</f>
        <v>カーマ襲来！</v>
      </c>
      <c r="D13" s="69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73">
        <v>1</v>
      </c>
      <c r="F13" s="69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【超絶級】カーマ襲来</v>
      </c>
      <c r="G13" s="69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71">
        <v>0</v>
      </c>
      <c r="I13">
        <v>37</v>
      </c>
      <c r="J13" s="70" t="s">
        <v>196</v>
      </c>
      <c r="K13" s="79" t="str">
        <f>VLOOKUP(I13,[7]stage_hints!$A:$C,3,FALSE)</f>
        <v>限界突破値の引き継ぎ</v>
      </c>
      <c r="L13" s="80" t="str">
        <f>VLOOKUP(I13,[7]stage_hints!$A:$D,4,FALSE)</f>
        <v>同じユニットを強化で合成すると_x000D_限界突破値を引き継げます（覚醒前後も可）</v>
      </c>
      <c r="M13" s="45" t="s">
        <v>209</v>
      </c>
    </row>
    <row r="14" spans="1:13" x14ac:dyDescent="0.15">
      <c r="A14" s="67" t="s">
        <v>199</v>
      </c>
      <c r="B14" s="68">
        <f>floors!$C$2</f>
        <v>41013</v>
      </c>
      <c r="C14" s="69" t="str">
        <f ca="1">VLOOKUP($B14,OFFSET([2]quests!$A$1,0,0,COUNTA([2]quests!$A:$A),MATCH(C$1,[2]quests!$1:$1,0)-MATCH($B$1,[2]quests!$1:$1,0)+1),MATCH(C$1,[2]quests!$1:$1,0)-MATCH($B$1,[2]quests!$1:$1,0)+1,FALSE)</f>
        <v>カーマ襲来！</v>
      </c>
      <c r="D14" s="69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73">
        <v>1</v>
      </c>
      <c r="F14" s="69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【超絶級】カーマ襲来</v>
      </c>
      <c r="G14" s="69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71">
        <v>0</v>
      </c>
      <c r="I14">
        <v>39</v>
      </c>
      <c r="J14" s="70" t="s">
        <v>196</v>
      </c>
      <c r="K14" s="79" t="str">
        <f>VLOOKUP(I14,[7]stage_hints!$A:$C,3,FALSE)</f>
        <v>システム適合者を確認</v>
      </c>
      <c r="L14" s="80" t="str">
        <f>VLOOKUP(I14,[7]stage_hints!$A:$D,4,FALSE)</f>
        <v>ALICEが 「アナタ」を呼んでいます</v>
      </c>
      <c r="M14" s="45" t="s">
        <v>209</v>
      </c>
    </row>
    <row r="15" spans="1:13" x14ac:dyDescent="0.15">
      <c r="A15" s="67" t="s">
        <v>199</v>
      </c>
      <c r="B15" s="68">
        <f>floors!$C$2</f>
        <v>41013</v>
      </c>
      <c r="C15" s="69" t="str">
        <f ca="1">VLOOKUP($B15,OFFSET([2]quests!$A$1,0,0,COUNTA([2]quests!$A:$A),MATCH(C$1,[2]quests!$1:$1,0)-MATCH($B$1,[2]quests!$1:$1,0)+1),MATCH(C$1,[2]quests!$1:$1,0)-MATCH($B$1,[2]quests!$1:$1,0)+1,FALSE)</f>
        <v>カーマ襲来！</v>
      </c>
      <c r="D15" s="69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73">
        <v>2</v>
      </c>
      <c r="F15" s="69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15" s="69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71">
        <v>0</v>
      </c>
      <c r="I15">
        <v>12</v>
      </c>
      <c r="J15" s="70" t="s">
        <v>196</v>
      </c>
      <c r="K15" s="79" t="str">
        <f>VLOOKUP(I15,[7]stage_hints!$A:$C,3,FALSE)</f>
        <v>ユニットのお気に入り登録</v>
      </c>
      <c r="L15" s="80" t="str">
        <f>VLOOKUP(I15,[7]stage_hints!$A:$D,4,FALSE)</f>
        <v>大事なユニットを誤って消さないように_x000D_フォルダから「お気に入り登録」しましょう</v>
      </c>
      <c r="M15" s="45" t="s">
        <v>209</v>
      </c>
    </row>
    <row r="16" spans="1:13" x14ac:dyDescent="0.15">
      <c r="A16" s="67" t="s">
        <v>199</v>
      </c>
      <c r="B16" s="68">
        <f>floors!$C$2</f>
        <v>41013</v>
      </c>
      <c r="C16" s="69" t="str">
        <f ca="1">VLOOKUP($B16,OFFSET([2]quests!$A$1,0,0,COUNTA([2]quests!$A:$A),MATCH(C$1,[2]quests!$1:$1,0)-MATCH($B$1,[2]quests!$1:$1,0)+1),MATCH(C$1,[2]quests!$1:$1,0)-MATCH($B$1,[2]quests!$1:$1,0)+1,FALSE)</f>
        <v>カーマ襲来！</v>
      </c>
      <c r="D16" s="69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73">
        <v>2</v>
      </c>
      <c r="F16" s="69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16" s="69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71">
        <v>0</v>
      </c>
      <c r="I16">
        <v>17</v>
      </c>
      <c r="J16" s="70" t="s">
        <v>196</v>
      </c>
      <c r="K16" s="79" t="str">
        <f>VLOOKUP(I16,[7]stage_hints!$A:$C,3,FALSE)</f>
        <v>リンクガチャ</v>
      </c>
      <c r="L16" s="80" t="str">
        <f>VLOOKUP(I16,[7]stage_hints!$A:$D,4,FALSE)</f>
        <v>無料のリンクガチャを回して_x000D_経験値素材や売却素材を獲得しましょう</v>
      </c>
      <c r="M16" s="45" t="s">
        <v>209</v>
      </c>
    </row>
    <row r="17" spans="1:13" x14ac:dyDescent="0.15">
      <c r="A17" s="67" t="s">
        <v>199</v>
      </c>
      <c r="B17" s="68">
        <f>floors!$C$2</f>
        <v>41013</v>
      </c>
      <c r="C17" s="69" t="str">
        <f ca="1">VLOOKUP($B17,OFFSET([2]quests!$A$1,0,0,COUNTA([2]quests!$A:$A),MATCH(C$1,[2]quests!$1:$1,0)-MATCH($B$1,[2]quests!$1:$1,0)+1),MATCH(C$1,[2]quests!$1:$1,0)-MATCH($B$1,[2]quests!$1:$1,0)+1,FALSE)</f>
        <v>カーマ襲来！</v>
      </c>
      <c r="D17" s="69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73">
        <v>2</v>
      </c>
      <c r="F17" s="69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17" s="69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71">
        <v>0</v>
      </c>
      <c r="I17">
        <v>19</v>
      </c>
      <c r="J17" s="70" t="s">
        <v>196</v>
      </c>
      <c r="K17" s="79" t="str">
        <f>VLOOKUP(I17,[7]stage_hints!$A:$C,3,FALSE)</f>
        <v>ソロ専用タワーオブザクイーン</v>
      </c>
      <c r="L17" s="80" t="str">
        <f>VLOOKUP(I17,[7]stage_hints!$A:$D,4,FALSE)</f>
        <v>ソロ専用の「タワーオブザクイーン」は_x000D_期間限定で定期的に開催されます_x000D_ここでしか獲得できない報酬もあるようです</v>
      </c>
      <c r="M17" s="45" t="s">
        <v>209</v>
      </c>
    </row>
    <row r="18" spans="1:13" x14ac:dyDescent="0.15">
      <c r="A18" s="67" t="s">
        <v>199</v>
      </c>
      <c r="B18" s="68">
        <f>floors!$C$2</f>
        <v>41013</v>
      </c>
      <c r="C18" s="69" t="str">
        <f ca="1">VLOOKUP($B18,OFFSET([2]quests!$A$1,0,0,COUNTA([2]quests!$A:$A),MATCH(C$1,[2]quests!$1:$1,0)-MATCH($B$1,[2]quests!$1:$1,0)+1),MATCH(C$1,[2]quests!$1:$1,0)-MATCH($B$1,[2]quests!$1:$1,0)+1,FALSE)</f>
        <v>カーマ襲来！</v>
      </c>
      <c r="D18" s="69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73">
        <v>2</v>
      </c>
      <c r="F18" s="69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18" s="69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71">
        <v>0</v>
      </c>
      <c r="I18">
        <v>21</v>
      </c>
      <c r="J18" s="70" t="s">
        <v>196</v>
      </c>
      <c r="K18" s="79" t="str">
        <f>VLOOKUP(I18,[7]stage_hints!$A:$C,3,FALSE)</f>
        <v>スキルを有効に</v>
      </c>
      <c r="L18" s="80" t="str">
        <f>VLOOKUP(I18,[7]stage_hints!$A:$D,4,FALSE)</f>
        <v>ターン経過でユニットのスキルが使えます_x000D_強力スキルでバトルを有利に進めましょう</v>
      </c>
      <c r="M18" s="45" t="s">
        <v>209</v>
      </c>
    </row>
    <row r="19" spans="1:13" x14ac:dyDescent="0.15">
      <c r="A19" s="67" t="s">
        <v>199</v>
      </c>
      <c r="B19" s="68">
        <f>floors!$C$2</f>
        <v>41013</v>
      </c>
      <c r="C19" s="69" t="str">
        <f ca="1">VLOOKUP($B19,OFFSET([2]quests!$A$1,0,0,COUNTA([2]quests!$A:$A),MATCH(C$1,[2]quests!$1:$1,0)-MATCH($B$1,[2]quests!$1:$1,0)+1),MATCH(C$1,[2]quests!$1:$1,0)-MATCH($B$1,[2]quests!$1:$1,0)+1,FALSE)</f>
        <v>カーマ襲来！</v>
      </c>
      <c r="D19" s="69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73">
        <v>2</v>
      </c>
      <c r="F19" s="69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19" s="69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71">
        <v>0</v>
      </c>
      <c r="I19">
        <v>29</v>
      </c>
      <c r="J19" s="70" t="s">
        <v>196</v>
      </c>
      <c r="K19" s="79" t="str">
        <f>VLOOKUP(I19,[7]stage_hints!$A:$C,3,FALSE)</f>
        <v>「バグ」のメリット</v>
      </c>
      <c r="L19" s="80" t="str">
        <f>VLOOKUP(I19,[7]stage_hints!$A:$D,4,FALSE)</f>
        <v>ユニットの「バグ」を増やすと_x000D_報酬をもらえる確率がアップします</v>
      </c>
      <c r="M19" s="45" t="s">
        <v>209</v>
      </c>
    </row>
    <row r="20" spans="1:13" x14ac:dyDescent="0.15">
      <c r="A20" s="67" t="s">
        <v>199</v>
      </c>
      <c r="B20" s="68">
        <f>floors!$C$2</f>
        <v>41013</v>
      </c>
      <c r="C20" s="69" t="str">
        <f ca="1">VLOOKUP($B20,OFFSET([2]quests!$A$1,0,0,COUNTA([2]quests!$A:$A),MATCH(C$1,[2]quests!$1:$1,0)-MATCH($B$1,[2]quests!$1:$1,0)+1),MATCH(C$1,[2]quests!$1:$1,0)-MATCH($B$1,[2]quests!$1:$1,0)+1,FALSE)</f>
        <v>カーマ襲来！</v>
      </c>
      <c r="D20" s="69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73">
        <v>2</v>
      </c>
      <c r="F20" s="69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20" s="69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71">
        <v>0</v>
      </c>
      <c r="I20">
        <v>30</v>
      </c>
      <c r="J20" s="70" t="s">
        <v>196</v>
      </c>
      <c r="K20" s="79" t="str">
        <f>VLOOKUP(I20,[7]stage_hints!$A:$C,3,FALSE)</f>
        <v>「バグ」の増やし方</v>
      </c>
      <c r="L20" s="80" t="str">
        <f>VLOOKUP(I20,[7]stage_hints!$A:$D,4,FALSE)</f>
        <v>同じユニット同士を強化で合成すると_x000D_「バグ」を増やすことができます</v>
      </c>
      <c r="M20" s="45" t="s">
        <v>209</v>
      </c>
    </row>
    <row r="21" spans="1:13" x14ac:dyDescent="0.15">
      <c r="A21" s="67" t="s">
        <v>199</v>
      </c>
      <c r="B21" s="68">
        <f>floors!$C$2</f>
        <v>41013</v>
      </c>
      <c r="C21" s="69" t="str">
        <f ca="1">VLOOKUP($B21,OFFSET([2]quests!$A$1,0,0,COUNTA([2]quests!$A:$A),MATCH(C$1,[2]quests!$1:$1,0)-MATCH($B$1,[2]quests!$1:$1,0)+1),MATCH(C$1,[2]quests!$1:$1,0)-MATCH($B$1,[2]quests!$1:$1,0)+1,FALSE)</f>
        <v>カーマ襲来！</v>
      </c>
      <c r="D21" s="69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73">
        <v>2</v>
      </c>
      <c r="F21" s="69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21" s="69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71">
        <v>0</v>
      </c>
      <c r="I21">
        <v>32</v>
      </c>
      <c r="J21" s="70" t="s">
        <v>196</v>
      </c>
      <c r="K21" s="79" t="str">
        <f>VLOOKUP(I21,[7]stage_hints!$A:$C,3,FALSE)</f>
        <v>敵の連続攻撃には</v>
      </c>
      <c r="L21" s="80" t="str">
        <f>VLOOKUP(I21,[7]stage_hints!$A:$D,4,FALSE)</f>
        <v>カウンタースキルを持つユニットがいれば_x000D_ダメージ回数分の反撃ができます</v>
      </c>
      <c r="M21" s="45" t="s">
        <v>209</v>
      </c>
    </row>
    <row r="22" spans="1:13" x14ac:dyDescent="0.15">
      <c r="A22" s="67" t="s">
        <v>199</v>
      </c>
      <c r="B22" s="68">
        <f>floors!$C$2</f>
        <v>41013</v>
      </c>
      <c r="C22" s="69" t="str">
        <f ca="1">VLOOKUP($B22,OFFSET([2]quests!$A$1,0,0,COUNTA([2]quests!$A:$A),MATCH(C$1,[2]quests!$1:$1,0)-MATCH($B$1,[2]quests!$1:$1,0)+1),MATCH(C$1,[2]quests!$1:$1,0)-MATCH($B$1,[2]quests!$1:$1,0)+1,FALSE)</f>
        <v>カーマ襲来！</v>
      </c>
      <c r="D22" s="69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73">
        <v>2</v>
      </c>
      <c r="F22" s="69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22" s="69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71">
        <v>0</v>
      </c>
      <c r="I22">
        <v>33</v>
      </c>
      <c r="J22" s="70" t="s">
        <v>196</v>
      </c>
      <c r="K22" s="79" t="str">
        <f>VLOOKUP(I22,[7]stage_hints!$A:$C,3,FALSE)</f>
        <v>敵のカウンター攻撃には</v>
      </c>
      <c r="L22" s="80" t="str">
        <f>VLOOKUP(I22,[7]stage_hints!$A:$D,4,FALSE)</f>
        <v>カウンターブレイクスキルを持っていれば_x000D_敵のカウンターを解除して攻撃ができます</v>
      </c>
      <c r="M22" s="45" t="s">
        <v>209</v>
      </c>
    </row>
    <row r="23" spans="1:13" x14ac:dyDescent="0.15">
      <c r="A23" s="67" t="s">
        <v>199</v>
      </c>
      <c r="B23" s="68">
        <f>floors!$C$2</f>
        <v>41013</v>
      </c>
      <c r="C23" s="69" t="str">
        <f ca="1">VLOOKUP($B23,OFFSET([2]quests!$A$1,0,0,COUNTA([2]quests!$A:$A),MATCH(C$1,[2]quests!$1:$1,0)-MATCH($B$1,[2]quests!$1:$1,0)+1),MATCH(C$1,[2]quests!$1:$1,0)-MATCH($B$1,[2]quests!$1:$1,0)+1,FALSE)</f>
        <v>カーマ襲来！</v>
      </c>
      <c r="D23" s="69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73">
        <v>2</v>
      </c>
      <c r="F23" s="69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23" s="69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71">
        <v>0</v>
      </c>
      <c r="I23">
        <v>34</v>
      </c>
      <c r="J23" s="70" t="s">
        <v>196</v>
      </c>
      <c r="K23" s="79" t="str">
        <f>VLOOKUP(I23,[7]stage_hints!$A:$C,3,FALSE)</f>
        <v>ステータスをスキルで下げられたら</v>
      </c>
      <c r="L23" s="80" t="str">
        <f>VLOOKUP(I23,[7]stage_hints!$A:$D,4,FALSE)</f>
        <v>ステータスダウンのスキルを受けたら_x000D_ステータスアップスキルで上書きしましょう</v>
      </c>
      <c r="M23" s="45" t="s">
        <v>209</v>
      </c>
    </row>
    <row r="24" spans="1:13" x14ac:dyDescent="0.15">
      <c r="A24" s="67" t="s">
        <v>199</v>
      </c>
      <c r="B24" s="68">
        <f>floors!$C$2</f>
        <v>41013</v>
      </c>
      <c r="C24" s="69" t="str">
        <f ca="1">VLOOKUP($B24,OFFSET([2]quests!$A$1,0,0,COUNTA([2]quests!$A:$A),MATCH(C$1,[2]quests!$1:$1,0)-MATCH($B$1,[2]quests!$1:$1,0)+1),MATCH(C$1,[2]quests!$1:$1,0)-MATCH($B$1,[2]quests!$1:$1,0)+1,FALSE)</f>
        <v>カーマ襲来！</v>
      </c>
      <c r="D24" s="69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73">
        <v>2</v>
      </c>
      <c r="F24" s="69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24" s="69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71">
        <v>0</v>
      </c>
      <c r="I24">
        <v>35</v>
      </c>
      <c r="J24" s="70" t="s">
        <v>196</v>
      </c>
      <c r="K24" s="79" t="str">
        <f>VLOOKUP(I24,[7]stage_hints!$A:$C,3,FALSE)</f>
        <v>敵のステータスがスキルで上がったら</v>
      </c>
      <c r="L24" s="80" t="str">
        <f>VLOOKUP(I24,[7]stage_hints!$A:$D,4,FALSE)</f>
        <v>敵のステータスがスキルでアップしたときは_x000D_ステータスダウンスキルで上書きしましょう</v>
      </c>
      <c r="M24" s="45" t="s">
        <v>209</v>
      </c>
    </row>
    <row r="25" spans="1:13" x14ac:dyDescent="0.15">
      <c r="A25" s="67" t="s">
        <v>199</v>
      </c>
      <c r="B25" s="68">
        <f>floors!$C$2</f>
        <v>41013</v>
      </c>
      <c r="C25" s="69" t="str">
        <f ca="1">VLOOKUP($B25,OFFSET([2]quests!$A$1,0,0,COUNTA([2]quests!$A:$A),MATCH(C$1,[2]quests!$1:$1,0)-MATCH($B$1,[2]quests!$1:$1,0)+1),MATCH(C$1,[2]quests!$1:$1,0)-MATCH($B$1,[2]quests!$1:$1,0)+1,FALSE)</f>
        <v>カーマ襲来！</v>
      </c>
      <c r="D25" s="69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73">
        <v>2</v>
      </c>
      <c r="F25" s="69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25" s="69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71">
        <v>0</v>
      </c>
      <c r="I25">
        <v>36</v>
      </c>
      <c r="J25" s="70" t="s">
        <v>196</v>
      </c>
      <c r="K25" s="79" t="str">
        <f>VLOOKUP(I25,[7]stage_hints!$A:$C,3,FALSE)</f>
        <v>タワーオブザクイーンのボス</v>
      </c>
      <c r="L25" s="80" t="str">
        <f>VLOOKUP(I25,[7]stage_hints!$A:$D,4,FALSE)</f>
        <v>「タワーオブザクイーン」最上階のボスは_x000D_15階の初回クリア報酬で獲得できるほか_x000D_その階にて低確率でドロップもします</v>
      </c>
      <c r="M25" s="45" t="s">
        <v>209</v>
      </c>
    </row>
    <row r="26" spans="1:13" x14ac:dyDescent="0.15">
      <c r="A26" s="67" t="s">
        <v>199</v>
      </c>
      <c r="B26" s="68">
        <f>floors!$C$2</f>
        <v>41013</v>
      </c>
      <c r="C26" s="69" t="str">
        <f ca="1">VLOOKUP($B26,OFFSET([2]quests!$A$1,0,0,COUNTA([2]quests!$A:$A),MATCH(C$1,[2]quests!$1:$1,0)-MATCH($B$1,[2]quests!$1:$1,0)+1),MATCH(C$1,[2]quests!$1:$1,0)-MATCH($B$1,[2]quests!$1:$1,0)+1,FALSE)</f>
        <v>カーマ襲来！</v>
      </c>
      <c r="D26" s="69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73">
        <v>2</v>
      </c>
      <c r="F26" s="69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26" s="69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71">
        <v>0</v>
      </c>
      <c r="I26">
        <v>37</v>
      </c>
      <c r="J26" s="70" t="s">
        <v>196</v>
      </c>
      <c r="K26" s="79" t="str">
        <f>VLOOKUP(I26,[7]stage_hints!$A:$C,3,FALSE)</f>
        <v>限界突破値の引き継ぎ</v>
      </c>
      <c r="L26" s="80" t="str">
        <f>VLOOKUP(I26,[7]stage_hints!$A:$D,4,FALSE)</f>
        <v>同じユニットを強化で合成すると_x000D_限界突破値を引き継げます（覚醒前後も可）</v>
      </c>
      <c r="M26" s="45" t="s">
        <v>209</v>
      </c>
    </row>
    <row r="27" spans="1:13" x14ac:dyDescent="0.15">
      <c r="A27" s="67" t="s">
        <v>199</v>
      </c>
      <c r="B27" s="68">
        <f>floors!$C$2</f>
        <v>41013</v>
      </c>
      <c r="C27" s="69" t="str">
        <f ca="1">VLOOKUP($B27,OFFSET([2]quests!$A$1,0,0,COUNTA([2]quests!$A:$A),MATCH(C$1,[2]quests!$1:$1,0)-MATCH($B$1,[2]quests!$1:$1,0)+1),MATCH(C$1,[2]quests!$1:$1,0)-MATCH($B$1,[2]quests!$1:$1,0)+1,FALSE)</f>
        <v>カーマ襲来！</v>
      </c>
      <c r="D27" s="69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73">
        <v>2</v>
      </c>
      <c r="F27" s="69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27" s="69" t="str">
        <f ca="1">VLOOKUP($B27&amp;"_"&amp;$E27,OFFSET([2]stages!$A$1,0,0,COUNTA([2]stages!$A:$A),MATCH(G$1,[2]stages!$2:$2,0)-MATCH("temp_stage",[2]stages!$2:$2,0)+1),MATCH(G$1,[2]stages!$2:$2,0)-MATCH("temp_stage",[2]stages!$2:$2,0)+1,FALSE)</f>
        <v>降臨1</v>
      </c>
      <c r="H27" s="71">
        <v>0</v>
      </c>
      <c r="I27">
        <v>39</v>
      </c>
      <c r="J27" s="70" t="s">
        <v>196</v>
      </c>
      <c r="K27" s="79" t="str">
        <f>VLOOKUP(I27,[7]stage_hints!$A:$C,3,FALSE)</f>
        <v>システム適合者を確認</v>
      </c>
      <c r="L27" s="80" t="str">
        <f>VLOOKUP(I27,[7]stage_hints!$A:$D,4,FALSE)</f>
        <v>ALICEが 「アナタ」を呼んでいます</v>
      </c>
      <c r="M27" s="45" t="s">
        <v>209</v>
      </c>
    </row>
  </sheetData>
  <phoneticPr fontId="5"/>
  <dataValidations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2" activePane="bottomLeft" state="frozen"/>
      <selection pane="bottomLeft" activeCell="H14" sqref="H14"/>
    </sheetView>
  </sheetViews>
  <sheetFormatPr baseColWidth="12" defaultColWidth="13" defaultRowHeight="15" outlineLevelCol="1" x14ac:dyDescent="0.15"/>
  <cols>
    <col min="1" max="1" width="13" style="7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62" t="s">
        <v>186</v>
      </c>
      <c r="B1" s="59" t="s">
        <v>149</v>
      </c>
      <c r="C1" s="63" t="s">
        <v>188</v>
      </c>
      <c r="D1" s="63" t="s">
        <v>33</v>
      </c>
      <c r="E1" s="59" t="s">
        <v>189</v>
      </c>
      <c r="F1" s="63" t="s">
        <v>18</v>
      </c>
      <c r="G1" s="63" t="s">
        <v>33</v>
      </c>
      <c r="H1" s="59" t="s">
        <v>191</v>
      </c>
      <c r="I1" s="75" t="s">
        <v>192</v>
      </c>
      <c r="J1" s="77" t="s">
        <v>193</v>
      </c>
      <c r="K1" s="65" t="s">
        <v>125</v>
      </c>
      <c r="L1" s="64" t="s">
        <v>185</v>
      </c>
      <c r="M1" s="78" t="s">
        <v>184</v>
      </c>
      <c r="N1" s="66" t="s">
        <v>194</v>
      </c>
    </row>
    <row r="2" spans="1:14" ht="42" x14ac:dyDescent="0.15">
      <c r="A2" s="67" t="s">
        <v>195</v>
      </c>
      <c r="B2" s="68">
        <v>41013</v>
      </c>
      <c r="C2" s="69" t="str">
        <f ca="1">VLOOKUP($B2,OFFSET([2]quests!$A$1,0,0,COUNTA([2]quests!$A:$A),MATCH(C$1,[2]quests!$1:$1,0)-MATCH($B$1,[2]quests!$1:$1,0)+1),MATCH(C$1,[2]quests!$1:$1,0)-MATCH($B$1,[2]quests!$1:$1,0)+1,FALSE)</f>
        <v>カーマ襲来！</v>
      </c>
      <c r="D2" s="69" t="str">
        <f ca="1">VLOOKUP($B2,OFFSET([2]quests!$A$1,0,0,COUNTA([2]quests!$A:$A),MATCH(D$1,[2]quests!$1:$1,0)-MATCH($B$1,[2]quests!$1:$1,0)+1),MATCH(D$1,[2]quests!$1:$1,0)-MATCH($B$1,[2]quests!$1:$1,0)+1,FALSE)</f>
        <v>降臨1</v>
      </c>
      <c r="E2" s="70">
        <v>1</v>
      </c>
      <c r="F2" s="69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【超絶級】カーマ襲来</v>
      </c>
      <c r="G2" s="69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71">
        <v>1</v>
      </c>
      <c r="I2" s="76">
        <f>ROW()-1</f>
        <v>1</v>
      </c>
      <c r="J2" s="72" t="str">
        <f>B2&amp;TEXT(I2,"00")</f>
        <v>4101301</v>
      </c>
      <c r="K2" s="70" t="s">
        <v>196</v>
      </c>
      <c r="L2" s="73" t="s">
        <v>197</v>
      </c>
      <c r="M2" s="158" t="s">
        <v>354</v>
      </c>
      <c r="N2" s="45" t="s">
        <v>198</v>
      </c>
    </row>
    <row r="3" spans="1:14" ht="28" x14ac:dyDescent="0.15">
      <c r="A3" s="67" t="s">
        <v>195</v>
      </c>
      <c r="B3" s="68">
        <v>41013</v>
      </c>
      <c r="C3" s="69" t="str">
        <f ca="1">VLOOKUP($B3,OFFSET([2]quests!$A$1,0,0,COUNTA([2]quests!$A:$A),MATCH(C$1,[2]quests!$1:$1,0)-MATCH($B$1,[2]quests!$1:$1,0)+1),MATCH(C$1,[2]quests!$1:$1,0)-MATCH($B$1,[2]quests!$1:$1,0)+1,FALSE)</f>
        <v>カーマ襲来！</v>
      </c>
      <c r="D3" s="69" t="str">
        <f ca="1">VLOOKUP($B3,OFFSET([2]quests!$A$1,0,0,COUNTA([2]quests!$A:$A),MATCH(D$1,[2]quests!$1:$1,0)-MATCH($B$1,[2]quests!$1:$1,0)+1),MATCH(D$1,[2]quests!$1:$1,0)-MATCH($B$1,[2]quests!$1:$1,0)+1,FALSE)</f>
        <v>降臨1</v>
      </c>
      <c r="E3" s="70">
        <v>1</v>
      </c>
      <c r="F3" s="69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【超絶級】カーマ襲来</v>
      </c>
      <c r="G3" s="69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71">
        <v>1</v>
      </c>
      <c r="I3" s="76">
        <f t="shared" ref="I3:I7" si="0">ROW()-1</f>
        <v>2</v>
      </c>
      <c r="J3" s="72" t="str">
        <f t="shared" ref="J3:J7" si="1">B3&amp;TEXT(I3,"00")</f>
        <v>4101302</v>
      </c>
      <c r="K3" s="70" t="s">
        <v>196</v>
      </c>
      <c r="L3" s="73" t="s">
        <v>197</v>
      </c>
      <c r="M3" s="158" t="s">
        <v>325</v>
      </c>
      <c r="N3" s="45" t="s">
        <v>198</v>
      </c>
    </row>
    <row r="4" spans="1:14" ht="42" x14ac:dyDescent="0.15">
      <c r="A4" s="67" t="s">
        <v>195</v>
      </c>
      <c r="B4" s="68">
        <v>41013</v>
      </c>
      <c r="C4" s="69" t="str">
        <f ca="1">VLOOKUP($B4,OFFSET([2]quests!$A$1,0,0,COUNTA([2]quests!$A:$A),MATCH(C$1,[2]quests!$1:$1,0)-MATCH($B$1,[2]quests!$1:$1,0)+1),MATCH(C$1,[2]quests!$1:$1,0)-MATCH($B$1,[2]quests!$1:$1,0)+1,FALSE)</f>
        <v>カーマ襲来！</v>
      </c>
      <c r="D4" s="69" t="str">
        <f ca="1">VLOOKUP($B4,OFFSET([2]quests!$A$1,0,0,COUNTA([2]quests!$A:$A),MATCH(D$1,[2]quests!$1:$1,0)-MATCH($B$1,[2]quests!$1:$1,0)+1),MATCH(D$1,[2]quests!$1:$1,0)-MATCH($B$1,[2]quests!$1:$1,0)+1,FALSE)</f>
        <v>降臨1</v>
      </c>
      <c r="E4" s="70">
        <v>1</v>
      </c>
      <c r="F4" s="69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【超絶級】カーマ襲来</v>
      </c>
      <c r="G4" s="69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71">
        <v>2</v>
      </c>
      <c r="I4" s="76">
        <f t="shared" si="0"/>
        <v>3</v>
      </c>
      <c r="J4" s="72" t="str">
        <f t="shared" si="1"/>
        <v>4101303</v>
      </c>
      <c r="K4" s="70" t="s">
        <v>196</v>
      </c>
      <c r="L4" s="73" t="s">
        <v>197</v>
      </c>
      <c r="M4" s="158" t="s">
        <v>326</v>
      </c>
      <c r="N4" s="45" t="s">
        <v>198</v>
      </c>
    </row>
    <row r="5" spans="1:14" ht="28" x14ac:dyDescent="0.15">
      <c r="A5" s="67" t="s">
        <v>195</v>
      </c>
      <c r="B5" s="68">
        <v>41013</v>
      </c>
      <c r="C5" s="69" t="str">
        <f ca="1">VLOOKUP($B5,OFFSET([2]quests!$A$1,0,0,COUNTA([2]quests!$A:$A),MATCH(C$1,[2]quests!$1:$1,0)-MATCH($B$1,[2]quests!$1:$1,0)+1),MATCH(C$1,[2]quests!$1:$1,0)-MATCH($B$1,[2]quests!$1:$1,0)+1,FALSE)</f>
        <v>カーマ襲来！</v>
      </c>
      <c r="D5" s="69" t="str">
        <f ca="1">VLOOKUP($B5,OFFSET([2]quests!$A$1,0,0,COUNTA([2]quests!$A:$A),MATCH(D$1,[2]quests!$1:$1,0)-MATCH($B$1,[2]quests!$1:$1,0)+1),MATCH(D$1,[2]quests!$1:$1,0)-MATCH($B$1,[2]quests!$1:$1,0)+1,FALSE)</f>
        <v>降臨1</v>
      </c>
      <c r="E5" s="70">
        <v>1</v>
      </c>
      <c r="F5" s="69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【超絶級】カーマ襲来</v>
      </c>
      <c r="G5" s="69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71">
        <v>2</v>
      </c>
      <c r="I5" s="76">
        <f t="shared" si="0"/>
        <v>4</v>
      </c>
      <c r="J5" s="72" t="str">
        <f t="shared" si="1"/>
        <v>4101304</v>
      </c>
      <c r="K5" s="70" t="s">
        <v>196</v>
      </c>
      <c r="L5" s="73" t="s">
        <v>197</v>
      </c>
      <c r="M5" s="158" t="s">
        <v>327</v>
      </c>
      <c r="N5" s="45" t="s">
        <v>198</v>
      </c>
    </row>
    <row r="6" spans="1:14" ht="42" x14ac:dyDescent="0.15">
      <c r="A6" s="67" t="s">
        <v>195</v>
      </c>
      <c r="B6" s="68">
        <v>41013</v>
      </c>
      <c r="C6" s="69" t="str">
        <f ca="1">VLOOKUP($B6,OFFSET([2]quests!$A$1,0,0,COUNTA([2]quests!$A:$A),MATCH(C$1,[2]quests!$1:$1,0)-MATCH($B$1,[2]quests!$1:$1,0)+1),MATCH(C$1,[2]quests!$1:$1,0)-MATCH($B$1,[2]quests!$1:$1,0)+1,FALSE)</f>
        <v>カーマ襲来！</v>
      </c>
      <c r="D6" s="69" t="str">
        <f ca="1">VLOOKUP($B6,OFFSET([2]quests!$A$1,0,0,COUNTA([2]quests!$A:$A),MATCH(D$1,[2]quests!$1:$1,0)-MATCH($B$1,[2]quests!$1:$1,0)+1),MATCH(D$1,[2]quests!$1:$1,0)-MATCH($B$1,[2]quests!$1:$1,0)+1,FALSE)</f>
        <v>降臨1</v>
      </c>
      <c r="E6" s="70">
        <v>1</v>
      </c>
      <c r="F6" s="69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【超絶級】カーマ襲来</v>
      </c>
      <c r="G6" s="69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71">
        <v>3</v>
      </c>
      <c r="I6" s="76">
        <f t="shared" si="0"/>
        <v>5</v>
      </c>
      <c r="J6" s="72" t="str">
        <f t="shared" si="1"/>
        <v>4101305</v>
      </c>
      <c r="K6" s="70" t="s">
        <v>196</v>
      </c>
      <c r="L6" s="73" t="s">
        <v>197</v>
      </c>
      <c r="M6" s="158" t="s">
        <v>328</v>
      </c>
      <c r="N6" s="45" t="s">
        <v>198</v>
      </c>
    </row>
    <row r="7" spans="1:14" ht="42" x14ac:dyDescent="0.15">
      <c r="A7" s="67" t="s">
        <v>195</v>
      </c>
      <c r="B7" s="68">
        <v>41013</v>
      </c>
      <c r="C7" s="69" t="str">
        <f ca="1">VLOOKUP($B7,OFFSET([2]quests!$A$1,0,0,COUNTA([2]quests!$A:$A),MATCH(C$1,[2]quests!$1:$1,0)-MATCH($B$1,[2]quests!$1:$1,0)+1),MATCH(C$1,[2]quests!$1:$1,0)-MATCH($B$1,[2]quests!$1:$1,0)+1,FALSE)</f>
        <v>カーマ襲来！</v>
      </c>
      <c r="D7" s="69" t="str">
        <f ca="1">VLOOKUP($B7,OFFSET([2]quests!$A$1,0,0,COUNTA([2]quests!$A:$A),MATCH(D$1,[2]quests!$1:$1,0)-MATCH($B$1,[2]quests!$1:$1,0)+1),MATCH(D$1,[2]quests!$1:$1,0)-MATCH($B$1,[2]quests!$1:$1,0)+1,FALSE)</f>
        <v>降臨1</v>
      </c>
      <c r="E7" s="70">
        <v>1</v>
      </c>
      <c r="F7" s="69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【超絶級】カーマ襲来</v>
      </c>
      <c r="G7" s="69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71">
        <v>3</v>
      </c>
      <c r="I7" s="76">
        <f t="shared" si="0"/>
        <v>6</v>
      </c>
      <c r="J7" s="72" t="str">
        <f t="shared" si="1"/>
        <v>4101306</v>
      </c>
      <c r="K7" s="70" t="s">
        <v>196</v>
      </c>
      <c r="L7" s="73" t="s">
        <v>197</v>
      </c>
      <c r="M7" s="158" t="s">
        <v>329</v>
      </c>
      <c r="N7" s="45" t="s">
        <v>198</v>
      </c>
    </row>
    <row r="8" spans="1:14" ht="42" x14ac:dyDescent="0.15">
      <c r="A8" s="67" t="s">
        <v>195</v>
      </c>
      <c r="B8" s="68">
        <v>41013</v>
      </c>
      <c r="C8" s="69" t="str">
        <f ca="1">VLOOKUP($B8,OFFSET([2]quests!$A$1,0,0,COUNTA([2]quests!$A:$A),MATCH(C$1,[2]quests!$1:$1,0)-MATCH($B$1,[2]quests!$1:$1,0)+1),MATCH(C$1,[2]quests!$1:$1,0)-MATCH($B$1,[2]quests!$1:$1,0)+1,FALSE)</f>
        <v>カーマ襲来！</v>
      </c>
      <c r="D8" s="69" t="str">
        <f ca="1">VLOOKUP($B8,OFFSET([2]quests!$A$1,0,0,COUNTA([2]quests!$A:$A),MATCH(D$1,[2]quests!$1:$1,0)-MATCH($B$1,[2]quests!$1:$1,0)+1),MATCH(D$1,[2]quests!$1:$1,0)-MATCH($B$1,[2]quests!$1:$1,0)+1,FALSE)</f>
        <v>降臨1</v>
      </c>
      <c r="E8" s="70">
        <v>2</v>
      </c>
      <c r="F8" s="69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8" s="69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71">
        <v>1</v>
      </c>
      <c r="I8" s="76">
        <f>ROW()-1</f>
        <v>7</v>
      </c>
      <c r="J8" s="72" t="str">
        <f>B8&amp;TEXT(I8,"00")</f>
        <v>4101307</v>
      </c>
      <c r="K8" s="70" t="s">
        <v>126</v>
      </c>
      <c r="L8" s="73" t="s">
        <v>197</v>
      </c>
      <c r="M8" s="158" t="s">
        <v>354</v>
      </c>
      <c r="N8" s="45" t="s">
        <v>198</v>
      </c>
    </row>
    <row r="9" spans="1:14" ht="28" x14ac:dyDescent="0.15">
      <c r="A9" s="67" t="s">
        <v>195</v>
      </c>
      <c r="B9" s="68">
        <v>41013</v>
      </c>
      <c r="C9" s="69" t="str">
        <f ca="1">VLOOKUP($B9,OFFSET([2]quests!$A$1,0,0,COUNTA([2]quests!$A:$A),MATCH(C$1,[2]quests!$1:$1,0)-MATCH($B$1,[2]quests!$1:$1,0)+1),MATCH(C$1,[2]quests!$1:$1,0)-MATCH($B$1,[2]quests!$1:$1,0)+1,FALSE)</f>
        <v>カーマ襲来！</v>
      </c>
      <c r="D9" s="69" t="str">
        <f ca="1">VLOOKUP($B9,OFFSET([2]quests!$A$1,0,0,COUNTA([2]quests!$A:$A),MATCH(D$1,[2]quests!$1:$1,0)-MATCH($B$1,[2]quests!$1:$1,0)+1),MATCH(D$1,[2]quests!$1:$1,0)-MATCH($B$1,[2]quests!$1:$1,0)+1,FALSE)</f>
        <v>降臨1</v>
      </c>
      <c r="E9" s="70">
        <v>2</v>
      </c>
      <c r="F9" s="69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9" s="69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71">
        <v>1</v>
      </c>
      <c r="I9" s="76">
        <f t="shared" ref="I9:I13" si="2">ROW()-1</f>
        <v>8</v>
      </c>
      <c r="J9" s="72" t="str">
        <f t="shared" ref="J9:J13" si="3">B9&amp;TEXT(I9,"00")</f>
        <v>4101308</v>
      </c>
      <c r="K9" s="70" t="s">
        <v>126</v>
      </c>
      <c r="L9" s="73" t="s">
        <v>197</v>
      </c>
      <c r="M9" s="158" t="s">
        <v>325</v>
      </c>
      <c r="N9" s="45" t="s">
        <v>198</v>
      </c>
    </row>
    <row r="10" spans="1:14" ht="42" x14ac:dyDescent="0.15">
      <c r="A10" s="67" t="s">
        <v>195</v>
      </c>
      <c r="B10" s="68">
        <v>41013</v>
      </c>
      <c r="C10" s="69" t="str">
        <f ca="1">VLOOKUP($B10,OFFSET([2]quests!$A$1,0,0,COUNTA([2]quests!$A:$A),MATCH(C$1,[2]quests!$1:$1,0)-MATCH($B$1,[2]quests!$1:$1,0)+1),MATCH(C$1,[2]quests!$1:$1,0)-MATCH($B$1,[2]quests!$1:$1,0)+1,FALSE)</f>
        <v>カーマ襲来！</v>
      </c>
      <c r="D10" s="69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70">
        <v>2</v>
      </c>
      <c r="F10" s="69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10" s="69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71">
        <v>2</v>
      </c>
      <c r="I10" s="76">
        <f t="shared" si="2"/>
        <v>9</v>
      </c>
      <c r="J10" s="72" t="str">
        <f t="shared" si="3"/>
        <v>4101309</v>
      </c>
      <c r="K10" s="70" t="s">
        <v>126</v>
      </c>
      <c r="L10" s="73" t="s">
        <v>197</v>
      </c>
      <c r="M10" s="158" t="s">
        <v>326</v>
      </c>
      <c r="N10" s="45" t="s">
        <v>198</v>
      </c>
    </row>
    <row r="11" spans="1:14" ht="28" x14ac:dyDescent="0.15">
      <c r="A11" s="67" t="s">
        <v>195</v>
      </c>
      <c r="B11" s="68">
        <v>41013</v>
      </c>
      <c r="C11" s="69" t="str">
        <f ca="1">VLOOKUP($B11,OFFSET([2]quests!$A$1,0,0,COUNTA([2]quests!$A:$A),MATCH(C$1,[2]quests!$1:$1,0)-MATCH($B$1,[2]quests!$1:$1,0)+1),MATCH(C$1,[2]quests!$1:$1,0)-MATCH($B$1,[2]quests!$1:$1,0)+1,FALSE)</f>
        <v>カーマ襲来！</v>
      </c>
      <c r="D11" s="69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70">
        <v>2</v>
      </c>
      <c r="F11" s="69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11" s="69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71">
        <v>2</v>
      </c>
      <c r="I11" s="76">
        <f t="shared" si="2"/>
        <v>10</v>
      </c>
      <c r="J11" s="72" t="str">
        <f t="shared" si="3"/>
        <v>4101310</v>
      </c>
      <c r="K11" s="70" t="s">
        <v>126</v>
      </c>
      <c r="L11" s="73" t="s">
        <v>197</v>
      </c>
      <c r="M11" s="158" t="s">
        <v>327</v>
      </c>
      <c r="N11" s="45" t="s">
        <v>198</v>
      </c>
    </row>
    <row r="12" spans="1:14" ht="42" x14ac:dyDescent="0.15">
      <c r="A12" s="67" t="s">
        <v>195</v>
      </c>
      <c r="B12" s="68">
        <v>41013</v>
      </c>
      <c r="C12" s="69" t="str">
        <f ca="1">VLOOKUP($B12,OFFSET([2]quests!$A$1,0,0,COUNTA([2]quests!$A:$A),MATCH(C$1,[2]quests!$1:$1,0)-MATCH($B$1,[2]quests!$1:$1,0)+1),MATCH(C$1,[2]quests!$1:$1,0)-MATCH($B$1,[2]quests!$1:$1,0)+1,FALSE)</f>
        <v>カーマ襲来！</v>
      </c>
      <c r="D12" s="69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70">
        <v>2</v>
      </c>
      <c r="F12" s="69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12" s="69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71">
        <v>3</v>
      </c>
      <c r="I12" s="76">
        <f t="shared" si="2"/>
        <v>11</v>
      </c>
      <c r="J12" s="72" t="str">
        <f t="shared" si="3"/>
        <v>4101311</v>
      </c>
      <c r="K12" s="70" t="s">
        <v>126</v>
      </c>
      <c r="L12" s="73" t="s">
        <v>197</v>
      </c>
      <c r="M12" s="158" t="s">
        <v>328</v>
      </c>
      <c r="N12" s="45" t="s">
        <v>198</v>
      </c>
    </row>
    <row r="13" spans="1:14" ht="42" x14ac:dyDescent="0.15">
      <c r="A13" s="67" t="s">
        <v>195</v>
      </c>
      <c r="B13" s="68">
        <v>41013</v>
      </c>
      <c r="C13" s="69" t="str">
        <f ca="1">VLOOKUP($B13,OFFSET([2]quests!$A$1,0,0,COUNTA([2]quests!$A:$A),MATCH(C$1,[2]quests!$1:$1,0)-MATCH($B$1,[2]quests!$1:$1,0)+1),MATCH(C$1,[2]quests!$1:$1,0)-MATCH($B$1,[2]quests!$1:$1,0)+1,FALSE)</f>
        <v>カーマ襲来！</v>
      </c>
      <c r="D13" s="69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70">
        <v>2</v>
      </c>
      <c r="F13" s="69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13" s="69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71">
        <v>3</v>
      </c>
      <c r="I13" s="76">
        <f t="shared" si="2"/>
        <v>12</v>
      </c>
      <c r="J13" s="72" t="str">
        <f t="shared" si="3"/>
        <v>4101312</v>
      </c>
      <c r="K13" s="70" t="s">
        <v>126</v>
      </c>
      <c r="L13" s="73" t="s">
        <v>197</v>
      </c>
      <c r="M13" s="158" t="s">
        <v>329</v>
      </c>
      <c r="N13" s="45" t="s">
        <v>198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M31" sqref="M31:M3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2" t="s">
        <v>212</v>
      </c>
      <c r="B1" s="83" t="s">
        <v>213</v>
      </c>
      <c r="C1" s="63" t="s">
        <v>214</v>
      </c>
      <c r="D1" s="63" t="s">
        <v>33</v>
      </c>
      <c r="E1" s="83" t="s">
        <v>215</v>
      </c>
      <c r="F1" s="63" t="s">
        <v>216</v>
      </c>
      <c r="G1" s="63" t="s">
        <v>33</v>
      </c>
      <c r="H1" s="83" t="s">
        <v>217</v>
      </c>
      <c r="I1" s="83" t="s">
        <v>218</v>
      </c>
      <c r="J1" s="83" t="s">
        <v>219</v>
      </c>
      <c r="K1" s="59" t="s">
        <v>220</v>
      </c>
      <c r="L1" s="59" t="s">
        <v>221</v>
      </c>
      <c r="M1" s="59" t="s">
        <v>155</v>
      </c>
      <c r="N1" s="63" t="s">
        <v>16</v>
      </c>
      <c r="O1" s="59" t="s">
        <v>222</v>
      </c>
      <c r="P1" s="59" t="s">
        <v>57</v>
      </c>
      <c r="Q1" s="59" t="s">
        <v>223</v>
      </c>
      <c r="R1" s="59" t="s">
        <v>38</v>
      </c>
      <c r="S1" s="59" t="s">
        <v>40</v>
      </c>
      <c r="T1" s="59" t="s">
        <v>42</v>
      </c>
      <c r="U1" s="59" t="s">
        <v>44</v>
      </c>
      <c r="V1" s="59" t="s">
        <v>46</v>
      </c>
      <c r="W1" s="59" t="s">
        <v>224</v>
      </c>
      <c r="X1" s="59" t="s">
        <v>225</v>
      </c>
    </row>
    <row r="2" spans="1:24" x14ac:dyDescent="0.15">
      <c r="A2" s="84" t="str">
        <f>B2&amp;"_"&amp;E2&amp;"_"&amp;H2&amp;"_"&amp;I2&amp;"_"&amp;J2</f>
        <v>41013_2_everyone_no_continue_1</v>
      </c>
      <c r="B2" s="68">
        <v>41013</v>
      </c>
      <c r="C2" s="69" t="str">
        <f ca="1">VLOOKUP($B2,OFFSET([2]quests!$A$1,0,0,COUNTA([2]quests!$A:$A),MATCH(C$1,[2]quests!$1:$1,0)-MATCH($B$1,[2]quests!$1:$1,0)+1),MATCH(C$1,[2]quests!$1:$1,0)-MATCH($B$1,[2]quests!$1:$1,0)+1,FALSE)</f>
        <v>カーマ襲来！</v>
      </c>
      <c r="D2" s="69" t="str">
        <f ca="1">VLOOKUP($B2,OFFSET([2]quests!$A$1,0,0,COUNTA([2]quests!$A:$A),MATCH(D$1,[2]quests!$1:$1,0)-MATCH($B$1,[2]quests!$1:$1,0)+1),MATCH(D$1,[2]quests!$1:$1,0)-MATCH($B$1,[2]quests!$1:$1,0)+1,FALSE)</f>
        <v>降臨1</v>
      </c>
      <c r="E2" s="70">
        <v>2</v>
      </c>
      <c r="F2" s="69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【ウィザード級】カーマ襲来</v>
      </c>
      <c r="G2" s="69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71" t="s">
        <v>226</v>
      </c>
      <c r="I2" s="70" t="s">
        <v>230</v>
      </c>
      <c r="J2" s="70">
        <v>1</v>
      </c>
      <c r="K2" s="70">
        <v>100</v>
      </c>
      <c r="L2" s="70" t="s">
        <v>227</v>
      </c>
      <c r="M2" s="70">
        <v>642</v>
      </c>
      <c r="N2" s="8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カーマ</v>
      </c>
      <c r="O2" s="70">
        <v>1</v>
      </c>
      <c r="P2" s="70">
        <v>1</v>
      </c>
      <c r="Q2" s="70">
        <v>1</v>
      </c>
      <c r="R2" s="70">
        <v>0</v>
      </c>
      <c r="S2" s="70">
        <v>0</v>
      </c>
      <c r="T2" s="70">
        <v>0</v>
      </c>
      <c r="U2" s="70">
        <v>0</v>
      </c>
      <c r="V2" s="70">
        <v>1</v>
      </c>
      <c r="W2" s="86" t="s">
        <v>228</v>
      </c>
      <c r="X2" s="87" t="s">
        <v>229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2017-04-04T08:32:06Z</dcterms:modified>
</cp:coreProperties>
</file>