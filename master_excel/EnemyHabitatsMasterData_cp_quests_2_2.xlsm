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codeName="ThisWorkbook" autoCompressPictures="0"/>
  <bookViews>
    <workbookView xWindow="1120" yWindow="1120" windowWidth="25040" windowHeight="15500" activeTab="1"/>
  </bookViews>
  <sheets>
    <sheet name="floors_cp_quests2_2" sheetId="2" r:id="rId1"/>
    <sheet name="enemy_habitats_cp_quests2_2" sheetId="1" r:id="rId2"/>
    <sheet name="floors_cp_quests2_2.tmp" sheetId="5" r:id="rId3"/>
    <sheet name="enemy_habitats_cp_quests2_2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enemy_habitats_cp_quests2_2!$B$1:$AG$2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1" i="1" l="1"/>
  <c r="X12" i="1"/>
  <c r="X7" i="1"/>
  <c r="X8" i="1"/>
  <c r="X3" i="1"/>
  <c r="X4" i="1"/>
  <c r="X2" i="1"/>
  <c r="X5" i="1"/>
  <c r="X9" i="1"/>
  <c r="L13" i="1"/>
  <c r="B4" i="2"/>
  <c r="B5" i="2"/>
  <c r="B6" i="2"/>
  <c r="B7" i="2"/>
  <c r="B8" i="2"/>
  <c r="B9" i="2"/>
  <c r="B10" i="2"/>
  <c r="B11" i="2"/>
  <c r="B3" i="2"/>
  <c r="B2" i="2"/>
  <c r="G3" i="2"/>
  <c r="A3" i="2"/>
  <c r="G2" i="2"/>
  <c r="A2" i="2"/>
  <c r="AA41" i="1"/>
  <c r="AD41" i="1"/>
  <c r="AB41" i="1"/>
  <c r="Z41" i="1"/>
  <c r="T41" i="1"/>
  <c r="S41" i="1"/>
  <c r="N41" i="1"/>
  <c r="M41" i="1"/>
  <c r="L41" i="1"/>
  <c r="K41" i="1"/>
  <c r="J41" i="1"/>
  <c r="H41" i="1"/>
  <c r="D41" i="1"/>
  <c r="F41" i="1"/>
  <c r="E41" i="1"/>
  <c r="A41" i="1"/>
  <c r="AA40" i="1"/>
  <c r="AD40" i="1"/>
  <c r="AB40" i="1"/>
  <c r="Z40" i="1"/>
  <c r="T40" i="1"/>
  <c r="S40" i="1"/>
  <c r="N40" i="1"/>
  <c r="M40" i="1"/>
  <c r="L40" i="1"/>
  <c r="K40" i="1"/>
  <c r="J40" i="1"/>
  <c r="H40" i="1"/>
  <c r="D40" i="1"/>
  <c r="F40" i="1"/>
  <c r="E40" i="1"/>
  <c r="A40" i="1"/>
  <c r="AA39" i="1"/>
  <c r="AD39" i="1"/>
  <c r="AB39" i="1"/>
  <c r="Z39" i="1"/>
  <c r="T39" i="1"/>
  <c r="S39" i="1"/>
  <c r="N39" i="1"/>
  <c r="M39" i="1"/>
  <c r="L39" i="1"/>
  <c r="K39" i="1"/>
  <c r="J39" i="1"/>
  <c r="H39" i="1"/>
  <c r="D39" i="1"/>
  <c r="F39" i="1"/>
  <c r="E39" i="1"/>
  <c r="A39" i="1"/>
  <c r="AA38" i="1"/>
  <c r="AD38" i="1"/>
  <c r="AB38" i="1"/>
  <c r="Z38" i="1"/>
  <c r="T38" i="1"/>
  <c r="S38" i="1"/>
  <c r="N38" i="1"/>
  <c r="M38" i="1"/>
  <c r="L38" i="1"/>
  <c r="K38" i="1"/>
  <c r="J38" i="1"/>
  <c r="H38" i="1"/>
  <c r="D38" i="1"/>
  <c r="F38" i="1"/>
  <c r="E38" i="1"/>
  <c r="A38" i="1"/>
  <c r="AA37" i="1"/>
  <c r="AD37" i="1"/>
  <c r="AB37" i="1"/>
  <c r="Z37" i="1"/>
  <c r="T37" i="1"/>
  <c r="S37" i="1"/>
  <c r="N37" i="1"/>
  <c r="M37" i="1"/>
  <c r="L37" i="1"/>
  <c r="K37" i="1"/>
  <c r="J37" i="1"/>
  <c r="H37" i="1"/>
  <c r="D37" i="1"/>
  <c r="F37" i="1"/>
  <c r="E37" i="1"/>
  <c r="A37" i="1"/>
  <c r="AA36" i="1"/>
  <c r="AD36" i="1"/>
  <c r="AB36" i="1"/>
  <c r="Z36" i="1"/>
  <c r="T36" i="1"/>
  <c r="S36" i="1"/>
  <c r="N36" i="1"/>
  <c r="M36" i="1"/>
  <c r="L36" i="1"/>
  <c r="K36" i="1"/>
  <c r="J36" i="1"/>
  <c r="H36" i="1"/>
  <c r="D36" i="1"/>
  <c r="F36" i="1"/>
  <c r="E36" i="1"/>
  <c r="A36" i="1"/>
  <c r="AA35" i="1"/>
  <c r="AD35" i="1"/>
  <c r="AB35" i="1"/>
  <c r="Z35" i="1"/>
  <c r="X35" i="1"/>
  <c r="T35" i="1"/>
  <c r="S35" i="1"/>
  <c r="N35" i="1"/>
  <c r="M35" i="1"/>
  <c r="L35" i="1"/>
  <c r="K35" i="1"/>
  <c r="J35" i="1"/>
  <c r="H35" i="1"/>
  <c r="D35" i="1"/>
  <c r="F35" i="1"/>
  <c r="E35" i="1"/>
  <c r="A35" i="1"/>
  <c r="AA34" i="1"/>
  <c r="AD34" i="1"/>
  <c r="AB34" i="1"/>
  <c r="Z34" i="1"/>
  <c r="X34" i="1"/>
  <c r="T34" i="1"/>
  <c r="S34" i="1"/>
  <c r="N34" i="1"/>
  <c r="M34" i="1"/>
  <c r="L34" i="1"/>
  <c r="K34" i="1"/>
  <c r="J34" i="1"/>
  <c r="H34" i="1"/>
  <c r="D34" i="1"/>
  <c r="F34" i="1"/>
  <c r="E34" i="1"/>
  <c r="A34" i="1"/>
  <c r="AA33" i="1"/>
  <c r="AD33" i="1"/>
  <c r="AB33" i="1"/>
  <c r="Z33" i="1"/>
  <c r="T33" i="1"/>
  <c r="S33" i="1"/>
  <c r="N33" i="1"/>
  <c r="M33" i="1"/>
  <c r="L33" i="1"/>
  <c r="K33" i="1"/>
  <c r="J33" i="1"/>
  <c r="H33" i="1"/>
  <c r="D33" i="1"/>
  <c r="F33" i="1"/>
  <c r="E33" i="1"/>
  <c r="A33" i="1"/>
  <c r="AA32" i="1"/>
  <c r="AD32" i="1"/>
  <c r="AB32" i="1"/>
  <c r="Z32" i="1"/>
  <c r="T32" i="1"/>
  <c r="S32" i="1"/>
  <c r="N32" i="1"/>
  <c r="M32" i="1"/>
  <c r="L32" i="1"/>
  <c r="K32" i="1"/>
  <c r="J32" i="1"/>
  <c r="H32" i="1"/>
  <c r="D32" i="1"/>
  <c r="F32" i="1"/>
  <c r="E32" i="1"/>
  <c r="A32" i="1"/>
  <c r="AA31" i="1"/>
  <c r="AD31" i="1"/>
  <c r="AB31" i="1"/>
  <c r="Z31" i="1"/>
  <c r="X31" i="1"/>
  <c r="T31" i="1"/>
  <c r="S31" i="1"/>
  <c r="N31" i="1"/>
  <c r="M31" i="1"/>
  <c r="L31" i="1"/>
  <c r="K31" i="1"/>
  <c r="J31" i="1"/>
  <c r="H31" i="1"/>
  <c r="D31" i="1"/>
  <c r="F31" i="1"/>
  <c r="E31" i="1"/>
  <c r="A31" i="1"/>
  <c r="AA30" i="1"/>
  <c r="AD30" i="1"/>
  <c r="AB30" i="1"/>
  <c r="Z30" i="1"/>
  <c r="X30" i="1"/>
  <c r="T30" i="1"/>
  <c r="S30" i="1"/>
  <c r="N30" i="1"/>
  <c r="M30" i="1"/>
  <c r="L30" i="1"/>
  <c r="K30" i="1"/>
  <c r="J30" i="1"/>
  <c r="H30" i="1"/>
  <c r="D30" i="1"/>
  <c r="F30" i="1"/>
  <c r="E30" i="1"/>
  <c r="A30" i="1"/>
  <c r="AA29" i="1"/>
  <c r="AD29" i="1"/>
  <c r="AB29" i="1"/>
  <c r="Z29" i="1"/>
  <c r="T29" i="1"/>
  <c r="S29" i="1"/>
  <c r="N29" i="1"/>
  <c r="M29" i="1"/>
  <c r="L29" i="1"/>
  <c r="K29" i="1"/>
  <c r="J29" i="1"/>
  <c r="H29" i="1"/>
  <c r="D29" i="1"/>
  <c r="F29" i="1"/>
  <c r="E29" i="1"/>
  <c r="A29" i="1"/>
  <c r="AA28" i="1"/>
  <c r="AD28" i="1"/>
  <c r="AB28" i="1"/>
  <c r="Z28" i="1"/>
  <c r="T28" i="1"/>
  <c r="S28" i="1"/>
  <c r="N28" i="1"/>
  <c r="M28" i="1"/>
  <c r="L28" i="1"/>
  <c r="K28" i="1"/>
  <c r="J28" i="1"/>
  <c r="H28" i="1"/>
  <c r="D28" i="1"/>
  <c r="F28" i="1"/>
  <c r="E28" i="1"/>
  <c r="A28" i="1"/>
  <c r="AA27" i="1"/>
  <c r="AD27" i="1"/>
  <c r="AB27" i="1"/>
  <c r="Z27" i="1"/>
  <c r="X27" i="1"/>
  <c r="T27" i="1"/>
  <c r="S27" i="1"/>
  <c r="N27" i="1"/>
  <c r="M27" i="1"/>
  <c r="L27" i="1"/>
  <c r="K27" i="1"/>
  <c r="J27" i="1"/>
  <c r="H27" i="1"/>
  <c r="D27" i="1"/>
  <c r="F27" i="1"/>
  <c r="E27" i="1"/>
  <c r="A27" i="1"/>
  <c r="AA26" i="1"/>
  <c r="AD26" i="1"/>
  <c r="AB26" i="1"/>
  <c r="Z26" i="1"/>
  <c r="X26" i="1"/>
  <c r="T26" i="1"/>
  <c r="S26" i="1"/>
  <c r="N26" i="1"/>
  <c r="M26" i="1"/>
  <c r="L26" i="1"/>
  <c r="K26" i="1"/>
  <c r="J26" i="1"/>
  <c r="H26" i="1"/>
  <c r="D26" i="1"/>
  <c r="F26" i="1"/>
  <c r="E26" i="1"/>
  <c r="A26" i="1"/>
  <c r="AA25" i="1"/>
  <c r="AD25" i="1"/>
  <c r="AB25" i="1"/>
  <c r="Z25" i="1"/>
  <c r="T25" i="1"/>
  <c r="S25" i="1"/>
  <c r="N25" i="1"/>
  <c r="M25" i="1"/>
  <c r="L25" i="1"/>
  <c r="K25" i="1"/>
  <c r="J25" i="1"/>
  <c r="H25" i="1"/>
  <c r="D25" i="1"/>
  <c r="F25" i="1"/>
  <c r="E25" i="1"/>
  <c r="A25" i="1"/>
  <c r="AA24" i="1"/>
  <c r="AD24" i="1"/>
  <c r="AB24" i="1"/>
  <c r="Z24" i="1"/>
  <c r="T24" i="1"/>
  <c r="S24" i="1"/>
  <c r="N24" i="1"/>
  <c r="M24" i="1"/>
  <c r="L24" i="1"/>
  <c r="K24" i="1"/>
  <c r="J24" i="1"/>
  <c r="H24" i="1"/>
  <c r="D24" i="1"/>
  <c r="F24" i="1"/>
  <c r="E24" i="1"/>
  <c r="A24" i="1"/>
  <c r="AA23" i="1"/>
  <c r="AD23" i="1"/>
  <c r="AB23" i="1"/>
  <c r="Z23" i="1"/>
  <c r="X23" i="1"/>
  <c r="T23" i="1"/>
  <c r="S23" i="1"/>
  <c r="N23" i="1"/>
  <c r="M23" i="1"/>
  <c r="L23" i="1"/>
  <c r="K23" i="1"/>
  <c r="J23" i="1"/>
  <c r="H23" i="1"/>
  <c r="D23" i="1"/>
  <c r="F23" i="1"/>
  <c r="E23" i="1"/>
  <c r="A23" i="1"/>
  <c r="AA22" i="1"/>
  <c r="AD22" i="1"/>
  <c r="AB22" i="1"/>
  <c r="Z22" i="1"/>
  <c r="X22" i="1"/>
  <c r="T22" i="1"/>
  <c r="S22" i="1"/>
  <c r="N22" i="1"/>
  <c r="M22" i="1"/>
  <c r="L22" i="1"/>
  <c r="K22" i="1"/>
  <c r="J22" i="1"/>
  <c r="H22" i="1"/>
  <c r="D22" i="1"/>
  <c r="F22" i="1"/>
  <c r="E22" i="1"/>
  <c r="A22" i="1"/>
  <c r="AA21" i="1"/>
  <c r="AD21" i="1"/>
  <c r="AB21" i="1"/>
  <c r="Z21" i="1"/>
  <c r="T21" i="1"/>
  <c r="S21" i="1"/>
  <c r="N21" i="1"/>
  <c r="M21" i="1"/>
  <c r="L21" i="1"/>
  <c r="K21" i="1"/>
  <c r="J21" i="1"/>
  <c r="H21" i="1"/>
  <c r="D21" i="1"/>
  <c r="F21" i="1"/>
  <c r="E21" i="1"/>
  <c r="A21" i="1"/>
  <c r="AA20" i="1"/>
  <c r="AD20" i="1"/>
  <c r="AB20" i="1"/>
  <c r="Z20" i="1"/>
  <c r="T20" i="1"/>
  <c r="S20" i="1"/>
  <c r="N20" i="1"/>
  <c r="M20" i="1"/>
  <c r="L20" i="1"/>
  <c r="K20" i="1"/>
  <c r="J20" i="1"/>
  <c r="H20" i="1"/>
  <c r="D20" i="1"/>
  <c r="F20" i="1"/>
  <c r="E20" i="1"/>
  <c r="A20" i="1"/>
  <c r="AA19" i="1"/>
  <c r="AD19" i="1"/>
  <c r="AB19" i="1"/>
  <c r="Z19" i="1"/>
  <c r="X19" i="1"/>
  <c r="T19" i="1"/>
  <c r="S19" i="1"/>
  <c r="N19" i="1"/>
  <c r="M19" i="1"/>
  <c r="L19" i="1"/>
  <c r="K19" i="1"/>
  <c r="J19" i="1"/>
  <c r="H19" i="1"/>
  <c r="D19" i="1"/>
  <c r="F19" i="1"/>
  <c r="E19" i="1"/>
  <c r="A19" i="1"/>
  <c r="AA18" i="1"/>
  <c r="AD18" i="1"/>
  <c r="AB18" i="1"/>
  <c r="Z18" i="1"/>
  <c r="X18" i="1"/>
  <c r="T18" i="1"/>
  <c r="S18" i="1"/>
  <c r="N18" i="1"/>
  <c r="M18" i="1"/>
  <c r="L18" i="1"/>
  <c r="K18" i="1"/>
  <c r="J18" i="1"/>
  <c r="H18" i="1"/>
  <c r="D18" i="1"/>
  <c r="F18" i="1"/>
  <c r="E18" i="1"/>
  <c r="A18" i="1"/>
  <c r="AA17" i="1"/>
  <c r="AD17" i="1"/>
  <c r="AB17" i="1"/>
  <c r="Z17" i="1"/>
  <c r="T17" i="1"/>
  <c r="S17" i="1"/>
  <c r="N17" i="1"/>
  <c r="M17" i="1"/>
  <c r="L17" i="1"/>
  <c r="K17" i="1"/>
  <c r="J17" i="1"/>
  <c r="H17" i="1"/>
  <c r="D17" i="1"/>
  <c r="F17" i="1"/>
  <c r="E17" i="1"/>
  <c r="A17" i="1"/>
  <c r="AA16" i="1"/>
  <c r="AD16" i="1"/>
  <c r="AB16" i="1"/>
  <c r="Z16" i="1"/>
  <c r="T16" i="1"/>
  <c r="S16" i="1"/>
  <c r="N16" i="1"/>
  <c r="M16" i="1"/>
  <c r="L16" i="1"/>
  <c r="K16" i="1"/>
  <c r="J16" i="1"/>
  <c r="H16" i="1"/>
  <c r="D16" i="1"/>
  <c r="F16" i="1"/>
  <c r="E16" i="1"/>
  <c r="A16" i="1"/>
  <c r="AA15" i="1"/>
  <c r="AD15" i="1"/>
  <c r="AB15" i="1"/>
  <c r="Z15" i="1"/>
  <c r="T15" i="1"/>
  <c r="S15" i="1"/>
  <c r="N15" i="1"/>
  <c r="M15" i="1"/>
  <c r="L15" i="1"/>
  <c r="K15" i="1"/>
  <c r="J15" i="1"/>
  <c r="H15" i="1"/>
  <c r="D15" i="1"/>
  <c r="F15" i="1"/>
  <c r="E15" i="1"/>
  <c r="A15" i="1"/>
  <c r="AA14" i="1"/>
  <c r="AD14" i="1"/>
  <c r="AB14" i="1"/>
  <c r="Z14" i="1"/>
  <c r="X14" i="1"/>
  <c r="T14" i="1"/>
  <c r="S14" i="1"/>
  <c r="N14" i="1"/>
  <c r="M14" i="1"/>
  <c r="L14" i="1"/>
  <c r="K14" i="1"/>
  <c r="J14" i="1"/>
  <c r="H14" i="1"/>
  <c r="D14" i="1"/>
  <c r="F14" i="1"/>
  <c r="E14" i="1"/>
  <c r="A14" i="1"/>
  <c r="AA13" i="1"/>
  <c r="AD13" i="1"/>
  <c r="AB13" i="1"/>
  <c r="Z13" i="1"/>
  <c r="X13" i="1"/>
  <c r="T13" i="1"/>
  <c r="S13" i="1"/>
  <c r="N13" i="1"/>
  <c r="M13" i="1"/>
  <c r="K13" i="1"/>
  <c r="J13" i="1"/>
  <c r="H13" i="1"/>
  <c r="D13" i="1"/>
  <c r="F13" i="1"/>
  <c r="E13" i="1"/>
  <c r="A13" i="1"/>
  <c r="AA12" i="1"/>
  <c r="AD12" i="1"/>
  <c r="AB12" i="1"/>
  <c r="Z12" i="1"/>
  <c r="T12" i="1"/>
  <c r="S12" i="1"/>
  <c r="N12" i="1"/>
  <c r="M12" i="1"/>
  <c r="L12" i="1"/>
  <c r="K12" i="1"/>
  <c r="J12" i="1"/>
  <c r="H12" i="1"/>
  <c r="D12" i="1"/>
  <c r="F12" i="1"/>
  <c r="E12" i="1"/>
  <c r="A12" i="1"/>
  <c r="AA11" i="1"/>
  <c r="AD11" i="1"/>
  <c r="AB11" i="1"/>
  <c r="Z11" i="1"/>
  <c r="T11" i="1"/>
  <c r="S11" i="1"/>
  <c r="N11" i="1"/>
  <c r="M11" i="1"/>
  <c r="L11" i="1"/>
  <c r="K11" i="1"/>
  <c r="J11" i="1"/>
  <c r="H11" i="1"/>
  <c r="D11" i="1"/>
  <c r="F11" i="1"/>
  <c r="E11" i="1"/>
  <c r="A11" i="1"/>
  <c r="AA10" i="1"/>
  <c r="AD10" i="1"/>
  <c r="AB10" i="1"/>
  <c r="Z10" i="1"/>
  <c r="X10" i="1"/>
  <c r="T10" i="1"/>
  <c r="S10" i="1"/>
  <c r="N10" i="1"/>
  <c r="M10" i="1"/>
  <c r="L10" i="1"/>
  <c r="K10" i="1"/>
  <c r="J10" i="1"/>
  <c r="H10" i="1"/>
  <c r="D10" i="1"/>
  <c r="F10" i="1"/>
  <c r="E10" i="1"/>
  <c r="A10" i="1"/>
  <c r="AA9" i="1"/>
  <c r="AD9" i="1"/>
  <c r="AB9" i="1"/>
  <c r="Z9" i="1"/>
  <c r="T9" i="1"/>
  <c r="S9" i="1"/>
  <c r="N9" i="1"/>
  <c r="M9" i="1"/>
  <c r="L9" i="1"/>
  <c r="K9" i="1"/>
  <c r="J9" i="1"/>
  <c r="H9" i="1"/>
  <c r="D9" i="1"/>
  <c r="F9" i="1"/>
  <c r="E9" i="1"/>
  <c r="A9" i="1"/>
  <c r="AA8" i="1"/>
  <c r="AD8" i="1"/>
  <c r="AB8" i="1"/>
  <c r="Z8" i="1"/>
  <c r="T8" i="1"/>
  <c r="S8" i="1"/>
  <c r="N8" i="1"/>
  <c r="M8" i="1"/>
  <c r="L8" i="1"/>
  <c r="K8" i="1"/>
  <c r="J8" i="1"/>
  <c r="H8" i="1"/>
  <c r="D8" i="1"/>
  <c r="F8" i="1"/>
  <c r="E8" i="1"/>
  <c r="A8" i="1"/>
  <c r="AA7" i="1"/>
  <c r="AD7" i="1"/>
  <c r="AB7" i="1"/>
  <c r="Z7" i="1"/>
  <c r="T7" i="1"/>
  <c r="S7" i="1"/>
  <c r="N7" i="1"/>
  <c r="M7" i="1"/>
  <c r="L7" i="1"/>
  <c r="K7" i="1"/>
  <c r="J7" i="1"/>
  <c r="H7" i="1"/>
  <c r="D7" i="1"/>
  <c r="F7" i="1"/>
  <c r="E7" i="1"/>
  <c r="A7" i="1"/>
  <c r="AA6" i="1"/>
  <c r="AD6" i="1"/>
  <c r="AB6" i="1"/>
  <c r="Z6" i="1"/>
  <c r="X6" i="1"/>
  <c r="T6" i="1"/>
  <c r="S6" i="1"/>
  <c r="N6" i="1"/>
  <c r="M6" i="1"/>
  <c r="L6" i="1"/>
  <c r="K6" i="1"/>
  <c r="J6" i="1"/>
  <c r="H6" i="1"/>
  <c r="D6" i="1"/>
  <c r="F6" i="1"/>
  <c r="E6" i="1"/>
  <c r="A6" i="1"/>
  <c r="AA5" i="1"/>
  <c r="AD5" i="1"/>
  <c r="AB5" i="1"/>
  <c r="Z5" i="1"/>
  <c r="T5" i="1"/>
  <c r="S5" i="1"/>
  <c r="N5" i="1"/>
  <c r="M5" i="1"/>
  <c r="L5" i="1"/>
  <c r="K5" i="1"/>
  <c r="J5" i="1"/>
  <c r="H5" i="1"/>
  <c r="D5" i="1"/>
  <c r="F5" i="1"/>
  <c r="E5" i="1"/>
  <c r="A5" i="1"/>
  <c r="AA4" i="1"/>
  <c r="AD4" i="1"/>
  <c r="AB4" i="1"/>
  <c r="Z4" i="1"/>
  <c r="T4" i="1"/>
  <c r="S4" i="1"/>
  <c r="N4" i="1"/>
  <c r="M4" i="1"/>
  <c r="L4" i="1"/>
  <c r="K4" i="1"/>
  <c r="J4" i="1"/>
  <c r="H4" i="1"/>
  <c r="D4" i="1"/>
  <c r="F4" i="1"/>
  <c r="E4" i="1"/>
  <c r="A4" i="1"/>
  <c r="AA3" i="1"/>
  <c r="AD3" i="1"/>
  <c r="AB3" i="1"/>
  <c r="Z3" i="1"/>
  <c r="T3" i="1"/>
  <c r="S3" i="1"/>
  <c r="N3" i="1"/>
  <c r="M3" i="1"/>
  <c r="L3" i="1"/>
  <c r="K3" i="1"/>
  <c r="J3" i="1"/>
  <c r="H3" i="1"/>
  <c r="D3" i="1"/>
  <c r="F3" i="1"/>
  <c r="E3" i="1"/>
  <c r="A3" i="1"/>
  <c r="AA2" i="1"/>
  <c r="AD2" i="1"/>
  <c r="AB2" i="1"/>
  <c r="Z2" i="1"/>
  <c r="T2" i="1"/>
  <c r="S2" i="1"/>
  <c r="N2" i="1"/>
  <c r="M2" i="1"/>
  <c r="L2" i="1"/>
  <c r="K2" i="1"/>
  <c r="J2" i="1"/>
  <c r="H2" i="1"/>
  <c r="D2" i="1"/>
  <c r="F2" i="1"/>
  <c r="E2" i="1"/>
  <c r="A2" i="1"/>
  <c r="C1" i="6"/>
  <c r="A1" i="6"/>
  <c r="A42" i="6"/>
  <c r="B1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C1" i="5"/>
  <c r="A1" i="5"/>
  <c r="A12" i="5"/>
  <c r="B1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G11" i="2"/>
  <c r="H11" i="2"/>
  <c r="E11" i="2"/>
  <c r="D11" i="2"/>
  <c r="A11" i="2"/>
  <c r="G10" i="2"/>
  <c r="H10" i="2"/>
  <c r="E10" i="2"/>
  <c r="D10" i="2"/>
  <c r="A10" i="2"/>
  <c r="G9" i="2"/>
  <c r="H9" i="2"/>
  <c r="E9" i="2"/>
  <c r="D9" i="2"/>
  <c r="A9" i="2"/>
  <c r="G8" i="2"/>
  <c r="H8" i="2"/>
  <c r="E8" i="2"/>
  <c r="D8" i="2"/>
  <c r="A8" i="2"/>
  <c r="G7" i="2"/>
  <c r="H7" i="2"/>
  <c r="E7" i="2"/>
  <c r="D7" i="2"/>
  <c r="A7" i="2"/>
  <c r="G6" i="2"/>
  <c r="H6" i="2"/>
  <c r="E6" i="2"/>
  <c r="D6" i="2"/>
  <c r="A6" i="2"/>
  <c r="G5" i="2"/>
  <c r="H5" i="2"/>
  <c r="E5" i="2"/>
  <c r="D5" i="2"/>
  <c r="A5" i="2"/>
  <c r="G4" i="2"/>
  <c r="H4" i="2"/>
  <c r="E4" i="2"/>
  <c r="D4" i="2"/>
  <c r="A4" i="2"/>
  <c r="H3" i="2"/>
  <c r="E3" i="2"/>
  <c r="D3" i="2"/>
  <c r="H2" i="2"/>
  <c r="E2" i="2"/>
  <c r="D2" i="2"/>
  <c r="A3" i="6"/>
  <c r="I3" i="6"/>
  <c r="H3" i="6"/>
  <c r="G3" i="6"/>
  <c r="W3" i="6"/>
  <c r="V3" i="6"/>
  <c r="U3" i="6"/>
  <c r="T3" i="6"/>
  <c r="S3" i="6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<sst xmlns="http://schemas.openxmlformats.org/spreadsheetml/2006/main" count="76" uniqueCount="53">
  <si>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</si>
  <si>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</si>
  <si>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</si>
  <si>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</si>
  <si>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</si>
  <si>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</si>
  <si>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</si>
  <si>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</si>
  <si>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</si>
  <si>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</si>
  <si>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</si>
  <si>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</si>
  <si>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</si>
  <si>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</si>
  <si>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</si>
  <si>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</si>
  <si>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</si>
  <si>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</si>
  <si>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</si>
  <si>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</si>
  <si>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skill_set_id</t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</si>
  <si>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</si>
  <si>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</si>
  <si>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</si>
  <si>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</si>
  <si>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</si>
  <si>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</si>
  <si>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</si>
  <si>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</si>
  <si>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</si>
  <si>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</si>
  <si>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</si>
  <si>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</si>
  <si>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</si>
  <si>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</si>
  <si>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</si>
  <si>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</si>
  <si>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</si>
  <si>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</si>
  <si>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</si>
  <si>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</si>
  <si>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</si>
  <si>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</si>
  <si>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</si>
  <si>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</si>
  <si>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</si>
  <si>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</si>
  <si>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</si>
  <si>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</si>
  <si>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</si>
  <si>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color</t>
    <phoneticPr fontId="3"/>
  </si>
  <si>
    <t>drop_label</t>
    <phoneticPr fontId="3"/>
  </si>
  <si>
    <t>incidence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</si>
</sst>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1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460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4" fillId="3" borderId="7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3" borderId="7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</cellXfs>
  <cellStyles count="460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11207</v>
          </cell>
        </row>
        <row r="63">
          <cell r="A63">
            <v>11208</v>
          </cell>
        </row>
        <row r="64">
          <cell r="A64">
            <v>12001</v>
          </cell>
        </row>
        <row r="65">
          <cell r="A65">
            <v>13001</v>
          </cell>
        </row>
        <row r="66">
          <cell r="A66">
            <v>20001</v>
          </cell>
        </row>
        <row r="67">
          <cell r="A67">
            <v>20002</v>
          </cell>
        </row>
        <row r="68">
          <cell r="A68">
            <v>20003</v>
          </cell>
        </row>
        <row r="69">
          <cell r="A69">
            <v>20004</v>
          </cell>
        </row>
        <row r="70">
          <cell r="A70">
            <v>20005</v>
          </cell>
        </row>
        <row r="71">
          <cell r="A71">
            <v>20006</v>
          </cell>
        </row>
        <row r="72">
          <cell r="A72">
            <v>20007</v>
          </cell>
        </row>
        <row r="73">
          <cell r="A73">
            <v>20008</v>
          </cell>
        </row>
        <row r="74">
          <cell r="A74">
            <v>20009</v>
          </cell>
        </row>
        <row r="75">
          <cell r="A75">
            <v>20010</v>
          </cell>
        </row>
        <row r="76">
          <cell r="A76">
            <v>20011</v>
          </cell>
        </row>
        <row r="77">
          <cell r="A77">
            <v>20012</v>
          </cell>
        </row>
        <row r="78">
          <cell r="A78">
            <v>30001</v>
          </cell>
        </row>
        <row r="79">
          <cell r="A79">
            <v>30002</v>
          </cell>
        </row>
        <row r="80">
          <cell r="A80">
            <v>30003</v>
          </cell>
        </row>
        <row r="81">
          <cell r="A81">
            <v>30004</v>
          </cell>
        </row>
        <row r="82">
          <cell r="A82">
            <v>30005</v>
          </cell>
        </row>
        <row r="83">
          <cell r="A83">
            <v>30006</v>
          </cell>
        </row>
        <row r="84">
          <cell r="A84">
            <v>30007</v>
          </cell>
        </row>
        <row r="85">
          <cell r="A85">
            <v>30008</v>
          </cell>
        </row>
        <row r="86">
          <cell r="A86">
            <v>30009</v>
          </cell>
        </row>
        <row r="87">
          <cell r="A87">
            <v>30010</v>
          </cell>
        </row>
        <row r="88">
          <cell r="A88">
            <v>30011</v>
          </cell>
        </row>
        <row r="89">
          <cell r="A89">
            <v>30012</v>
          </cell>
        </row>
        <row r="90">
          <cell r="A90">
            <v>40001</v>
          </cell>
        </row>
        <row r="91">
          <cell r="A91">
            <v>40002</v>
          </cell>
        </row>
        <row r="92">
          <cell r="A92">
            <v>40003</v>
          </cell>
        </row>
        <row r="93">
          <cell r="A93">
            <v>65535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  <cell r="Y2" t="str">
            <v>crash_panel_materials</v>
          </cell>
          <cell r="Z2" t="str">
            <v>stage_target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11207_1</v>
          </cell>
        </row>
        <row r="238">
          <cell r="A238" t="str">
            <v>11207_2</v>
          </cell>
        </row>
        <row r="239">
          <cell r="A239" t="str">
            <v>11208_1</v>
          </cell>
        </row>
        <row r="240">
          <cell r="A240" t="str">
            <v>11208_2</v>
          </cell>
        </row>
        <row r="241">
          <cell r="A241" t="str">
            <v>12001_1</v>
          </cell>
        </row>
        <row r="242">
          <cell r="A242" t="str">
            <v>12001_2</v>
          </cell>
        </row>
        <row r="243">
          <cell r="A243" t="str">
            <v>13001_1</v>
          </cell>
        </row>
        <row r="244">
          <cell r="A244" t="str">
            <v>13001_2</v>
          </cell>
        </row>
        <row r="245">
          <cell r="A245" t="str">
            <v>13001_3</v>
          </cell>
        </row>
        <row r="246">
          <cell r="A246" t="str">
            <v>13001_4</v>
          </cell>
        </row>
        <row r="247">
          <cell r="A247" t="str">
            <v>13001_5</v>
          </cell>
        </row>
        <row r="248">
          <cell r="A248" t="str">
            <v>13001_6</v>
          </cell>
        </row>
        <row r="249">
          <cell r="A249" t="str">
            <v>13001_7</v>
          </cell>
        </row>
        <row r="250">
          <cell r="A250" t="str">
            <v>13001_8</v>
          </cell>
        </row>
        <row r="251">
          <cell r="A251" t="str">
            <v>13001_9</v>
          </cell>
        </row>
        <row r="252">
          <cell r="A252" t="str">
            <v>13001_10</v>
          </cell>
        </row>
        <row r="253">
          <cell r="A253" t="str">
            <v>13001_11</v>
          </cell>
        </row>
        <row r="254">
          <cell r="A254" t="str">
            <v>13001_12</v>
          </cell>
        </row>
        <row r="255">
          <cell r="A255" t="str">
            <v>13001_13</v>
          </cell>
        </row>
        <row r="256">
          <cell r="A256" t="str">
            <v>13001_14</v>
          </cell>
        </row>
        <row r="257">
          <cell r="A257" t="str">
            <v>13001_15</v>
          </cell>
        </row>
        <row r="258">
          <cell r="A258" t="str">
            <v>13001_16</v>
          </cell>
        </row>
        <row r="259">
          <cell r="A259" t="str">
            <v>13001_17</v>
          </cell>
        </row>
        <row r="260">
          <cell r="A260" t="str">
            <v>13001_18</v>
          </cell>
        </row>
        <row r="261">
          <cell r="A261" t="str">
            <v>13001_19</v>
          </cell>
        </row>
        <row r="262">
          <cell r="A262" t="str">
            <v>13001_20</v>
          </cell>
        </row>
        <row r="263">
          <cell r="A263" t="str">
            <v>13001_21</v>
          </cell>
        </row>
        <row r="264">
          <cell r="A264" t="str">
            <v>13001_22</v>
          </cell>
        </row>
        <row r="265">
          <cell r="A265" t="str">
            <v>13001_23</v>
          </cell>
        </row>
        <row r="266">
          <cell r="A266" t="str">
            <v>13001_24</v>
          </cell>
        </row>
        <row r="267">
          <cell r="A267" t="str">
            <v>13001_25</v>
          </cell>
        </row>
        <row r="268">
          <cell r="A268" t="str">
            <v>20001_1</v>
          </cell>
        </row>
        <row r="269">
          <cell r="A269" t="str">
            <v>20001_2</v>
          </cell>
        </row>
        <row r="270">
          <cell r="A270" t="str">
            <v>20001_3</v>
          </cell>
        </row>
        <row r="271">
          <cell r="A271" t="str">
            <v>20002_1</v>
          </cell>
        </row>
        <row r="272">
          <cell r="A272" t="str">
            <v>20002_2</v>
          </cell>
        </row>
        <row r="273">
          <cell r="A273" t="str">
            <v>20002_3</v>
          </cell>
        </row>
        <row r="274">
          <cell r="A274" t="str">
            <v>20003_1</v>
          </cell>
        </row>
        <row r="275">
          <cell r="A275" t="str">
            <v>20003_2</v>
          </cell>
        </row>
        <row r="276">
          <cell r="A276" t="str">
            <v>20003_3</v>
          </cell>
        </row>
        <row r="277">
          <cell r="A277" t="str">
            <v>20004_1</v>
          </cell>
        </row>
        <row r="278">
          <cell r="A278" t="str">
            <v>20004_2</v>
          </cell>
        </row>
        <row r="279">
          <cell r="A279" t="str">
            <v>20004_3</v>
          </cell>
        </row>
        <row r="280">
          <cell r="A280" t="str">
            <v>20005_1</v>
          </cell>
        </row>
        <row r="281">
          <cell r="A281" t="str">
            <v>20005_2</v>
          </cell>
        </row>
        <row r="282">
          <cell r="A282" t="str">
            <v>20005_3</v>
          </cell>
        </row>
        <row r="283">
          <cell r="A283" t="str">
            <v>20006_1</v>
          </cell>
        </row>
        <row r="284">
          <cell r="A284" t="str">
            <v>20006_2</v>
          </cell>
        </row>
        <row r="285">
          <cell r="A285" t="str">
            <v>20006_3</v>
          </cell>
        </row>
        <row r="286">
          <cell r="A286" t="str">
            <v>20007_1</v>
          </cell>
        </row>
        <row r="287">
          <cell r="A287" t="str">
            <v>20007_2</v>
          </cell>
        </row>
        <row r="288">
          <cell r="A288" t="str">
            <v>20007_3</v>
          </cell>
        </row>
        <row r="289">
          <cell r="A289" t="str">
            <v>20008_1</v>
          </cell>
        </row>
        <row r="290">
          <cell r="A290" t="str">
            <v>20008_2</v>
          </cell>
        </row>
        <row r="291">
          <cell r="A291" t="str">
            <v>20008_3</v>
          </cell>
        </row>
        <row r="292">
          <cell r="A292" t="str">
            <v>20009_1</v>
          </cell>
        </row>
        <row r="293">
          <cell r="A293" t="str">
            <v>20009_2</v>
          </cell>
        </row>
        <row r="294">
          <cell r="A294" t="str">
            <v>20009_3</v>
          </cell>
        </row>
        <row r="295">
          <cell r="A295" t="str">
            <v>20010_1</v>
          </cell>
        </row>
        <row r="296">
          <cell r="A296" t="str">
            <v>20010_2</v>
          </cell>
        </row>
        <row r="297">
          <cell r="A297" t="str">
            <v>20010_3</v>
          </cell>
        </row>
        <row r="298">
          <cell r="A298" t="str">
            <v>20011_1</v>
          </cell>
        </row>
        <row r="299">
          <cell r="A299" t="str">
            <v>20011_2</v>
          </cell>
        </row>
        <row r="300">
          <cell r="A300" t="str">
            <v>20011_3</v>
          </cell>
        </row>
        <row r="301">
          <cell r="A301" t="str">
            <v>20012_1</v>
          </cell>
        </row>
        <row r="302">
          <cell r="A302" t="str">
            <v>20012_2</v>
          </cell>
        </row>
        <row r="303">
          <cell r="A303" t="str">
            <v>20012_3</v>
          </cell>
        </row>
        <row r="304">
          <cell r="A304" t="str">
            <v>30001_1</v>
          </cell>
        </row>
        <row r="305">
          <cell r="A305" t="str">
            <v>30001_2</v>
          </cell>
        </row>
        <row r="306">
          <cell r="A306" t="str">
            <v>30001_3</v>
          </cell>
        </row>
        <row r="307">
          <cell r="A307" t="str">
            <v>30002_1</v>
          </cell>
        </row>
        <row r="308">
          <cell r="A308" t="str">
            <v>30002_2</v>
          </cell>
        </row>
        <row r="309">
          <cell r="A309" t="str">
            <v>30002_3</v>
          </cell>
        </row>
        <row r="310">
          <cell r="A310" t="str">
            <v>30003_1</v>
          </cell>
        </row>
        <row r="311">
          <cell r="A311" t="str">
            <v>30003_2</v>
          </cell>
        </row>
        <row r="312">
          <cell r="A312" t="str">
            <v>30003_3</v>
          </cell>
        </row>
        <row r="313">
          <cell r="A313" t="str">
            <v>30004_1</v>
          </cell>
        </row>
        <row r="314">
          <cell r="A314" t="str">
            <v>30004_2</v>
          </cell>
        </row>
        <row r="315">
          <cell r="A315" t="str">
            <v>30004_3</v>
          </cell>
        </row>
        <row r="316">
          <cell r="A316" t="str">
            <v>30005_1</v>
          </cell>
        </row>
        <row r="317">
          <cell r="A317" t="str">
            <v>30005_2</v>
          </cell>
        </row>
        <row r="318">
          <cell r="A318" t="str">
            <v>30005_3</v>
          </cell>
        </row>
        <row r="319">
          <cell r="A319" t="str">
            <v>30006_1</v>
          </cell>
        </row>
        <row r="320">
          <cell r="A320" t="str">
            <v>30006_2</v>
          </cell>
        </row>
        <row r="321">
          <cell r="A321" t="str">
            <v>30006_3</v>
          </cell>
        </row>
        <row r="322">
          <cell r="A322" t="str">
            <v>30007_1</v>
          </cell>
        </row>
        <row r="323">
          <cell r="A323" t="str">
            <v>30007_2</v>
          </cell>
        </row>
        <row r="324">
          <cell r="A324" t="str">
            <v>30007_3</v>
          </cell>
        </row>
        <row r="325">
          <cell r="A325" t="str">
            <v>30008_1</v>
          </cell>
        </row>
        <row r="326">
          <cell r="A326" t="str">
            <v>30008_2</v>
          </cell>
        </row>
        <row r="327">
          <cell r="A327" t="str">
            <v>30008_3</v>
          </cell>
        </row>
        <row r="328">
          <cell r="A328" t="str">
            <v>30009_1</v>
          </cell>
        </row>
        <row r="329">
          <cell r="A329" t="str">
            <v>30009_2</v>
          </cell>
        </row>
        <row r="330">
          <cell r="A330" t="str">
            <v>30009_3</v>
          </cell>
        </row>
        <row r="331">
          <cell r="A331" t="str">
            <v>30010_1</v>
          </cell>
        </row>
        <row r="332">
          <cell r="A332" t="str">
            <v>30010_2</v>
          </cell>
        </row>
        <row r="333">
          <cell r="A333" t="str">
            <v>30010_3</v>
          </cell>
        </row>
        <row r="334">
          <cell r="A334" t="str">
            <v>30011_1</v>
          </cell>
        </row>
        <row r="335">
          <cell r="A335" t="str">
            <v>30011_2</v>
          </cell>
        </row>
        <row r="336">
          <cell r="A336" t="str">
            <v>30011_3</v>
          </cell>
        </row>
        <row r="337">
          <cell r="A337" t="str">
            <v>30012_1</v>
          </cell>
        </row>
        <row r="338">
          <cell r="A338" t="str">
            <v>30012_2</v>
          </cell>
        </row>
        <row r="339">
          <cell r="A339" t="str">
            <v>30012_3</v>
          </cell>
        </row>
        <row r="340">
          <cell r="A340" t="str">
            <v>40001_1</v>
          </cell>
        </row>
        <row r="341">
          <cell r="A341" t="str">
            <v>40002_1</v>
          </cell>
        </row>
        <row r="342">
          <cell r="A342" t="str">
            <v>40003_1</v>
          </cell>
        </row>
        <row r="343">
          <cell r="A343" t="str">
            <v>65535_1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comment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  <cell r="AQ2" t="str">
            <v>enemy_id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  <row r="394">
          <cell r="A394">
            <v>392</v>
          </cell>
        </row>
        <row r="395">
          <cell r="A395">
            <v>393</v>
          </cell>
        </row>
        <row r="396">
          <cell r="A396">
            <v>394</v>
          </cell>
        </row>
        <row r="397">
          <cell r="A397">
            <v>395</v>
          </cell>
        </row>
        <row r="398">
          <cell r="A398">
            <v>396</v>
          </cell>
        </row>
        <row r="399">
          <cell r="A399">
            <v>397</v>
          </cell>
        </row>
        <row r="400">
          <cell r="A400">
            <v>398</v>
          </cell>
        </row>
        <row r="401">
          <cell r="A401">
            <v>399</v>
          </cell>
        </row>
        <row r="402">
          <cell r="A402">
            <v>400</v>
          </cell>
        </row>
        <row r="403">
          <cell r="A403">
            <v>401</v>
          </cell>
        </row>
        <row r="404">
          <cell r="A404">
            <v>402</v>
          </cell>
        </row>
        <row r="405">
          <cell r="A405">
            <v>403</v>
          </cell>
        </row>
        <row r="406">
          <cell r="A406">
            <v>404</v>
          </cell>
        </row>
        <row r="407">
          <cell r="A407">
            <v>405</v>
          </cell>
        </row>
        <row r="408">
          <cell r="A408">
            <v>406</v>
          </cell>
        </row>
        <row r="409">
          <cell r="A409">
            <v>407</v>
          </cell>
        </row>
        <row r="410">
          <cell r="A410">
            <v>408</v>
          </cell>
        </row>
        <row r="411">
          <cell r="A411">
            <v>409</v>
          </cell>
        </row>
        <row r="412">
          <cell r="A412">
            <v>410</v>
          </cell>
        </row>
        <row r="413">
          <cell r="A413">
            <v>411</v>
          </cell>
        </row>
        <row r="414">
          <cell r="A414">
            <v>412</v>
          </cell>
        </row>
        <row r="415">
          <cell r="A415">
            <v>413</v>
          </cell>
        </row>
        <row r="416">
          <cell r="A416">
            <v>414</v>
          </cell>
        </row>
        <row r="417">
          <cell r="A417">
            <v>415</v>
          </cell>
        </row>
        <row r="418">
          <cell r="A418">
            <v>416</v>
          </cell>
        </row>
        <row r="419">
          <cell r="A419">
            <v>417</v>
          </cell>
        </row>
        <row r="420">
          <cell r="A420">
            <v>418</v>
          </cell>
        </row>
        <row r="421">
          <cell r="A421">
            <v>419</v>
          </cell>
        </row>
        <row r="422">
          <cell r="A422">
            <v>420</v>
          </cell>
        </row>
        <row r="423">
          <cell r="A423">
            <v>421</v>
          </cell>
        </row>
        <row r="424">
          <cell r="A424">
            <v>422</v>
          </cell>
        </row>
        <row r="425">
          <cell r="A425">
            <v>423</v>
          </cell>
        </row>
        <row r="426">
          <cell r="A426">
            <v>424</v>
          </cell>
        </row>
        <row r="427">
          <cell r="A427">
            <v>425</v>
          </cell>
        </row>
        <row r="428">
          <cell r="A428">
            <v>426</v>
          </cell>
        </row>
        <row r="429">
          <cell r="A429">
            <v>427</v>
          </cell>
        </row>
        <row r="430">
          <cell r="A430">
            <v>428</v>
          </cell>
        </row>
        <row r="431">
          <cell r="A431">
            <v>429</v>
          </cell>
        </row>
        <row r="432">
          <cell r="A432">
            <v>430</v>
          </cell>
        </row>
        <row r="433">
          <cell r="A433">
            <v>431</v>
          </cell>
        </row>
        <row r="434">
          <cell r="A434">
            <v>432</v>
          </cell>
        </row>
        <row r="435">
          <cell r="A435">
            <v>433</v>
          </cell>
        </row>
        <row r="436">
          <cell r="A436">
            <v>434</v>
          </cell>
        </row>
        <row r="437">
          <cell r="A437">
            <v>435</v>
          </cell>
        </row>
        <row r="438">
          <cell r="A438">
            <v>436</v>
          </cell>
        </row>
        <row r="439">
          <cell r="A439">
            <v>437</v>
          </cell>
        </row>
        <row r="440">
          <cell r="A440">
            <v>438</v>
          </cell>
        </row>
        <row r="441">
          <cell r="A441">
            <v>439</v>
          </cell>
        </row>
        <row r="442">
          <cell r="A442">
            <v>440</v>
          </cell>
        </row>
        <row r="443">
          <cell r="A443">
            <v>441</v>
          </cell>
        </row>
        <row r="444">
          <cell r="A444">
            <v>442</v>
          </cell>
        </row>
        <row r="445">
          <cell r="A445">
            <v>443</v>
          </cell>
        </row>
        <row r="446">
          <cell r="A446">
            <v>444</v>
          </cell>
        </row>
        <row r="447">
          <cell r="A447">
            <v>445</v>
          </cell>
        </row>
        <row r="448">
          <cell r="A448">
            <v>446</v>
          </cell>
        </row>
        <row r="449">
          <cell r="A449">
            <v>447</v>
          </cell>
        </row>
        <row r="450">
          <cell r="A450">
            <v>448</v>
          </cell>
        </row>
        <row r="451">
          <cell r="A451">
            <v>449</v>
          </cell>
        </row>
        <row r="452">
          <cell r="A452">
            <v>450</v>
          </cell>
        </row>
        <row r="453">
          <cell r="A453">
            <v>451</v>
          </cell>
        </row>
        <row r="454">
          <cell r="A454">
            <v>452</v>
          </cell>
        </row>
        <row r="455">
          <cell r="A455">
            <v>453</v>
          </cell>
        </row>
        <row r="456">
          <cell r="A456">
            <v>454</v>
          </cell>
        </row>
        <row r="457">
          <cell r="A457">
            <v>455</v>
          </cell>
        </row>
        <row r="458">
          <cell r="A458">
            <v>456</v>
          </cell>
        </row>
        <row r="459">
          <cell r="A459">
            <v>457</v>
          </cell>
        </row>
        <row r="460">
          <cell r="A460">
            <v>458</v>
          </cell>
        </row>
        <row r="461">
          <cell r="A461">
            <v>459</v>
          </cell>
        </row>
        <row r="462">
          <cell r="A462">
            <v>460</v>
          </cell>
        </row>
        <row r="463">
          <cell r="A463">
            <v>461</v>
          </cell>
        </row>
        <row r="464">
          <cell r="A464">
            <v>462</v>
          </cell>
        </row>
        <row r="465">
          <cell r="A465">
            <v>463</v>
          </cell>
        </row>
        <row r="466">
          <cell r="A466">
            <v>464</v>
          </cell>
        </row>
        <row r="467">
          <cell r="A467">
            <v>465</v>
          </cell>
        </row>
        <row r="468">
          <cell r="A468">
            <v>466</v>
          </cell>
        </row>
        <row r="469">
          <cell r="A469">
            <v>467</v>
          </cell>
        </row>
        <row r="470">
          <cell r="A470">
            <v>468</v>
          </cell>
        </row>
        <row r="471">
          <cell r="A471">
            <v>469</v>
          </cell>
        </row>
        <row r="472">
          <cell r="A472">
            <v>470</v>
          </cell>
        </row>
        <row r="473">
          <cell r="A473">
            <v>471</v>
          </cell>
        </row>
        <row r="474">
          <cell r="A474">
            <v>472</v>
          </cell>
        </row>
        <row r="475">
          <cell r="A475">
            <v>473</v>
          </cell>
        </row>
        <row r="476">
          <cell r="A476">
            <v>474</v>
          </cell>
        </row>
        <row r="477">
          <cell r="A477">
            <v>475</v>
          </cell>
        </row>
        <row r="478">
          <cell r="A478">
            <v>476</v>
          </cell>
        </row>
        <row r="479">
          <cell r="A479">
            <v>477</v>
          </cell>
        </row>
        <row r="480">
          <cell r="A480">
            <v>478</v>
          </cell>
        </row>
        <row r="481">
          <cell r="A481">
            <v>479</v>
          </cell>
        </row>
        <row r="482">
          <cell r="A482">
            <v>480</v>
          </cell>
        </row>
        <row r="483">
          <cell r="A483">
            <v>481</v>
          </cell>
        </row>
        <row r="484">
          <cell r="A484">
            <v>482</v>
          </cell>
        </row>
        <row r="485">
          <cell r="A485">
            <v>483</v>
          </cell>
        </row>
        <row r="486">
          <cell r="A486">
            <v>484</v>
          </cell>
        </row>
        <row r="487">
          <cell r="A487">
            <v>485</v>
          </cell>
        </row>
        <row r="488">
          <cell r="A488">
            <v>486</v>
          </cell>
        </row>
        <row r="489">
          <cell r="A489">
            <v>487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36</v>
          </cell>
        </row>
        <row r="11">
          <cell r="B11">
            <v>36</v>
          </cell>
        </row>
        <row r="12">
          <cell r="B12">
            <v>37</v>
          </cell>
        </row>
        <row r="13">
          <cell r="B13">
            <v>37</v>
          </cell>
        </row>
        <row r="14">
          <cell r="B14">
            <v>38</v>
          </cell>
        </row>
        <row r="15">
          <cell r="B15">
            <v>38</v>
          </cell>
        </row>
        <row r="16">
          <cell r="B16">
            <v>39</v>
          </cell>
        </row>
        <row r="17">
          <cell r="B17">
            <v>40</v>
          </cell>
        </row>
        <row r="18">
          <cell r="B18">
            <v>42</v>
          </cell>
        </row>
        <row r="19">
          <cell r="B19">
            <v>4401</v>
          </cell>
        </row>
        <row r="20">
          <cell r="B20">
            <v>4402</v>
          </cell>
        </row>
        <row r="21">
          <cell r="B21">
            <v>46</v>
          </cell>
        </row>
        <row r="22">
          <cell r="B22">
            <v>49</v>
          </cell>
        </row>
        <row r="23">
          <cell r="B23">
            <v>50</v>
          </cell>
        </row>
        <row r="24">
          <cell r="B24">
            <v>51</v>
          </cell>
        </row>
        <row r="25">
          <cell r="B25">
            <v>53</v>
          </cell>
        </row>
        <row r="26">
          <cell r="B26">
            <v>55</v>
          </cell>
        </row>
        <row r="27">
          <cell r="B27">
            <v>56</v>
          </cell>
        </row>
        <row r="28">
          <cell r="B28">
            <v>57</v>
          </cell>
        </row>
        <row r="29">
          <cell r="B29">
            <v>59</v>
          </cell>
        </row>
        <row r="30">
          <cell r="B30">
            <v>6001</v>
          </cell>
        </row>
        <row r="31">
          <cell r="B31">
            <v>61</v>
          </cell>
        </row>
        <row r="32">
          <cell r="B32">
            <v>62</v>
          </cell>
        </row>
        <row r="33">
          <cell r="B33">
            <v>63</v>
          </cell>
        </row>
        <row r="34">
          <cell r="B34">
            <v>64</v>
          </cell>
        </row>
        <row r="35">
          <cell r="B35">
            <v>65</v>
          </cell>
        </row>
        <row r="36">
          <cell r="B36">
            <v>66</v>
          </cell>
        </row>
        <row r="37">
          <cell r="B37">
            <v>67</v>
          </cell>
        </row>
        <row r="38">
          <cell r="B38">
            <v>68</v>
          </cell>
        </row>
        <row r="39">
          <cell r="B39">
            <v>69</v>
          </cell>
        </row>
        <row r="40">
          <cell r="B40">
            <v>71</v>
          </cell>
        </row>
        <row r="41">
          <cell r="B41">
            <v>1071</v>
          </cell>
        </row>
        <row r="42">
          <cell r="B42">
            <v>72</v>
          </cell>
        </row>
        <row r="43">
          <cell r="B43">
            <v>74</v>
          </cell>
        </row>
        <row r="44">
          <cell r="B44">
            <v>75</v>
          </cell>
        </row>
        <row r="45">
          <cell r="B45">
            <v>76</v>
          </cell>
        </row>
        <row r="46">
          <cell r="B46">
            <v>77</v>
          </cell>
        </row>
        <row r="47">
          <cell r="B47">
            <v>79</v>
          </cell>
        </row>
        <row r="48">
          <cell r="B48">
            <v>81</v>
          </cell>
        </row>
        <row r="49">
          <cell r="B49">
            <v>83</v>
          </cell>
        </row>
        <row r="50">
          <cell r="B50">
            <v>85</v>
          </cell>
        </row>
        <row r="51">
          <cell r="B51">
            <v>86</v>
          </cell>
        </row>
        <row r="52">
          <cell r="B52">
            <v>8601</v>
          </cell>
        </row>
        <row r="53">
          <cell r="B53">
            <v>8602</v>
          </cell>
        </row>
        <row r="54">
          <cell r="B54">
            <v>88</v>
          </cell>
        </row>
        <row r="55">
          <cell r="B55">
            <v>89</v>
          </cell>
        </row>
        <row r="56">
          <cell r="B56">
            <v>8901</v>
          </cell>
        </row>
        <row r="57">
          <cell r="B57">
            <v>8901</v>
          </cell>
        </row>
        <row r="58">
          <cell r="B58">
            <v>9501</v>
          </cell>
        </row>
        <row r="59">
          <cell r="B59">
            <v>11701</v>
          </cell>
        </row>
        <row r="60">
          <cell r="B60">
            <v>11701</v>
          </cell>
        </row>
        <row r="61">
          <cell r="B61">
            <v>11702</v>
          </cell>
        </row>
        <row r="62">
          <cell r="B62">
            <v>11703</v>
          </cell>
        </row>
        <row r="63">
          <cell r="B63">
            <v>11704</v>
          </cell>
        </row>
        <row r="64">
          <cell r="B64">
            <v>11801</v>
          </cell>
        </row>
        <row r="65">
          <cell r="B65">
            <v>11802</v>
          </cell>
        </row>
        <row r="66">
          <cell r="B66">
            <v>11803</v>
          </cell>
        </row>
        <row r="67">
          <cell r="B67">
            <v>11901</v>
          </cell>
        </row>
        <row r="68">
          <cell r="B68">
            <v>11902</v>
          </cell>
        </row>
        <row r="69">
          <cell r="B69">
            <v>11903</v>
          </cell>
        </row>
        <row r="70">
          <cell r="B70">
            <v>126</v>
          </cell>
        </row>
        <row r="71">
          <cell r="B71">
            <v>12701</v>
          </cell>
        </row>
        <row r="72">
          <cell r="B72">
            <v>128</v>
          </cell>
        </row>
        <row r="73">
          <cell r="B73">
            <v>12801</v>
          </cell>
        </row>
        <row r="74">
          <cell r="B74">
            <v>130</v>
          </cell>
        </row>
        <row r="75">
          <cell r="B75">
            <v>13001</v>
          </cell>
        </row>
        <row r="76">
          <cell r="B76">
            <v>13001</v>
          </cell>
        </row>
        <row r="77">
          <cell r="B77">
            <v>13001</v>
          </cell>
        </row>
        <row r="78">
          <cell r="B78">
            <v>13101</v>
          </cell>
        </row>
        <row r="79">
          <cell r="B79">
            <v>13101</v>
          </cell>
        </row>
        <row r="80">
          <cell r="B80">
            <v>13101</v>
          </cell>
        </row>
        <row r="81">
          <cell r="B81">
            <v>132</v>
          </cell>
        </row>
        <row r="82">
          <cell r="B82">
            <v>13301</v>
          </cell>
        </row>
        <row r="83">
          <cell r="B83">
            <v>13301</v>
          </cell>
        </row>
        <row r="84">
          <cell r="B84">
            <v>13301</v>
          </cell>
        </row>
        <row r="85">
          <cell r="B85">
            <v>13301</v>
          </cell>
        </row>
        <row r="86">
          <cell r="B86">
            <v>134</v>
          </cell>
        </row>
        <row r="87">
          <cell r="B87">
            <v>136</v>
          </cell>
        </row>
        <row r="88">
          <cell r="B88">
            <v>139</v>
          </cell>
        </row>
        <row r="89">
          <cell r="B89">
            <v>140</v>
          </cell>
        </row>
        <row r="90">
          <cell r="B90">
            <v>141</v>
          </cell>
        </row>
        <row r="91">
          <cell r="B91">
            <v>10141</v>
          </cell>
        </row>
        <row r="92">
          <cell r="B92">
            <v>14201</v>
          </cell>
        </row>
        <row r="93">
          <cell r="B93">
            <v>14301</v>
          </cell>
        </row>
        <row r="94">
          <cell r="B94">
            <v>14301</v>
          </cell>
        </row>
        <row r="95">
          <cell r="B95">
            <v>14301</v>
          </cell>
        </row>
        <row r="96">
          <cell r="B96">
            <v>146</v>
          </cell>
        </row>
        <row r="97">
          <cell r="B97">
            <v>14601</v>
          </cell>
        </row>
        <row r="98">
          <cell r="B98">
            <v>14601</v>
          </cell>
        </row>
        <row r="99">
          <cell r="B99">
            <v>14601</v>
          </cell>
        </row>
        <row r="100">
          <cell r="B100">
            <v>148</v>
          </cell>
        </row>
        <row r="101">
          <cell r="B101">
            <v>148</v>
          </cell>
        </row>
        <row r="102">
          <cell r="B102">
            <v>149</v>
          </cell>
        </row>
        <row r="103">
          <cell r="B103">
            <v>149</v>
          </cell>
        </row>
        <row r="104">
          <cell r="B104">
            <v>151</v>
          </cell>
        </row>
        <row r="105">
          <cell r="B105">
            <v>151</v>
          </cell>
        </row>
        <row r="106">
          <cell r="B106">
            <v>152</v>
          </cell>
        </row>
        <row r="107">
          <cell r="B107">
            <v>152</v>
          </cell>
        </row>
        <row r="108">
          <cell r="B108">
            <v>153</v>
          </cell>
        </row>
        <row r="109">
          <cell r="B109">
            <v>153</v>
          </cell>
        </row>
        <row r="110">
          <cell r="B110">
            <v>153</v>
          </cell>
        </row>
        <row r="111">
          <cell r="B111">
            <v>154</v>
          </cell>
        </row>
        <row r="112">
          <cell r="B112">
            <v>15501</v>
          </cell>
        </row>
        <row r="113">
          <cell r="B113">
            <v>15501</v>
          </cell>
        </row>
        <row r="114">
          <cell r="B114">
            <v>15501</v>
          </cell>
        </row>
        <row r="115">
          <cell r="B115">
            <v>156</v>
          </cell>
        </row>
        <row r="116">
          <cell r="B116">
            <v>156</v>
          </cell>
        </row>
        <row r="117">
          <cell r="B117">
            <v>15601</v>
          </cell>
        </row>
        <row r="118">
          <cell r="B118">
            <v>157</v>
          </cell>
        </row>
        <row r="119">
          <cell r="B119">
            <v>160</v>
          </cell>
        </row>
        <row r="120">
          <cell r="B120">
            <v>16201</v>
          </cell>
        </row>
        <row r="121">
          <cell r="B121">
            <v>16301</v>
          </cell>
        </row>
        <row r="122">
          <cell r="B122">
            <v>16302</v>
          </cell>
        </row>
        <row r="123">
          <cell r="B123">
            <v>16302</v>
          </cell>
        </row>
        <row r="124">
          <cell r="B124">
            <v>164</v>
          </cell>
        </row>
        <row r="125">
          <cell r="B125">
            <v>164</v>
          </cell>
        </row>
        <row r="126">
          <cell r="B126">
            <v>16501</v>
          </cell>
        </row>
        <row r="127">
          <cell r="B127">
            <v>16502</v>
          </cell>
        </row>
        <row r="128">
          <cell r="B128">
            <v>169</v>
          </cell>
        </row>
        <row r="129">
          <cell r="B129">
            <v>172</v>
          </cell>
        </row>
        <row r="130">
          <cell r="B130">
            <v>17001</v>
          </cell>
        </row>
        <row r="131">
          <cell r="B131">
            <v>17001</v>
          </cell>
        </row>
        <row r="132">
          <cell r="B132">
            <v>17001</v>
          </cell>
        </row>
        <row r="133">
          <cell r="B133">
            <v>17001</v>
          </cell>
        </row>
        <row r="134">
          <cell r="B134">
            <v>17601</v>
          </cell>
        </row>
        <row r="135">
          <cell r="B135">
            <v>17601</v>
          </cell>
        </row>
        <row r="136">
          <cell r="B136">
            <v>178</v>
          </cell>
        </row>
        <row r="137">
          <cell r="B137">
            <v>182</v>
          </cell>
        </row>
        <row r="138">
          <cell r="B138">
            <v>18201</v>
          </cell>
        </row>
        <row r="139">
          <cell r="B139">
            <v>18201</v>
          </cell>
        </row>
        <row r="140">
          <cell r="B140">
            <v>184</v>
          </cell>
        </row>
        <row r="141">
          <cell r="B141">
            <v>185</v>
          </cell>
        </row>
        <row r="142">
          <cell r="B142">
            <v>18501</v>
          </cell>
        </row>
        <row r="143">
          <cell r="B143">
            <v>18501</v>
          </cell>
        </row>
        <row r="144">
          <cell r="B144">
            <v>18502</v>
          </cell>
        </row>
        <row r="145">
          <cell r="B145">
            <v>18502</v>
          </cell>
        </row>
        <row r="146">
          <cell r="B146">
            <v>18502</v>
          </cell>
        </row>
        <row r="147">
          <cell r="B147">
            <v>187</v>
          </cell>
        </row>
        <row r="148">
          <cell r="B148">
            <v>18701</v>
          </cell>
        </row>
        <row r="149">
          <cell r="B149">
            <v>18801</v>
          </cell>
        </row>
        <row r="150">
          <cell r="B150">
            <v>18801</v>
          </cell>
        </row>
        <row r="151">
          <cell r="B151">
            <v>18801</v>
          </cell>
        </row>
        <row r="152">
          <cell r="B152">
            <v>18801</v>
          </cell>
        </row>
        <row r="153">
          <cell r="B153">
            <v>18801</v>
          </cell>
        </row>
        <row r="154">
          <cell r="B154">
            <v>193</v>
          </cell>
        </row>
        <row r="155">
          <cell r="B155">
            <v>194</v>
          </cell>
        </row>
        <row r="156">
          <cell r="B156">
            <v>197</v>
          </cell>
        </row>
        <row r="157">
          <cell r="B157">
            <v>198</v>
          </cell>
        </row>
        <row r="158">
          <cell r="B158">
            <v>197</v>
          </cell>
        </row>
        <row r="159">
          <cell r="B159">
            <v>198</v>
          </cell>
        </row>
        <row r="160">
          <cell r="B160">
            <v>10197</v>
          </cell>
        </row>
        <row r="161">
          <cell r="B161">
            <v>199</v>
          </cell>
        </row>
        <row r="162">
          <cell r="B162">
            <v>200</v>
          </cell>
        </row>
        <row r="163">
          <cell r="B163">
            <v>202</v>
          </cell>
        </row>
        <row r="164">
          <cell r="B164">
            <v>20201</v>
          </cell>
        </row>
        <row r="165">
          <cell r="B165">
            <v>20201</v>
          </cell>
        </row>
        <row r="166">
          <cell r="B166">
            <v>203</v>
          </cell>
        </row>
        <row r="167">
          <cell r="B167">
            <v>20501</v>
          </cell>
        </row>
        <row r="168">
          <cell r="B168">
            <v>20501</v>
          </cell>
        </row>
        <row r="169">
          <cell r="B169">
            <v>206</v>
          </cell>
        </row>
        <row r="170">
          <cell r="B170">
            <v>20801</v>
          </cell>
        </row>
        <row r="171">
          <cell r="B171">
            <v>211</v>
          </cell>
        </row>
        <row r="172">
          <cell r="B172">
            <v>212</v>
          </cell>
        </row>
        <row r="173">
          <cell r="B173">
            <v>215</v>
          </cell>
        </row>
        <row r="174">
          <cell r="B174">
            <v>215</v>
          </cell>
        </row>
        <row r="175">
          <cell r="B175">
            <v>21701</v>
          </cell>
        </row>
        <row r="176">
          <cell r="B176">
            <v>21702</v>
          </cell>
        </row>
        <row r="177">
          <cell r="B177">
            <v>21801</v>
          </cell>
        </row>
        <row r="178">
          <cell r="B178">
            <v>219</v>
          </cell>
        </row>
        <row r="179">
          <cell r="B179">
            <v>22101</v>
          </cell>
        </row>
        <row r="180">
          <cell r="B180">
            <v>224</v>
          </cell>
        </row>
        <row r="181">
          <cell r="B181">
            <v>224</v>
          </cell>
        </row>
        <row r="182">
          <cell r="B182">
            <v>22601</v>
          </cell>
        </row>
        <row r="183">
          <cell r="B183">
            <v>22601</v>
          </cell>
        </row>
        <row r="184">
          <cell r="B184">
            <v>229</v>
          </cell>
        </row>
        <row r="185">
          <cell r="B185">
            <v>22901</v>
          </cell>
        </row>
        <row r="186">
          <cell r="B186">
            <v>230</v>
          </cell>
        </row>
        <row r="187">
          <cell r="B187">
            <v>231</v>
          </cell>
        </row>
        <row r="188">
          <cell r="B188">
            <v>232</v>
          </cell>
        </row>
        <row r="189">
          <cell r="B189">
            <v>233</v>
          </cell>
        </row>
        <row r="190">
          <cell r="B190">
            <v>23601</v>
          </cell>
        </row>
        <row r="191">
          <cell r="B191">
            <v>241</v>
          </cell>
        </row>
        <row r="192">
          <cell r="B192">
            <v>24201</v>
          </cell>
        </row>
        <row r="193">
          <cell r="B193">
            <v>24202</v>
          </cell>
        </row>
        <row r="194">
          <cell r="B194">
            <v>24202</v>
          </cell>
        </row>
        <row r="195">
          <cell r="B195">
            <v>24701</v>
          </cell>
        </row>
        <row r="196">
          <cell r="B196">
            <v>24801</v>
          </cell>
        </row>
        <row r="197">
          <cell r="B197">
            <v>25001</v>
          </cell>
        </row>
        <row r="198">
          <cell r="B198">
            <v>25201</v>
          </cell>
        </row>
        <row r="199">
          <cell r="B199">
            <v>25202</v>
          </cell>
        </row>
        <row r="200">
          <cell r="B200">
            <v>25203</v>
          </cell>
        </row>
        <row r="201">
          <cell r="B201">
            <v>254</v>
          </cell>
        </row>
        <row r="202">
          <cell r="B202">
            <v>254</v>
          </cell>
        </row>
        <row r="203">
          <cell r="B203">
            <v>256</v>
          </cell>
        </row>
        <row r="204">
          <cell r="B204">
            <v>257</v>
          </cell>
        </row>
        <row r="205">
          <cell r="B205">
            <v>317</v>
          </cell>
        </row>
        <row r="206">
          <cell r="B206">
            <v>317</v>
          </cell>
        </row>
        <row r="207">
          <cell r="B207">
            <v>317</v>
          </cell>
        </row>
        <row r="208">
          <cell r="B208">
            <v>317</v>
          </cell>
        </row>
        <row r="209">
          <cell r="B209">
            <v>317</v>
          </cell>
        </row>
        <row r="210">
          <cell r="B210">
            <v>317</v>
          </cell>
        </row>
        <row r="211">
          <cell r="B211">
            <v>317</v>
          </cell>
        </row>
        <row r="212">
          <cell r="B212">
            <v>319</v>
          </cell>
        </row>
        <row r="213">
          <cell r="B213">
            <v>319</v>
          </cell>
        </row>
        <row r="214">
          <cell r="B214">
            <v>319</v>
          </cell>
        </row>
        <row r="215">
          <cell r="B215">
            <v>319</v>
          </cell>
        </row>
        <row r="216">
          <cell r="B216">
            <v>319</v>
          </cell>
        </row>
        <row r="217">
          <cell r="B217">
            <v>319</v>
          </cell>
        </row>
        <row r="218">
          <cell r="B218">
            <v>2666</v>
          </cell>
        </row>
        <row r="219">
          <cell r="B219">
            <v>20011</v>
          </cell>
        </row>
        <row r="220">
          <cell r="B220">
            <v>263</v>
          </cell>
        </row>
        <row r="221">
          <cell r="B221">
            <v>266</v>
          </cell>
        </row>
        <row r="222">
          <cell r="B222">
            <v>272</v>
          </cell>
        </row>
        <row r="223">
          <cell r="B223">
            <v>272</v>
          </cell>
        </row>
        <row r="224">
          <cell r="B224">
            <v>272</v>
          </cell>
        </row>
        <row r="225">
          <cell r="B225">
            <v>272</v>
          </cell>
        </row>
        <row r="226">
          <cell r="B226">
            <v>274</v>
          </cell>
        </row>
        <row r="227">
          <cell r="B227">
            <v>275</v>
          </cell>
        </row>
        <row r="228">
          <cell r="B228">
            <v>275</v>
          </cell>
        </row>
        <row r="229">
          <cell r="B229">
            <v>268</v>
          </cell>
        </row>
        <row r="230">
          <cell r="B230">
            <v>264</v>
          </cell>
        </row>
        <row r="231">
          <cell r="B231">
            <v>270</v>
          </cell>
        </row>
        <row r="232">
          <cell r="B232">
            <v>271</v>
          </cell>
        </row>
        <row r="233">
          <cell r="B233">
            <v>271</v>
          </cell>
        </row>
        <row r="234">
          <cell r="B234">
            <v>276</v>
          </cell>
        </row>
        <row r="235">
          <cell r="B235">
            <v>276</v>
          </cell>
        </row>
        <row r="236">
          <cell r="B236">
            <v>277</v>
          </cell>
        </row>
        <row r="237">
          <cell r="B237">
            <v>277</v>
          </cell>
        </row>
        <row r="238">
          <cell r="B238">
            <v>277</v>
          </cell>
        </row>
        <row r="239">
          <cell r="B239">
            <v>1063</v>
          </cell>
        </row>
        <row r="240">
          <cell r="B240">
            <v>1055</v>
          </cell>
        </row>
        <row r="241">
          <cell r="B241">
            <v>2063</v>
          </cell>
        </row>
        <row r="242">
          <cell r="B242">
            <v>1123</v>
          </cell>
        </row>
        <row r="243">
          <cell r="B243">
            <v>1221</v>
          </cell>
        </row>
        <row r="244">
          <cell r="B244">
            <v>1221</v>
          </cell>
        </row>
        <row r="245">
          <cell r="B245">
            <v>1211</v>
          </cell>
        </row>
        <row r="246">
          <cell r="B246">
            <v>1231</v>
          </cell>
        </row>
        <row r="247">
          <cell r="B247">
            <v>1045</v>
          </cell>
        </row>
        <row r="248">
          <cell r="B248">
            <v>278</v>
          </cell>
        </row>
        <row r="249">
          <cell r="B249">
            <v>278</v>
          </cell>
        </row>
        <row r="250">
          <cell r="B250">
            <v>279</v>
          </cell>
        </row>
        <row r="251">
          <cell r="B251">
            <v>279</v>
          </cell>
        </row>
        <row r="252">
          <cell r="B252">
            <v>13501</v>
          </cell>
        </row>
        <row r="253">
          <cell r="B253">
            <v>13501</v>
          </cell>
        </row>
        <row r="254">
          <cell r="B254">
            <v>13501</v>
          </cell>
        </row>
        <row r="255">
          <cell r="B255">
            <v>13501</v>
          </cell>
        </row>
        <row r="256">
          <cell r="B256">
            <v>13501</v>
          </cell>
        </row>
        <row r="257">
          <cell r="B257">
            <v>192</v>
          </cell>
        </row>
        <row r="258">
          <cell r="B258">
            <v>266</v>
          </cell>
        </row>
        <row r="259">
          <cell r="B259">
            <v>266</v>
          </cell>
        </row>
        <row r="260">
          <cell r="B260">
            <v>266</v>
          </cell>
        </row>
        <row r="261">
          <cell r="B261">
            <v>266</v>
          </cell>
        </row>
        <row r="262">
          <cell r="B262">
            <v>28201</v>
          </cell>
        </row>
        <row r="263">
          <cell r="B263">
            <v>28202</v>
          </cell>
        </row>
        <row r="264">
          <cell r="B264">
            <v>28201</v>
          </cell>
        </row>
        <row r="265">
          <cell r="B265">
            <v>28202</v>
          </cell>
        </row>
        <row r="266">
          <cell r="B266">
            <v>28202</v>
          </cell>
        </row>
        <row r="267">
          <cell r="B267">
            <v>13201</v>
          </cell>
        </row>
        <row r="268">
          <cell r="B268">
            <v>286</v>
          </cell>
        </row>
        <row r="269">
          <cell r="B269">
            <v>286</v>
          </cell>
        </row>
        <row r="270">
          <cell r="B270">
            <v>286</v>
          </cell>
        </row>
        <row r="271">
          <cell r="B271">
            <v>22401</v>
          </cell>
        </row>
        <row r="272">
          <cell r="B272">
            <v>22401</v>
          </cell>
        </row>
        <row r="273">
          <cell r="B273">
            <v>22401</v>
          </cell>
        </row>
        <row r="274">
          <cell r="B274">
            <v>22401</v>
          </cell>
        </row>
        <row r="275">
          <cell r="B275">
            <v>20601</v>
          </cell>
        </row>
        <row r="276">
          <cell r="B276">
            <v>20601</v>
          </cell>
        </row>
        <row r="277">
          <cell r="B277">
            <v>20901</v>
          </cell>
        </row>
        <row r="278">
          <cell r="B278">
            <v>20901</v>
          </cell>
        </row>
        <row r="279">
          <cell r="B279">
            <v>20901</v>
          </cell>
        </row>
        <row r="280">
          <cell r="B280">
            <v>20901</v>
          </cell>
        </row>
        <row r="281">
          <cell r="B281">
            <v>20901</v>
          </cell>
        </row>
        <row r="282">
          <cell r="B282">
            <v>19101</v>
          </cell>
        </row>
        <row r="283">
          <cell r="B283">
            <v>19101</v>
          </cell>
        </row>
        <row r="284">
          <cell r="B284">
            <v>19101</v>
          </cell>
        </row>
        <row r="285">
          <cell r="B285">
            <v>19101</v>
          </cell>
        </row>
        <row r="286">
          <cell r="B286">
            <v>19101</v>
          </cell>
        </row>
        <row r="287">
          <cell r="B287">
            <v>19101</v>
          </cell>
        </row>
        <row r="288">
          <cell r="B288">
            <v>12901</v>
          </cell>
        </row>
        <row r="289">
          <cell r="B289">
            <v>12901</v>
          </cell>
        </row>
        <row r="290">
          <cell r="B290">
            <v>29001</v>
          </cell>
        </row>
        <row r="291">
          <cell r="B291">
            <v>29001</v>
          </cell>
        </row>
        <row r="292">
          <cell r="B292">
            <v>29001</v>
          </cell>
        </row>
        <row r="293">
          <cell r="B293">
            <v>29002</v>
          </cell>
        </row>
        <row r="294">
          <cell r="B294">
            <v>29002</v>
          </cell>
        </row>
        <row r="295">
          <cell r="B295">
            <v>29002</v>
          </cell>
        </row>
        <row r="296">
          <cell r="B296">
            <v>29002</v>
          </cell>
        </row>
        <row r="297">
          <cell r="B297">
            <v>292</v>
          </cell>
        </row>
        <row r="298">
          <cell r="B298">
            <v>292</v>
          </cell>
        </row>
        <row r="299">
          <cell r="B299">
            <v>29201</v>
          </cell>
        </row>
        <row r="300">
          <cell r="B300">
            <v>29201</v>
          </cell>
        </row>
        <row r="301">
          <cell r="B301">
            <v>29201</v>
          </cell>
        </row>
        <row r="302">
          <cell r="B302">
            <v>293</v>
          </cell>
        </row>
        <row r="303">
          <cell r="B303">
            <v>293</v>
          </cell>
        </row>
        <row r="304">
          <cell r="B304">
            <v>293</v>
          </cell>
        </row>
        <row r="305">
          <cell r="B305">
            <v>293</v>
          </cell>
        </row>
        <row r="306">
          <cell r="B306">
            <v>14101</v>
          </cell>
        </row>
        <row r="307">
          <cell r="B307">
            <v>14101</v>
          </cell>
        </row>
        <row r="308">
          <cell r="B308">
            <v>3301</v>
          </cell>
        </row>
        <row r="309">
          <cell r="B309">
            <v>15101</v>
          </cell>
        </row>
        <row r="310">
          <cell r="B310">
            <v>15101</v>
          </cell>
        </row>
        <row r="311">
          <cell r="B311">
            <v>15101</v>
          </cell>
        </row>
        <row r="312">
          <cell r="B312">
            <v>15101</v>
          </cell>
        </row>
        <row r="313">
          <cell r="B313">
            <v>28701</v>
          </cell>
        </row>
        <row r="314">
          <cell r="B314">
            <v>28701</v>
          </cell>
        </row>
        <row r="315">
          <cell r="B315">
            <v>28701</v>
          </cell>
        </row>
        <row r="316">
          <cell r="B316">
            <v>294</v>
          </cell>
        </row>
        <row r="317">
          <cell r="B317">
            <v>29401</v>
          </cell>
        </row>
        <row r="318">
          <cell r="B318">
            <v>29401</v>
          </cell>
        </row>
        <row r="319">
          <cell r="B319">
            <v>295</v>
          </cell>
        </row>
        <row r="320">
          <cell r="B320">
            <v>295</v>
          </cell>
        </row>
        <row r="321">
          <cell r="B321">
            <v>29801</v>
          </cell>
        </row>
        <row r="322">
          <cell r="B322">
            <v>29801</v>
          </cell>
        </row>
        <row r="323">
          <cell r="B323">
            <v>29801</v>
          </cell>
        </row>
        <row r="324">
          <cell r="B324">
            <v>29802</v>
          </cell>
        </row>
        <row r="325">
          <cell r="B325">
            <v>29802</v>
          </cell>
        </row>
        <row r="326">
          <cell r="B326">
            <v>29802</v>
          </cell>
        </row>
        <row r="327">
          <cell r="B327">
            <v>29802</v>
          </cell>
        </row>
        <row r="328">
          <cell r="B328">
            <v>29901</v>
          </cell>
        </row>
        <row r="329">
          <cell r="B329">
            <v>29901</v>
          </cell>
        </row>
        <row r="330">
          <cell r="B330">
            <v>29901</v>
          </cell>
        </row>
        <row r="331">
          <cell r="B331">
            <v>29901</v>
          </cell>
        </row>
        <row r="332">
          <cell r="B332">
            <v>29901</v>
          </cell>
        </row>
        <row r="333">
          <cell r="B333">
            <v>284</v>
          </cell>
        </row>
        <row r="334">
          <cell r="B334">
            <v>14202</v>
          </cell>
        </row>
        <row r="335">
          <cell r="B335">
            <v>12702</v>
          </cell>
        </row>
        <row r="336">
          <cell r="B336">
            <v>12702</v>
          </cell>
        </row>
        <row r="337">
          <cell r="B337">
            <v>14401</v>
          </cell>
        </row>
        <row r="338">
          <cell r="B338">
            <v>15201</v>
          </cell>
        </row>
        <row r="339">
          <cell r="B339">
            <v>15201</v>
          </cell>
        </row>
        <row r="340">
          <cell r="B340">
            <v>15201</v>
          </cell>
        </row>
        <row r="341">
          <cell r="B341">
            <v>15201</v>
          </cell>
        </row>
        <row r="342">
          <cell r="B342">
            <v>21201</v>
          </cell>
        </row>
        <row r="343">
          <cell r="B343">
            <v>21201</v>
          </cell>
        </row>
        <row r="344">
          <cell r="B344">
            <v>21201</v>
          </cell>
        </row>
        <row r="345">
          <cell r="B345">
            <v>18601</v>
          </cell>
        </row>
        <row r="346">
          <cell r="B346">
            <v>18601</v>
          </cell>
        </row>
        <row r="347">
          <cell r="B347">
            <v>18601</v>
          </cell>
        </row>
        <row r="348">
          <cell r="B348">
            <v>18601</v>
          </cell>
        </row>
        <row r="349">
          <cell r="B349">
            <v>18601</v>
          </cell>
        </row>
        <row r="350">
          <cell r="B350">
            <v>348</v>
          </cell>
        </row>
        <row r="351">
          <cell r="B351">
            <v>350</v>
          </cell>
        </row>
        <row r="352">
          <cell r="B352">
            <v>352</v>
          </cell>
        </row>
        <row r="353">
          <cell r="B353">
            <v>354</v>
          </cell>
        </row>
        <row r="354">
          <cell r="B354">
            <v>360</v>
          </cell>
        </row>
        <row r="355">
          <cell r="B355">
            <v>362</v>
          </cell>
        </row>
        <row r="356">
          <cell r="B356">
            <v>364</v>
          </cell>
        </row>
        <row r="357">
          <cell r="B357">
            <v>366</v>
          </cell>
        </row>
        <row r="358">
          <cell r="B358">
            <v>369</v>
          </cell>
        </row>
        <row r="359">
          <cell r="B359">
            <v>369</v>
          </cell>
        </row>
        <row r="360">
          <cell r="B360">
            <v>369</v>
          </cell>
        </row>
        <row r="361">
          <cell r="B361">
            <v>369</v>
          </cell>
        </row>
        <row r="362">
          <cell r="B362">
            <v>369</v>
          </cell>
        </row>
        <row r="363">
          <cell r="B363">
            <v>369</v>
          </cell>
        </row>
        <row r="364">
          <cell r="B364">
            <v>16401</v>
          </cell>
        </row>
        <row r="365">
          <cell r="B365">
            <v>16401</v>
          </cell>
        </row>
        <row r="366">
          <cell r="B366">
            <v>28801</v>
          </cell>
        </row>
        <row r="367">
          <cell r="B367">
            <v>28801</v>
          </cell>
        </row>
        <row r="368">
          <cell r="B368">
            <v>28801</v>
          </cell>
        </row>
        <row r="369">
          <cell r="B369">
            <v>28802</v>
          </cell>
        </row>
        <row r="370">
          <cell r="B370">
            <v>28803</v>
          </cell>
        </row>
        <row r="371">
          <cell r="B371">
            <v>28803</v>
          </cell>
        </row>
        <row r="372">
          <cell r="B372">
            <v>28804</v>
          </cell>
        </row>
        <row r="373">
          <cell r="B373">
            <v>28804</v>
          </cell>
        </row>
        <row r="374">
          <cell r="B374">
            <v>28804</v>
          </cell>
        </row>
        <row r="375">
          <cell r="B375">
            <v>28901</v>
          </cell>
        </row>
        <row r="376">
          <cell r="B376">
            <v>28901</v>
          </cell>
        </row>
        <row r="377">
          <cell r="B377">
            <v>28901</v>
          </cell>
        </row>
        <row r="378">
          <cell r="B378">
            <v>2701</v>
          </cell>
        </row>
        <row r="379">
          <cell r="B379">
            <v>2702</v>
          </cell>
        </row>
        <row r="380">
          <cell r="B380">
            <v>2701</v>
          </cell>
        </row>
        <row r="381">
          <cell r="B381">
            <v>2702</v>
          </cell>
        </row>
        <row r="382">
          <cell r="B382">
            <v>28001</v>
          </cell>
        </row>
        <row r="383">
          <cell r="B383">
            <v>28002</v>
          </cell>
        </row>
        <row r="384">
          <cell r="B384">
            <v>28002</v>
          </cell>
        </row>
        <row r="385">
          <cell r="B385">
            <v>28101</v>
          </cell>
        </row>
        <row r="386">
          <cell r="B386">
            <v>28101</v>
          </cell>
        </row>
        <row r="387">
          <cell r="B387">
            <v>6301</v>
          </cell>
        </row>
        <row r="388">
          <cell r="B388">
            <v>6301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J24" sqref="J24"/>
    </sheetView>
  </sheetViews>
  <sheetFormatPr baseColWidth="12" defaultColWidth="13" defaultRowHeight="21" customHeight="1" outlineLevelCol="1" x14ac:dyDescent="0"/>
  <cols>
    <col min="1" max="1" width="8.83203125" style="23" bestFit="1" customWidth="1"/>
    <col min="2" max="2" width="5" style="23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3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7" t="s">
        <v>27</v>
      </c>
      <c r="B1" s="17" t="s">
        <v>33</v>
      </c>
      <c r="C1" s="1" t="s">
        <v>0</v>
      </c>
      <c r="D1" s="2" t="s">
        <v>18</v>
      </c>
      <c r="E1" s="16" t="s">
        <v>31</v>
      </c>
      <c r="F1" s="1" t="s">
        <v>1</v>
      </c>
      <c r="G1" s="24" t="s">
        <v>30</v>
      </c>
      <c r="H1" s="16" t="s">
        <v>32</v>
      </c>
      <c r="I1" s="1" t="s">
        <v>13</v>
      </c>
      <c r="J1" s="1" t="s">
        <v>14</v>
      </c>
      <c r="K1" s="1" t="s">
        <v>15</v>
      </c>
    </row>
    <row r="2" spans="1:11" ht="21" customHeight="1">
      <c r="A2" s="17" t="str">
        <f t="shared" ref="A2:A11" si="0">G2&amp;"-"&amp;I2</f>
        <v>11208_1-1</v>
      </c>
      <c r="B2" s="17" t="str">
        <f>IF(COUNTIF(enemy_habitats_cp_quests2_2!$H:$H,A2),"OK","NG")</f>
        <v>OK</v>
      </c>
      <c r="C2" s="27">
        <v>11208</v>
      </c>
      <c r="D2" s="22" t="str">
        <f ca="1">VLOOKUP($C2,OFFSET([1]quests!$A$1,0,0,COUNTA([1]quests!$A:$A),MATCH(D$1,[1]quests!$1:$1,0)-MATCH($C$1,[1]quests!$1:$1,0)+1),MATCH(D$1,[1]quests!$1:$1,0)-MATCH($C$1,[1]quests!$1:$1,0)+1,FALSE)</f>
        <v>果実達の大宴会</v>
      </c>
      <c r="E2" s="22" t="str">
        <f ca="1">VLOOKUP($C2,OFFSET([1]quests!$A$1,0,0,COUNTA([1]quests!$A:$A),MATCH(E$1,[1]quests!$1:$1,0)-MATCH($C$1,[1]quests!$1:$1,0)+1),MATCH(E$1,[1]quests!$1:$1,0)-MATCH($C$1,[1]quests!$1:$1,0)+1,FALSE)</f>
        <v>シルバーウィーク限定クエスト</v>
      </c>
      <c r="F2" s="28">
        <v>1</v>
      </c>
      <c r="G2" s="24" t="str">
        <f t="shared" ref="G2:G11" si="1">C2&amp;"_"&amp;F2</f>
        <v>11208_1</v>
      </c>
      <c r="H2" s="16" t="str">
        <f ca="1">VLOOKUP($G2,OFFSET([1]stages!$A$1,0,0,COUNTA([1]stages!$A:$A),MATCH(H$1,[1]stages!$2:$2,0)-MATCH($G$1,[1]stages!$2:$2,0)+1),MATCH(H$1,[1]stages!$2:$2,0)-MATCH($G$1,[1]stages!$2:$2,0)+1,FALSE)</f>
        <v>果実達の大宴会【上級】</v>
      </c>
      <c r="I2" s="28">
        <v>1</v>
      </c>
      <c r="J2" s="29">
        <v>35</v>
      </c>
      <c r="K2" s="29">
        <v>35</v>
      </c>
    </row>
    <row r="3" spans="1:11" ht="21" customHeight="1">
      <c r="A3" s="17" t="str">
        <f t="shared" si="0"/>
        <v>11208_1-2</v>
      </c>
      <c r="B3" s="17" t="str">
        <f>IF(COUNTIF(enemy_habitats_cp_quests2_2!$H:$H,A3),"OK","NG")</f>
        <v>OK</v>
      </c>
      <c r="C3" s="27">
        <v>11208</v>
      </c>
      <c r="D3" s="22" t="str">
        <f ca="1">VLOOKUP($C3,OFFSET([1]quests!$A$1,0,0,COUNTA([1]quests!$A:$A),MATCH(D$1,[1]quests!$1:$1,0)-MATCH($C$1,[1]quests!$1:$1,0)+1),MATCH(D$1,[1]quests!$1:$1,0)-MATCH($C$1,[1]quests!$1:$1,0)+1,FALSE)</f>
        <v>果実達の大宴会</v>
      </c>
      <c r="E3" s="22" t="str">
        <f ca="1">VLOOKUP($C3,OFFSET([1]quests!$A$1,0,0,COUNTA([1]quests!$A:$A),MATCH(E$1,[1]quests!$1:$1,0)-MATCH($C$1,[1]quests!$1:$1,0)+1),MATCH(E$1,[1]quests!$1:$1,0)-MATCH($C$1,[1]quests!$1:$1,0)+1,FALSE)</f>
        <v>シルバーウィーク限定クエスト</v>
      </c>
      <c r="F3" s="28">
        <v>1</v>
      </c>
      <c r="G3" s="24" t="str">
        <f t="shared" si="1"/>
        <v>11208_1</v>
      </c>
      <c r="H3" s="16" t="str">
        <f ca="1">VLOOKUP($G3,OFFSET([1]stages!$A$1,0,0,COUNTA([1]stages!$A:$A),MATCH(H$1,[1]stages!$2:$2,0)-MATCH($G$1,[1]stages!$2:$2,0)+1),MATCH(H$1,[1]stages!$2:$2,0)-MATCH($G$1,[1]stages!$2:$2,0)+1,FALSE)</f>
        <v>果実達の大宴会【上級】</v>
      </c>
      <c r="I3" s="28">
        <v>2</v>
      </c>
      <c r="J3" s="29">
        <v>35</v>
      </c>
      <c r="K3" s="29">
        <v>35</v>
      </c>
    </row>
    <row r="4" spans="1:11" ht="21" customHeight="1">
      <c r="A4" s="17" t="str">
        <f t="shared" si="0"/>
        <v>11208_1-3</v>
      </c>
      <c r="B4" s="17" t="str">
        <f>IF(COUNTIF(enemy_habitats_cp_quests2_2!$H:$H,A4),"OK","NG")</f>
        <v>OK</v>
      </c>
      <c r="C4" s="27">
        <v>11208</v>
      </c>
      <c r="D4" s="22" t="str">
        <f ca="1">VLOOKUP($C4,OFFSET([1]quests!$A$1,0,0,COUNTA([1]quests!$A:$A),MATCH(D$1,[1]quests!$1:$1,0)-MATCH($C$1,[1]quests!$1:$1,0)+1),MATCH(D$1,[1]quests!$1:$1,0)-MATCH($C$1,[1]quests!$1:$1,0)+1,FALSE)</f>
        <v>果実達の大宴会</v>
      </c>
      <c r="E4" s="22" t="str">
        <f ca="1">VLOOKUP($C4,OFFSET([1]quests!$A$1,0,0,COUNTA([1]quests!$A:$A),MATCH(E$1,[1]quests!$1:$1,0)-MATCH($C$1,[1]quests!$1:$1,0)+1),MATCH(E$1,[1]quests!$1:$1,0)-MATCH($C$1,[1]quests!$1:$1,0)+1,FALSE)</f>
        <v>シルバーウィーク限定クエスト</v>
      </c>
      <c r="F4" s="28">
        <v>1</v>
      </c>
      <c r="G4" s="24" t="str">
        <f t="shared" si="1"/>
        <v>11208_1</v>
      </c>
      <c r="H4" s="16" t="str">
        <f ca="1">VLOOKUP($G4,OFFSET([1]stages!$A$1,0,0,COUNTA([1]stages!$A:$A),MATCH(H$1,[1]stages!$2:$2,0)-MATCH($G$1,[1]stages!$2:$2,0)+1),MATCH(H$1,[1]stages!$2:$2,0)-MATCH($G$1,[1]stages!$2:$2,0)+1,FALSE)</f>
        <v>果実達の大宴会【上級】</v>
      </c>
      <c r="I4" s="28">
        <v>3</v>
      </c>
      <c r="J4" s="29">
        <v>35</v>
      </c>
      <c r="K4" s="29">
        <v>35</v>
      </c>
    </row>
    <row r="5" spans="1:11" ht="21" customHeight="1">
      <c r="A5" s="17" t="str">
        <f t="shared" si="0"/>
        <v>11208_1-4</v>
      </c>
      <c r="B5" s="17" t="str">
        <f>IF(COUNTIF(enemy_habitats_cp_quests2_2!$H:$H,A5),"OK","NG")</f>
        <v>OK</v>
      </c>
      <c r="C5" s="27">
        <v>11208</v>
      </c>
      <c r="D5" s="22" t="str">
        <f ca="1">VLOOKUP($C5,OFFSET([1]quests!$A$1,0,0,COUNTA([1]quests!$A:$A),MATCH(D$1,[1]quests!$1:$1,0)-MATCH($C$1,[1]quests!$1:$1,0)+1),MATCH(D$1,[1]quests!$1:$1,0)-MATCH($C$1,[1]quests!$1:$1,0)+1,FALSE)</f>
        <v>果実達の大宴会</v>
      </c>
      <c r="E5" s="22" t="str">
        <f ca="1">VLOOKUP($C5,OFFSET([1]quests!$A$1,0,0,COUNTA([1]quests!$A:$A),MATCH(E$1,[1]quests!$1:$1,0)-MATCH($C$1,[1]quests!$1:$1,0)+1),MATCH(E$1,[1]quests!$1:$1,0)-MATCH($C$1,[1]quests!$1:$1,0)+1,FALSE)</f>
        <v>シルバーウィーク限定クエスト</v>
      </c>
      <c r="F5" s="28">
        <v>1</v>
      </c>
      <c r="G5" s="24" t="str">
        <f t="shared" si="1"/>
        <v>11208_1</v>
      </c>
      <c r="H5" s="16" t="str">
        <f ca="1">VLOOKUP($G5,OFFSET([1]stages!$A$1,0,0,COUNTA([1]stages!$A:$A),MATCH(H$1,[1]stages!$2:$2,0)-MATCH($G$1,[1]stages!$2:$2,0)+1),MATCH(H$1,[1]stages!$2:$2,0)-MATCH($G$1,[1]stages!$2:$2,0)+1,FALSE)</f>
        <v>果実達の大宴会【上級】</v>
      </c>
      <c r="I5" s="28">
        <v>4</v>
      </c>
      <c r="J5" s="29">
        <v>20</v>
      </c>
      <c r="K5" s="29">
        <v>20</v>
      </c>
    </row>
    <row r="6" spans="1:11" ht="21" customHeight="1">
      <c r="A6" s="17" t="str">
        <f t="shared" si="0"/>
        <v>11208_2-1</v>
      </c>
      <c r="B6" s="17" t="str">
        <f>IF(COUNTIF(enemy_habitats_cp_quests2_2!$H:$H,A6),"OK","NG")</f>
        <v>OK</v>
      </c>
      <c r="C6" s="27">
        <v>11208</v>
      </c>
      <c r="D6" s="22" t="str">
        <f ca="1">VLOOKUP($C6,OFFSET([1]quests!$A$1,0,0,COUNTA([1]quests!$A:$A),MATCH(D$1,[1]quests!$1:$1,0)-MATCH($C$1,[1]quests!$1:$1,0)+1),MATCH(D$1,[1]quests!$1:$1,0)-MATCH($C$1,[1]quests!$1:$1,0)+1,FALSE)</f>
        <v>果実達の大宴会</v>
      </c>
      <c r="E6" s="22" t="str">
        <f ca="1">VLOOKUP($C6,OFFSET([1]quests!$A$1,0,0,COUNTA([1]quests!$A:$A),MATCH(E$1,[1]quests!$1:$1,0)-MATCH($C$1,[1]quests!$1:$1,0)+1),MATCH(E$1,[1]quests!$1:$1,0)-MATCH($C$1,[1]quests!$1:$1,0)+1,FALSE)</f>
        <v>シルバーウィーク限定クエスト</v>
      </c>
      <c r="F6" s="28">
        <v>2</v>
      </c>
      <c r="G6" s="24" t="str">
        <f t="shared" si="1"/>
        <v>11208_2</v>
      </c>
      <c r="H6" s="16" t="str">
        <f ca="1">VLOOKUP($G6,OFFSET([1]stages!$A$1,0,0,COUNTA([1]stages!$A:$A),MATCH(H$1,[1]stages!$2:$2,0)-MATCH($G$1,[1]stages!$2:$2,0)+1),MATCH(H$1,[1]stages!$2:$2,0)-MATCH($G$1,[1]stages!$2:$2,0)+1,FALSE)</f>
        <v>果実達の大宴会【超級】</v>
      </c>
      <c r="I6" s="28">
        <v>1</v>
      </c>
      <c r="J6" s="29">
        <v>35</v>
      </c>
      <c r="K6" s="29">
        <v>35</v>
      </c>
    </row>
    <row r="7" spans="1:11" ht="21" customHeight="1">
      <c r="A7" s="17" t="str">
        <f t="shared" si="0"/>
        <v>11208_2-2</v>
      </c>
      <c r="B7" s="17" t="str">
        <f>IF(COUNTIF(enemy_habitats_cp_quests2_2!$H:$H,A7),"OK","NG")</f>
        <v>OK</v>
      </c>
      <c r="C7" s="27">
        <v>11208</v>
      </c>
      <c r="D7" s="22" t="str">
        <f ca="1">VLOOKUP($C7,OFFSET([1]quests!$A$1,0,0,COUNTA([1]quests!$A:$A),MATCH(D$1,[1]quests!$1:$1,0)-MATCH($C$1,[1]quests!$1:$1,0)+1),MATCH(D$1,[1]quests!$1:$1,0)-MATCH($C$1,[1]quests!$1:$1,0)+1,FALSE)</f>
        <v>果実達の大宴会</v>
      </c>
      <c r="E7" s="22" t="str">
        <f ca="1">VLOOKUP($C7,OFFSET([1]quests!$A$1,0,0,COUNTA([1]quests!$A:$A),MATCH(E$1,[1]quests!$1:$1,0)-MATCH($C$1,[1]quests!$1:$1,0)+1),MATCH(E$1,[1]quests!$1:$1,0)-MATCH($C$1,[1]quests!$1:$1,0)+1,FALSE)</f>
        <v>シルバーウィーク限定クエスト</v>
      </c>
      <c r="F7" s="28">
        <v>2</v>
      </c>
      <c r="G7" s="24" t="str">
        <f t="shared" si="1"/>
        <v>11208_2</v>
      </c>
      <c r="H7" s="16" t="str">
        <f ca="1">VLOOKUP($G7,OFFSET([1]stages!$A$1,0,0,COUNTA([1]stages!$A:$A),MATCH(H$1,[1]stages!$2:$2,0)-MATCH($G$1,[1]stages!$2:$2,0)+1),MATCH(H$1,[1]stages!$2:$2,0)-MATCH($G$1,[1]stages!$2:$2,0)+1,FALSE)</f>
        <v>果実達の大宴会【超級】</v>
      </c>
      <c r="I7" s="28">
        <v>2</v>
      </c>
      <c r="J7" s="29">
        <v>35</v>
      </c>
      <c r="K7" s="29">
        <v>35</v>
      </c>
    </row>
    <row r="8" spans="1:11" ht="21" customHeight="1">
      <c r="A8" s="17" t="str">
        <f t="shared" si="0"/>
        <v>11208_2-3</v>
      </c>
      <c r="B8" s="17" t="str">
        <f>IF(COUNTIF(enemy_habitats_cp_quests2_2!$H:$H,A8),"OK","NG")</f>
        <v>OK</v>
      </c>
      <c r="C8" s="27">
        <v>11208</v>
      </c>
      <c r="D8" s="22" t="str">
        <f ca="1">VLOOKUP($C8,OFFSET([1]quests!$A$1,0,0,COUNTA([1]quests!$A:$A),MATCH(D$1,[1]quests!$1:$1,0)-MATCH($C$1,[1]quests!$1:$1,0)+1),MATCH(D$1,[1]quests!$1:$1,0)-MATCH($C$1,[1]quests!$1:$1,0)+1,FALSE)</f>
        <v>果実達の大宴会</v>
      </c>
      <c r="E8" s="22" t="str">
        <f ca="1">VLOOKUP($C8,OFFSET([1]quests!$A$1,0,0,COUNTA([1]quests!$A:$A),MATCH(E$1,[1]quests!$1:$1,0)-MATCH($C$1,[1]quests!$1:$1,0)+1),MATCH(E$1,[1]quests!$1:$1,0)-MATCH($C$1,[1]quests!$1:$1,0)+1,FALSE)</f>
        <v>シルバーウィーク限定クエスト</v>
      </c>
      <c r="F8" s="28">
        <v>2</v>
      </c>
      <c r="G8" s="24" t="str">
        <f t="shared" si="1"/>
        <v>11208_2</v>
      </c>
      <c r="H8" s="16" t="str">
        <f ca="1">VLOOKUP($G8,OFFSET([1]stages!$A$1,0,0,COUNTA([1]stages!$A:$A),MATCH(H$1,[1]stages!$2:$2,0)-MATCH($G$1,[1]stages!$2:$2,0)+1),MATCH(H$1,[1]stages!$2:$2,0)-MATCH($G$1,[1]stages!$2:$2,0)+1,FALSE)</f>
        <v>果実達の大宴会【超級】</v>
      </c>
      <c r="I8" s="28">
        <v>3</v>
      </c>
      <c r="J8" s="29">
        <v>35</v>
      </c>
      <c r="K8" s="29">
        <v>35</v>
      </c>
    </row>
    <row r="9" spans="1:11" ht="21" customHeight="1">
      <c r="A9" s="17" t="str">
        <f t="shared" si="0"/>
        <v>11208_2-4</v>
      </c>
      <c r="B9" s="17" t="str">
        <f>IF(COUNTIF(enemy_habitats_cp_quests2_2!$H:$H,A9),"OK","NG")</f>
        <v>OK</v>
      </c>
      <c r="C9" s="27">
        <v>11208</v>
      </c>
      <c r="D9" s="22" t="str">
        <f ca="1">VLOOKUP($C9,OFFSET([1]quests!$A$1,0,0,COUNTA([1]quests!$A:$A),MATCH(D$1,[1]quests!$1:$1,0)-MATCH($C$1,[1]quests!$1:$1,0)+1),MATCH(D$1,[1]quests!$1:$1,0)-MATCH($C$1,[1]quests!$1:$1,0)+1,FALSE)</f>
        <v>果実達の大宴会</v>
      </c>
      <c r="E9" s="22" t="str">
        <f ca="1">VLOOKUP($C9,OFFSET([1]quests!$A$1,0,0,COUNTA([1]quests!$A:$A),MATCH(E$1,[1]quests!$1:$1,0)-MATCH($C$1,[1]quests!$1:$1,0)+1),MATCH(E$1,[1]quests!$1:$1,0)-MATCH($C$1,[1]quests!$1:$1,0)+1,FALSE)</f>
        <v>シルバーウィーク限定クエスト</v>
      </c>
      <c r="F9" s="28">
        <v>2</v>
      </c>
      <c r="G9" s="24" t="str">
        <f t="shared" si="1"/>
        <v>11208_2</v>
      </c>
      <c r="H9" s="16" t="str">
        <f ca="1">VLOOKUP($G9,OFFSET([1]stages!$A$1,0,0,COUNTA([1]stages!$A:$A),MATCH(H$1,[1]stages!$2:$2,0)-MATCH($G$1,[1]stages!$2:$2,0)+1),MATCH(H$1,[1]stages!$2:$2,0)-MATCH($G$1,[1]stages!$2:$2,0)+1,FALSE)</f>
        <v>果実達の大宴会【超級】</v>
      </c>
      <c r="I9" s="28">
        <v>4</v>
      </c>
      <c r="J9" s="29">
        <v>35</v>
      </c>
      <c r="K9" s="29">
        <v>35</v>
      </c>
    </row>
    <row r="10" spans="1:11" ht="21" customHeight="1">
      <c r="A10" s="17" t="str">
        <f t="shared" si="0"/>
        <v>11208_2-5</v>
      </c>
      <c r="B10" s="17" t="str">
        <f>IF(COUNTIF(enemy_habitats_cp_quests2_2!$H:$H,A10),"OK","NG")</f>
        <v>OK</v>
      </c>
      <c r="C10" s="27">
        <v>11208</v>
      </c>
      <c r="D10" s="22" t="str">
        <f ca="1">VLOOKUP($C10,OFFSET([1]quests!$A$1,0,0,COUNTA([1]quests!$A:$A),MATCH(D$1,[1]quests!$1:$1,0)-MATCH($C$1,[1]quests!$1:$1,0)+1),MATCH(D$1,[1]quests!$1:$1,0)-MATCH($C$1,[1]quests!$1:$1,0)+1,FALSE)</f>
        <v>果実達の大宴会</v>
      </c>
      <c r="E10" s="22" t="str">
        <f ca="1">VLOOKUP($C10,OFFSET([1]quests!$A$1,0,0,COUNTA([1]quests!$A:$A),MATCH(E$1,[1]quests!$1:$1,0)-MATCH($C$1,[1]quests!$1:$1,0)+1),MATCH(E$1,[1]quests!$1:$1,0)-MATCH($C$1,[1]quests!$1:$1,0)+1,FALSE)</f>
        <v>シルバーウィーク限定クエスト</v>
      </c>
      <c r="F10" s="28">
        <v>2</v>
      </c>
      <c r="G10" s="24" t="str">
        <f t="shared" si="1"/>
        <v>11208_2</v>
      </c>
      <c r="H10" s="16" t="str">
        <f ca="1">VLOOKUP($G10,OFFSET([1]stages!$A$1,0,0,COUNTA([1]stages!$A:$A),MATCH(H$1,[1]stages!$2:$2,0)-MATCH($G$1,[1]stages!$2:$2,0)+1),MATCH(H$1,[1]stages!$2:$2,0)-MATCH($G$1,[1]stages!$2:$2,0)+1,FALSE)</f>
        <v>果実達の大宴会【超級】</v>
      </c>
      <c r="I10" s="28">
        <v>5</v>
      </c>
      <c r="J10" s="29">
        <v>35</v>
      </c>
      <c r="K10" s="29">
        <v>35</v>
      </c>
    </row>
    <row r="11" spans="1:11" ht="21" customHeight="1">
      <c r="A11" s="17" t="str">
        <f t="shared" si="0"/>
        <v>11208_2-6</v>
      </c>
      <c r="B11" s="17" t="str">
        <f>IF(COUNTIF(enemy_habitats_cp_quests2_2!$H:$H,A11),"OK","NG")</f>
        <v>OK</v>
      </c>
      <c r="C11" s="27">
        <v>11208</v>
      </c>
      <c r="D11" s="22" t="str">
        <f ca="1">VLOOKUP($C11,OFFSET([1]quests!$A$1,0,0,COUNTA([1]quests!$A:$A),MATCH(D$1,[1]quests!$1:$1,0)-MATCH($C$1,[1]quests!$1:$1,0)+1),MATCH(D$1,[1]quests!$1:$1,0)-MATCH($C$1,[1]quests!$1:$1,0)+1,FALSE)</f>
        <v>果実達の大宴会</v>
      </c>
      <c r="E11" s="22" t="str">
        <f ca="1">VLOOKUP($C11,OFFSET([1]quests!$A$1,0,0,COUNTA([1]quests!$A:$A),MATCH(E$1,[1]quests!$1:$1,0)-MATCH($C$1,[1]quests!$1:$1,0)+1),MATCH(E$1,[1]quests!$1:$1,0)-MATCH($C$1,[1]quests!$1:$1,0)+1,FALSE)</f>
        <v>シルバーウィーク限定クエスト</v>
      </c>
      <c r="F11" s="28">
        <v>2</v>
      </c>
      <c r="G11" s="24" t="str">
        <f t="shared" si="1"/>
        <v>11208_2</v>
      </c>
      <c r="H11" s="16" t="str">
        <f ca="1">VLOOKUP($G11,OFFSET([1]stages!$A$1,0,0,COUNTA([1]stages!$A:$A),MATCH(H$1,[1]stages!$2:$2,0)-MATCH($G$1,[1]stages!$2:$2,0)+1),MATCH(H$1,[1]stages!$2:$2,0)-MATCH($G$1,[1]stages!$2:$2,0)+1,FALSE)</f>
        <v>果実達の大宴会【超級】</v>
      </c>
      <c r="I11" s="28">
        <v>6</v>
      </c>
      <c r="J11" s="29">
        <v>40</v>
      </c>
      <c r="K11" s="29">
        <v>40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41"/>
  <sheetViews>
    <sheetView showGridLines="0" tabSelected="1" zoomScale="75" zoomScaleNormal="75" zoomScalePageLayoutView="75" workbookViewId="0">
      <pane xSplit="16" ySplit="1" topLeftCell="W28" activePane="bottomRight" state="frozen"/>
      <selection pane="topRight" activeCell="N1" sqref="N1"/>
      <selection pane="bottomLeft" activeCell="A2" sqref="A2"/>
      <selection pane="bottomRight" activeCell="M45" sqref="M45"/>
    </sheetView>
  </sheetViews>
  <sheetFormatPr baseColWidth="12" defaultColWidth="13" defaultRowHeight="21" customHeight="1" outlineLevelCol="1" x14ac:dyDescent="0"/>
  <cols>
    <col min="1" max="1" width="12.5" style="23" bestFit="1" customWidth="1"/>
    <col min="2" max="2" width="12.5" style="3" bestFit="1" customWidth="1"/>
    <col min="3" max="3" width="12.33203125" style="3" bestFit="1" customWidth="1"/>
    <col min="4" max="4" width="14.6640625" style="11" customWidth="1" outlineLevel="1"/>
    <col min="5" max="6" width="15.6640625" style="3" customWidth="1" outlineLevel="1"/>
    <col min="7" max="7" width="11.83203125" style="3" bestFit="1" customWidth="1"/>
    <col min="8" max="8" width="11.83203125" style="3" customWidth="1" outlineLevel="1"/>
    <col min="9" max="9" width="15.33203125" style="8" bestFit="1" customWidth="1"/>
    <col min="10" max="10" width="17.6640625" style="3" customWidth="1" outlineLevel="1"/>
    <col min="11" max="11" width="10.33203125" style="3" customWidth="1" outlineLevel="1"/>
    <col min="12" max="12" width="13.6640625" style="3" customWidth="1" outlineLevel="1"/>
    <col min="13" max="13" width="22.83203125" style="3" customWidth="1" outlineLevel="1"/>
    <col min="14" max="14" width="11.6640625" style="3" customWidth="1" outlineLevel="1"/>
    <col min="15" max="15" width="10.16406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4" style="3" customWidth="1"/>
    <col min="20" max="20" width="14" style="3" customWidth="1" outlineLevel="1"/>
    <col min="21" max="21" width="13" style="3" bestFit="1" customWidth="1"/>
    <col min="22" max="22" width="13.5" style="3" bestFit="1" customWidth="1"/>
    <col min="23" max="23" width="12.33203125" style="3" bestFit="1" customWidth="1"/>
    <col min="24" max="24" width="11" style="3" bestFit="1" customWidth="1"/>
    <col min="25" max="25" width="14.83203125" style="3" bestFit="1" customWidth="1"/>
    <col min="26" max="26" width="17.6640625" style="10" customWidth="1" outlineLevel="1"/>
    <col min="27" max="28" width="13.6640625" style="11" customWidth="1" outlineLevel="1"/>
    <col min="29" max="29" width="16.83203125" style="9" bestFit="1" customWidth="1" collapsed="1"/>
    <col min="30" max="31" width="16.5" style="3" bestFit="1" customWidth="1"/>
    <col min="32" max="32" width="15.33203125" style="3" customWidth="1"/>
    <col min="33" max="16384" width="13" style="3"/>
  </cols>
  <sheetData>
    <row r="1" spans="1:36" ht="21" customHeight="1">
      <c r="A1" s="17" t="s">
        <v>25</v>
      </c>
      <c r="B1" s="34" t="s">
        <v>0</v>
      </c>
      <c r="C1" s="34" t="s">
        <v>1</v>
      </c>
      <c r="D1" s="16" t="s">
        <v>24</v>
      </c>
      <c r="E1" s="16" t="s">
        <v>16</v>
      </c>
      <c r="F1" s="16" t="s">
        <v>16</v>
      </c>
      <c r="G1" s="34" t="s">
        <v>19</v>
      </c>
      <c r="H1" s="16" t="s">
        <v>28</v>
      </c>
      <c r="I1" s="34" t="s">
        <v>2</v>
      </c>
      <c r="J1" s="35" t="s">
        <v>16</v>
      </c>
      <c r="K1" s="16" t="s">
        <v>50</v>
      </c>
      <c r="L1" s="16" t="s">
        <v>51</v>
      </c>
      <c r="M1" s="36" t="s">
        <v>22</v>
      </c>
      <c r="N1" s="16" t="s">
        <v>21</v>
      </c>
      <c r="O1" s="34" t="s">
        <v>3</v>
      </c>
      <c r="P1" s="26" t="s">
        <v>45</v>
      </c>
      <c r="Q1" s="26" t="s">
        <v>47</v>
      </c>
      <c r="R1" s="26" t="s">
        <v>49</v>
      </c>
      <c r="S1" s="16" t="s">
        <v>29</v>
      </c>
      <c r="T1" s="34" t="s">
        <v>4</v>
      </c>
      <c r="U1" s="34" t="s">
        <v>5</v>
      </c>
      <c r="V1" s="34" t="s">
        <v>52</v>
      </c>
      <c r="W1" s="34" t="s">
        <v>7</v>
      </c>
      <c r="X1" s="34" t="s">
        <v>8</v>
      </c>
      <c r="Y1" s="37" t="s">
        <v>9</v>
      </c>
      <c r="Z1" s="38" t="s">
        <v>16</v>
      </c>
      <c r="AA1" s="38" t="s">
        <v>17</v>
      </c>
      <c r="AB1" s="38" t="s">
        <v>23</v>
      </c>
      <c r="AC1" s="37" t="s">
        <v>10</v>
      </c>
      <c r="AD1" s="34" t="s">
        <v>11</v>
      </c>
      <c r="AE1" s="34" t="s">
        <v>12</v>
      </c>
      <c r="AF1" s="34" t="s">
        <v>35</v>
      </c>
      <c r="AG1" s="34" t="s">
        <v>37</v>
      </c>
      <c r="AH1" s="34" t="s">
        <v>39</v>
      </c>
      <c r="AI1" s="34" t="s">
        <v>41</v>
      </c>
      <c r="AJ1" s="34" t="s">
        <v>43</v>
      </c>
    </row>
    <row r="2" spans="1:36" ht="21" customHeight="1">
      <c r="A2" s="17" t="str">
        <f t="shared" ref="A2:A40" ca="1" si="0">B2&amp;"_"&amp;C2&amp;"-"&amp;G2&amp;"/"&amp;I2&amp;"&lt;lv"&amp;O2&amp;"&gt;s"&amp;X2</f>
        <v>11208_1-1/121&lt;lv16&gt;s1</v>
      </c>
      <c r="B2" s="27">
        <v>11208</v>
      </c>
      <c r="C2" s="30">
        <v>1</v>
      </c>
      <c r="D2" s="16" t="str">
        <f t="shared" ref="D2:D41" si="1">B2&amp;"_"&amp;C2</f>
        <v>11208_1</v>
      </c>
      <c r="E2" s="4" t="str">
        <f ca="1">VLOOKUP($B2,OFFSET([1]quests!$A$1,0,0,COUNTA([1]quests!$A:$A),MATCH(E$1,[1]quests!$1:$1,0)-MATCH($B$1,[1]quests!$1:$1,0)+1),MATCH(E$1,[1]quests!$1:$1,0)-MATCH($B$1,[1]quests!$1:$1,0)+1,FALSE)</f>
        <v>果実達の大宴会</v>
      </c>
      <c r="F2" s="4" t="str">
        <f ca="1">VLOOKUP($D2,OFFSET([1]stages!$A$1,0,0,COUNTA([1]stages!$A:$A),MATCH(F$1,[1]stages!$2:$2,0)-MATCH($D$1,[1]stages!$2:$2,0)+1),MATCH(F$1,[1]stages!$2:$2,0)-MATCH($D$1,[1]stages!$2:$2,0)+1,FALSE)</f>
        <v>果実達の大宴会【上級】</v>
      </c>
      <c r="G2" s="31">
        <v>1</v>
      </c>
      <c r="H2" s="16" t="str">
        <f t="shared" ref="H2:H41" si="2">B2&amp;"_"&amp;C2&amp;"-"&amp;G2</f>
        <v>11208_1-1</v>
      </c>
      <c r="I2" s="32">
        <v>121</v>
      </c>
      <c r="J2" s="20" t="str">
        <f ca="1">VLOOKUP($I2,OFFSET([2]enemies!$A$1,0,0,COUNTA([2]enemies!$A:$A),MATCH(J$1,[2]enemies!$2:$2,0)-MATCH($I$1,[2]enemies!$2:$2,0)+1),MATCH(J$1,[2]enemies!$2:$2,0)-MATCH($I$1,[2]enemies!$2:$2,0)+1,FALSE)</f>
        <v>攻めの果実</v>
      </c>
      <c r="K2" s="22" t="str">
        <f ca="1">VLOOKUP($I2,OFFSET([2]enemies!$A$1,0,0,COUNTA([2]enemies!$A:$A),MATCH(K$1,[2]enemies!$2:$2,0)-MATCH($I$1,[2]enemies!$2:$2,0)+1),MATCH(K$1,[2]enemies!$2:$2,0)-MATCH($I$1,[2]enemies!$2:$2,0)+1,FALSE)</f>
        <v>red</v>
      </c>
      <c r="L2" s="22" t="str">
        <f ca="1">VLOOKUP($I2,OFFSET([3]characters!$A$1,0,0,COUNTA([3]characters!$A:$A),MATCH(L$1,[3]characters!$2:$2,0)-MATCH($I$1,[3]characters!$2:$2,0)+1),MATCH(L$1,[3]characters!$2:$2,0)-MATCH($I$1,[3]characters!$2:$2,0)+1,FALSE)</f>
        <v>Material</v>
      </c>
      <c r="M2" s="21" t="str">
        <f ca="1">VLOOKUP($I2,OFFSET([3]characters!$A$1,0,0,COUNTA([3]characters!$A:$A),MATCH(M$1,[3]characters!$2:$2,0)-MATCH($I$1,[3]characters!$2:$2,0)+2),MATCH(M$1,[3]characters!$2:$2,0)-MATCH($I$1,[3]characters!$2:$2,0)+2,FALSE)</f>
        <v>Unknown</v>
      </c>
      <c r="N2" s="4">
        <f ca="1">VLOOKUP($I2,OFFSET([2]enemies!$A$1,0,0,COUNTA([2]enemies!$A:$A),MATCH(N$1,[2]enemies!$2:$2,0)-MATCH($I$1,[2]enemies!$2:$2,0)+1),MATCH(N$1,[2]enemies!$2:$2,0)-MATCH($I$1,[2]enemies!$2:$2,0)+1,FALSE)</f>
        <v>20</v>
      </c>
      <c r="O2" s="5">
        <v>16</v>
      </c>
      <c r="P2" s="25">
        <v>0.7</v>
      </c>
      <c r="Q2" s="25">
        <v>1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4">
        <f ca="1">VLOOKUP($I2,OFFSET([2]enemies!$A$1,0,0,COUNTA([2]enemies!$A:$A),MATCH(T$1,[2]enemies!$2:$2,0)-MATCH($I$1,[2]enemies!$2:$2,0)+1),MATCH(T$1,[2]enemies!$2:$2,0)-MATCH($I$1,[2]enemies!$2:$2,0)+1,FALSE)</f>
        <v>0</v>
      </c>
      <c r="U2" s="6">
        <v>0</v>
      </c>
      <c r="V2" s="6">
        <v>100</v>
      </c>
      <c r="W2" s="6">
        <v>0</v>
      </c>
      <c r="X2" s="20">
        <f ca="1">VLOOKUP($I2,OFFSET([2]enemies!$A$1,0,0,COUNTA([2]enemies!$A:$A),MATCH(X$1,[2]enemies!$2:$2,0)-MATCH($I$1,[2]enemies!$2:$2,0)+1),MATCH(X$1,[2]enemies!$2:$2,0)-MATCH($I$1,[2]enemies!$2:$2,0)+1,FALSE)</f>
        <v>1</v>
      </c>
      <c r="Y2" s="32">
        <v>121</v>
      </c>
      <c r="Z2" s="4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2" s="4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>3</v>
      </c>
      <c r="AB2" s="4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" s="27">
        <v>1</v>
      </c>
      <c r="AD2" s="33">
        <f t="shared" ref="AD2:AD41" ca="1" si="3">AA2</f>
        <v>3</v>
      </c>
      <c r="AE2" s="7">
        <v>100</v>
      </c>
      <c r="AF2" s="27">
        <v>0</v>
      </c>
      <c r="AG2" s="27">
        <v>0</v>
      </c>
      <c r="AH2" s="27">
        <v>0</v>
      </c>
      <c r="AI2" s="27">
        <v>0</v>
      </c>
      <c r="AJ2" s="27">
        <v>1</v>
      </c>
    </row>
    <row r="3" spans="1:36" ht="21" customHeight="1">
      <c r="A3" s="17" t="str">
        <f t="shared" ca="1" si="0"/>
        <v>11208_1-1/122&lt;lv16&gt;s3</v>
      </c>
      <c r="B3" s="27">
        <v>11208</v>
      </c>
      <c r="C3" s="30">
        <v>1</v>
      </c>
      <c r="D3" s="16" t="str">
        <f t="shared" si="1"/>
        <v>11208_1</v>
      </c>
      <c r="E3" s="4" t="str">
        <f ca="1">VLOOKUP($B3,OFFSET([1]quests!$A$1,0,0,COUNTA([1]quests!$A:$A),MATCH(E$1,[1]quests!$1:$1,0)-MATCH($B$1,[1]quests!$1:$1,0)+1),MATCH(E$1,[1]quests!$1:$1,0)-MATCH($B$1,[1]quests!$1:$1,0)+1,FALSE)</f>
        <v>果実達の大宴会</v>
      </c>
      <c r="F3" s="4" t="str">
        <f ca="1">VLOOKUP($D3,OFFSET([1]stages!$A$1,0,0,COUNTA([1]stages!$A:$A),MATCH(F$1,[1]stages!$2:$2,0)-MATCH($D$1,[1]stages!$2:$2,0)+1),MATCH(F$1,[1]stages!$2:$2,0)-MATCH($D$1,[1]stages!$2:$2,0)+1,FALSE)</f>
        <v>果実達の大宴会【上級】</v>
      </c>
      <c r="G3" s="31">
        <v>1</v>
      </c>
      <c r="H3" s="16" t="str">
        <f t="shared" si="2"/>
        <v>11208_1-1</v>
      </c>
      <c r="I3" s="32">
        <v>122</v>
      </c>
      <c r="J3" s="20" t="str">
        <f ca="1">VLOOKUP($I3,OFFSET([2]enemies!$A$1,0,0,COUNTA([2]enemies!$A:$A),MATCH(J$1,[2]enemies!$2:$2,0)-MATCH($I$1,[2]enemies!$2:$2,0)+1),MATCH(J$1,[2]enemies!$2:$2,0)-MATCH($I$1,[2]enemies!$2:$2,0)+1,FALSE)</f>
        <v>生命の果実</v>
      </c>
      <c r="K3" s="22" t="str">
        <f ca="1">VLOOKUP($I3,OFFSET([2]enemies!$A$1,0,0,COUNTA([2]enemies!$A:$A),MATCH(K$1,[2]enemies!$2:$2,0)-MATCH($I$1,[2]enemies!$2:$2,0)+1),MATCH(K$1,[2]enemies!$2:$2,0)-MATCH($I$1,[2]enemies!$2:$2,0)+1,FALSE)</f>
        <v>green</v>
      </c>
      <c r="L3" s="22" t="str">
        <f ca="1">VLOOKUP($I3,OFFSET([3]characters!$A$1,0,0,COUNTA([3]characters!$A:$A),MATCH(L$1,[3]characters!$2:$2,0)-MATCH($I$1,[3]characters!$2:$2,0)+1),MATCH(L$1,[3]characters!$2:$2,0)-MATCH($I$1,[3]characters!$2:$2,0)+1,FALSE)</f>
        <v>Material</v>
      </c>
      <c r="M3" s="21" t="str">
        <f ca="1">VLOOKUP($I3,OFFSET([3]characters!$A$1,0,0,COUNTA([3]characters!$A:$A),MATCH(M$1,[3]characters!$2:$2,0)-MATCH($I$1,[3]characters!$2:$2,0)+2),MATCH(M$1,[3]characters!$2:$2,0)-MATCH($I$1,[3]characters!$2:$2,0)+2,FALSE)</f>
        <v>Unknown</v>
      </c>
      <c r="N3" s="4">
        <f ca="1">VLOOKUP($I3,OFFSET([2]enemies!$A$1,0,0,COUNTA([2]enemies!$A:$A),MATCH(N$1,[2]enemies!$2:$2,0)-MATCH($I$1,[2]enemies!$2:$2,0)+1),MATCH(N$1,[2]enemies!$2:$2,0)-MATCH($I$1,[2]enemies!$2:$2,0)+1,FALSE)</f>
        <v>20</v>
      </c>
      <c r="O3" s="5">
        <v>16</v>
      </c>
      <c r="P3" s="25">
        <v>0.7</v>
      </c>
      <c r="Q3" s="25">
        <v>1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4">
        <f ca="1">VLOOKUP($I3,OFFSET([2]enemies!$A$1,0,0,COUNTA([2]enemies!$A:$A),MATCH(T$1,[2]enemies!$2:$2,0)-MATCH($I$1,[2]enemies!$2:$2,0)+1),MATCH(T$1,[2]enemies!$2:$2,0)-MATCH($I$1,[2]enemies!$2:$2,0)+1,FALSE)</f>
        <v>0</v>
      </c>
      <c r="U3" s="6">
        <v>0</v>
      </c>
      <c r="V3" s="6">
        <v>100</v>
      </c>
      <c r="W3" s="6">
        <v>0</v>
      </c>
      <c r="X3" s="20">
        <f ca="1">VLOOKUP($I3,OFFSET([2]enemies!$A$1,0,0,COUNTA([2]enemies!$A:$A),MATCH(X$1,[2]enemies!$2:$2,0)-MATCH($I$1,[2]enemies!$2:$2,0)+1),MATCH(X$1,[2]enemies!$2:$2,0)-MATCH($I$1,[2]enemies!$2:$2,0)+1,FALSE)</f>
        <v>3</v>
      </c>
      <c r="Y3" s="32">
        <v>122</v>
      </c>
      <c r="Z3" s="4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3" s="4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>3</v>
      </c>
      <c r="AB3" s="4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" s="27">
        <v>1</v>
      </c>
      <c r="AD3" s="33">
        <f t="shared" ca="1" si="3"/>
        <v>3</v>
      </c>
      <c r="AE3" s="7">
        <v>100</v>
      </c>
      <c r="AF3" s="27">
        <v>0</v>
      </c>
      <c r="AG3" s="27">
        <v>0</v>
      </c>
      <c r="AH3" s="27">
        <v>0</v>
      </c>
      <c r="AI3" s="27">
        <v>0</v>
      </c>
      <c r="AJ3" s="27">
        <v>1</v>
      </c>
    </row>
    <row r="4" spans="1:36" ht="21" customHeight="1">
      <c r="A4" s="17" t="str">
        <f t="shared" ca="1" si="0"/>
        <v>11208_1-1/123&lt;lv16&gt;s2</v>
      </c>
      <c r="B4" s="27">
        <v>11208</v>
      </c>
      <c r="C4" s="30">
        <v>1</v>
      </c>
      <c r="D4" s="16" t="str">
        <f t="shared" si="1"/>
        <v>11208_1</v>
      </c>
      <c r="E4" s="4" t="str">
        <f ca="1">VLOOKUP($B4,OFFSET([1]quests!$A$1,0,0,COUNTA([1]quests!$A:$A),MATCH(E$1,[1]quests!$1:$1,0)-MATCH($B$1,[1]quests!$1:$1,0)+1),MATCH(E$1,[1]quests!$1:$1,0)-MATCH($B$1,[1]quests!$1:$1,0)+1,FALSE)</f>
        <v>果実達の大宴会</v>
      </c>
      <c r="F4" s="4" t="str">
        <f ca="1">VLOOKUP($D4,OFFSET([1]stages!$A$1,0,0,COUNTA([1]stages!$A:$A),MATCH(F$1,[1]stages!$2:$2,0)-MATCH($D$1,[1]stages!$2:$2,0)+1),MATCH(F$1,[1]stages!$2:$2,0)-MATCH($D$1,[1]stages!$2:$2,0)+1,FALSE)</f>
        <v>果実達の大宴会【上級】</v>
      </c>
      <c r="G4" s="31">
        <v>1</v>
      </c>
      <c r="H4" s="16" t="str">
        <f t="shared" si="2"/>
        <v>11208_1-1</v>
      </c>
      <c r="I4" s="32">
        <v>123</v>
      </c>
      <c r="J4" s="20" t="str">
        <f ca="1">VLOOKUP($I4,OFFSET([2]enemies!$A$1,0,0,COUNTA([2]enemies!$A:$A),MATCH(J$1,[2]enemies!$2:$2,0)-MATCH($I$1,[2]enemies!$2:$2,0)+1),MATCH(J$1,[2]enemies!$2:$2,0)-MATCH($I$1,[2]enemies!$2:$2,0)+1,FALSE)</f>
        <v>癒しの果実</v>
      </c>
      <c r="K4" s="22" t="str">
        <f ca="1">VLOOKUP($I4,OFFSET([2]enemies!$A$1,0,0,COUNTA([2]enemies!$A:$A),MATCH(K$1,[2]enemies!$2:$2,0)-MATCH($I$1,[2]enemies!$2:$2,0)+1),MATCH(K$1,[2]enemies!$2:$2,0)-MATCH($I$1,[2]enemies!$2:$2,0)+1,FALSE)</f>
        <v>blue</v>
      </c>
      <c r="L4" s="22" t="str">
        <f ca="1">VLOOKUP($I4,OFFSET([3]characters!$A$1,0,0,COUNTA([3]characters!$A:$A),MATCH(L$1,[3]characters!$2:$2,0)-MATCH($I$1,[3]characters!$2:$2,0)+1),MATCH(L$1,[3]characters!$2:$2,0)-MATCH($I$1,[3]characters!$2:$2,0)+1,FALSE)</f>
        <v>Material</v>
      </c>
      <c r="M4" s="21" t="str">
        <f ca="1">VLOOKUP($I4,OFFSET([3]characters!$A$1,0,0,COUNTA([3]characters!$A:$A),MATCH(M$1,[3]characters!$2:$2,0)-MATCH($I$1,[3]characters!$2:$2,0)+2),MATCH(M$1,[3]characters!$2:$2,0)-MATCH($I$1,[3]characters!$2:$2,0)+2,FALSE)</f>
        <v>Unknown</v>
      </c>
      <c r="N4" s="4">
        <f ca="1">VLOOKUP($I4,OFFSET([2]enemies!$A$1,0,0,COUNTA([2]enemies!$A:$A),MATCH(N$1,[2]enemies!$2:$2,0)-MATCH($I$1,[2]enemies!$2:$2,0)+1),MATCH(N$1,[2]enemies!$2:$2,0)-MATCH($I$1,[2]enemies!$2:$2,0)+1,FALSE)</f>
        <v>20</v>
      </c>
      <c r="O4" s="5">
        <v>16</v>
      </c>
      <c r="P4" s="25">
        <v>0.7</v>
      </c>
      <c r="Q4" s="25">
        <v>1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4">
        <f ca="1">VLOOKUP($I4,OFFSET([2]enemies!$A$1,0,0,COUNTA([2]enemies!$A:$A),MATCH(T$1,[2]enemies!$2:$2,0)-MATCH($I$1,[2]enemies!$2:$2,0)+1),MATCH(T$1,[2]enemies!$2:$2,0)-MATCH($I$1,[2]enemies!$2:$2,0)+1,FALSE)</f>
        <v>0</v>
      </c>
      <c r="U4" s="6">
        <v>0</v>
      </c>
      <c r="V4" s="6">
        <v>100</v>
      </c>
      <c r="W4" s="6">
        <v>0</v>
      </c>
      <c r="X4" s="20">
        <f ca="1">VLOOKUP($I4,OFFSET([2]enemies!$A$1,0,0,COUNTA([2]enemies!$A:$A),MATCH(X$1,[2]enemies!$2:$2,0)-MATCH($I$1,[2]enemies!$2:$2,0)+1),MATCH(X$1,[2]enemies!$2:$2,0)-MATCH($I$1,[2]enemies!$2:$2,0)+1,FALSE)</f>
        <v>2</v>
      </c>
      <c r="Y4" s="32">
        <v>123</v>
      </c>
      <c r="Z4" s="4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4" s="4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>3</v>
      </c>
      <c r="AB4" s="4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" s="27">
        <v>1</v>
      </c>
      <c r="AD4" s="33">
        <f t="shared" ca="1" si="3"/>
        <v>3</v>
      </c>
      <c r="AE4" s="7">
        <v>100</v>
      </c>
      <c r="AF4" s="27">
        <v>0</v>
      </c>
      <c r="AG4" s="27">
        <v>0</v>
      </c>
      <c r="AH4" s="27">
        <v>0</v>
      </c>
      <c r="AI4" s="27">
        <v>0</v>
      </c>
      <c r="AJ4" s="27">
        <v>1</v>
      </c>
    </row>
    <row r="5" spans="1:36" ht="21" customHeight="1">
      <c r="A5" s="17" t="str">
        <f t="shared" ca="1" si="0"/>
        <v>11208_1-1/51&lt;lv16&gt;s2</v>
      </c>
      <c r="B5" s="27">
        <v>11208</v>
      </c>
      <c r="C5" s="30">
        <v>1</v>
      </c>
      <c r="D5" s="16" t="str">
        <f t="shared" si="1"/>
        <v>11208_1</v>
      </c>
      <c r="E5" s="4" t="str">
        <f ca="1">VLOOKUP($B5,OFFSET([1]quests!$A$1,0,0,COUNTA([1]quests!$A:$A),MATCH(E$1,[1]quests!$1:$1,0)-MATCH($B$1,[1]quests!$1:$1,0)+1),MATCH(E$1,[1]quests!$1:$1,0)-MATCH($B$1,[1]quests!$1:$1,0)+1,FALSE)</f>
        <v>果実達の大宴会</v>
      </c>
      <c r="F5" s="4" t="str">
        <f ca="1">VLOOKUP($D5,OFFSET([1]stages!$A$1,0,0,COUNTA([1]stages!$A:$A),MATCH(F$1,[1]stages!$2:$2,0)-MATCH($D$1,[1]stages!$2:$2,0)+1),MATCH(F$1,[1]stages!$2:$2,0)-MATCH($D$1,[1]stages!$2:$2,0)+1,FALSE)</f>
        <v>果実達の大宴会【上級】</v>
      </c>
      <c r="G5" s="31">
        <v>1</v>
      </c>
      <c r="H5" s="16" t="str">
        <f t="shared" si="2"/>
        <v>11208_1-1</v>
      </c>
      <c r="I5" s="32">
        <v>51</v>
      </c>
      <c r="J5" s="20" t="str">
        <f ca="1">VLOOKUP($I5,OFFSET([2]enemies!$A$1,0,0,COUNTA([2]enemies!$A:$A),MATCH(J$1,[2]enemies!$2:$2,0)-MATCH($I$1,[2]enemies!$2:$2,0)+1),MATCH(J$1,[2]enemies!$2:$2,0)-MATCH($I$1,[2]enemies!$2:$2,0)+1,FALSE)</f>
        <v>マイ</v>
      </c>
      <c r="K5" s="22" t="str">
        <f ca="1">VLOOKUP($I5,OFFSET([2]enemies!$A$1,0,0,COUNTA([2]enemies!$A:$A),MATCH(K$1,[2]enemies!$2:$2,0)-MATCH($I$1,[2]enemies!$2:$2,0)+1),MATCH(K$1,[2]enemies!$2:$2,0)-MATCH($I$1,[2]enemies!$2:$2,0)+1,FALSE)</f>
        <v>green</v>
      </c>
      <c r="L5" s="22" t="str">
        <f ca="1">VLOOKUP($I5,OFFSET([3]characters!$A$1,0,0,COUNTA([3]characters!$A:$A),MATCH(L$1,[3]characters!$2:$2,0)-MATCH($I$1,[3]characters!$2:$2,0)+1),MATCH(L$1,[3]characters!$2:$2,0)-MATCH($I$1,[3]characters!$2:$2,0)+1,FALSE)</f>
        <v>Drop1N</v>
      </c>
      <c r="M5" s="21" t="str">
        <f ca="1">VLOOKUP($I5,OFFSET([3]characters!$A$1,0,0,COUNTA([3]characters!$A:$A),MATCH(M$1,[3]characters!$2:$2,0)-MATCH($I$1,[3]characters!$2:$2,0)+2),MATCH(M$1,[3]characters!$2:$2,0)-MATCH($I$1,[3]characters!$2:$2,0)+2,FALSE)</f>
        <v>ヒューマン</v>
      </c>
      <c r="N5" s="4">
        <f ca="1">VLOOKUP($I5,OFFSET([2]enemies!$A$1,0,0,COUNTA([2]enemies!$A:$A),MATCH(N$1,[2]enemies!$2:$2,0)-MATCH($I$1,[2]enemies!$2:$2,0)+1),MATCH(N$1,[2]enemies!$2:$2,0)-MATCH($I$1,[2]enemies!$2:$2,0)+1,FALSE)</f>
        <v>15</v>
      </c>
      <c r="O5" s="5">
        <v>16</v>
      </c>
      <c r="P5" s="25">
        <v>0.7</v>
      </c>
      <c r="Q5" s="25">
        <v>1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" s="4">
        <f ca="1">VLOOKUP($I5,OFFSET([2]enemies!$A$1,0,0,COUNTA([2]enemies!$A:$A),MATCH(T$1,[2]enemies!$2:$2,0)-MATCH($I$1,[2]enemies!$2:$2,0)+1),MATCH(T$1,[2]enemies!$2:$2,0)-MATCH($I$1,[2]enemies!$2:$2,0)+1,FALSE)</f>
        <v>51</v>
      </c>
      <c r="U5" s="6">
        <v>1</v>
      </c>
      <c r="V5" s="6">
        <v>0</v>
      </c>
      <c r="W5" s="6">
        <v>1</v>
      </c>
      <c r="X5" s="20">
        <f ca="1">VLOOKUP($I5,OFFSET([2]enemies!$A$1,0,0,COUNTA([2]enemies!$A:$A),MATCH(X$1,[2]enemies!$2:$2,0)-MATCH($I$1,[2]enemies!$2:$2,0)+1),MATCH(X$1,[2]enemies!$2:$2,0)-MATCH($I$1,[2]enemies!$2:$2,0)+1,FALSE)</f>
        <v>2</v>
      </c>
      <c r="Y5" s="32">
        <v>123</v>
      </c>
      <c r="Z5" s="4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5" s="4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>3</v>
      </c>
      <c r="AB5" s="4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5" s="27">
        <v>1</v>
      </c>
      <c r="AD5" s="33">
        <f t="shared" ca="1" si="3"/>
        <v>3</v>
      </c>
      <c r="AE5" s="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1</v>
      </c>
    </row>
    <row r="6" spans="1:36" ht="21" customHeight="1">
      <c r="A6" s="17" t="str">
        <f t="shared" ca="1" si="0"/>
        <v>11208_1-2/121&lt;lv16&gt;s1</v>
      </c>
      <c r="B6" s="27">
        <v>11208</v>
      </c>
      <c r="C6" s="30">
        <v>1</v>
      </c>
      <c r="D6" s="16" t="str">
        <f t="shared" si="1"/>
        <v>11208_1</v>
      </c>
      <c r="E6" s="4" t="str">
        <f ca="1">VLOOKUP($B6,OFFSET([1]quests!$A$1,0,0,COUNTA([1]quests!$A:$A),MATCH(E$1,[1]quests!$1:$1,0)-MATCH($B$1,[1]quests!$1:$1,0)+1),MATCH(E$1,[1]quests!$1:$1,0)-MATCH($B$1,[1]quests!$1:$1,0)+1,FALSE)</f>
        <v>果実達の大宴会</v>
      </c>
      <c r="F6" s="4" t="str">
        <f ca="1">VLOOKUP($D6,OFFSET([1]stages!$A$1,0,0,COUNTA([1]stages!$A:$A),MATCH(F$1,[1]stages!$2:$2,0)-MATCH($D$1,[1]stages!$2:$2,0)+1),MATCH(F$1,[1]stages!$2:$2,0)-MATCH($D$1,[1]stages!$2:$2,0)+1,FALSE)</f>
        <v>果実達の大宴会【上級】</v>
      </c>
      <c r="G6" s="28">
        <v>2</v>
      </c>
      <c r="H6" s="16" t="str">
        <f t="shared" si="2"/>
        <v>11208_1-2</v>
      </c>
      <c r="I6" s="32">
        <v>121</v>
      </c>
      <c r="J6" s="20" t="str">
        <f ca="1">VLOOKUP($I6,OFFSET([2]enemies!$A$1,0,0,COUNTA([2]enemies!$A:$A),MATCH(J$1,[2]enemies!$2:$2,0)-MATCH($I$1,[2]enemies!$2:$2,0)+1),MATCH(J$1,[2]enemies!$2:$2,0)-MATCH($I$1,[2]enemies!$2:$2,0)+1,FALSE)</f>
        <v>攻めの果実</v>
      </c>
      <c r="K6" s="22" t="str">
        <f ca="1">VLOOKUP($I6,OFFSET([2]enemies!$A$1,0,0,COUNTA([2]enemies!$A:$A),MATCH(K$1,[2]enemies!$2:$2,0)-MATCH($I$1,[2]enemies!$2:$2,0)+1),MATCH(K$1,[2]enemies!$2:$2,0)-MATCH($I$1,[2]enemies!$2:$2,0)+1,FALSE)</f>
        <v>red</v>
      </c>
      <c r="L6" s="22" t="str">
        <f ca="1">VLOOKUP($I6,OFFSET([3]characters!$A$1,0,0,COUNTA([3]characters!$A:$A),MATCH(L$1,[3]characters!$2:$2,0)-MATCH($I$1,[3]characters!$2:$2,0)+1),MATCH(L$1,[3]characters!$2:$2,0)-MATCH($I$1,[3]characters!$2:$2,0)+1,FALSE)</f>
        <v>Material</v>
      </c>
      <c r="M6" s="21" t="str">
        <f ca="1">VLOOKUP($I6,OFFSET([3]characters!$A$1,0,0,COUNTA([3]characters!$A:$A),MATCH(M$1,[3]characters!$2:$2,0)-MATCH($I$1,[3]characters!$2:$2,0)+2),MATCH(M$1,[3]characters!$2:$2,0)-MATCH($I$1,[3]characters!$2:$2,0)+2,FALSE)</f>
        <v>Unknown</v>
      </c>
      <c r="N6" s="4">
        <f ca="1">VLOOKUP($I6,OFFSET([2]enemies!$A$1,0,0,COUNTA([2]enemies!$A:$A),MATCH(N$1,[2]enemies!$2:$2,0)-MATCH($I$1,[2]enemies!$2:$2,0)+1),MATCH(N$1,[2]enemies!$2:$2,0)-MATCH($I$1,[2]enemies!$2:$2,0)+1,FALSE)</f>
        <v>20</v>
      </c>
      <c r="O6" s="5">
        <v>16</v>
      </c>
      <c r="P6" s="25">
        <v>0.7</v>
      </c>
      <c r="Q6" s="25">
        <v>1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4">
        <f ca="1">VLOOKUP($I6,OFFSET([2]enemies!$A$1,0,0,COUNTA([2]enemies!$A:$A),MATCH(T$1,[2]enemies!$2:$2,0)-MATCH($I$1,[2]enemies!$2:$2,0)+1),MATCH(T$1,[2]enemies!$2:$2,0)-MATCH($I$1,[2]enemies!$2:$2,0)+1,FALSE)</f>
        <v>0</v>
      </c>
      <c r="U6" s="6">
        <v>0</v>
      </c>
      <c r="V6" s="6">
        <v>100</v>
      </c>
      <c r="W6" s="6">
        <v>0</v>
      </c>
      <c r="X6" s="20">
        <f ca="1">VLOOKUP($I6,OFFSET([2]enemies!$A$1,0,0,COUNTA([2]enemies!$A:$A),MATCH(X$1,[2]enemies!$2:$2,0)-MATCH($I$1,[2]enemies!$2:$2,0)+1),MATCH(X$1,[2]enemies!$2:$2,0)-MATCH($I$1,[2]enemies!$2:$2,0)+1,FALSE)</f>
        <v>1</v>
      </c>
      <c r="Y6" s="32">
        <v>121</v>
      </c>
      <c r="Z6" s="4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" s="4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>3</v>
      </c>
      <c r="AB6" s="4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" s="27">
        <v>1</v>
      </c>
      <c r="AD6" s="33">
        <f t="shared" ca="1" si="3"/>
        <v>3</v>
      </c>
      <c r="AE6" s="7">
        <v>100</v>
      </c>
      <c r="AF6" s="27">
        <v>0</v>
      </c>
      <c r="AG6" s="27">
        <v>0</v>
      </c>
      <c r="AH6" s="27">
        <v>0</v>
      </c>
      <c r="AI6" s="27">
        <v>0</v>
      </c>
      <c r="AJ6" s="27">
        <v>1</v>
      </c>
    </row>
    <row r="7" spans="1:36" ht="21" customHeight="1">
      <c r="A7" s="17" t="str">
        <f t="shared" ca="1" si="0"/>
        <v>11208_1-2/122&lt;lv16&gt;s3</v>
      </c>
      <c r="B7" s="27">
        <v>11208</v>
      </c>
      <c r="C7" s="30">
        <v>1</v>
      </c>
      <c r="D7" s="16" t="str">
        <f t="shared" si="1"/>
        <v>11208_1</v>
      </c>
      <c r="E7" s="4" t="str">
        <f ca="1">VLOOKUP($B7,OFFSET([1]quests!$A$1,0,0,COUNTA([1]quests!$A:$A),MATCH(E$1,[1]quests!$1:$1,0)-MATCH($B$1,[1]quests!$1:$1,0)+1),MATCH(E$1,[1]quests!$1:$1,0)-MATCH($B$1,[1]quests!$1:$1,0)+1,FALSE)</f>
        <v>果実達の大宴会</v>
      </c>
      <c r="F7" s="4" t="str">
        <f ca="1">VLOOKUP($D7,OFFSET([1]stages!$A$1,0,0,COUNTA([1]stages!$A:$A),MATCH(F$1,[1]stages!$2:$2,0)-MATCH($D$1,[1]stages!$2:$2,0)+1),MATCH(F$1,[1]stages!$2:$2,0)-MATCH($D$1,[1]stages!$2:$2,0)+1,FALSE)</f>
        <v>果実達の大宴会【上級】</v>
      </c>
      <c r="G7" s="28">
        <v>2</v>
      </c>
      <c r="H7" s="16" t="str">
        <f t="shared" si="2"/>
        <v>11208_1-2</v>
      </c>
      <c r="I7" s="32">
        <v>122</v>
      </c>
      <c r="J7" s="20" t="str">
        <f ca="1">VLOOKUP($I7,OFFSET([2]enemies!$A$1,0,0,COUNTA([2]enemies!$A:$A),MATCH(J$1,[2]enemies!$2:$2,0)-MATCH($I$1,[2]enemies!$2:$2,0)+1),MATCH(J$1,[2]enemies!$2:$2,0)-MATCH($I$1,[2]enemies!$2:$2,0)+1,FALSE)</f>
        <v>生命の果実</v>
      </c>
      <c r="K7" s="22" t="str">
        <f ca="1">VLOOKUP($I7,OFFSET([2]enemies!$A$1,0,0,COUNTA([2]enemies!$A:$A),MATCH(K$1,[2]enemies!$2:$2,0)-MATCH($I$1,[2]enemies!$2:$2,0)+1),MATCH(K$1,[2]enemies!$2:$2,0)-MATCH($I$1,[2]enemies!$2:$2,0)+1,FALSE)</f>
        <v>green</v>
      </c>
      <c r="L7" s="22" t="str">
        <f ca="1">VLOOKUP($I7,OFFSET([3]characters!$A$1,0,0,COUNTA([3]characters!$A:$A),MATCH(L$1,[3]characters!$2:$2,0)-MATCH($I$1,[3]characters!$2:$2,0)+1),MATCH(L$1,[3]characters!$2:$2,0)-MATCH($I$1,[3]characters!$2:$2,0)+1,FALSE)</f>
        <v>Material</v>
      </c>
      <c r="M7" s="21" t="str">
        <f ca="1">VLOOKUP($I7,OFFSET([3]characters!$A$1,0,0,COUNTA([3]characters!$A:$A),MATCH(M$1,[3]characters!$2:$2,0)-MATCH($I$1,[3]characters!$2:$2,0)+2),MATCH(M$1,[3]characters!$2:$2,0)-MATCH($I$1,[3]characters!$2:$2,0)+2,FALSE)</f>
        <v>Unknown</v>
      </c>
      <c r="N7" s="4">
        <f ca="1">VLOOKUP($I7,OFFSET([2]enemies!$A$1,0,0,COUNTA([2]enemies!$A:$A),MATCH(N$1,[2]enemies!$2:$2,0)-MATCH($I$1,[2]enemies!$2:$2,0)+1),MATCH(N$1,[2]enemies!$2:$2,0)-MATCH($I$1,[2]enemies!$2:$2,0)+1,FALSE)</f>
        <v>20</v>
      </c>
      <c r="O7" s="5">
        <v>16</v>
      </c>
      <c r="P7" s="25">
        <v>0.7</v>
      </c>
      <c r="Q7" s="25">
        <v>1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4">
        <f ca="1">VLOOKUP($I7,OFFSET([2]enemies!$A$1,0,0,COUNTA([2]enemies!$A:$A),MATCH(T$1,[2]enemies!$2:$2,0)-MATCH($I$1,[2]enemies!$2:$2,0)+1),MATCH(T$1,[2]enemies!$2:$2,0)-MATCH($I$1,[2]enemies!$2:$2,0)+1,FALSE)</f>
        <v>0</v>
      </c>
      <c r="U7" s="6">
        <v>0</v>
      </c>
      <c r="V7" s="6">
        <v>100</v>
      </c>
      <c r="W7" s="6">
        <v>0</v>
      </c>
      <c r="X7" s="20">
        <f ca="1">VLOOKUP($I7,OFFSET([2]enemies!$A$1,0,0,COUNTA([2]enemies!$A:$A),MATCH(X$1,[2]enemies!$2:$2,0)-MATCH($I$1,[2]enemies!$2:$2,0)+1),MATCH(X$1,[2]enemies!$2:$2,0)-MATCH($I$1,[2]enemies!$2:$2,0)+1,FALSE)</f>
        <v>3</v>
      </c>
      <c r="Y7" s="32">
        <v>122</v>
      </c>
      <c r="Z7" s="4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7" s="4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>3</v>
      </c>
      <c r="AB7" s="4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7" s="27">
        <v>1</v>
      </c>
      <c r="AD7" s="33">
        <f t="shared" ca="1" si="3"/>
        <v>3</v>
      </c>
      <c r="AE7" s="7">
        <v>100</v>
      </c>
      <c r="AF7" s="27">
        <v>0</v>
      </c>
      <c r="AG7" s="27">
        <v>0</v>
      </c>
      <c r="AH7" s="27">
        <v>0</v>
      </c>
      <c r="AI7" s="27">
        <v>0</v>
      </c>
      <c r="AJ7" s="27">
        <v>1</v>
      </c>
    </row>
    <row r="8" spans="1:36" ht="21" customHeight="1">
      <c r="A8" s="17" t="str">
        <f t="shared" ca="1" si="0"/>
        <v>11208_1-2/123&lt;lv16&gt;s2</v>
      </c>
      <c r="B8" s="27">
        <v>11208</v>
      </c>
      <c r="C8" s="30">
        <v>1</v>
      </c>
      <c r="D8" s="16" t="str">
        <f t="shared" si="1"/>
        <v>11208_1</v>
      </c>
      <c r="E8" s="4" t="str">
        <f ca="1">VLOOKUP($B8,OFFSET([1]quests!$A$1,0,0,COUNTA([1]quests!$A:$A),MATCH(E$1,[1]quests!$1:$1,0)-MATCH($B$1,[1]quests!$1:$1,0)+1),MATCH(E$1,[1]quests!$1:$1,0)-MATCH($B$1,[1]quests!$1:$1,0)+1,FALSE)</f>
        <v>果実達の大宴会</v>
      </c>
      <c r="F8" s="4" t="str">
        <f ca="1">VLOOKUP($D8,OFFSET([1]stages!$A$1,0,0,COUNTA([1]stages!$A:$A),MATCH(F$1,[1]stages!$2:$2,0)-MATCH($D$1,[1]stages!$2:$2,0)+1),MATCH(F$1,[1]stages!$2:$2,0)-MATCH($D$1,[1]stages!$2:$2,0)+1,FALSE)</f>
        <v>果実達の大宴会【上級】</v>
      </c>
      <c r="G8" s="28">
        <v>2</v>
      </c>
      <c r="H8" s="16" t="str">
        <f t="shared" si="2"/>
        <v>11208_1-2</v>
      </c>
      <c r="I8" s="32">
        <v>123</v>
      </c>
      <c r="J8" s="20" t="str">
        <f ca="1">VLOOKUP($I8,OFFSET([2]enemies!$A$1,0,0,COUNTA([2]enemies!$A:$A),MATCH(J$1,[2]enemies!$2:$2,0)-MATCH($I$1,[2]enemies!$2:$2,0)+1),MATCH(J$1,[2]enemies!$2:$2,0)-MATCH($I$1,[2]enemies!$2:$2,0)+1,FALSE)</f>
        <v>癒しの果実</v>
      </c>
      <c r="K8" s="22" t="str">
        <f ca="1">VLOOKUP($I8,OFFSET([2]enemies!$A$1,0,0,COUNTA([2]enemies!$A:$A),MATCH(K$1,[2]enemies!$2:$2,0)-MATCH($I$1,[2]enemies!$2:$2,0)+1),MATCH(K$1,[2]enemies!$2:$2,0)-MATCH($I$1,[2]enemies!$2:$2,0)+1,FALSE)</f>
        <v>blue</v>
      </c>
      <c r="L8" s="22" t="str">
        <f ca="1">VLOOKUP($I8,OFFSET([3]characters!$A$1,0,0,COUNTA([3]characters!$A:$A),MATCH(L$1,[3]characters!$2:$2,0)-MATCH($I$1,[3]characters!$2:$2,0)+1),MATCH(L$1,[3]characters!$2:$2,0)-MATCH($I$1,[3]characters!$2:$2,0)+1,FALSE)</f>
        <v>Material</v>
      </c>
      <c r="M8" s="21" t="str">
        <f ca="1">VLOOKUP($I8,OFFSET([3]characters!$A$1,0,0,COUNTA([3]characters!$A:$A),MATCH(M$1,[3]characters!$2:$2,0)-MATCH($I$1,[3]characters!$2:$2,0)+2),MATCH(M$1,[3]characters!$2:$2,0)-MATCH($I$1,[3]characters!$2:$2,0)+2,FALSE)</f>
        <v>Unknown</v>
      </c>
      <c r="N8" s="4">
        <f ca="1">VLOOKUP($I8,OFFSET([2]enemies!$A$1,0,0,COUNTA([2]enemies!$A:$A),MATCH(N$1,[2]enemies!$2:$2,0)-MATCH($I$1,[2]enemies!$2:$2,0)+1),MATCH(N$1,[2]enemies!$2:$2,0)-MATCH($I$1,[2]enemies!$2:$2,0)+1,FALSE)</f>
        <v>20</v>
      </c>
      <c r="O8" s="5">
        <v>16</v>
      </c>
      <c r="P8" s="25">
        <v>0.7</v>
      </c>
      <c r="Q8" s="25">
        <v>1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4">
        <f ca="1">VLOOKUP($I8,OFFSET([2]enemies!$A$1,0,0,COUNTA([2]enemies!$A:$A),MATCH(T$1,[2]enemies!$2:$2,0)-MATCH($I$1,[2]enemies!$2:$2,0)+1),MATCH(T$1,[2]enemies!$2:$2,0)-MATCH($I$1,[2]enemies!$2:$2,0)+1,FALSE)</f>
        <v>0</v>
      </c>
      <c r="U8" s="6">
        <v>0</v>
      </c>
      <c r="V8" s="6">
        <v>100</v>
      </c>
      <c r="W8" s="6">
        <v>0</v>
      </c>
      <c r="X8" s="20">
        <f ca="1">VLOOKUP($I8,OFFSET([2]enemies!$A$1,0,0,COUNTA([2]enemies!$A:$A),MATCH(X$1,[2]enemies!$2:$2,0)-MATCH($I$1,[2]enemies!$2:$2,0)+1),MATCH(X$1,[2]enemies!$2:$2,0)-MATCH($I$1,[2]enemies!$2:$2,0)+1,FALSE)</f>
        <v>2</v>
      </c>
      <c r="Y8" s="32">
        <v>123</v>
      </c>
      <c r="Z8" s="4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8" s="4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>3</v>
      </c>
      <c r="AB8" s="4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" s="27">
        <v>1</v>
      </c>
      <c r="AD8" s="33">
        <f t="shared" ca="1" si="3"/>
        <v>3</v>
      </c>
      <c r="AE8" s="7">
        <v>100</v>
      </c>
      <c r="AF8" s="27">
        <v>0</v>
      </c>
      <c r="AG8" s="27">
        <v>0</v>
      </c>
      <c r="AH8" s="27">
        <v>0</v>
      </c>
      <c r="AI8" s="27">
        <v>0</v>
      </c>
      <c r="AJ8" s="27">
        <v>1</v>
      </c>
    </row>
    <row r="9" spans="1:36" ht="21" customHeight="1">
      <c r="A9" s="17" t="str">
        <f t="shared" ca="1" si="0"/>
        <v>11208_1-2/53&lt;lv16&gt;s2</v>
      </c>
      <c r="B9" s="27">
        <v>11208</v>
      </c>
      <c r="C9" s="30">
        <v>1</v>
      </c>
      <c r="D9" s="16" t="str">
        <f t="shared" si="1"/>
        <v>11208_1</v>
      </c>
      <c r="E9" s="4" t="str">
        <f ca="1">VLOOKUP($B9,OFFSET([1]quests!$A$1,0,0,COUNTA([1]quests!$A:$A),MATCH(E$1,[1]quests!$1:$1,0)-MATCH($B$1,[1]quests!$1:$1,0)+1),MATCH(E$1,[1]quests!$1:$1,0)-MATCH($B$1,[1]quests!$1:$1,0)+1,FALSE)</f>
        <v>果実達の大宴会</v>
      </c>
      <c r="F9" s="4" t="str">
        <f ca="1">VLOOKUP($D9,OFFSET([1]stages!$A$1,0,0,COUNTA([1]stages!$A:$A),MATCH(F$1,[1]stages!$2:$2,0)-MATCH($D$1,[1]stages!$2:$2,0)+1),MATCH(F$1,[1]stages!$2:$2,0)-MATCH($D$1,[1]stages!$2:$2,0)+1,FALSE)</f>
        <v>果実達の大宴会【上級】</v>
      </c>
      <c r="G9" s="28">
        <v>2</v>
      </c>
      <c r="H9" s="16" t="str">
        <f t="shared" si="2"/>
        <v>11208_1-2</v>
      </c>
      <c r="I9" s="32">
        <v>53</v>
      </c>
      <c r="J9" s="20" t="str">
        <f ca="1">VLOOKUP($I9,OFFSET([2]enemies!$A$1,0,0,COUNTA([2]enemies!$A:$A),MATCH(J$1,[2]enemies!$2:$2,0)-MATCH($I$1,[2]enemies!$2:$2,0)+1),MATCH(J$1,[2]enemies!$2:$2,0)-MATCH($I$1,[2]enemies!$2:$2,0)+1,FALSE)</f>
        <v>ケンジ</v>
      </c>
      <c r="K9" s="22" t="str">
        <f ca="1">VLOOKUP($I9,OFFSET([2]enemies!$A$1,0,0,COUNTA([2]enemies!$A:$A),MATCH(K$1,[2]enemies!$2:$2,0)-MATCH($I$1,[2]enemies!$2:$2,0)+1),MATCH(K$1,[2]enemies!$2:$2,0)-MATCH($I$1,[2]enemies!$2:$2,0)+1,FALSE)</f>
        <v>blue</v>
      </c>
      <c r="L9" s="22" t="str">
        <f ca="1">VLOOKUP($I9,OFFSET([3]characters!$A$1,0,0,COUNTA([3]characters!$A:$A),MATCH(L$1,[3]characters!$2:$2,0)-MATCH($I$1,[3]characters!$2:$2,0)+1),MATCH(L$1,[3]characters!$2:$2,0)-MATCH($I$1,[3]characters!$2:$2,0)+1,FALSE)</f>
        <v>Drop1N</v>
      </c>
      <c r="M9" s="21" t="str">
        <f ca="1">VLOOKUP($I9,OFFSET([3]characters!$A$1,0,0,COUNTA([3]characters!$A:$A),MATCH(M$1,[3]characters!$2:$2,0)-MATCH($I$1,[3]characters!$2:$2,0)+2),MATCH(M$1,[3]characters!$2:$2,0)-MATCH($I$1,[3]characters!$2:$2,0)+2,FALSE)</f>
        <v>ヒューマン</v>
      </c>
      <c r="N9" s="4">
        <f ca="1">VLOOKUP($I9,OFFSET([2]enemies!$A$1,0,0,COUNTA([2]enemies!$A:$A),MATCH(N$1,[2]enemies!$2:$2,0)-MATCH($I$1,[2]enemies!$2:$2,0)+1),MATCH(N$1,[2]enemies!$2:$2,0)-MATCH($I$1,[2]enemies!$2:$2,0)+1,FALSE)</f>
        <v>15</v>
      </c>
      <c r="O9" s="5">
        <v>16</v>
      </c>
      <c r="P9" s="25">
        <v>0.7</v>
      </c>
      <c r="Q9" s="25">
        <v>1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9" s="4">
        <f ca="1">VLOOKUP($I9,OFFSET([2]enemies!$A$1,0,0,COUNTA([2]enemies!$A:$A),MATCH(T$1,[2]enemies!$2:$2,0)-MATCH($I$1,[2]enemies!$2:$2,0)+1),MATCH(T$1,[2]enemies!$2:$2,0)-MATCH($I$1,[2]enemies!$2:$2,0)+1,FALSE)</f>
        <v>53</v>
      </c>
      <c r="U9" s="6">
        <v>1</v>
      </c>
      <c r="V9" s="6">
        <v>0</v>
      </c>
      <c r="W9" s="6">
        <v>1</v>
      </c>
      <c r="X9" s="20">
        <f ca="1">VLOOKUP($I9,OFFSET([2]enemies!$A$1,0,0,COUNTA([2]enemies!$A:$A),MATCH(X$1,[2]enemies!$2:$2,0)-MATCH($I$1,[2]enemies!$2:$2,0)+1),MATCH(X$1,[2]enemies!$2:$2,0)-MATCH($I$1,[2]enemies!$2:$2,0)+1,FALSE)</f>
        <v>2</v>
      </c>
      <c r="Y9" s="32">
        <v>121</v>
      </c>
      <c r="Z9" s="4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9" s="4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>3</v>
      </c>
      <c r="AB9" s="4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" s="27">
        <v>1</v>
      </c>
      <c r="AD9" s="33">
        <f t="shared" ca="1" si="3"/>
        <v>3</v>
      </c>
      <c r="AE9" s="7">
        <v>0</v>
      </c>
      <c r="AF9" s="27">
        <v>0</v>
      </c>
      <c r="AG9" s="27">
        <v>0</v>
      </c>
      <c r="AH9" s="27">
        <v>0</v>
      </c>
      <c r="AI9" s="27">
        <v>0</v>
      </c>
      <c r="AJ9" s="27">
        <v>1</v>
      </c>
    </row>
    <row r="10" spans="1:36" ht="21" customHeight="1">
      <c r="A10" s="17" t="str">
        <f t="shared" ca="1" si="0"/>
        <v>11208_1-3/121&lt;lv16&gt;s1</v>
      </c>
      <c r="B10" s="27">
        <v>11208</v>
      </c>
      <c r="C10" s="30">
        <v>1</v>
      </c>
      <c r="D10" s="16" t="str">
        <f t="shared" si="1"/>
        <v>11208_1</v>
      </c>
      <c r="E10" s="4" t="str">
        <f ca="1">VLOOKUP($B10,OFFSET([1]quests!$A$1,0,0,COUNTA([1]quests!$A:$A),MATCH(E$1,[1]quests!$1:$1,0)-MATCH($B$1,[1]quests!$1:$1,0)+1),MATCH(E$1,[1]quests!$1:$1,0)-MATCH($B$1,[1]quests!$1:$1,0)+1,FALSE)</f>
        <v>果実達の大宴会</v>
      </c>
      <c r="F10" s="4" t="str">
        <f ca="1">VLOOKUP($D10,OFFSET([1]stages!$A$1,0,0,COUNTA([1]stages!$A:$A),MATCH(F$1,[1]stages!$2:$2,0)-MATCH($D$1,[1]stages!$2:$2,0)+1),MATCH(F$1,[1]stages!$2:$2,0)-MATCH($D$1,[1]stages!$2:$2,0)+1,FALSE)</f>
        <v>果実達の大宴会【上級】</v>
      </c>
      <c r="G10" s="31">
        <v>3</v>
      </c>
      <c r="H10" s="16" t="str">
        <f t="shared" si="2"/>
        <v>11208_1-3</v>
      </c>
      <c r="I10" s="32">
        <v>121</v>
      </c>
      <c r="J10" s="20" t="str">
        <f ca="1">VLOOKUP($I10,OFFSET([2]enemies!$A$1,0,0,COUNTA([2]enemies!$A:$A),MATCH(J$1,[2]enemies!$2:$2,0)-MATCH($I$1,[2]enemies!$2:$2,0)+1),MATCH(J$1,[2]enemies!$2:$2,0)-MATCH($I$1,[2]enemies!$2:$2,0)+1,FALSE)</f>
        <v>攻めの果実</v>
      </c>
      <c r="K10" s="22" t="str">
        <f ca="1">VLOOKUP($I10,OFFSET([2]enemies!$A$1,0,0,COUNTA([2]enemies!$A:$A),MATCH(K$1,[2]enemies!$2:$2,0)-MATCH($I$1,[2]enemies!$2:$2,0)+1),MATCH(K$1,[2]enemies!$2:$2,0)-MATCH($I$1,[2]enemies!$2:$2,0)+1,FALSE)</f>
        <v>red</v>
      </c>
      <c r="L10" s="22" t="str">
        <f ca="1">VLOOKUP($I10,OFFSET([3]characters!$A$1,0,0,COUNTA([3]characters!$A:$A),MATCH(L$1,[3]characters!$2:$2,0)-MATCH($I$1,[3]characters!$2:$2,0)+1),MATCH(L$1,[3]characters!$2:$2,0)-MATCH($I$1,[3]characters!$2:$2,0)+1,FALSE)</f>
        <v>Material</v>
      </c>
      <c r="M10" s="21" t="str">
        <f ca="1">VLOOKUP($I10,OFFSET([3]characters!$A$1,0,0,COUNTA([3]characters!$A:$A),MATCH(M$1,[3]characters!$2:$2,0)-MATCH($I$1,[3]characters!$2:$2,0)+2),MATCH(M$1,[3]characters!$2:$2,0)-MATCH($I$1,[3]characters!$2:$2,0)+2,FALSE)</f>
        <v>Unknown</v>
      </c>
      <c r="N10" s="4">
        <f ca="1">VLOOKUP($I10,OFFSET([2]enemies!$A$1,0,0,COUNTA([2]enemies!$A:$A),MATCH(N$1,[2]enemies!$2:$2,0)-MATCH($I$1,[2]enemies!$2:$2,0)+1),MATCH(N$1,[2]enemies!$2:$2,0)-MATCH($I$1,[2]enemies!$2:$2,0)+1,FALSE)</f>
        <v>20</v>
      </c>
      <c r="O10" s="5">
        <v>16</v>
      </c>
      <c r="P10" s="25">
        <v>0.7</v>
      </c>
      <c r="Q10" s="25">
        <v>1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4">
        <f ca="1">VLOOKUP($I10,OFFSET([2]enemies!$A$1,0,0,COUNTA([2]enemies!$A:$A),MATCH(T$1,[2]enemies!$2:$2,0)-MATCH($I$1,[2]enemies!$2:$2,0)+1),MATCH(T$1,[2]enemies!$2:$2,0)-MATCH($I$1,[2]enemies!$2:$2,0)+1,FALSE)</f>
        <v>0</v>
      </c>
      <c r="U10" s="6">
        <v>0</v>
      </c>
      <c r="V10" s="6">
        <v>100</v>
      </c>
      <c r="W10" s="6">
        <v>0</v>
      </c>
      <c r="X10" s="20">
        <f ca="1">VLOOKUP($I10,OFFSET([2]enemies!$A$1,0,0,COUNTA([2]enemies!$A:$A),MATCH(X$1,[2]enemies!$2:$2,0)-MATCH($I$1,[2]enemies!$2:$2,0)+1),MATCH(X$1,[2]enemies!$2:$2,0)-MATCH($I$1,[2]enemies!$2:$2,0)+1,FALSE)</f>
        <v>1</v>
      </c>
      <c r="Y10" s="32">
        <v>121</v>
      </c>
      <c r="Z10" s="4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10" s="4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>3</v>
      </c>
      <c r="AB10" s="4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0" s="27">
        <v>1</v>
      </c>
      <c r="AD10" s="33">
        <f t="shared" ca="1" si="3"/>
        <v>3</v>
      </c>
      <c r="AE10" s="7">
        <v>100</v>
      </c>
      <c r="AF10" s="27">
        <v>0</v>
      </c>
      <c r="AG10" s="27">
        <v>0</v>
      </c>
      <c r="AH10" s="27">
        <v>0</v>
      </c>
      <c r="AI10" s="27">
        <v>0</v>
      </c>
      <c r="AJ10" s="27">
        <v>1</v>
      </c>
    </row>
    <row r="11" spans="1:36" ht="21" customHeight="1">
      <c r="A11" s="17" t="str">
        <f t="shared" ca="1" si="0"/>
        <v>11208_1-3/122&lt;lv16&gt;s3</v>
      </c>
      <c r="B11" s="27">
        <v>11208</v>
      </c>
      <c r="C11" s="30">
        <v>1</v>
      </c>
      <c r="D11" s="16" t="str">
        <f t="shared" si="1"/>
        <v>11208_1</v>
      </c>
      <c r="E11" s="4" t="str">
        <f ca="1">VLOOKUP($B11,OFFSET([1]quests!$A$1,0,0,COUNTA([1]quests!$A:$A),MATCH(E$1,[1]quests!$1:$1,0)-MATCH($B$1,[1]quests!$1:$1,0)+1),MATCH(E$1,[1]quests!$1:$1,0)-MATCH($B$1,[1]quests!$1:$1,0)+1,FALSE)</f>
        <v>果実達の大宴会</v>
      </c>
      <c r="F11" s="4" t="str">
        <f ca="1">VLOOKUP($D11,OFFSET([1]stages!$A$1,0,0,COUNTA([1]stages!$A:$A),MATCH(F$1,[1]stages!$2:$2,0)-MATCH($D$1,[1]stages!$2:$2,0)+1),MATCH(F$1,[1]stages!$2:$2,0)-MATCH($D$1,[1]stages!$2:$2,0)+1,FALSE)</f>
        <v>果実達の大宴会【上級】</v>
      </c>
      <c r="G11" s="31">
        <v>3</v>
      </c>
      <c r="H11" s="16" t="str">
        <f t="shared" si="2"/>
        <v>11208_1-3</v>
      </c>
      <c r="I11" s="32">
        <v>122</v>
      </c>
      <c r="J11" s="20" t="str">
        <f ca="1">VLOOKUP($I11,OFFSET([2]enemies!$A$1,0,0,COUNTA([2]enemies!$A:$A),MATCH(J$1,[2]enemies!$2:$2,0)-MATCH($I$1,[2]enemies!$2:$2,0)+1),MATCH(J$1,[2]enemies!$2:$2,0)-MATCH($I$1,[2]enemies!$2:$2,0)+1,FALSE)</f>
        <v>生命の果実</v>
      </c>
      <c r="K11" s="22" t="str">
        <f ca="1">VLOOKUP($I11,OFFSET([2]enemies!$A$1,0,0,COUNTA([2]enemies!$A:$A),MATCH(K$1,[2]enemies!$2:$2,0)-MATCH($I$1,[2]enemies!$2:$2,0)+1),MATCH(K$1,[2]enemies!$2:$2,0)-MATCH($I$1,[2]enemies!$2:$2,0)+1,FALSE)</f>
        <v>green</v>
      </c>
      <c r="L11" s="22" t="str">
        <f ca="1">VLOOKUP($I11,OFFSET([3]characters!$A$1,0,0,COUNTA([3]characters!$A:$A),MATCH(L$1,[3]characters!$2:$2,0)-MATCH($I$1,[3]characters!$2:$2,0)+1),MATCH(L$1,[3]characters!$2:$2,0)-MATCH($I$1,[3]characters!$2:$2,0)+1,FALSE)</f>
        <v>Material</v>
      </c>
      <c r="M11" s="21" t="str">
        <f ca="1">VLOOKUP($I11,OFFSET([3]characters!$A$1,0,0,COUNTA([3]characters!$A:$A),MATCH(M$1,[3]characters!$2:$2,0)-MATCH($I$1,[3]characters!$2:$2,0)+2),MATCH(M$1,[3]characters!$2:$2,0)-MATCH($I$1,[3]characters!$2:$2,0)+2,FALSE)</f>
        <v>Unknown</v>
      </c>
      <c r="N11" s="4">
        <f ca="1">VLOOKUP($I11,OFFSET([2]enemies!$A$1,0,0,COUNTA([2]enemies!$A:$A),MATCH(N$1,[2]enemies!$2:$2,0)-MATCH($I$1,[2]enemies!$2:$2,0)+1),MATCH(N$1,[2]enemies!$2:$2,0)-MATCH($I$1,[2]enemies!$2:$2,0)+1,FALSE)</f>
        <v>20</v>
      </c>
      <c r="O11" s="5">
        <v>16</v>
      </c>
      <c r="P11" s="25">
        <v>0.7</v>
      </c>
      <c r="Q11" s="25">
        <v>1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4">
        <f ca="1">VLOOKUP($I11,OFFSET([2]enemies!$A$1,0,0,COUNTA([2]enemies!$A:$A),MATCH(T$1,[2]enemies!$2:$2,0)-MATCH($I$1,[2]enemies!$2:$2,0)+1),MATCH(T$1,[2]enemies!$2:$2,0)-MATCH($I$1,[2]enemies!$2:$2,0)+1,FALSE)</f>
        <v>0</v>
      </c>
      <c r="U11" s="6">
        <v>0</v>
      </c>
      <c r="V11" s="6">
        <v>100</v>
      </c>
      <c r="W11" s="6">
        <v>0</v>
      </c>
      <c r="X11" s="20">
        <f ca="1">VLOOKUP($I11,OFFSET([2]enemies!$A$1,0,0,COUNTA([2]enemies!$A:$A),MATCH(X$1,[2]enemies!$2:$2,0)-MATCH($I$1,[2]enemies!$2:$2,0)+1),MATCH(X$1,[2]enemies!$2:$2,0)-MATCH($I$1,[2]enemies!$2:$2,0)+1,FALSE)</f>
        <v>3</v>
      </c>
      <c r="Y11" s="32">
        <v>122</v>
      </c>
      <c r="Z11" s="4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11" s="4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>3</v>
      </c>
      <c r="AB11" s="4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1" s="27">
        <v>1</v>
      </c>
      <c r="AD11" s="33">
        <f t="shared" ca="1" si="3"/>
        <v>3</v>
      </c>
      <c r="AE11" s="7">
        <v>100</v>
      </c>
      <c r="AF11" s="27">
        <v>0</v>
      </c>
      <c r="AG11" s="27">
        <v>0</v>
      </c>
      <c r="AH11" s="27">
        <v>0</v>
      </c>
      <c r="AI11" s="27">
        <v>0</v>
      </c>
      <c r="AJ11" s="27">
        <v>1</v>
      </c>
    </row>
    <row r="12" spans="1:36" ht="21" customHeight="1">
      <c r="A12" s="17" t="str">
        <f t="shared" ca="1" si="0"/>
        <v>11208_1-3/123&lt;lv16&gt;s2</v>
      </c>
      <c r="B12" s="27">
        <v>11208</v>
      </c>
      <c r="C12" s="30">
        <v>1</v>
      </c>
      <c r="D12" s="16" t="str">
        <f t="shared" si="1"/>
        <v>11208_1</v>
      </c>
      <c r="E12" s="4" t="str">
        <f ca="1">VLOOKUP($B12,OFFSET([1]quests!$A$1,0,0,COUNTA([1]quests!$A:$A),MATCH(E$1,[1]quests!$1:$1,0)-MATCH($B$1,[1]quests!$1:$1,0)+1),MATCH(E$1,[1]quests!$1:$1,0)-MATCH($B$1,[1]quests!$1:$1,0)+1,FALSE)</f>
        <v>果実達の大宴会</v>
      </c>
      <c r="F12" s="4" t="str">
        <f ca="1">VLOOKUP($D12,OFFSET([1]stages!$A$1,0,0,COUNTA([1]stages!$A:$A),MATCH(F$1,[1]stages!$2:$2,0)-MATCH($D$1,[1]stages!$2:$2,0)+1),MATCH(F$1,[1]stages!$2:$2,0)-MATCH($D$1,[1]stages!$2:$2,0)+1,FALSE)</f>
        <v>果実達の大宴会【上級】</v>
      </c>
      <c r="G12" s="31">
        <v>3</v>
      </c>
      <c r="H12" s="16" t="str">
        <f t="shared" si="2"/>
        <v>11208_1-3</v>
      </c>
      <c r="I12" s="32">
        <v>123</v>
      </c>
      <c r="J12" s="20" t="str">
        <f ca="1">VLOOKUP($I12,OFFSET([2]enemies!$A$1,0,0,COUNTA([2]enemies!$A:$A),MATCH(J$1,[2]enemies!$2:$2,0)-MATCH($I$1,[2]enemies!$2:$2,0)+1),MATCH(J$1,[2]enemies!$2:$2,0)-MATCH($I$1,[2]enemies!$2:$2,0)+1,FALSE)</f>
        <v>癒しの果実</v>
      </c>
      <c r="K12" s="22" t="str">
        <f ca="1">VLOOKUP($I12,OFFSET([2]enemies!$A$1,0,0,COUNTA([2]enemies!$A:$A),MATCH(K$1,[2]enemies!$2:$2,0)-MATCH($I$1,[2]enemies!$2:$2,0)+1),MATCH(K$1,[2]enemies!$2:$2,0)-MATCH($I$1,[2]enemies!$2:$2,0)+1,FALSE)</f>
        <v>blue</v>
      </c>
      <c r="L12" s="22" t="str">
        <f ca="1">VLOOKUP($I12,OFFSET([3]characters!$A$1,0,0,COUNTA([3]characters!$A:$A),MATCH(L$1,[3]characters!$2:$2,0)-MATCH($I$1,[3]characters!$2:$2,0)+1),MATCH(L$1,[3]characters!$2:$2,0)-MATCH($I$1,[3]characters!$2:$2,0)+1,FALSE)</f>
        <v>Material</v>
      </c>
      <c r="M12" s="21" t="str">
        <f ca="1">VLOOKUP($I12,OFFSET([3]characters!$A$1,0,0,COUNTA([3]characters!$A:$A),MATCH(M$1,[3]characters!$2:$2,0)-MATCH($I$1,[3]characters!$2:$2,0)+2),MATCH(M$1,[3]characters!$2:$2,0)-MATCH($I$1,[3]characters!$2:$2,0)+2,FALSE)</f>
        <v>Unknown</v>
      </c>
      <c r="N12" s="4">
        <f ca="1">VLOOKUP($I12,OFFSET([2]enemies!$A$1,0,0,COUNTA([2]enemies!$A:$A),MATCH(N$1,[2]enemies!$2:$2,0)-MATCH($I$1,[2]enemies!$2:$2,0)+1),MATCH(N$1,[2]enemies!$2:$2,0)-MATCH($I$1,[2]enemies!$2:$2,0)+1,FALSE)</f>
        <v>20</v>
      </c>
      <c r="O12" s="5">
        <v>16</v>
      </c>
      <c r="P12" s="25">
        <v>0.7</v>
      </c>
      <c r="Q12" s="25">
        <v>1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4">
        <f ca="1">VLOOKUP($I12,OFFSET([2]enemies!$A$1,0,0,COUNTA([2]enemies!$A:$A),MATCH(T$1,[2]enemies!$2:$2,0)-MATCH($I$1,[2]enemies!$2:$2,0)+1),MATCH(T$1,[2]enemies!$2:$2,0)-MATCH($I$1,[2]enemies!$2:$2,0)+1,FALSE)</f>
        <v>0</v>
      </c>
      <c r="U12" s="6">
        <v>0</v>
      </c>
      <c r="V12" s="6">
        <v>100</v>
      </c>
      <c r="W12" s="6">
        <v>0</v>
      </c>
      <c r="X12" s="20">
        <f ca="1">VLOOKUP($I12,OFFSET([2]enemies!$A$1,0,0,COUNTA([2]enemies!$A:$A),MATCH(X$1,[2]enemies!$2:$2,0)-MATCH($I$1,[2]enemies!$2:$2,0)+1),MATCH(X$1,[2]enemies!$2:$2,0)-MATCH($I$1,[2]enemies!$2:$2,0)+1,FALSE)</f>
        <v>2</v>
      </c>
      <c r="Y12" s="32">
        <v>123</v>
      </c>
      <c r="Z12" s="4" t="str">
        <f ca="1">IFERROR(VLOOKUP($Y12,OFFSET([3]characters!$A$1,0,0,COUNTA([3]characters!$A:$A),MATCH(Z$1,[3]characters!$2:$2,0)-MATCH("character_id",[3]characters!$2:$2,0)+1),MATCH(Z$1,[3]characters!$2:$2,0)-MATCH("character_id",[3]characters!$2:$2,0)+1,FALSE),"")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12" s="4">
        <f ca="1">IFERROR(VLOOKUP($Y12,OFFSET([3]characters!$A$1,0,0,COUNTA([3]characters!$A:$A),MATCH(AA$1,[3]characters!$2:$2,0)-MATCH("character_id",[3]characters!$2:$2,0)+1),MATCH(AA$1,[3]characters!$2:$2,0)-MATCH("character_id",[3]characters!$2:$2,0)+1,FALSE),"")</f>
        <v>3</v>
      </c>
      <c r="AB12" s="4" t="str">
        <f ca="1">IFERROR(VLOOKUP($Y12,OFFSET([3]characters!$A$1,0,0,COUNTA([3]characters!$A:$A),MATCH(AB$1,[3]characters!$2:$2,0)-MATCH("character_id",[3]characters!$2:$2,0)+1),MATCH(AB$1,[3]characters!$2:$2,0)-MATCH("character_id",[3]characters!$2:$2,0)+1,FALSE),"")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2" s="27">
        <v>1</v>
      </c>
      <c r="AD12" s="33">
        <f t="shared" ca="1" si="3"/>
        <v>3</v>
      </c>
      <c r="AE12" s="7">
        <v>100</v>
      </c>
      <c r="AF12" s="27">
        <v>0</v>
      </c>
      <c r="AG12" s="27">
        <v>0</v>
      </c>
      <c r="AH12" s="27">
        <v>0</v>
      </c>
      <c r="AI12" s="27">
        <v>0</v>
      </c>
      <c r="AJ12" s="27">
        <v>1</v>
      </c>
    </row>
    <row r="13" spans="1:36" ht="21" customHeight="1">
      <c r="A13" s="17" t="str">
        <f t="shared" ca="1" si="0"/>
        <v>11208_1-3/41&lt;lv16&gt;s1</v>
      </c>
      <c r="B13" s="27">
        <v>11208</v>
      </c>
      <c r="C13" s="30">
        <v>1</v>
      </c>
      <c r="D13" s="16" t="str">
        <f t="shared" si="1"/>
        <v>11208_1</v>
      </c>
      <c r="E13" s="4" t="str">
        <f ca="1">VLOOKUP($B13,OFFSET([1]quests!$A$1,0,0,COUNTA([1]quests!$A:$A),MATCH(E$1,[1]quests!$1:$1,0)-MATCH($B$1,[1]quests!$1:$1,0)+1),MATCH(E$1,[1]quests!$1:$1,0)-MATCH($B$1,[1]quests!$1:$1,0)+1,FALSE)</f>
        <v>果実達の大宴会</v>
      </c>
      <c r="F13" s="4" t="str">
        <f ca="1">VLOOKUP($D13,OFFSET([1]stages!$A$1,0,0,COUNTA([1]stages!$A:$A),MATCH(F$1,[1]stages!$2:$2,0)-MATCH($D$1,[1]stages!$2:$2,0)+1),MATCH(F$1,[1]stages!$2:$2,0)-MATCH($D$1,[1]stages!$2:$2,0)+1,FALSE)</f>
        <v>果実達の大宴会【上級】</v>
      </c>
      <c r="G13" s="31">
        <v>3</v>
      </c>
      <c r="H13" s="16" t="str">
        <f t="shared" si="2"/>
        <v>11208_1-3</v>
      </c>
      <c r="I13" s="32">
        <v>41</v>
      </c>
      <c r="J13" s="20" t="str">
        <f ca="1">VLOOKUP($I13,OFFSET([2]enemies!$A$1,0,0,COUNTA([2]enemies!$A:$A),MATCH(J$1,[2]enemies!$2:$2,0)-MATCH($I$1,[2]enemies!$2:$2,0)+1),MATCH(J$1,[2]enemies!$2:$2,0)-MATCH($I$1,[2]enemies!$2:$2,0)+1,FALSE)</f>
        <v>ヒュウガ</v>
      </c>
      <c r="K13" s="22" t="str">
        <f ca="1">VLOOKUP($I13,OFFSET([2]enemies!$A$1,0,0,COUNTA([2]enemies!$A:$A),MATCH(K$1,[2]enemies!$2:$2,0)-MATCH($I$1,[2]enemies!$2:$2,0)+1),MATCH(K$1,[2]enemies!$2:$2,0)-MATCH($I$1,[2]enemies!$2:$2,0)+1,FALSE)</f>
        <v>red</v>
      </c>
      <c r="L13" s="22" t="str">
        <f ca="1">VLOOKUP($I13,OFFSET([3]characters!$A$1,0,0,COUNTA([3]characters!$A:$A),MATCH(L$1,[3]characters!$2:$2,0)-MATCH($I$1,[3]characters!$2:$2,0)+1),MATCH(L$1,[3]characters!$2:$2,0)-MATCH($I$1,[3]characters!$2:$2,0)+1,FALSE)</f>
        <v>Drop1N</v>
      </c>
      <c r="M13" s="21" t="str">
        <f ca="1">VLOOKUP($I13,OFFSET([3]characters!$A$1,0,0,COUNTA([3]characters!$A:$A),MATCH(M$1,[3]characters!$2:$2,0)-MATCH($I$1,[3]characters!$2:$2,0)+2),MATCH(M$1,[3]characters!$2:$2,0)-MATCH($I$1,[3]characters!$2:$2,0)+2,FALSE)</f>
        <v>ドラゴン</v>
      </c>
      <c r="N13" s="4">
        <f ca="1">VLOOKUP($I13,OFFSET([2]enemies!$A$1,0,0,COUNTA([2]enemies!$A:$A),MATCH(N$1,[2]enemies!$2:$2,0)-MATCH($I$1,[2]enemies!$2:$2,0)+1),MATCH(N$1,[2]enemies!$2:$2,0)-MATCH($I$1,[2]enemies!$2:$2,0)+1,FALSE)</f>
        <v>15</v>
      </c>
      <c r="O13" s="5">
        <v>16</v>
      </c>
      <c r="P13" s="25">
        <v>0.7</v>
      </c>
      <c r="Q13" s="25">
        <v>1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4">
        <f ca="1">VLOOKUP($I13,OFFSET([2]enemies!$A$1,0,0,COUNTA([2]enemies!$A:$A),MATCH(T$1,[2]enemies!$2:$2,0)-MATCH($I$1,[2]enemies!$2:$2,0)+1),MATCH(T$1,[2]enemies!$2:$2,0)-MATCH($I$1,[2]enemies!$2:$2,0)+1,FALSE)</f>
        <v>0</v>
      </c>
      <c r="U13" s="6">
        <v>1</v>
      </c>
      <c r="V13" s="6">
        <v>0</v>
      </c>
      <c r="W13" s="6">
        <v>1</v>
      </c>
      <c r="X13" s="20">
        <f ca="1">VLOOKUP($I13,OFFSET([2]enemies!$A$1,0,0,COUNTA([2]enemies!$A:$A),MATCH(X$1,[2]enemies!$2:$2,0)-MATCH($I$1,[2]enemies!$2:$2,0)+1),MATCH(X$1,[2]enemies!$2:$2,0)-MATCH($I$1,[2]enemies!$2:$2,0)+1,FALSE)</f>
        <v>1</v>
      </c>
      <c r="Y13" s="32">
        <v>123</v>
      </c>
      <c r="Z13" s="4" t="str">
        <f ca="1">IFERROR(VLOOKUP($Y13,OFFSET([3]characters!$A$1,0,0,COUNTA([3]characters!$A:$A),MATCH(Z$1,[3]characters!$2:$2,0)-MATCH("character_id",[3]characters!$2:$2,0)+1),MATCH(Z$1,[3]characters!$2:$2,0)-MATCH("character_id",[3]characters!$2:$2,0)+1,FALSE),"")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13" s="4">
        <f ca="1">IFERROR(VLOOKUP($Y13,OFFSET([3]characters!$A$1,0,0,COUNTA([3]characters!$A:$A),MATCH(AA$1,[3]characters!$2:$2,0)-MATCH("character_id",[3]characters!$2:$2,0)+1),MATCH(AA$1,[3]characters!$2:$2,0)-MATCH("character_id",[3]characters!$2:$2,0)+1,FALSE),"")</f>
        <v>3</v>
      </c>
      <c r="AB13" s="4" t="str">
        <f ca="1">IFERROR(VLOOKUP($Y13,OFFSET([3]characters!$A$1,0,0,COUNTA([3]characters!$A:$A),MATCH(AB$1,[3]characters!$2:$2,0)-MATCH("character_id",[3]characters!$2:$2,0)+1),MATCH(AB$1,[3]characters!$2:$2,0)-MATCH("character_id",[3]characters!$2:$2,0)+1,FALSE),"")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3" s="27">
        <v>1</v>
      </c>
      <c r="AD13" s="33">
        <f t="shared" ca="1" si="3"/>
        <v>3</v>
      </c>
      <c r="AE13" s="7">
        <v>0</v>
      </c>
      <c r="AF13" s="27">
        <v>0</v>
      </c>
      <c r="AG13" s="27">
        <v>0</v>
      </c>
      <c r="AH13" s="27">
        <v>0</v>
      </c>
      <c r="AI13" s="27">
        <v>0</v>
      </c>
      <c r="AJ13" s="27">
        <v>1</v>
      </c>
    </row>
    <row r="14" spans="1:36" ht="21" customHeight="1">
      <c r="A14" s="17" t="str">
        <f t="shared" ca="1" si="0"/>
        <v>11208_1-4/121&lt;lv16&gt;s1</v>
      </c>
      <c r="B14" s="27">
        <v>11208</v>
      </c>
      <c r="C14" s="30">
        <v>1</v>
      </c>
      <c r="D14" s="16" t="str">
        <f t="shared" si="1"/>
        <v>11208_1</v>
      </c>
      <c r="E14" s="4" t="str">
        <f ca="1">VLOOKUP($B14,OFFSET([1]quests!$A$1,0,0,COUNTA([1]quests!$A:$A),MATCH(E$1,[1]quests!$1:$1,0)-MATCH($B$1,[1]quests!$1:$1,0)+1),MATCH(E$1,[1]quests!$1:$1,0)-MATCH($B$1,[1]quests!$1:$1,0)+1,FALSE)</f>
        <v>果実達の大宴会</v>
      </c>
      <c r="F14" s="4" t="str">
        <f ca="1">VLOOKUP($D14,OFFSET([1]stages!$A$1,0,0,COUNTA([1]stages!$A:$A),MATCH(F$1,[1]stages!$2:$2,0)-MATCH($D$1,[1]stages!$2:$2,0)+1),MATCH(F$1,[1]stages!$2:$2,0)-MATCH($D$1,[1]stages!$2:$2,0)+1,FALSE)</f>
        <v>果実達の大宴会【上級】</v>
      </c>
      <c r="G14" s="28">
        <v>4</v>
      </c>
      <c r="H14" s="16" t="str">
        <f t="shared" si="2"/>
        <v>11208_1-4</v>
      </c>
      <c r="I14" s="32">
        <v>121</v>
      </c>
      <c r="J14" s="20" t="str">
        <f ca="1">VLOOKUP($I14,OFFSET([2]enemies!$A$1,0,0,COUNTA([2]enemies!$A:$A),MATCH(J$1,[2]enemies!$2:$2,0)-MATCH($I$1,[2]enemies!$2:$2,0)+1),MATCH(J$1,[2]enemies!$2:$2,0)-MATCH($I$1,[2]enemies!$2:$2,0)+1,FALSE)</f>
        <v>攻めの果実</v>
      </c>
      <c r="K14" s="22" t="str">
        <f ca="1">VLOOKUP($I14,OFFSET([2]enemies!$A$1,0,0,COUNTA([2]enemies!$A:$A),MATCH(K$1,[2]enemies!$2:$2,0)-MATCH($I$1,[2]enemies!$2:$2,0)+1),MATCH(K$1,[2]enemies!$2:$2,0)-MATCH($I$1,[2]enemies!$2:$2,0)+1,FALSE)</f>
        <v>red</v>
      </c>
      <c r="L14" s="22" t="str">
        <f ca="1">VLOOKUP($I14,OFFSET([3]characters!$A$1,0,0,COUNTA([3]characters!$A:$A),MATCH(L$1,[3]characters!$2:$2,0)-MATCH($I$1,[3]characters!$2:$2,0)+1),MATCH(L$1,[3]characters!$2:$2,0)-MATCH($I$1,[3]characters!$2:$2,0)+1,FALSE)</f>
        <v>Material</v>
      </c>
      <c r="M14" s="21" t="str">
        <f ca="1">VLOOKUP($I14,OFFSET([3]characters!$A$1,0,0,COUNTA([3]characters!$A:$A),MATCH(M$1,[3]characters!$2:$2,0)-MATCH($I$1,[3]characters!$2:$2,0)+2),MATCH(M$1,[3]characters!$2:$2,0)-MATCH($I$1,[3]characters!$2:$2,0)+2,FALSE)</f>
        <v>Unknown</v>
      </c>
      <c r="N14" s="4">
        <f ca="1">VLOOKUP($I14,OFFSET([2]enemies!$A$1,0,0,COUNTA([2]enemies!$A:$A),MATCH(N$1,[2]enemies!$2:$2,0)-MATCH($I$1,[2]enemies!$2:$2,0)+1),MATCH(N$1,[2]enemies!$2:$2,0)-MATCH($I$1,[2]enemies!$2:$2,0)+1,FALSE)</f>
        <v>20</v>
      </c>
      <c r="O14" s="5">
        <v>16</v>
      </c>
      <c r="P14" s="25">
        <v>0.7</v>
      </c>
      <c r="Q14" s="25">
        <v>1</v>
      </c>
      <c r="R14" s="5">
        <v>0</v>
      </c>
      <c r="S14" s="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4">
        <f ca="1">VLOOKUP($I14,OFFSET([2]enemies!$A$1,0,0,COUNTA([2]enemies!$A:$A),MATCH(T$1,[2]enemies!$2:$2,0)-MATCH($I$1,[2]enemies!$2:$2,0)+1),MATCH(T$1,[2]enemies!$2:$2,0)-MATCH($I$1,[2]enemies!$2:$2,0)+1,FALSE)</f>
        <v>0</v>
      </c>
      <c r="U14" s="6">
        <v>0</v>
      </c>
      <c r="V14" s="6">
        <v>33</v>
      </c>
      <c r="W14" s="6">
        <v>0</v>
      </c>
      <c r="X14" s="20">
        <f ca="1">VLOOKUP($I14,OFFSET([2]enemies!$A$1,0,0,COUNTA([2]enemies!$A:$A),MATCH(X$1,[2]enemies!$2:$2,0)-MATCH($I$1,[2]enemies!$2:$2,0)+1),MATCH(X$1,[2]enemies!$2:$2,0)-MATCH($I$1,[2]enemies!$2:$2,0)+1,FALSE)</f>
        <v>1</v>
      </c>
      <c r="Y14" s="32">
        <v>121</v>
      </c>
      <c r="Z14" s="4" t="str">
        <f ca="1">IFERROR(VLOOKUP($Y14,OFFSET([3]characters!$A$1,0,0,COUNTA([3]characters!$A:$A),MATCH(Z$1,[3]characters!$2:$2,0)-MATCH("character_id",[3]characters!$2:$2,0)+1),MATCH(Z$1,[3]characters!$2:$2,0)-MATCH("character_id",[3]characters!$2:$2,0)+1,FALSE),"")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14" s="4">
        <f ca="1">IFERROR(VLOOKUP($Y14,OFFSET([3]characters!$A$1,0,0,COUNTA([3]characters!$A:$A),MATCH(AA$1,[3]characters!$2:$2,0)-MATCH("character_id",[3]characters!$2:$2,0)+1),MATCH(AA$1,[3]characters!$2:$2,0)-MATCH("character_id",[3]characters!$2:$2,0)+1,FALSE),"")</f>
        <v>3</v>
      </c>
      <c r="AB14" s="4" t="str">
        <f ca="1">IFERROR(VLOOKUP($Y14,OFFSET([3]characters!$A$1,0,0,COUNTA([3]characters!$A:$A),MATCH(AB$1,[3]characters!$2:$2,0)-MATCH("character_id",[3]characters!$2:$2,0)+1),MATCH(AB$1,[3]characters!$2:$2,0)-MATCH("character_id",[3]characters!$2:$2,0)+1,FALSE),"")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4" s="27">
        <v>1</v>
      </c>
      <c r="AD14" s="33">
        <f t="shared" ca="1" si="3"/>
        <v>3</v>
      </c>
      <c r="AE14" s="7">
        <v>100</v>
      </c>
      <c r="AF14" s="27">
        <v>0</v>
      </c>
      <c r="AG14" s="27">
        <v>0</v>
      </c>
      <c r="AH14" s="27">
        <v>0</v>
      </c>
      <c r="AI14" s="27">
        <v>0</v>
      </c>
      <c r="AJ14" s="27">
        <v>1</v>
      </c>
    </row>
    <row r="15" spans="1:36" ht="21" customHeight="1">
      <c r="A15" s="17" t="str">
        <f t="shared" si="0"/>
        <v>11208_1-4/122&lt;lv16&gt;s1</v>
      </c>
      <c r="B15" s="27">
        <v>11208</v>
      </c>
      <c r="C15" s="30">
        <v>1</v>
      </c>
      <c r="D15" s="16" t="str">
        <f t="shared" si="1"/>
        <v>11208_1</v>
      </c>
      <c r="E15" s="4" t="str">
        <f ca="1">VLOOKUP($B15,OFFSET([1]quests!$A$1,0,0,COUNTA([1]quests!$A:$A),MATCH(E$1,[1]quests!$1:$1,0)-MATCH($B$1,[1]quests!$1:$1,0)+1),MATCH(E$1,[1]quests!$1:$1,0)-MATCH($B$1,[1]quests!$1:$1,0)+1,FALSE)</f>
        <v>果実達の大宴会</v>
      </c>
      <c r="F15" s="4" t="str">
        <f ca="1">VLOOKUP($D15,OFFSET([1]stages!$A$1,0,0,COUNTA([1]stages!$A:$A),MATCH(F$1,[1]stages!$2:$2,0)-MATCH($D$1,[1]stages!$2:$2,0)+1),MATCH(F$1,[1]stages!$2:$2,0)-MATCH($D$1,[1]stages!$2:$2,0)+1,FALSE)</f>
        <v>果実達の大宴会【上級】</v>
      </c>
      <c r="G15" s="28">
        <v>4</v>
      </c>
      <c r="H15" s="16" t="str">
        <f t="shared" si="2"/>
        <v>11208_1-4</v>
      </c>
      <c r="I15" s="32">
        <v>122</v>
      </c>
      <c r="J15" s="20" t="str">
        <f ca="1">VLOOKUP($I15,OFFSET([2]enemies!$A$1,0,0,COUNTA([2]enemies!$A:$A),MATCH(J$1,[2]enemies!$2:$2,0)-MATCH($I$1,[2]enemies!$2:$2,0)+1),MATCH(J$1,[2]enemies!$2:$2,0)-MATCH($I$1,[2]enemies!$2:$2,0)+1,FALSE)</f>
        <v>生命の果実</v>
      </c>
      <c r="K15" s="22" t="str">
        <f ca="1">VLOOKUP($I15,OFFSET([2]enemies!$A$1,0,0,COUNTA([2]enemies!$A:$A),MATCH(K$1,[2]enemies!$2:$2,0)-MATCH($I$1,[2]enemies!$2:$2,0)+1),MATCH(K$1,[2]enemies!$2:$2,0)-MATCH($I$1,[2]enemies!$2:$2,0)+1,FALSE)</f>
        <v>green</v>
      </c>
      <c r="L15" s="22" t="str">
        <f ca="1">VLOOKUP($I15,OFFSET([3]characters!$A$1,0,0,COUNTA([3]characters!$A:$A),MATCH(L$1,[3]characters!$2:$2,0)-MATCH($I$1,[3]characters!$2:$2,0)+1),MATCH(L$1,[3]characters!$2:$2,0)-MATCH($I$1,[3]characters!$2:$2,0)+1,FALSE)</f>
        <v>Material</v>
      </c>
      <c r="M15" s="21" t="str">
        <f ca="1">VLOOKUP($I15,OFFSET([3]characters!$A$1,0,0,COUNTA([3]characters!$A:$A),MATCH(M$1,[3]characters!$2:$2,0)-MATCH($I$1,[3]characters!$2:$2,0)+2),MATCH(M$1,[3]characters!$2:$2,0)-MATCH($I$1,[3]characters!$2:$2,0)+2,FALSE)</f>
        <v>Unknown</v>
      </c>
      <c r="N15" s="4">
        <f ca="1">VLOOKUP($I15,OFFSET([2]enemies!$A$1,0,0,COUNTA([2]enemies!$A:$A),MATCH(N$1,[2]enemies!$2:$2,0)-MATCH($I$1,[2]enemies!$2:$2,0)+1),MATCH(N$1,[2]enemies!$2:$2,0)-MATCH($I$1,[2]enemies!$2:$2,0)+1,FALSE)</f>
        <v>20</v>
      </c>
      <c r="O15" s="5">
        <v>16</v>
      </c>
      <c r="P15" s="25">
        <v>0.7</v>
      </c>
      <c r="Q15" s="25">
        <v>1</v>
      </c>
      <c r="R15" s="5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4">
        <f ca="1">VLOOKUP($I15,OFFSET([2]enemies!$A$1,0,0,COUNTA([2]enemies!$A:$A),MATCH(T$1,[2]enemies!$2:$2,0)-MATCH($I$1,[2]enemies!$2:$2,0)+1),MATCH(T$1,[2]enemies!$2:$2,0)-MATCH($I$1,[2]enemies!$2:$2,0)+1,FALSE)</f>
        <v>0</v>
      </c>
      <c r="U15" s="6">
        <v>0</v>
      </c>
      <c r="V15" s="6">
        <v>33</v>
      </c>
      <c r="W15" s="6">
        <v>0</v>
      </c>
      <c r="X15" s="20">
        <v>1</v>
      </c>
      <c r="Y15" s="32">
        <v>122</v>
      </c>
      <c r="Z15" s="4" t="str">
        <f ca="1">IFERROR(VLOOKUP($Y15,OFFSET([3]characters!$A$1,0,0,COUNTA([3]characters!$A:$A),MATCH(Z$1,[3]characters!$2:$2,0)-MATCH("character_id",[3]characters!$2:$2,0)+1),MATCH(Z$1,[3]characters!$2:$2,0)-MATCH("character_id",[3]characters!$2:$2,0)+1,FALSE),"")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15" s="4">
        <f ca="1">IFERROR(VLOOKUP($Y15,OFFSET([3]characters!$A$1,0,0,COUNTA([3]characters!$A:$A),MATCH(AA$1,[3]characters!$2:$2,0)-MATCH("character_id",[3]characters!$2:$2,0)+1),MATCH(AA$1,[3]characters!$2:$2,0)-MATCH("character_id",[3]characters!$2:$2,0)+1,FALSE),"")</f>
        <v>3</v>
      </c>
      <c r="AB15" s="4" t="str">
        <f ca="1">IFERROR(VLOOKUP($Y15,OFFSET([3]characters!$A$1,0,0,COUNTA([3]characters!$A:$A),MATCH(AB$1,[3]characters!$2:$2,0)-MATCH("character_id",[3]characters!$2:$2,0)+1),MATCH(AB$1,[3]characters!$2:$2,0)-MATCH("character_id",[3]characters!$2:$2,0)+1,FALSE),"")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5" s="27">
        <v>1</v>
      </c>
      <c r="AD15" s="33">
        <f t="shared" ca="1" si="3"/>
        <v>3</v>
      </c>
      <c r="AE15" s="7">
        <v>100</v>
      </c>
      <c r="AF15" s="27">
        <v>0</v>
      </c>
      <c r="AG15" s="27">
        <v>0</v>
      </c>
      <c r="AH15" s="27">
        <v>0</v>
      </c>
      <c r="AI15" s="27">
        <v>0</v>
      </c>
      <c r="AJ15" s="27">
        <v>1</v>
      </c>
    </row>
    <row r="16" spans="1:36" ht="21" customHeight="1">
      <c r="A16" s="17" t="str">
        <f t="shared" si="0"/>
        <v>11208_1-4/123&lt;lv16&gt;s1</v>
      </c>
      <c r="B16" s="27">
        <v>11208</v>
      </c>
      <c r="C16" s="30">
        <v>1</v>
      </c>
      <c r="D16" s="16" t="str">
        <f t="shared" si="1"/>
        <v>11208_1</v>
      </c>
      <c r="E16" s="4" t="str">
        <f ca="1">VLOOKUP($B16,OFFSET([1]quests!$A$1,0,0,COUNTA([1]quests!$A:$A),MATCH(E$1,[1]quests!$1:$1,0)-MATCH($B$1,[1]quests!$1:$1,0)+1),MATCH(E$1,[1]quests!$1:$1,0)-MATCH($B$1,[1]quests!$1:$1,0)+1,FALSE)</f>
        <v>果実達の大宴会</v>
      </c>
      <c r="F16" s="4" t="str">
        <f ca="1">VLOOKUP($D16,OFFSET([1]stages!$A$1,0,0,COUNTA([1]stages!$A:$A),MATCH(F$1,[1]stages!$2:$2,0)-MATCH($D$1,[1]stages!$2:$2,0)+1),MATCH(F$1,[1]stages!$2:$2,0)-MATCH($D$1,[1]stages!$2:$2,0)+1,FALSE)</f>
        <v>果実達の大宴会【上級】</v>
      </c>
      <c r="G16" s="28">
        <v>4</v>
      </c>
      <c r="H16" s="16" t="str">
        <f t="shared" si="2"/>
        <v>11208_1-4</v>
      </c>
      <c r="I16" s="32">
        <v>123</v>
      </c>
      <c r="J16" s="20" t="str">
        <f ca="1">VLOOKUP($I16,OFFSET([2]enemies!$A$1,0,0,COUNTA([2]enemies!$A:$A),MATCH(J$1,[2]enemies!$2:$2,0)-MATCH($I$1,[2]enemies!$2:$2,0)+1),MATCH(J$1,[2]enemies!$2:$2,0)-MATCH($I$1,[2]enemies!$2:$2,0)+1,FALSE)</f>
        <v>癒しの果実</v>
      </c>
      <c r="K16" s="22" t="str">
        <f ca="1">VLOOKUP($I16,OFFSET([2]enemies!$A$1,0,0,COUNTA([2]enemies!$A:$A),MATCH(K$1,[2]enemies!$2:$2,0)-MATCH($I$1,[2]enemies!$2:$2,0)+1),MATCH(K$1,[2]enemies!$2:$2,0)-MATCH($I$1,[2]enemies!$2:$2,0)+1,FALSE)</f>
        <v>blue</v>
      </c>
      <c r="L16" s="22" t="str">
        <f ca="1">VLOOKUP($I16,OFFSET([3]characters!$A$1,0,0,COUNTA([3]characters!$A:$A),MATCH(L$1,[3]characters!$2:$2,0)-MATCH($I$1,[3]characters!$2:$2,0)+1),MATCH(L$1,[3]characters!$2:$2,0)-MATCH($I$1,[3]characters!$2:$2,0)+1,FALSE)</f>
        <v>Material</v>
      </c>
      <c r="M16" s="21" t="str">
        <f ca="1">VLOOKUP($I16,OFFSET([3]characters!$A$1,0,0,COUNTA([3]characters!$A:$A),MATCH(M$1,[3]characters!$2:$2,0)-MATCH($I$1,[3]characters!$2:$2,0)+2),MATCH(M$1,[3]characters!$2:$2,0)-MATCH($I$1,[3]characters!$2:$2,0)+2,FALSE)</f>
        <v>Unknown</v>
      </c>
      <c r="N16" s="4">
        <f ca="1">VLOOKUP($I16,OFFSET([2]enemies!$A$1,0,0,COUNTA([2]enemies!$A:$A),MATCH(N$1,[2]enemies!$2:$2,0)-MATCH($I$1,[2]enemies!$2:$2,0)+1),MATCH(N$1,[2]enemies!$2:$2,0)-MATCH($I$1,[2]enemies!$2:$2,0)+1,FALSE)</f>
        <v>20</v>
      </c>
      <c r="O16" s="5">
        <v>16</v>
      </c>
      <c r="P16" s="25">
        <v>0.7</v>
      </c>
      <c r="Q16" s="25">
        <v>1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4">
        <f ca="1">VLOOKUP($I16,OFFSET([2]enemies!$A$1,0,0,COUNTA([2]enemies!$A:$A),MATCH(T$1,[2]enemies!$2:$2,0)-MATCH($I$1,[2]enemies!$2:$2,0)+1),MATCH(T$1,[2]enemies!$2:$2,0)-MATCH($I$1,[2]enemies!$2:$2,0)+1,FALSE)</f>
        <v>0</v>
      </c>
      <c r="U16" s="6">
        <v>0</v>
      </c>
      <c r="V16" s="6">
        <v>33</v>
      </c>
      <c r="W16" s="6">
        <v>0</v>
      </c>
      <c r="X16" s="20">
        <v>1</v>
      </c>
      <c r="Y16" s="32">
        <v>123</v>
      </c>
      <c r="Z16" s="4" t="str">
        <f ca="1">IFERROR(VLOOKUP($Y16,OFFSET([3]characters!$A$1,0,0,COUNTA([3]characters!$A:$A),MATCH(Z$1,[3]characters!$2:$2,0)-MATCH("character_id",[3]characters!$2:$2,0)+1),MATCH(Z$1,[3]characters!$2:$2,0)-MATCH("character_id",[3]characters!$2:$2,0)+1,FALSE),"")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16" s="4">
        <f ca="1">IFERROR(VLOOKUP($Y16,OFFSET([3]characters!$A$1,0,0,COUNTA([3]characters!$A:$A),MATCH(AA$1,[3]characters!$2:$2,0)-MATCH("character_id",[3]characters!$2:$2,0)+1),MATCH(AA$1,[3]characters!$2:$2,0)-MATCH("character_id",[3]characters!$2:$2,0)+1,FALSE),"")</f>
        <v>3</v>
      </c>
      <c r="AB16" s="4" t="str">
        <f ca="1">IFERROR(VLOOKUP($Y16,OFFSET([3]characters!$A$1,0,0,COUNTA([3]characters!$A:$A),MATCH(AB$1,[3]characters!$2:$2,0)-MATCH("character_id",[3]characters!$2:$2,0)+1),MATCH(AB$1,[3]characters!$2:$2,0)-MATCH("character_id",[3]characters!$2:$2,0)+1,FALSE),"")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6" s="27">
        <v>1</v>
      </c>
      <c r="AD16" s="33">
        <f t="shared" ca="1" si="3"/>
        <v>3</v>
      </c>
      <c r="AE16" s="7">
        <v>100</v>
      </c>
      <c r="AF16" s="27">
        <v>0</v>
      </c>
      <c r="AG16" s="27">
        <v>0</v>
      </c>
      <c r="AH16" s="27">
        <v>0</v>
      </c>
      <c r="AI16" s="27">
        <v>0</v>
      </c>
      <c r="AJ16" s="27">
        <v>1</v>
      </c>
    </row>
    <row r="17" spans="1:36" ht="21" customHeight="1">
      <c r="A17" s="17" t="str">
        <f t="shared" si="0"/>
        <v>11208_1-4/125&lt;lv16&gt;s1</v>
      </c>
      <c r="B17" s="27">
        <v>11208</v>
      </c>
      <c r="C17" s="30">
        <v>1</v>
      </c>
      <c r="D17" s="16" t="str">
        <f t="shared" si="1"/>
        <v>11208_1</v>
      </c>
      <c r="E17" s="4" t="str">
        <f ca="1">VLOOKUP($B17,OFFSET([1]quests!$A$1,0,0,COUNTA([1]quests!$A:$A),MATCH(E$1,[1]quests!$1:$1,0)-MATCH($B$1,[1]quests!$1:$1,0)+1),MATCH(E$1,[1]quests!$1:$1,0)-MATCH($B$1,[1]quests!$1:$1,0)+1,FALSE)</f>
        <v>果実達の大宴会</v>
      </c>
      <c r="F17" s="4" t="str">
        <f ca="1">VLOOKUP($D17,OFFSET([1]stages!$A$1,0,0,COUNTA([1]stages!$A:$A),MATCH(F$1,[1]stages!$2:$2,0)-MATCH($D$1,[1]stages!$2:$2,0)+1),MATCH(F$1,[1]stages!$2:$2,0)-MATCH($D$1,[1]stages!$2:$2,0)+1,FALSE)</f>
        <v>果実達の大宴会【上級】</v>
      </c>
      <c r="G17" s="28">
        <v>4</v>
      </c>
      <c r="H17" s="16" t="str">
        <f t="shared" si="2"/>
        <v>11208_1-4</v>
      </c>
      <c r="I17" s="32">
        <v>125</v>
      </c>
      <c r="J17" s="20" t="str">
        <f ca="1">VLOOKUP($I17,OFFSET([2]enemies!$A$1,0,0,COUNTA([2]enemies!$A:$A),MATCH(J$1,[2]enemies!$2:$2,0)-MATCH($I$1,[2]enemies!$2:$2,0)+1),MATCH(J$1,[2]enemies!$2:$2,0)-MATCH($I$1,[2]enemies!$2:$2,0)+1,FALSE)</f>
        <v>秘術の果実</v>
      </c>
      <c r="K17" s="22" t="str">
        <f ca="1">VLOOKUP($I17,OFFSET([2]enemies!$A$1,0,0,COUNTA([2]enemies!$A:$A),MATCH(K$1,[2]enemies!$2:$2,0)-MATCH($I$1,[2]enemies!$2:$2,0)+1),MATCH(K$1,[2]enemies!$2:$2,0)-MATCH($I$1,[2]enemies!$2:$2,0)+1,FALSE)</f>
        <v>blue</v>
      </c>
      <c r="L17" s="22" t="str">
        <f ca="1">VLOOKUP($I17,OFFSET([3]characters!$A$1,0,0,COUNTA([3]characters!$A:$A),MATCH(L$1,[3]characters!$2:$2,0)-MATCH($I$1,[3]characters!$2:$2,0)+1),MATCH(L$1,[3]characters!$2:$2,0)-MATCH($I$1,[3]characters!$2:$2,0)+1,FALSE)</f>
        <v>Material</v>
      </c>
      <c r="M17" s="21" t="str">
        <f ca="1">VLOOKUP($I17,OFFSET([3]characters!$A$1,0,0,COUNTA([3]characters!$A:$A),MATCH(M$1,[3]characters!$2:$2,0)-MATCH($I$1,[3]characters!$2:$2,0)+2),MATCH(M$1,[3]characters!$2:$2,0)-MATCH($I$1,[3]characters!$2:$2,0)+2,FALSE)</f>
        <v>Unknown</v>
      </c>
      <c r="N17" s="4">
        <f ca="1">VLOOKUP($I17,OFFSET([2]enemies!$A$1,0,0,COUNTA([2]enemies!$A:$A),MATCH(N$1,[2]enemies!$2:$2,0)-MATCH($I$1,[2]enemies!$2:$2,0)+1),MATCH(N$1,[2]enemies!$2:$2,0)-MATCH($I$1,[2]enemies!$2:$2,0)+1,FALSE)</f>
        <v>20</v>
      </c>
      <c r="O17" s="5">
        <v>16</v>
      </c>
      <c r="P17" s="25">
        <v>0.7</v>
      </c>
      <c r="Q17" s="25">
        <v>1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4">
        <f ca="1">VLOOKUP($I17,OFFSET([2]enemies!$A$1,0,0,COUNTA([2]enemies!$A:$A),MATCH(T$1,[2]enemies!$2:$2,0)-MATCH($I$1,[2]enemies!$2:$2,0)+1),MATCH(T$1,[2]enemies!$2:$2,0)-MATCH($I$1,[2]enemies!$2:$2,0)+1,FALSE)</f>
        <v>0</v>
      </c>
      <c r="U17" s="6">
        <v>0</v>
      </c>
      <c r="V17" s="6">
        <v>5</v>
      </c>
      <c r="W17" s="6">
        <v>0</v>
      </c>
      <c r="X17" s="20">
        <v>1</v>
      </c>
      <c r="Y17" s="32">
        <v>125</v>
      </c>
      <c r="Z17" s="4" t="str">
        <f ca="1">IFERROR(VLOOKUP($Y17,OFFSET([3]characters!$A$1,0,0,COUNTA([3]characters!$A:$A),MATCH(Z$1,[3]characters!$2:$2,0)-MATCH("character_id",[3]characters!$2:$2,0)+1),MATCH(Z$1,[3]characters!$2:$2,0)-MATCH("character_id",[3]characters!$2:$2,0)+1,FALSE),"")</f>
        <v>秘術の果実</v>
      </c>
      <c r="AA17" s="4">
        <f ca="1">IFERROR(VLOOKUP($Y17,OFFSET([3]characters!$A$1,0,0,COUNTA([3]characters!$A:$A),MATCH(AA$1,[3]characters!$2:$2,0)-MATCH("character_id",[3]characters!$2:$2,0)+1),MATCH(AA$1,[3]characters!$2:$2,0)-MATCH("character_id",[3]characters!$2:$2,0)+1,FALSE),"")</f>
        <v>3</v>
      </c>
      <c r="AB17" s="4" t="str">
        <f ca="1">IFERROR(VLOOKUP($Y17,OFFSET([3]characters!$A$1,0,0,COUNTA([3]characters!$A:$A),MATCH(AB$1,[3]characters!$2:$2,0)-MATCH("character_id",[3]characters!$2:$2,0)+1),MATCH(AB$1,[3]characters!$2:$2,0)-MATCH("character_id",[3]characters!$2:$2,0)+1,FALSE),"")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" s="27">
        <v>1</v>
      </c>
      <c r="AD17" s="33">
        <f t="shared" ca="1" si="3"/>
        <v>3</v>
      </c>
      <c r="AE17" s="7">
        <v>100</v>
      </c>
      <c r="AF17" s="27">
        <v>0</v>
      </c>
      <c r="AG17" s="27">
        <v>0</v>
      </c>
      <c r="AH17" s="27">
        <v>0</v>
      </c>
      <c r="AI17" s="27">
        <v>0</v>
      </c>
      <c r="AJ17" s="27">
        <v>1</v>
      </c>
    </row>
    <row r="18" spans="1:36" ht="21" customHeight="1">
      <c r="A18" s="17" t="str">
        <f t="shared" ca="1" si="0"/>
        <v>11208_2-1/51&lt;lv32&gt;s2</v>
      </c>
      <c r="B18" s="27">
        <v>11208</v>
      </c>
      <c r="C18" s="30">
        <v>2</v>
      </c>
      <c r="D18" s="16" t="str">
        <f t="shared" si="1"/>
        <v>11208_2</v>
      </c>
      <c r="E18" s="4" t="str">
        <f ca="1">VLOOKUP($B18,OFFSET([1]quests!$A$1,0,0,COUNTA([1]quests!$A:$A),MATCH(E$1,[1]quests!$1:$1,0)-MATCH($B$1,[1]quests!$1:$1,0)+1),MATCH(E$1,[1]quests!$1:$1,0)-MATCH($B$1,[1]quests!$1:$1,0)+1,FALSE)</f>
        <v>果実達の大宴会</v>
      </c>
      <c r="F18" s="4" t="str">
        <f ca="1">VLOOKUP($D18,OFFSET([1]stages!$A$1,0,0,COUNTA([1]stages!$A:$A),MATCH(F$1,[1]stages!$2:$2,0)-MATCH($D$1,[1]stages!$2:$2,0)+1),MATCH(F$1,[1]stages!$2:$2,0)-MATCH($D$1,[1]stages!$2:$2,0)+1,FALSE)</f>
        <v>果実達の大宴会【超級】</v>
      </c>
      <c r="G18" s="28">
        <v>1</v>
      </c>
      <c r="H18" s="16" t="str">
        <f t="shared" si="2"/>
        <v>11208_2-1</v>
      </c>
      <c r="I18" s="32">
        <v>51</v>
      </c>
      <c r="J18" s="20" t="str">
        <f ca="1">VLOOKUP($I18,OFFSET([2]enemies!$A$1,0,0,COUNTA([2]enemies!$A:$A),MATCH(J$1,[2]enemies!$2:$2,0)-MATCH($I$1,[2]enemies!$2:$2,0)+1),MATCH(J$1,[2]enemies!$2:$2,0)-MATCH($I$1,[2]enemies!$2:$2,0)+1,FALSE)</f>
        <v>マイ</v>
      </c>
      <c r="K18" s="22" t="str">
        <f ca="1">VLOOKUP($I18,OFFSET([2]enemies!$A$1,0,0,COUNTA([2]enemies!$A:$A),MATCH(K$1,[2]enemies!$2:$2,0)-MATCH($I$1,[2]enemies!$2:$2,0)+1),MATCH(K$1,[2]enemies!$2:$2,0)-MATCH($I$1,[2]enemies!$2:$2,0)+1,FALSE)</f>
        <v>green</v>
      </c>
      <c r="L18" s="22" t="str">
        <f ca="1">VLOOKUP($I18,OFFSET([3]characters!$A$1,0,0,COUNTA([3]characters!$A:$A),MATCH(L$1,[3]characters!$2:$2,0)-MATCH($I$1,[3]characters!$2:$2,0)+1),MATCH(L$1,[3]characters!$2:$2,0)-MATCH($I$1,[3]characters!$2:$2,0)+1,FALSE)</f>
        <v>Drop1N</v>
      </c>
      <c r="M18" s="21" t="str">
        <f ca="1">VLOOKUP($I18,OFFSET([3]characters!$A$1,0,0,COUNTA([3]characters!$A:$A),MATCH(M$1,[3]characters!$2:$2,0)-MATCH($I$1,[3]characters!$2:$2,0)+2),MATCH(M$1,[3]characters!$2:$2,0)-MATCH($I$1,[3]characters!$2:$2,0)+2,FALSE)</f>
        <v>ヒューマン</v>
      </c>
      <c r="N18" s="4">
        <f ca="1">VLOOKUP($I18,OFFSET([2]enemies!$A$1,0,0,COUNTA([2]enemies!$A:$A),MATCH(N$1,[2]enemies!$2:$2,0)-MATCH($I$1,[2]enemies!$2:$2,0)+1),MATCH(N$1,[2]enemies!$2:$2,0)-MATCH($I$1,[2]enemies!$2:$2,0)+1,FALSE)</f>
        <v>15</v>
      </c>
      <c r="O18" s="5">
        <v>32</v>
      </c>
      <c r="P18" s="25">
        <v>0.4</v>
      </c>
      <c r="Q18" s="25">
        <v>1</v>
      </c>
      <c r="R18" s="5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8" s="4">
        <f ca="1">VLOOKUP($I18,OFFSET([2]enemies!$A$1,0,0,COUNTA([2]enemies!$A:$A),MATCH(T$1,[2]enemies!$2:$2,0)-MATCH($I$1,[2]enemies!$2:$2,0)+1),MATCH(T$1,[2]enemies!$2:$2,0)-MATCH($I$1,[2]enemies!$2:$2,0)+1,FALSE)</f>
        <v>51</v>
      </c>
      <c r="U18" s="6">
        <v>1</v>
      </c>
      <c r="V18" s="6">
        <v>0</v>
      </c>
      <c r="W18" s="6">
        <v>1</v>
      </c>
      <c r="X18" s="20">
        <f ca="1">VLOOKUP($I18,OFFSET([2]enemies!$A$1,0,0,COUNTA([2]enemies!$A:$A),MATCH(X$1,[2]enemies!$2:$2,0)-MATCH($I$1,[2]enemies!$2:$2,0)+1),MATCH(X$1,[2]enemies!$2:$2,0)-MATCH($I$1,[2]enemies!$2:$2,0)+1,FALSE)</f>
        <v>2</v>
      </c>
      <c r="Y18" s="32">
        <v>121</v>
      </c>
      <c r="Z18" s="4" t="str">
        <f ca="1">IFERROR(VLOOKUP($Y18,OFFSET([3]characters!$A$1,0,0,COUNTA([3]characters!$A:$A),MATCH(Z$1,[3]characters!$2:$2,0)-MATCH("character_id",[3]characters!$2:$2,0)+1),MATCH(Z$1,[3]characters!$2:$2,0)-MATCH("character_id",[3]characters!$2:$2,0)+1,FALSE),"")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18" s="4">
        <f ca="1">IFERROR(VLOOKUP($Y18,OFFSET([3]characters!$A$1,0,0,COUNTA([3]characters!$A:$A),MATCH(AA$1,[3]characters!$2:$2,0)-MATCH("character_id",[3]characters!$2:$2,0)+1),MATCH(AA$1,[3]characters!$2:$2,0)-MATCH("character_id",[3]characters!$2:$2,0)+1,FALSE),"")</f>
        <v>3</v>
      </c>
      <c r="AB18" s="4" t="str">
        <f ca="1">IFERROR(VLOOKUP($Y18,OFFSET([3]characters!$A$1,0,0,COUNTA([3]characters!$A:$A),MATCH(AB$1,[3]characters!$2:$2,0)-MATCH("character_id",[3]characters!$2:$2,0)+1),MATCH(AB$1,[3]characters!$2:$2,0)-MATCH("character_id",[3]characters!$2:$2,0)+1,FALSE),"")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8" s="27">
        <v>1</v>
      </c>
      <c r="AD18" s="33">
        <f t="shared" ca="1" si="3"/>
        <v>3</v>
      </c>
      <c r="AE18" s="7">
        <v>0</v>
      </c>
      <c r="AF18" s="27">
        <v>0</v>
      </c>
      <c r="AG18" s="27">
        <v>0</v>
      </c>
      <c r="AH18" s="27">
        <v>0</v>
      </c>
      <c r="AI18" s="27">
        <v>0</v>
      </c>
      <c r="AJ18" s="27">
        <v>1</v>
      </c>
    </row>
    <row r="19" spans="1:36" ht="21" customHeight="1">
      <c r="A19" s="17" t="str">
        <f t="shared" ca="1" si="0"/>
        <v>11208_2-1/121&lt;lv32&gt;s1</v>
      </c>
      <c r="B19" s="27">
        <v>11208</v>
      </c>
      <c r="C19" s="30">
        <v>2</v>
      </c>
      <c r="D19" s="16" t="str">
        <f t="shared" si="1"/>
        <v>11208_2</v>
      </c>
      <c r="E19" s="4" t="str">
        <f ca="1">VLOOKUP($B19,OFFSET([1]quests!$A$1,0,0,COUNTA([1]quests!$A:$A),MATCH(E$1,[1]quests!$1:$1,0)-MATCH($B$1,[1]quests!$1:$1,0)+1),MATCH(E$1,[1]quests!$1:$1,0)-MATCH($B$1,[1]quests!$1:$1,0)+1,FALSE)</f>
        <v>果実達の大宴会</v>
      </c>
      <c r="F19" s="4" t="str">
        <f ca="1">VLOOKUP($D19,OFFSET([1]stages!$A$1,0,0,COUNTA([1]stages!$A:$A),MATCH(F$1,[1]stages!$2:$2,0)-MATCH($D$1,[1]stages!$2:$2,0)+1),MATCH(F$1,[1]stages!$2:$2,0)-MATCH($D$1,[1]stages!$2:$2,0)+1,FALSE)</f>
        <v>果実達の大宴会【超級】</v>
      </c>
      <c r="G19" s="28">
        <v>1</v>
      </c>
      <c r="H19" s="16" t="str">
        <f t="shared" si="2"/>
        <v>11208_2-1</v>
      </c>
      <c r="I19" s="32">
        <v>121</v>
      </c>
      <c r="J19" s="20" t="str">
        <f ca="1">VLOOKUP($I19,OFFSET([2]enemies!$A$1,0,0,COUNTA([2]enemies!$A:$A),MATCH(J$1,[2]enemies!$2:$2,0)-MATCH($I$1,[2]enemies!$2:$2,0)+1),MATCH(J$1,[2]enemies!$2:$2,0)-MATCH($I$1,[2]enemies!$2:$2,0)+1,FALSE)</f>
        <v>攻めの果実</v>
      </c>
      <c r="K19" s="22" t="str">
        <f ca="1">VLOOKUP($I19,OFFSET([2]enemies!$A$1,0,0,COUNTA([2]enemies!$A:$A),MATCH(K$1,[2]enemies!$2:$2,0)-MATCH($I$1,[2]enemies!$2:$2,0)+1),MATCH(K$1,[2]enemies!$2:$2,0)-MATCH($I$1,[2]enemies!$2:$2,0)+1,FALSE)</f>
        <v>red</v>
      </c>
      <c r="L19" s="22" t="str">
        <f ca="1">VLOOKUP($I19,OFFSET([3]characters!$A$1,0,0,COUNTA([3]characters!$A:$A),MATCH(L$1,[3]characters!$2:$2,0)-MATCH($I$1,[3]characters!$2:$2,0)+1),MATCH(L$1,[3]characters!$2:$2,0)-MATCH($I$1,[3]characters!$2:$2,0)+1,FALSE)</f>
        <v>Material</v>
      </c>
      <c r="M19" s="21" t="str">
        <f ca="1">VLOOKUP($I19,OFFSET([3]characters!$A$1,0,0,COUNTA([3]characters!$A:$A),MATCH(M$1,[3]characters!$2:$2,0)-MATCH($I$1,[3]characters!$2:$2,0)+2),MATCH(M$1,[3]characters!$2:$2,0)-MATCH($I$1,[3]characters!$2:$2,0)+2,FALSE)</f>
        <v>Unknown</v>
      </c>
      <c r="N19" s="4">
        <f ca="1">VLOOKUP($I19,OFFSET([2]enemies!$A$1,0,0,COUNTA([2]enemies!$A:$A),MATCH(N$1,[2]enemies!$2:$2,0)-MATCH($I$1,[2]enemies!$2:$2,0)+1),MATCH(N$1,[2]enemies!$2:$2,0)-MATCH($I$1,[2]enemies!$2:$2,0)+1,FALSE)</f>
        <v>20</v>
      </c>
      <c r="O19" s="5">
        <v>32</v>
      </c>
      <c r="P19" s="25">
        <v>0.4</v>
      </c>
      <c r="Q19" s="25">
        <v>1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4">
        <f ca="1">VLOOKUP($I19,OFFSET([2]enemies!$A$1,0,0,COUNTA([2]enemies!$A:$A),MATCH(T$1,[2]enemies!$2:$2,0)-MATCH($I$1,[2]enemies!$2:$2,0)+1),MATCH(T$1,[2]enemies!$2:$2,0)-MATCH($I$1,[2]enemies!$2:$2,0)+1,FALSE)</f>
        <v>0</v>
      </c>
      <c r="U19" s="6">
        <v>0</v>
      </c>
      <c r="V19" s="6">
        <v>100</v>
      </c>
      <c r="W19" s="6">
        <v>0</v>
      </c>
      <c r="X19" s="20">
        <f ca="1">VLOOKUP($I19,OFFSET([2]enemies!$A$1,0,0,COUNTA([2]enemies!$A:$A),MATCH(X$1,[2]enemies!$2:$2,0)-MATCH($I$1,[2]enemies!$2:$2,0)+1),MATCH(X$1,[2]enemies!$2:$2,0)-MATCH($I$1,[2]enemies!$2:$2,0)+1,FALSE)</f>
        <v>1</v>
      </c>
      <c r="Y19" s="32">
        <v>121</v>
      </c>
      <c r="Z19" s="4" t="str">
        <f ca="1">IFERROR(VLOOKUP($Y19,OFFSET([3]characters!$A$1,0,0,COUNTA([3]characters!$A:$A),MATCH(Z$1,[3]characters!$2:$2,0)-MATCH("character_id",[3]characters!$2:$2,0)+1),MATCH(Z$1,[3]characters!$2:$2,0)-MATCH("character_id",[3]characters!$2:$2,0)+1,FALSE),"")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19" s="4">
        <f ca="1">IFERROR(VLOOKUP($Y19,OFFSET([3]characters!$A$1,0,0,COUNTA([3]characters!$A:$A),MATCH(AA$1,[3]characters!$2:$2,0)-MATCH("character_id",[3]characters!$2:$2,0)+1),MATCH(AA$1,[3]characters!$2:$2,0)-MATCH("character_id",[3]characters!$2:$2,0)+1,FALSE),"")</f>
        <v>3</v>
      </c>
      <c r="AB19" s="4" t="str">
        <f ca="1">IFERROR(VLOOKUP($Y19,OFFSET([3]characters!$A$1,0,0,COUNTA([3]characters!$A:$A),MATCH(AB$1,[3]characters!$2:$2,0)-MATCH("character_id",[3]characters!$2:$2,0)+1),MATCH(AB$1,[3]characters!$2:$2,0)-MATCH("character_id",[3]characters!$2:$2,0)+1,FALSE),"")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9" s="27">
        <v>1</v>
      </c>
      <c r="AD19" s="33">
        <f t="shared" ca="1" si="3"/>
        <v>3</v>
      </c>
      <c r="AE19" s="7">
        <v>100</v>
      </c>
      <c r="AF19" s="27">
        <v>0</v>
      </c>
      <c r="AG19" s="27">
        <v>0</v>
      </c>
      <c r="AH19" s="27">
        <v>0</v>
      </c>
      <c r="AI19" s="27">
        <v>0</v>
      </c>
      <c r="AJ19" s="27">
        <v>1</v>
      </c>
    </row>
    <row r="20" spans="1:36" ht="21" customHeight="1">
      <c r="A20" s="17" t="str">
        <f t="shared" si="0"/>
        <v>11208_2-1/122&lt;lv32&gt;s1</v>
      </c>
      <c r="B20" s="27">
        <v>11208</v>
      </c>
      <c r="C20" s="30">
        <v>2</v>
      </c>
      <c r="D20" s="16" t="str">
        <f t="shared" si="1"/>
        <v>11208_2</v>
      </c>
      <c r="E20" s="4" t="str">
        <f ca="1">VLOOKUP($B20,OFFSET([1]quests!$A$1,0,0,COUNTA([1]quests!$A:$A),MATCH(E$1,[1]quests!$1:$1,0)-MATCH($B$1,[1]quests!$1:$1,0)+1),MATCH(E$1,[1]quests!$1:$1,0)-MATCH($B$1,[1]quests!$1:$1,0)+1,FALSE)</f>
        <v>果実達の大宴会</v>
      </c>
      <c r="F20" s="4" t="str">
        <f ca="1">VLOOKUP($D20,OFFSET([1]stages!$A$1,0,0,COUNTA([1]stages!$A:$A),MATCH(F$1,[1]stages!$2:$2,0)-MATCH($D$1,[1]stages!$2:$2,0)+1),MATCH(F$1,[1]stages!$2:$2,0)-MATCH($D$1,[1]stages!$2:$2,0)+1,FALSE)</f>
        <v>果実達の大宴会【超級】</v>
      </c>
      <c r="G20" s="28">
        <v>1</v>
      </c>
      <c r="H20" s="16" t="str">
        <f t="shared" si="2"/>
        <v>11208_2-1</v>
      </c>
      <c r="I20" s="32">
        <v>122</v>
      </c>
      <c r="J20" s="20" t="str">
        <f ca="1">VLOOKUP($I20,OFFSET([2]enemies!$A$1,0,0,COUNTA([2]enemies!$A:$A),MATCH(J$1,[2]enemies!$2:$2,0)-MATCH($I$1,[2]enemies!$2:$2,0)+1),MATCH(J$1,[2]enemies!$2:$2,0)-MATCH($I$1,[2]enemies!$2:$2,0)+1,FALSE)</f>
        <v>生命の果実</v>
      </c>
      <c r="K20" s="22" t="str">
        <f ca="1">VLOOKUP($I20,OFFSET([2]enemies!$A$1,0,0,COUNTA([2]enemies!$A:$A),MATCH(K$1,[2]enemies!$2:$2,0)-MATCH($I$1,[2]enemies!$2:$2,0)+1),MATCH(K$1,[2]enemies!$2:$2,0)-MATCH($I$1,[2]enemies!$2:$2,0)+1,FALSE)</f>
        <v>green</v>
      </c>
      <c r="L20" s="22" t="str">
        <f ca="1">VLOOKUP($I20,OFFSET([3]characters!$A$1,0,0,COUNTA([3]characters!$A:$A),MATCH(L$1,[3]characters!$2:$2,0)-MATCH($I$1,[3]characters!$2:$2,0)+1),MATCH(L$1,[3]characters!$2:$2,0)-MATCH($I$1,[3]characters!$2:$2,0)+1,FALSE)</f>
        <v>Material</v>
      </c>
      <c r="M20" s="21" t="str">
        <f ca="1">VLOOKUP($I20,OFFSET([3]characters!$A$1,0,0,COUNTA([3]characters!$A:$A),MATCH(M$1,[3]characters!$2:$2,0)-MATCH($I$1,[3]characters!$2:$2,0)+2),MATCH(M$1,[3]characters!$2:$2,0)-MATCH($I$1,[3]characters!$2:$2,0)+2,FALSE)</f>
        <v>Unknown</v>
      </c>
      <c r="N20" s="4">
        <f ca="1">VLOOKUP($I20,OFFSET([2]enemies!$A$1,0,0,COUNTA([2]enemies!$A:$A),MATCH(N$1,[2]enemies!$2:$2,0)-MATCH($I$1,[2]enemies!$2:$2,0)+1),MATCH(N$1,[2]enemies!$2:$2,0)-MATCH($I$1,[2]enemies!$2:$2,0)+1,FALSE)</f>
        <v>20</v>
      </c>
      <c r="O20" s="5">
        <v>32</v>
      </c>
      <c r="P20" s="25">
        <v>0.4</v>
      </c>
      <c r="Q20" s="25">
        <v>1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4">
        <f ca="1">VLOOKUP($I20,OFFSET([2]enemies!$A$1,0,0,COUNTA([2]enemies!$A:$A),MATCH(T$1,[2]enemies!$2:$2,0)-MATCH($I$1,[2]enemies!$2:$2,0)+1),MATCH(T$1,[2]enemies!$2:$2,0)-MATCH($I$1,[2]enemies!$2:$2,0)+1,FALSE)</f>
        <v>0</v>
      </c>
      <c r="U20" s="6">
        <v>0</v>
      </c>
      <c r="V20" s="6">
        <v>100</v>
      </c>
      <c r="W20" s="6">
        <v>0</v>
      </c>
      <c r="X20" s="20">
        <v>1</v>
      </c>
      <c r="Y20" s="32">
        <v>122</v>
      </c>
      <c r="Z20" s="4" t="str">
        <f ca="1">IFERROR(VLOOKUP($Y20,OFFSET([3]characters!$A$1,0,0,COUNTA([3]characters!$A:$A),MATCH(Z$1,[3]characters!$2:$2,0)-MATCH("character_id",[3]characters!$2:$2,0)+1),MATCH(Z$1,[3]characters!$2:$2,0)-MATCH("character_id",[3]characters!$2:$2,0)+1,FALSE),"")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20" s="4">
        <f ca="1">IFERROR(VLOOKUP($Y20,OFFSET([3]characters!$A$1,0,0,COUNTA([3]characters!$A:$A),MATCH(AA$1,[3]characters!$2:$2,0)-MATCH("character_id",[3]characters!$2:$2,0)+1),MATCH(AA$1,[3]characters!$2:$2,0)-MATCH("character_id",[3]characters!$2:$2,0)+1,FALSE),"")</f>
        <v>3</v>
      </c>
      <c r="AB20" s="4" t="str">
        <f ca="1">IFERROR(VLOOKUP($Y20,OFFSET([3]characters!$A$1,0,0,COUNTA([3]characters!$A:$A),MATCH(AB$1,[3]characters!$2:$2,0)-MATCH("character_id",[3]characters!$2:$2,0)+1),MATCH(AB$1,[3]characters!$2:$2,0)-MATCH("character_id",[3]characters!$2:$2,0)+1,FALSE),"")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0" s="27">
        <v>1</v>
      </c>
      <c r="AD20" s="33">
        <f t="shared" ca="1" si="3"/>
        <v>3</v>
      </c>
      <c r="AE20" s="7">
        <v>100</v>
      </c>
      <c r="AF20" s="27">
        <v>0</v>
      </c>
      <c r="AG20" s="27">
        <v>0</v>
      </c>
      <c r="AH20" s="27">
        <v>0</v>
      </c>
      <c r="AI20" s="27">
        <v>0</v>
      </c>
      <c r="AJ20" s="27">
        <v>1</v>
      </c>
    </row>
    <row r="21" spans="1:36" ht="21" customHeight="1">
      <c r="A21" s="17" t="str">
        <f t="shared" si="0"/>
        <v>11208_2-1/123&lt;lv32&gt;s1</v>
      </c>
      <c r="B21" s="27">
        <v>11208</v>
      </c>
      <c r="C21" s="30">
        <v>2</v>
      </c>
      <c r="D21" s="16" t="str">
        <f t="shared" si="1"/>
        <v>11208_2</v>
      </c>
      <c r="E21" s="4" t="str">
        <f ca="1">VLOOKUP($B21,OFFSET([1]quests!$A$1,0,0,COUNTA([1]quests!$A:$A),MATCH(E$1,[1]quests!$1:$1,0)-MATCH($B$1,[1]quests!$1:$1,0)+1),MATCH(E$1,[1]quests!$1:$1,0)-MATCH($B$1,[1]quests!$1:$1,0)+1,FALSE)</f>
        <v>果実達の大宴会</v>
      </c>
      <c r="F21" s="4" t="str">
        <f ca="1">VLOOKUP($D21,OFFSET([1]stages!$A$1,0,0,COUNTA([1]stages!$A:$A),MATCH(F$1,[1]stages!$2:$2,0)-MATCH($D$1,[1]stages!$2:$2,0)+1),MATCH(F$1,[1]stages!$2:$2,0)-MATCH($D$1,[1]stages!$2:$2,0)+1,FALSE)</f>
        <v>果実達の大宴会【超級】</v>
      </c>
      <c r="G21" s="28">
        <v>1</v>
      </c>
      <c r="H21" s="16" t="str">
        <f t="shared" si="2"/>
        <v>11208_2-1</v>
      </c>
      <c r="I21" s="32">
        <v>123</v>
      </c>
      <c r="J21" s="20" t="str">
        <f ca="1">VLOOKUP($I21,OFFSET([2]enemies!$A$1,0,0,COUNTA([2]enemies!$A:$A),MATCH(J$1,[2]enemies!$2:$2,0)-MATCH($I$1,[2]enemies!$2:$2,0)+1),MATCH(J$1,[2]enemies!$2:$2,0)-MATCH($I$1,[2]enemies!$2:$2,0)+1,FALSE)</f>
        <v>癒しの果実</v>
      </c>
      <c r="K21" s="22" t="str">
        <f ca="1">VLOOKUP($I21,OFFSET([2]enemies!$A$1,0,0,COUNTA([2]enemies!$A:$A),MATCH(K$1,[2]enemies!$2:$2,0)-MATCH($I$1,[2]enemies!$2:$2,0)+1),MATCH(K$1,[2]enemies!$2:$2,0)-MATCH($I$1,[2]enemies!$2:$2,0)+1,FALSE)</f>
        <v>blue</v>
      </c>
      <c r="L21" s="22" t="str">
        <f ca="1">VLOOKUP($I21,OFFSET([3]characters!$A$1,0,0,COUNTA([3]characters!$A:$A),MATCH(L$1,[3]characters!$2:$2,0)-MATCH($I$1,[3]characters!$2:$2,0)+1),MATCH(L$1,[3]characters!$2:$2,0)-MATCH($I$1,[3]characters!$2:$2,0)+1,FALSE)</f>
        <v>Material</v>
      </c>
      <c r="M21" s="21" t="str">
        <f ca="1">VLOOKUP($I21,OFFSET([3]characters!$A$1,0,0,COUNTA([3]characters!$A:$A),MATCH(M$1,[3]characters!$2:$2,0)-MATCH($I$1,[3]characters!$2:$2,0)+2),MATCH(M$1,[3]characters!$2:$2,0)-MATCH($I$1,[3]characters!$2:$2,0)+2,FALSE)</f>
        <v>Unknown</v>
      </c>
      <c r="N21" s="4">
        <f ca="1">VLOOKUP($I21,OFFSET([2]enemies!$A$1,0,0,COUNTA([2]enemies!$A:$A),MATCH(N$1,[2]enemies!$2:$2,0)-MATCH($I$1,[2]enemies!$2:$2,0)+1),MATCH(N$1,[2]enemies!$2:$2,0)-MATCH($I$1,[2]enemies!$2:$2,0)+1,FALSE)</f>
        <v>20</v>
      </c>
      <c r="O21" s="5">
        <v>32</v>
      </c>
      <c r="P21" s="25">
        <v>0.4</v>
      </c>
      <c r="Q21" s="25">
        <v>1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4">
        <f ca="1">VLOOKUP($I21,OFFSET([2]enemies!$A$1,0,0,COUNTA([2]enemies!$A:$A),MATCH(T$1,[2]enemies!$2:$2,0)-MATCH($I$1,[2]enemies!$2:$2,0)+1),MATCH(T$1,[2]enemies!$2:$2,0)-MATCH($I$1,[2]enemies!$2:$2,0)+1,FALSE)</f>
        <v>0</v>
      </c>
      <c r="U21" s="6">
        <v>0</v>
      </c>
      <c r="V21" s="6">
        <v>100</v>
      </c>
      <c r="W21" s="6">
        <v>0</v>
      </c>
      <c r="X21" s="20">
        <v>1</v>
      </c>
      <c r="Y21" s="32">
        <v>123</v>
      </c>
      <c r="Z21" s="4" t="str">
        <f ca="1">IFERROR(VLOOKUP($Y21,OFFSET([3]characters!$A$1,0,0,COUNTA([3]characters!$A:$A),MATCH(Z$1,[3]characters!$2:$2,0)-MATCH("character_id",[3]characters!$2:$2,0)+1),MATCH(Z$1,[3]characters!$2:$2,0)-MATCH("character_id",[3]characters!$2:$2,0)+1,FALSE),"")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21" s="4">
        <f ca="1">IFERROR(VLOOKUP($Y21,OFFSET([3]characters!$A$1,0,0,COUNTA([3]characters!$A:$A),MATCH(AA$1,[3]characters!$2:$2,0)-MATCH("character_id",[3]characters!$2:$2,0)+1),MATCH(AA$1,[3]characters!$2:$2,0)-MATCH("character_id",[3]characters!$2:$2,0)+1,FALSE),"")</f>
        <v>3</v>
      </c>
      <c r="AB21" s="4" t="str">
        <f ca="1">IFERROR(VLOOKUP($Y21,OFFSET([3]characters!$A$1,0,0,COUNTA([3]characters!$A:$A),MATCH(AB$1,[3]characters!$2:$2,0)-MATCH("character_id",[3]characters!$2:$2,0)+1),MATCH(AB$1,[3]characters!$2:$2,0)-MATCH("character_id",[3]characters!$2:$2,0)+1,FALSE),"")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1" s="27">
        <v>1</v>
      </c>
      <c r="AD21" s="33">
        <f t="shared" ca="1" si="3"/>
        <v>3</v>
      </c>
      <c r="AE21" s="7">
        <v>100</v>
      </c>
      <c r="AF21" s="27">
        <v>0</v>
      </c>
      <c r="AG21" s="27">
        <v>0</v>
      </c>
      <c r="AH21" s="27">
        <v>0</v>
      </c>
      <c r="AI21" s="27">
        <v>0</v>
      </c>
      <c r="AJ21" s="27">
        <v>1</v>
      </c>
    </row>
    <row r="22" spans="1:36" ht="21" customHeight="1">
      <c r="A22" s="17" t="str">
        <f t="shared" ca="1" si="0"/>
        <v>11208_2-2/53&lt;lv32&gt;s2</v>
      </c>
      <c r="B22" s="27">
        <v>11208</v>
      </c>
      <c r="C22" s="30">
        <v>2</v>
      </c>
      <c r="D22" s="16" t="str">
        <f t="shared" si="1"/>
        <v>11208_2</v>
      </c>
      <c r="E22" s="4" t="str">
        <f ca="1">VLOOKUP($B22,OFFSET([1]quests!$A$1,0,0,COUNTA([1]quests!$A:$A),MATCH(E$1,[1]quests!$1:$1,0)-MATCH($B$1,[1]quests!$1:$1,0)+1),MATCH(E$1,[1]quests!$1:$1,0)-MATCH($B$1,[1]quests!$1:$1,0)+1,FALSE)</f>
        <v>果実達の大宴会</v>
      </c>
      <c r="F22" s="4" t="str">
        <f ca="1">VLOOKUP($D22,OFFSET([1]stages!$A$1,0,0,COUNTA([1]stages!$A:$A),MATCH(F$1,[1]stages!$2:$2,0)-MATCH($D$1,[1]stages!$2:$2,0)+1),MATCH(F$1,[1]stages!$2:$2,0)-MATCH($D$1,[1]stages!$2:$2,0)+1,FALSE)</f>
        <v>果実達の大宴会【超級】</v>
      </c>
      <c r="G22" s="31">
        <v>2</v>
      </c>
      <c r="H22" s="16" t="str">
        <f t="shared" si="2"/>
        <v>11208_2-2</v>
      </c>
      <c r="I22" s="32">
        <v>53</v>
      </c>
      <c r="J22" s="20" t="str">
        <f ca="1">VLOOKUP($I22,OFFSET([2]enemies!$A$1,0,0,COUNTA([2]enemies!$A:$A),MATCH(J$1,[2]enemies!$2:$2,0)-MATCH($I$1,[2]enemies!$2:$2,0)+1),MATCH(J$1,[2]enemies!$2:$2,0)-MATCH($I$1,[2]enemies!$2:$2,0)+1,FALSE)</f>
        <v>ケンジ</v>
      </c>
      <c r="K22" s="22" t="str">
        <f ca="1">VLOOKUP($I22,OFFSET([2]enemies!$A$1,0,0,COUNTA([2]enemies!$A:$A),MATCH(K$1,[2]enemies!$2:$2,0)-MATCH($I$1,[2]enemies!$2:$2,0)+1),MATCH(K$1,[2]enemies!$2:$2,0)-MATCH($I$1,[2]enemies!$2:$2,0)+1,FALSE)</f>
        <v>blue</v>
      </c>
      <c r="L22" s="22" t="str">
        <f ca="1">VLOOKUP($I22,OFFSET([3]characters!$A$1,0,0,COUNTA([3]characters!$A:$A),MATCH(L$1,[3]characters!$2:$2,0)-MATCH($I$1,[3]characters!$2:$2,0)+1),MATCH(L$1,[3]characters!$2:$2,0)-MATCH($I$1,[3]characters!$2:$2,0)+1,FALSE)</f>
        <v>Drop1N</v>
      </c>
      <c r="M22" s="21" t="str">
        <f ca="1">VLOOKUP($I22,OFFSET([3]characters!$A$1,0,0,COUNTA([3]characters!$A:$A),MATCH(M$1,[3]characters!$2:$2,0)-MATCH($I$1,[3]characters!$2:$2,0)+2),MATCH(M$1,[3]characters!$2:$2,0)-MATCH($I$1,[3]characters!$2:$2,0)+2,FALSE)</f>
        <v>ヒューマン</v>
      </c>
      <c r="N22" s="4">
        <f ca="1">VLOOKUP($I22,OFFSET([2]enemies!$A$1,0,0,COUNTA([2]enemies!$A:$A),MATCH(N$1,[2]enemies!$2:$2,0)-MATCH($I$1,[2]enemies!$2:$2,0)+1),MATCH(N$1,[2]enemies!$2:$2,0)-MATCH($I$1,[2]enemies!$2:$2,0)+1,FALSE)</f>
        <v>15</v>
      </c>
      <c r="O22" s="5">
        <v>32</v>
      </c>
      <c r="P22" s="25">
        <v>0.4</v>
      </c>
      <c r="Q22" s="25">
        <v>1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22" s="4">
        <f ca="1">VLOOKUP($I22,OFFSET([2]enemies!$A$1,0,0,COUNTA([2]enemies!$A:$A),MATCH(T$1,[2]enemies!$2:$2,0)-MATCH($I$1,[2]enemies!$2:$2,0)+1),MATCH(T$1,[2]enemies!$2:$2,0)-MATCH($I$1,[2]enemies!$2:$2,0)+1,FALSE)</f>
        <v>53</v>
      </c>
      <c r="U22" s="6">
        <v>1</v>
      </c>
      <c r="V22" s="6">
        <v>0</v>
      </c>
      <c r="W22" s="6">
        <v>1</v>
      </c>
      <c r="X22" s="20">
        <f ca="1">VLOOKUP($I22,OFFSET([2]enemies!$A$1,0,0,COUNTA([2]enemies!$A:$A),MATCH(X$1,[2]enemies!$2:$2,0)-MATCH($I$1,[2]enemies!$2:$2,0)+1),MATCH(X$1,[2]enemies!$2:$2,0)-MATCH($I$1,[2]enemies!$2:$2,0)+1,FALSE)</f>
        <v>2</v>
      </c>
      <c r="Y22" s="32">
        <v>121</v>
      </c>
      <c r="Z22" s="4" t="str">
        <f ca="1">IFERROR(VLOOKUP($Y22,OFFSET([3]characters!$A$1,0,0,COUNTA([3]characters!$A:$A),MATCH(Z$1,[3]characters!$2:$2,0)-MATCH("character_id",[3]characters!$2:$2,0)+1),MATCH(Z$1,[3]characters!$2:$2,0)-MATCH("character_id",[3]characters!$2:$2,0)+1,FALSE),"")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22" s="4">
        <f ca="1">IFERROR(VLOOKUP($Y22,OFFSET([3]characters!$A$1,0,0,COUNTA([3]characters!$A:$A),MATCH(AA$1,[3]characters!$2:$2,0)-MATCH("character_id",[3]characters!$2:$2,0)+1),MATCH(AA$1,[3]characters!$2:$2,0)-MATCH("character_id",[3]characters!$2:$2,0)+1,FALSE),"")</f>
        <v>3</v>
      </c>
      <c r="AB22" s="4" t="str">
        <f ca="1">IFERROR(VLOOKUP($Y22,OFFSET([3]characters!$A$1,0,0,COUNTA([3]characters!$A:$A),MATCH(AB$1,[3]characters!$2:$2,0)-MATCH("character_id",[3]characters!$2:$2,0)+1),MATCH(AB$1,[3]characters!$2:$2,0)-MATCH("character_id",[3]characters!$2:$2,0)+1,FALSE),"")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2" s="27">
        <v>1</v>
      </c>
      <c r="AD22" s="33">
        <f t="shared" ca="1" si="3"/>
        <v>3</v>
      </c>
      <c r="AE22" s="7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1</v>
      </c>
    </row>
    <row r="23" spans="1:36" ht="21" customHeight="1">
      <c r="A23" s="17" t="str">
        <f t="shared" ca="1" si="0"/>
        <v>11208_2-2/121&lt;lv32&gt;s1</v>
      </c>
      <c r="B23" s="27">
        <v>11208</v>
      </c>
      <c r="C23" s="30">
        <v>2</v>
      </c>
      <c r="D23" s="16" t="str">
        <f t="shared" si="1"/>
        <v>11208_2</v>
      </c>
      <c r="E23" s="4" t="str">
        <f ca="1">VLOOKUP($B23,OFFSET([1]quests!$A$1,0,0,COUNTA([1]quests!$A:$A),MATCH(E$1,[1]quests!$1:$1,0)-MATCH($B$1,[1]quests!$1:$1,0)+1),MATCH(E$1,[1]quests!$1:$1,0)-MATCH($B$1,[1]quests!$1:$1,0)+1,FALSE)</f>
        <v>果実達の大宴会</v>
      </c>
      <c r="F23" s="4" t="str">
        <f ca="1">VLOOKUP($D23,OFFSET([1]stages!$A$1,0,0,COUNTA([1]stages!$A:$A),MATCH(F$1,[1]stages!$2:$2,0)-MATCH($D$1,[1]stages!$2:$2,0)+1),MATCH(F$1,[1]stages!$2:$2,0)-MATCH($D$1,[1]stages!$2:$2,0)+1,FALSE)</f>
        <v>果実達の大宴会【超級】</v>
      </c>
      <c r="G23" s="31">
        <v>2</v>
      </c>
      <c r="H23" s="16" t="str">
        <f t="shared" si="2"/>
        <v>11208_2-2</v>
      </c>
      <c r="I23" s="32">
        <v>121</v>
      </c>
      <c r="J23" s="20" t="str">
        <f ca="1">VLOOKUP($I23,OFFSET([2]enemies!$A$1,0,0,COUNTA([2]enemies!$A:$A),MATCH(J$1,[2]enemies!$2:$2,0)-MATCH($I$1,[2]enemies!$2:$2,0)+1),MATCH(J$1,[2]enemies!$2:$2,0)-MATCH($I$1,[2]enemies!$2:$2,0)+1,FALSE)</f>
        <v>攻めの果実</v>
      </c>
      <c r="K23" s="22" t="str">
        <f ca="1">VLOOKUP($I23,OFFSET([2]enemies!$A$1,0,0,COUNTA([2]enemies!$A:$A),MATCH(K$1,[2]enemies!$2:$2,0)-MATCH($I$1,[2]enemies!$2:$2,0)+1),MATCH(K$1,[2]enemies!$2:$2,0)-MATCH($I$1,[2]enemies!$2:$2,0)+1,FALSE)</f>
        <v>red</v>
      </c>
      <c r="L23" s="22" t="str">
        <f ca="1">VLOOKUP($I23,OFFSET([3]characters!$A$1,0,0,COUNTA([3]characters!$A:$A),MATCH(L$1,[3]characters!$2:$2,0)-MATCH($I$1,[3]characters!$2:$2,0)+1),MATCH(L$1,[3]characters!$2:$2,0)-MATCH($I$1,[3]characters!$2:$2,0)+1,FALSE)</f>
        <v>Material</v>
      </c>
      <c r="M23" s="21" t="str">
        <f ca="1">VLOOKUP($I23,OFFSET([3]characters!$A$1,0,0,COUNTA([3]characters!$A:$A),MATCH(M$1,[3]characters!$2:$2,0)-MATCH($I$1,[3]characters!$2:$2,0)+2),MATCH(M$1,[3]characters!$2:$2,0)-MATCH($I$1,[3]characters!$2:$2,0)+2,FALSE)</f>
        <v>Unknown</v>
      </c>
      <c r="N23" s="4">
        <f ca="1">VLOOKUP($I23,OFFSET([2]enemies!$A$1,0,0,COUNTA([2]enemies!$A:$A),MATCH(N$1,[2]enemies!$2:$2,0)-MATCH($I$1,[2]enemies!$2:$2,0)+1),MATCH(N$1,[2]enemies!$2:$2,0)-MATCH($I$1,[2]enemies!$2:$2,0)+1,FALSE)</f>
        <v>20</v>
      </c>
      <c r="O23" s="5">
        <v>32</v>
      </c>
      <c r="P23" s="25">
        <v>0.4</v>
      </c>
      <c r="Q23" s="25">
        <v>1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4">
        <f ca="1">VLOOKUP($I23,OFFSET([2]enemies!$A$1,0,0,COUNTA([2]enemies!$A:$A),MATCH(T$1,[2]enemies!$2:$2,0)-MATCH($I$1,[2]enemies!$2:$2,0)+1),MATCH(T$1,[2]enemies!$2:$2,0)-MATCH($I$1,[2]enemies!$2:$2,0)+1,FALSE)</f>
        <v>0</v>
      </c>
      <c r="U23" s="6">
        <v>0</v>
      </c>
      <c r="V23" s="6">
        <v>100</v>
      </c>
      <c r="W23" s="6">
        <v>0</v>
      </c>
      <c r="X23" s="20">
        <f ca="1">VLOOKUP($I23,OFFSET([2]enemies!$A$1,0,0,COUNTA([2]enemies!$A:$A),MATCH(X$1,[2]enemies!$2:$2,0)-MATCH($I$1,[2]enemies!$2:$2,0)+1),MATCH(X$1,[2]enemies!$2:$2,0)-MATCH($I$1,[2]enemies!$2:$2,0)+1,FALSE)</f>
        <v>1</v>
      </c>
      <c r="Y23" s="32">
        <v>121</v>
      </c>
      <c r="Z23" s="4" t="str">
        <f ca="1">IFERROR(VLOOKUP($Y23,OFFSET([3]characters!$A$1,0,0,COUNTA([3]characters!$A:$A),MATCH(Z$1,[3]characters!$2:$2,0)-MATCH("character_id",[3]characters!$2:$2,0)+1),MATCH(Z$1,[3]characters!$2:$2,0)-MATCH("character_id",[3]characters!$2:$2,0)+1,FALSE),"")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23" s="4">
        <f ca="1">IFERROR(VLOOKUP($Y23,OFFSET([3]characters!$A$1,0,0,COUNTA([3]characters!$A:$A),MATCH(AA$1,[3]characters!$2:$2,0)-MATCH("character_id",[3]characters!$2:$2,0)+1),MATCH(AA$1,[3]characters!$2:$2,0)-MATCH("character_id",[3]characters!$2:$2,0)+1,FALSE),"")</f>
        <v>3</v>
      </c>
      <c r="AB23" s="4" t="str">
        <f ca="1">IFERROR(VLOOKUP($Y23,OFFSET([3]characters!$A$1,0,0,COUNTA([3]characters!$A:$A),MATCH(AB$1,[3]characters!$2:$2,0)-MATCH("character_id",[3]characters!$2:$2,0)+1),MATCH(AB$1,[3]characters!$2:$2,0)-MATCH("character_id",[3]characters!$2:$2,0)+1,FALSE),"")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3" s="27">
        <v>1</v>
      </c>
      <c r="AD23" s="33">
        <f t="shared" ca="1" si="3"/>
        <v>3</v>
      </c>
      <c r="AE23" s="7">
        <v>100</v>
      </c>
      <c r="AF23" s="27">
        <v>0</v>
      </c>
      <c r="AG23" s="27">
        <v>0</v>
      </c>
      <c r="AH23" s="27">
        <v>0</v>
      </c>
      <c r="AI23" s="27">
        <v>0</v>
      </c>
      <c r="AJ23" s="27">
        <v>1</v>
      </c>
    </row>
    <row r="24" spans="1:36" ht="21" customHeight="1">
      <c r="A24" s="17" t="str">
        <f t="shared" si="0"/>
        <v>11208_2-2/122&lt;lv32&gt;s1</v>
      </c>
      <c r="B24" s="27">
        <v>11208</v>
      </c>
      <c r="C24" s="30">
        <v>2</v>
      </c>
      <c r="D24" s="16" t="str">
        <f t="shared" si="1"/>
        <v>11208_2</v>
      </c>
      <c r="E24" s="4" t="str">
        <f ca="1">VLOOKUP($B24,OFFSET([1]quests!$A$1,0,0,COUNTA([1]quests!$A:$A),MATCH(E$1,[1]quests!$1:$1,0)-MATCH($B$1,[1]quests!$1:$1,0)+1),MATCH(E$1,[1]quests!$1:$1,0)-MATCH($B$1,[1]quests!$1:$1,0)+1,FALSE)</f>
        <v>果実達の大宴会</v>
      </c>
      <c r="F24" s="4" t="str">
        <f ca="1">VLOOKUP($D24,OFFSET([1]stages!$A$1,0,0,COUNTA([1]stages!$A:$A),MATCH(F$1,[1]stages!$2:$2,0)-MATCH($D$1,[1]stages!$2:$2,0)+1),MATCH(F$1,[1]stages!$2:$2,0)-MATCH($D$1,[1]stages!$2:$2,0)+1,FALSE)</f>
        <v>果実達の大宴会【超級】</v>
      </c>
      <c r="G24" s="31">
        <v>2</v>
      </c>
      <c r="H24" s="16" t="str">
        <f t="shared" si="2"/>
        <v>11208_2-2</v>
      </c>
      <c r="I24" s="32">
        <v>122</v>
      </c>
      <c r="J24" s="20" t="str">
        <f ca="1">VLOOKUP($I24,OFFSET([2]enemies!$A$1,0,0,COUNTA([2]enemies!$A:$A),MATCH(J$1,[2]enemies!$2:$2,0)-MATCH($I$1,[2]enemies!$2:$2,0)+1),MATCH(J$1,[2]enemies!$2:$2,0)-MATCH($I$1,[2]enemies!$2:$2,0)+1,FALSE)</f>
        <v>生命の果実</v>
      </c>
      <c r="K24" s="22" t="str">
        <f ca="1">VLOOKUP($I24,OFFSET([2]enemies!$A$1,0,0,COUNTA([2]enemies!$A:$A),MATCH(K$1,[2]enemies!$2:$2,0)-MATCH($I$1,[2]enemies!$2:$2,0)+1),MATCH(K$1,[2]enemies!$2:$2,0)-MATCH($I$1,[2]enemies!$2:$2,0)+1,FALSE)</f>
        <v>green</v>
      </c>
      <c r="L24" s="22" t="str">
        <f ca="1">VLOOKUP($I24,OFFSET([3]characters!$A$1,0,0,COUNTA([3]characters!$A:$A),MATCH(L$1,[3]characters!$2:$2,0)-MATCH($I$1,[3]characters!$2:$2,0)+1),MATCH(L$1,[3]characters!$2:$2,0)-MATCH($I$1,[3]characters!$2:$2,0)+1,FALSE)</f>
        <v>Material</v>
      </c>
      <c r="M24" s="21" t="str">
        <f ca="1">VLOOKUP($I24,OFFSET([3]characters!$A$1,0,0,COUNTA([3]characters!$A:$A),MATCH(M$1,[3]characters!$2:$2,0)-MATCH($I$1,[3]characters!$2:$2,0)+2),MATCH(M$1,[3]characters!$2:$2,0)-MATCH($I$1,[3]characters!$2:$2,0)+2,FALSE)</f>
        <v>Unknown</v>
      </c>
      <c r="N24" s="4">
        <f ca="1">VLOOKUP($I24,OFFSET([2]enemies!$A$1,0,0,COUNTA([2]enemies!$A:$A),MATCH(N$1,[2]enemies!$2:$2,0)-MATCH($I$1,[2]enemies!$2:$2,0)+1),MATCH(N$1,[2]enemies!$2:$2,0)-MATCH($I$1,[2]enemies!$2:$2,0)+1,FALSE)</f>
        <v>20</v>
      </c>
      <c r="O24" s="5">
        <v>32</v>
      </c>
      <c r="P24" s="25">
        <v>0.4</v>
      </c>
      <c r="Q24" s="25">
        <v>1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4">
        <f ca="1">VLOOKUP($I24,OFFSET([2]enemies!$A$1,0,0,COUNTA([2]enemies!$A:$A),MATCH(T$1,[2]enemies!$2:$2,0)-MATCH($I$1,[2]enemies!$2:$2,0)+1),MATCH(T$1,[2]enemies!$2:$2,0)-MATCH($I$1,[2]enemies!$2:$2,0)+1,FALSE)</f>
        <v>0</v>
      </c>
      <c r="U24" s="6">
        <v>0</v>
      </c>
      <c r="V24" s="6">
        <v>100</v>
      </c>
      <c r="W24" s="6">
        <v>0</v>
      </c>
      <c r="X24" s="20">
        <v>1</v>
      </c>
      <c r="Y24" s="32">
        <v>122</v>
      </c>
      <c r="Z24" s="4" t="str">
        <f ca="1">IFERROR(VLOOKUP($Y24,OFFSET([3]characters!$A$1,0,0,COUNTA([3]characters!$A:$A),MATCH(Z$1,[3]characters!$2:$2,0)-MATCH("character_id",[3]characters!$2:$2,0)+1),MATCH(Z$1,[3]characters!$2:$2,0)-MATCH("character_id",[3]characters!$2:$2,0)+1,FALSE),"")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24" s="4">
        <f ca="1">IFERROR(VLOOKUP($Y24,OFFSET([3]characters!$A$1,0,0,COUNTA([3]characters!$A:$A),MATCH(AA$1,[3]characters!$2:$2,0)-MATCH("character_id",[3]characters!$2:$2,0)+1),MATCH(AA$1,[3]characters!$2:$2,0)-MATCH("character_id",[3]characters!$2:$2,0)+1,FALSE),"")</f>
        <v>3</v>
      </c>
      <c r="AB24" s="4" t="str">
        <f ca="1">IFERROR(VLOOKUP($Y24,OFFSET([3]characters!$A$1,0,0,COUNTA([3]characters!$A:$A),MATCH(AB$1,[3]characters!$2:$2,0)-MATCH("character_id",[3]characters!$2:$2,0)+1),MATCH(AB$1,[3]characters!$2:$2,0)-MATCH("character_id",[3]characters!$2:$2,0)+1,FALSE),"")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4" s="27">
        <v>1</v>
      </c>
      <c r="AD24" s="33">
        <f t="shared" ca="1" si="3"/>
        <v>3</v>
      </c>
      <c r="AE24" s="7">
        <v>100</v>
      </c>
      <c r="AF24" s="27">
        <v>0</v>
      </c>
      <c r="AG24" s="27">
        <v>0</v>
      </c>
      <c r="AH24" s="27">
        <v>0</v>
      </c>
      <c r="AI24" s="27">
        <v>0</v>
      </c>
      <c r="AJ24" s="27">
        <v>1</v>
      </c>
    </row>
    <row r="25" spans="1:36" ht="21" customHeight="1">
      <c r="A25" s="17" t="str">
        <f t="shared" si="0"/>
        <v>11208_2-2/123&lt;lv32&gt;s1</v>
      </c>
      <c r="B25" s="27">
        <v>11208</v>
      </c>
      <c r="C25" s="30">
        <v>2</v>
      </c>
      <c r="D25" s="16" t="str">
        <f t="shared" si="1"/>
        <v>11208_2</v>
      </c>
      <c r="E25" s="4" t="str">
        <f ca="1">VLOOKUP($B25,OFFSET([1]quests!$A$1,0,0,COUNTA([1]quests!$A:$A),MATCH(E$1,[1]quests!$1:$1,0)-MATCH($B$1,[1]quests!$1:$1,0)+1),MATCH(E$1,[1]quests!$1:$1,0)-MATCH($B$1,[1]quests!$1:$1,0)+1,FALSE)</f>
        <v>果実達の大宴会</v>
      </c>
      <c r="F25" s="4" t="str">
        <f ca="1">VLOOKUP($D25,OFFSET([1]stages!$A$1,0,0,COUNTA([1]stages!$A:$A),MATCH(F$1,[1]stages!$2:$2,0)-MATCH($D$1,[1]stages!$2:$2,0)+1),MATCH(F$1,[1]stages!$2:$2,0)-MATCH($D$1,[1]stages!$2:$2,0)+1,FALSE)</f>
        <v>果実達の大宴会【超級】</v>
      </c>
      <c r="G25" s="31">
        <v>2</v>
      </c>
      <c r="H25" s="16" t="str">
        <f t="shared" si="2"/>
        <v>11208_2-2</v>
      </c>
      <c r="I25" s="32">
        <v>123</v>
      </c>
      <c r="J25" s="20" t="str">
        <f ca="1">VLOOKUP($I25,OFFSET([2]enemies!$A$1,0,0,COUNTA([2]enemies!$A:$A),MATCH(J$1,[2]enemies!$2:$2,0)-MATCH($I$1,[2]enemies!$2:$2,0)+1),MATCH(J$1,[2]enemies!$2:$2,0)-MATCH($I$1,[2]enemies!$2:$2,0)+1,FALSE)</f>
        <v>癒しの果実</v>
      </c>
      <c r="K25" s="22" t="str">
        <f ca="1">VLOOKUP($I25,OFFSET([2]enemies!$A$1,0,0,COUNTA([2]enemies!$A:$A),MATCH(K$1,[2]enemies!$2:$2,0)-MATCH($I$1,[2]enemies!$2:$2,0)+1),MATCH(K$1,[2]enemies!$2:$2,0)-MATCH($I$1,[2]enemies!$2:$2,0)+1,FALSE)</f>
        <v>blue</v>
      </c>
      <c r="L25" s="22" t="str">
        <f ca="1">VLOOKUP($I25,OFFSET([3]characters!$A$1,0,0,COUNTA([3]characters!$A:$A),MATCH(L$1,[3]characters!$2:$2,0)-MATCH($I$1,[3]characters!$2:$2,0)+1),MATCH(L$1,[3]characters!$2:$2,0)-MATCH($I$1,[3]characters!$2:$2,0)+1,FALSE)</f>
        <v>Material</v>
      </c>
      <c r="M25" s="21" t="str">
        <f ca="1">VLOOKUP($I25,OFFSET([3]characters!$A$1,0,0,COUNTA([3]characters!$A:$A),MATCH(M$1,[3]characters!$2:$2,0)-MATCH($I$1,[3]characters!$2:$2,0)+2),MATCH(M$1,[3]characters!$2:$2,0)-MATCH($I$1,[3]characters!$2:$2,0)+2,FALSE)</f>
        <v>Unknown</v>
      </c>
      <c r="N25" s="4">
        <f ca="1">VLOOKUP($I25,OFFSET([2]enemies!$A$1,0,0,COUNTA([2]enemies!$A:$A),MATCH(N$1,[2]enemies!$2:$2,0)-MATCH($I$1,[2]enemies!$2:$2,0)+1),MATCH(N$1,[2]enemies!$2:$2,0)-MATCH($I$1,[2]enemies!$2:$2,0)+1,FALSE)</f>
        <v>20</v>
      </c>
      <c r="O25" s="5">
        <v>32</v>
      </c>
      <c r="P25" s="25">
        <v>0.4</v>
      </c>
      <c r="Q25" s="25">
        <v>1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4">
        <f ca="1">VLOOKUP($I25,OFFSET([2]enemies!$A$1,0,0,COUNTA([2]enemies!$A:$A),MATCH(T$1,[2]enemies!$2:$2,0)-MATCH($I$1,[2]enemies!$2:$2,0)+1),MATCH(T$1,[2]enemies!$2:$2,0)-MATCH($I$1,[2]enemies!$2:$2,0)+1,FALSE)</f>
        <v>0</v>
      </c>
      <c r="U25" s="6">
        <v>0</v>
      </c>
      <c r="V25" s="6">
        <v>100</v>
      </c>
      <c r="W25" s="6">
        <v>0</v>
      </c>
      <c r="X25" s="20">
        <v>1</v>
      </c>
      <c r="Y25" s="32">
        <v>123</v>
      </c>
      <c r="Z25" s="4" t="str">
        <f ca="1">IFERROR(VLOOKUP($Y25,OFFSET([3]characters!$A$1,0,0,COUNTA([3]characters!$A:$A),MATCH(Z$1,[3]characters!$2:$2,0)-MATCH("character_id",[3]characters!$2:$2,0)+1),MATCH(Z$1,[3]characters!$2:$2,0)-MATCH("character_id",[3]characters!$2:$2,0)+1,FALSE),"")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25" s="4">
        <f ca="1">IFERROR(VLOOKUP($Y25,OFFSET([3]characters!$A$1,0,0,COUNTA([3]characters!$A:$A),MATCH(AA$1,[3]characters!$2:$2,0)-MATCH("character_id",[3]characters!$2:$2,0)+1),MATCH(AA$1,[3]characters!$2:$2,0)-MATCH("character_id",[3]characters!$2:$2,0)+1,FALSE),"")</f>
        <v>3</v>
      </c>
      <c r="AB25" s="4" t="str">
        <f ca="1">IFERROR(VLOOKUP($Y25,OFFSET([3]characters!$A$1,0,0,COUNTA([3]characters!$A:$A),MATCH(AB$1,[3]characters!$2:$2,0)-MATCH("character_id",[3]characters!$2:$2,0)+1),MATCH(AB$1,[3]characters!$2:$2,0)-MATCH("character_id",[3]characters!$2:$2,0)+1,FALSE),"")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5" s="27">
        <v>1</v>
      </c>
      <c r="AD25" s="33">
        <f t="shared" ca="1" si="3"/>
        <v>3</v>
      </c>
      <c r="AE25" s="7">
        <v>100</v>
      </c>
      <c r="AF25" s="27">
        <v>0</v>
      </c>
      <c r="AG25" s="27">
        <v>0</v>
      </c>
      <c r="AH25" s="27">
        <v>0</v>
      </c>
      <c r="AI25" s="27">
        <v>0</v>
      </c>
      <c r="AJ25" s="27">
        <v>1</v>
      </c>
    </row>
    <row r="26" spans="1:36" ht="21" customHeight="1">
      <c r="A26" s="17" t="str">
        <f t="shared" ca="1" si="0"/>
        <v>11208_2-3/43&lt;lv32&gt;s2</v>
      </c>
      <c r="B26" s="27">
        <v>11208</v>
      </c>
      <c r="C26" s="30">
        <v>2</v>
      </c>
      <c r="D26" s="16" t="str">
        <f t="shared" si="1"/>
        <v>11208_2</v>
      </c>
      <c r="E26" s="4" t="str">
        <f ca="1">VLOOKUP($B26,OFFSET([1]quests!$A$1,0,0,COUNTA([1]quests!$A:$A),MATCH(E$1,[1]quests!$1:$1,0)-MATCH($B$1,[1]quests!$1:$1,0)+1),MATCH(E$1,[1]quests!$1:$1,0)-MATCH($B$1,[1]quests!$1:$1,0)+1,FALSE)</f>
        <v>果実達の大宴会</v>
      </c>
      <c r="F26" s="4" t="str">
        <f ca="1">VLOOKUP($D26,OFFSET([1]stages!$A$1,0,0,COUNTA([1]stages!$A:$A),MATCH(F$1,[1]stages!$2:$2,0)-MATCH($D$1,[1]stages!$2:$2,0)+1),MATCH(F$1,[1]stages!$2:$2,0)-MATCH($D$1,[1]stages!$2:$2,0)+1,FALSE)</f>
        <v>果実達の大宴会【超級】</v>
      </c>
      <c r="G26" s="28">
        <v>3</v>
      </c>
      <c r="H26" s="16" t="str">
        <f t="shared" si="2"/>
        <v>11208_2-3</v>
      </c>
      <c r="I26" s="32">
        <v>43</v>
      </c>
      <c r="J26" s="20" t="str">
        <f ca="1">VLOOKUP($I26,OFFSET([2]enemies!$A$1,0,0,COUNTA([2]enemies!$A:$A),MATCH(J$1,[2]enemies!$2:$2,0)-MATCH($I$1,[2]enemies!$2:$2,0)+1),MATCH(J$1,[2]enemies!$2:$2,0)-MATCH($I$1,[2]enemies!$2:$2,0)+1,FALSE)</f>
        <v>ムゥ</v>
      </c>
      <c r="K26" s="22" t="str">
        <f ca="1">VLOOKUP($I26,OFFSET([2]enemies!$A$1,0,0,COUNTA([2]enemies!$A:$A),MATCH(K$1,[2]enemies!$2:$2,0)-MATCH($I$1,[2]enemies!$2:$2,0)+1),MATCH(K$1,[2]enemies!$2:$2,0)-MATCH($I$1,[2]enemies!$2:$2,0)+1,FALSE)</f>
        <v>green</v>
      </c>
      <c r="L26" s="22" t="str">
        <f ca="1">VLOOKUP($I26,OFFSET([3]characters!$A$1,0,0,COUNTA([3]characters!$A:$A),MATCH(L$1,[3]characters!$2:$2,0)-MATCH($I$1,[3]characters!$2:$2,0)+1),MATCH(L$1,[3]characters!$2:$2,0)-MATCH($I$1,[3]characters!$2:$2,0)+1,FALSE)</f>
        <v>Drop1N</v>
      </c>
      <c r="M26" s="21" t="str">
        <f ca="1">VLOOKUP($I26,OFFSET([3]characters!$A$1,0,0,COUNTA([3]characters!$A:$A),MATCH(M$1,[3]characters!$2:$2,0)-MATCH($I$1,[3]characters!$2:$2,0)+2),MATCH(M$1,[3]characters!$2:$2,0)-MATCH($I$1,[3]characters!$2:$2,0)+2,FALSE)</f>
        <v>ドラゴン</v>
      </c>
      <c r="N26" s="4">
        <f ca="1">VLOOKUP($I26,OFFSET([2]enemies!$A$1,0,0,COUNTA([2]enemies!$A:$A),MATCH(N$1,[2]enemies!$2:$2,0)-MATCH($I$1,[2]enemies!$2:$2,0)+1),MATCH(N$1,[2]enemies!$2:$2,0)-MATCH($I$1,[2]enemies!$2:$2,0)+1,FALSE)</f>
        <v>15</v>
      </c>
      <c r="O26" s="5">
        <v>32</v>
      </c>
      <c r="P26" s="25">
        <v>0.4</v>
      </c>
      <c r="Q26" s="25">
        <v>1</v>
      </c>
      <c r="R26" s="5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4">
        <f ca="1">VLOOKUP($I26,OFFSET([2]enemies!$A$1,0,0,COUNTA([2]enemies!$A:$A),MATCH(T$1,[2]enemies!$2:$2,0)-MATCH($I$1,[2]enemies!$2:$2,0)+1),MATCH(T$1,[2]enemies!$2:$2,0)-MATCH($I$1,[2]enemies!$2:$2,0)+1,FALSE)</f>
        <v>0</v>
      </c>
      <c r="U26" s="6">
        <v>1</v>
      </c>
      <c r="V26" s="6">
        <v>0</v>
      </c>
      <c r="W26" s="6">
        <v>1</v>
      </c>
      <c r="X26" s="20">
        <f ca="1">VLOOKUP($I26,OFFSET([2]enemies!$A$1,0,0,COUNTA([2]enemies!$A:$A),MATCH(X$1,[2]enemies!$2:$2,0)-MATCH($I$1,[2]enemies!$2:$2,0)+1),MATCH(X$1,[2]enemies!$2:$2,0)-MATCH($I$1,[2]enemies!$2:$2,0)+1,FALSE)</f>
        <v>2</v>
      </c>
      <c r="Y26" s="32">
        <v>121</v>
      </c>
      <c r="Z26" s="4" t="str">
        <f ca="1">IFERROR(VLOOKUP($Y26,OFFSET([3]characters!$A$1,0,0,COUNTA([3]characters!$A:$A),MATCH(Z$1,[3]characters!$2:$2,0)-MATCH("character_id",[3]characters!$2:$2,0)+1),MATCH(Z$1,[3]characters!$2:$2,0)-MATCH("character_id",[3]characters!$2:$2,0)+1,FALSE),"")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26" s="4">
        <f ca="1">IFERROR(VLOOKUP($Y26,OFFSET([3]characters!$A$1,0,0,COUNTA([3]characters!$A:$A),MATCH(AA$1,[3]characters!$2:$2,0)-MATCH("character_id",[3]characters!$2:$2,0)+1),MATCH(AA$1,[3]characters!$2:$2,0)-MATCH("character_id",[3]characters!$2:$2,0)+1,FALSE),"")</f>
        <v>3</v>
      </c>
      <c r="AB26" s="4" t="str">
        <f ca="1">IFERROR(VLOOKUP($Y26,OFFSET([3]characters!$A$1,0,0,COUNTA([3]characters!$A:$A),MATCH(AB$1,[3]characters!$2:$2,0)-MATCH("character_id",[3]characters!$2:$2,0)+1),MATCH(AB$1,[3]characters!$2:$2,0)-MATCH("character_id",[3]characters!$2:$2,0)+1,FALSE),"")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6" s="27">
        <v>1</v>
      </c>
      <c r="AD26" s="33">
        <f t="shared" ca="1" si="3"/>
        <v>3</v>
      </c>
      <c r="AE26" s="7">
        <v>0</v>
      </c>
      <c r="AF26" s="27">
        <v>0</v>
      </c>
      <c r="AG26" s="27">
        <v>0</v>
      </c>
      <c r="AH26" s="27">
        <v>0</v>
      </c>
      <c r="AI26" s="27">
        <v>0</v>
      </c>
      <c r="AJ26" s="27">
        <v>1</v>
      </c>
    </row>
    <row r="27" spans="1:36" ht="21" customHeight="1">
      <c r="A27" s="17" t="str">
        <f t="shared" ca="1" si="0"/>
        <v>11208_2-3/121&lt;lv32&gt;s1</v>
      </c>
      <c r="B27" s="27">
        <v>11208</v>
      </c>
      <c r="C27" s="30">
        <v>2</v>
      </c>
      <c r="D27" s="16" t="str">
        <f t="shared" si="1"/>
        <v>11208_2</v>
      </c>
      <c r="E27" s="4" t="str">
        <f ca="1">VLOOKUP($B27,OFFSET([1]quests!$A$1,0,0,COUNTA([1]quests!$A:$A),MATCH(E$1,[1]quests!$1:$1,0)-MATCH($B$1,[1]quests!$1:$1,0)+1),MATCH(E$1,[1]quests!$1:$1,0)-MATCH($B$1,[1]quests!$1:$1,0)+1,FALSE)</f>
        <v>果実達の大宴会</v>
      </c>
      <c r="F27" s="4" t="str">
        <f ca="1">VLOOKUP($D27,OFFSET([1]stages!$A$1,0,0,COUNTA([1]stages!$A:$A),MATCH(F$1,[1]stages!$2:$2,0)-MATCH($D$1,[1]stages!$2:$2,0)+1),MATCH(F$1,[1]stages!$2:$2,0)-MATCH($D$1,[1]stages!$2:$2,0)+1,FALSE)</f>
        <v>果実達の大宴会【超級】</v>
      </c>
      <c r="G27" s="28">
        <v>3</v>
      </c>
      <c r="H27" s="16" t="str">
        <f t="shared" si="2"/>
        <v>11208_2-3</v>
      </c>
      <c r="I27" s="32">
        <v>121</v>
      </c>
      <c r="J27" s="20" t="str">
        <f ca="1">VLOOKUP($I27,OFFSET([2]enemies!$A$1,0,0,COUNTA([2]enemies!$A:$A),MATCH(J$1,[2]enemies!$2:$2,0)-MATCH($I$1,[2]enemies!$2:$2,0)+1),MATCH(J$1,[2]enemies!$2:$2,0)-MATCH($I$1,[2]enemies!$2:$2,0)+1,FALSE)</f>
        <v>攻めの果実</v>
      </c>
      <c r="K27" s="22" t="str">
        <f ca="1">VLOOKUP($I27,OFFSET([2]enemies!$A$1,0,0,COUNTA([2]enemies!$A:$A),MATCH(K$1,[2]enemies!$2:$2,0)-MATCH($I$1,[2]enemies!$2:$2,0)+1),MATCH(K$1,[2]enemies!$2:$2,0)-MATCH($I$1,[2]enemies!$2:$2,0)+1,FALSE)</f>
        <v>red</v>
      </c>
      <c r="L27" s="22" t="str">
        <f ca="1">VLOOKUP($I27,OFFSET([3]characters!$A$1,0,0,COUNTA([3]characters!$A:$A),MATCH(L$1,[3]characters!$2:$2,0)-MATCH($I$1,[3]characters!$2:$2,0)+1),MATCH(L$1,[3]characters!$2:$2,0)-MATCH($I$1,[3]characters!$2:$2,0)+1,FALSE)</f>
        <v>Material</v>
      </c>
      <c r="M27" s="21" t="str">
        <f ca="1">VLOOKUP($I27,OFFSET([3]characters!$A$1,0,0,COUNTA([3]characters!$A:$A),MATCH(M$1,[3]characters!$2:$2,0)-MATCH($I$1,[3]characters!$2:$2,0)+2),MATCH(M$1,[3]characters!$2:$2,0)-MATCH($I$1,[3]characters!$2:$2,0)+2,FALSE)</f>
        <v>Unknown</v>
      </c>
      <c r="N27" s="4">
        <f ca="1">VLOOKUP($I27,OFFSET([2]enemies!$A$1,0,0,COUNTA([2]enemies!$A:$A),MATCH(N$1,[2]enemies!$2:$2,0)-MATCH($I$1,[2]enemies!$2:$2,0)+1),MATCH(N$1,[2]enemies!$2:$2,0)-MATCH($I$1,[2]enemies!$2:$2,0)+1,FALSE)</f>
        <v>20</v>
      </c>
      <c r="O27" s="5">
        <v>32</v>
      </c>
      <c r="P27" s="25">
        <v>0.4</v>
      </c>
      <c r="Q27" s="25">
        <v>1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4">
        <f ca="1">VLOOKUP($I27,OFFSET([2]enemies!$A$1,0,0,COUNTA([2]enemies!$A:$A),MATCH(T$1,[2]enemies!$2:$2,0)-MATCH($I$1,[2]enemies!$2:$2,0)+1),MATCH(T$1,[2]enemies!$2:$2,0)-MATCH($I$1,[2]enemies!$2:$2,0)+1,FALSE)</f>
        <v>0</v>
      </c>
      <c r="U27" s="6">
        <v>0</v>
      </c>
      <c r="V27" s="6">
        <v>100</v>
      </c>
      <c r="W27" s="6">
        <v>0</v>
      </c>
      <c r="X27" s="20">
        <f ca="1">VLOOKUP($I27,OFFSET([2]enemies!$A$1,0,0,COUNTA([2]enemies!$A:$A),MATCH(X$1,[2]enemies!$2:$2,0)-MATCH($I$1,[2]enemies!$2:$2,0)+1),MATCH(X$1,[2]enemies!$2:$2,0)-MATCH($I$1,[2]enemies!$2:$2,0)+1,FALSE)</f>
        <v>1</v>
      </c>
      <c r="Y27" s="32">
        <v>121</v>
      </c>
      <c r="Z27" s="4" t="str">
        <f ca="1">IFERROR(VLOOKUP($Y27,OFFSET([3]characters!$A$1,0,0,COUNTA([3]characters!$A:$A),MATCH(Z$1,[3]characters!$2:$2,0)-MATCH("character_id",[3]characters!$2:$2,0)+1),MATCH(Z$1,[3]characters!$2:$2,0)-MATCH("character_id",[3]characters!$2:$2,0)+1,FALSE),"")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27" s="4">
        <f ca="1">IFERROR(VLOOKUP($Y27,OFFSET([3]characters!$A$1,0,0,COUNTA([3]characters!$A:$A),MATCH(AA$1,[3]characters!$2:$2,0)-MATCH("character_id",[3]characters!$2:$2,0)+1),MATCH(AA$1,[3]characters!$2:$2,0)-MATCH("character_id",[3]characters!$2:$2,0)+1,FALSE),"")</f>
        <v>3</v>
      </c>
      <c r="AB27" s="4" t="str">
        <f ca="1">IFERROR(VLOOKUP($Y27,OFFSET([3]characters!$A$1,0,0,COUNTA([3]characters!$A:$A),MATCH(AB$1,[3]characters!$2:$2,0)-MATCH("character_id",[3]characters!$2:$2,0)+1),MATCH(AB$1,[3]characters!$2:$2,0)-MATCH("character_id",[3]characters!$2:$2,0)+1,FALSE),"")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" s="27">
        <v>1</v>
      </c>
      <c r="AD27" s="33">
        <f t="shared" ca="1" si="3"/>
        <v>3</v>
      </c>
      <c r="AE27" s="7">
        <v>100</v>
      </c>
      <c r="AF27" s="27">
        <v>0</v>
      </c>
      <c r="AG27" s="27">
        <v>0</v>
      </c>
      <c r="AH27" s="27">
        <v>0</v>
      </c>
      <c r="AI27" s="27">
        <v>0</v>
      </c>
      <c r="AJ27" s="27">
        <v>1</v>
      </c>
    </row>
    <row r="28" spans="1:36" ht="21" customHeight="1">
      <c r="A28" s="17" t="str">
        <f t="shared" si="0"/>
        <v>11208_2-3/122&lt;lv32&gt;s1</v>
      </c>
      <c r="B28" s="27">
        <v>11208</v>
      </c>
      <c r="C28" s="30">
        <v>2</v>
      </c>
      <c r="D28" s="16" t="str">
        <f t="shared" si="1"/>
        <v>11208_2</v>
      </c>
      <c r="E28" s="4" t="str">
        <f ca="1">VLOOKUP($B28,OFFSET([1]quests!$A$1,0,0,COUNTA([1]quests!$A:$A),MATCH(E$1,[1]quests!$1:$1,0)-MATCH($B$1,[1]quests!$1:$1,0)+1),MATCH(E$1,[1]quests!$1:$1,0)-MATCH($B$1,[1]quests!$1:$1,0)+1,FALSE)</f>
        <v>果実達の大宴会</v>
      </c>
      <c r="F28" s="4" t="str">
        <f ca="1">VLOOKUP($D28,OFFSET([1]stages!$A$1,0,0,COUNTA([1]stages!$A:$A),MATCH(F$1,[1]stages!$2:$2,0)-MATCH($D$1,[1]stages!$2:$2,0)+1),MATCH(F$1,[1]stages!$2:$2,0)-MATCH($D$1,[1]stages!$2:$2,0)+1,FALSE)</f>
        <v>果実達の大宴会【超級】</v>
      </c>
      <c r="G28" s="28">
        <v>3</v>
      </c>
      <c r="H28" s="16" t="str">
        <f t="shared" si="2"/>
        <v>11208_2-3</v>
      </c>
      <c r="I28" s="32">
        <v>122</v>
      </c>
      <c r="J28" s="20" t="str">
        <f ca="1">VLOOKUP($I28,OFFSET([2]enemies!$A$1,0,0,COUNTA([2]enemies!$A:$A),MATCH(J$1,[2]enemies!$2:$2,0)-MATCH($I$1,[2]enemies!$2:$2,0)+1),MATCH(J$1,[2]enemies!$2:$2,0)-MATCH($I$1,[2]enemies!$2:$2,0)+1,FALSE)</f>
        <v>生命の果実</v>
      </c>
      <c r="K28" s="22" t="str">
        <f ca="1">VLOOKUP($I28,OFFSET([2]enemies!$A$1,0,0,COUNTA([2]enemies!$A:$A),MATCH(K$1,[2]enemies!$2:$2,0)-MATCH($I$1,[2]enemies!$2:$2,0)+1),MATCH(K$1,[2]enemies!$2:$2,0)-MATCH($I$1,[2]enemies!$2:$2,0)+1,FALSE)</f>
        <v>green</v>
      </c>
      <c r="L28" s="22" t="str">
        <f ca="1">VLOOKUP($I28,OFFSET([3]characters!$A$1,0,0,COUNTA([3]characters!$A:$A),MATCH(L$1,[3]characters!$2:$2,0)-MATCH($I$1,[3]characters!$2:$2,0)+1),MATCH(L$1,[3]characters!$2:$2,0)-MATCH($I$1,[3]characters!$2:$2,0)+1,FALSE)</f>
        <v>Material</v>
      </c>
      <c r="M28" s="21" t="str">
        <f ca="1">VLOOKUP($I28,OFFSET([3]characters!$A$1,0,0,COUNTA([3]characters!$A:$A),MATCH(M$1,[3]characters!$2:$2,0)-MATCH($I$1,[3]characters!$2:$2,0)+2),MATCH(M$1,[3]characters!$2:$2,0)-MATCH($I$1,[3]characters!$2:$2,0)+2,FALSE)</f>
        <v>Unknown</v>
      </c>
      <c r="N28" s="4">
        <f ca="1">VLOOKUP($I28,OFFSET([2]enemies!$A$1,0,0,COUNTA([2]enemies!$A:$A),MATCH(N$1,[2]enemies!$2:$2,0)-MATCH($I$1,[2]enemies!$2:$2,0)+1),MATCH(N$1,[2]enemies!$2:$2,0)-MATCH($I$1,[2]enemies!$2:$2,0)+1,FALSE)</f>
        <v>20</v>
      </c>
      <c r="O28" s="5">
        <v>32</v>
      </c>
      <c r="P28" s="25">
        <v>0.4</v>
      </c>
      <c r="Q28" s="25">
        <v>1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4">
        <f ca="1">VLOOKUP($I28,OFFSET([2]enemies!$A$1,0,0,COUNTA([2]enemies!$A:$A),MATCH(T$1,[2]enemies!$2:$2,0)-MATCH($I$1,[2]enemies!$2:$2,0)+1),MATCH(T$1,[2]enemies!$2:$2,0)-MATCH($I$1,[2]enemies!$2:$2,0)+1,FALSE)</f>
        <v>0</v>
      </c>
      <c r="U28" s="6">
        <v>0</v>
      </c>
      <c r="V28" s="6">
        <v>100</v>
      </c>
      <c r="W28" s="6">
        <v>0</v>
      </c>
      <c r="X28" s="20">
        <v>1</v>
      </c>
      <c r="Y28" s="32">
        <v>122</v>
      </c>
      <c r="Z28" s="4" t="str">
        <f ca="1">IFERROR(VLOOKUP($Y28,OFFSET([3]characters!$A$1,0,0,COUNTA([3]characters!$A:$A),MATCH(Z$1,[3]characters!$2:$2,0)-MATCH("character_id",[3]characters!$2:$2,0)+1),MATCH(Z$1,[3]characters!$2:$2,0)-MATCH("character_id",[3]characters!$2:$2,0)+1,FALSE),"")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28" s="4">
        <f ca="1">IFERROR(VLOOKUP($Y28,OFFSET([3]characters!$A$1,0,0,COUNTA([3]characters!$A:$A),MATCH(AA$1,[3]characters!$2:$2,0)-MATCH("character_id",[3]characters!$2:$2,0)+1),MATCH(AA$1,[3]characters!$2:$2,0)-MATCH("character_id",[3]characters!$2:$2,0)+1,FALSE),"")</f>
        <v>3</v>
      </c>
      <c r="AB28" s="4" t="str">
        <f ca="1">IFERROR(VLOOKUP($Y28,OFFSET([3]characters!$A$1,0,0,COUNTA([3]characters!$A:$A),MATCH(AB$1,[3]characters!$2:$2,0)-MATCH("character_id",[3]characters!$2:$2,0)+1),MATCH(AB$1,[3]characters!$2:$2,0)-MATCH("character_id",[3]characters!$2:$2,0)+1,FALSE),"")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8" s="27">
        <v>1</v>
      </c>
      <c r="AD28" s="33">
        <f t="shared" ca="1" si="3"/>
        <v>3</v>
      </c>
      <c r="AE28" s="7">
        <v>100</v>
      </c>
      <c r="AF28" s="27">
        <v>0</v>
      </c>
      <c r="AG28" s="27">
        <v>0</v>
      </c>
      <c r="AH28" s="27">
        <v>0</v>
      </c>
      <c r="AI28" s="27">
        <v>0</v>
      </c>
      <c r="AJ28" s="27">
        <v>1</v>
      </c>
    </row>
    <row r="29" spans="1:36" ht="21" customHeight="1">
      <c r="A29" s="17" t="str">
        <f t="shared" si="0"/>
        <v>11208_2-3/123&lt;lv32&gt;s1</v>
      </c>
      <c r="B29" s="27">
        <v>11208</v>
      </c>
      <c r="C29" s="30">
        <v>2</v>
      </c>
      <c r="D29" s="16" t="str">
        <f t="shared" si="1"/>
        <v>11208_2</v>
      </c>
      <c r="E29" s="4" t="str">
        <f ca="1">VLOOKUP($B29,OFFSET([1]quests!$A$1,0,0,COUNTA([1]quests!$A:$A),MATCH(E$1,[1]quests!$1:$1,0)-MATCH($B$1,[1]quests!$1:$1,0)+1),MATCH(E$1,[1]quests!$1:$1,0)-MATCH($B$1,[1]quests!$1:$1,0)+1,FALSE)</f>
        <v>果実達の大宴会</v>
      </c>
      <c r="F29" s="4" t="str">
        <f ca="1">VLOOKUP($D29,OFFSET([1]stages!$A$1,0,0,COUNTA([1]stages!$A:$A),MATCH(F$1,[1]stages!$2:$2,0)-MATCH($D$1,[1]stages!$2:$2,0)+1),MATCH(F$1,[1]stages!$2:$2,0)-MATCH($D$1,[1]stages!$2:$2,0)+1,FALSE)</f>
        <v>果実達の大宴会【超級】</v>
      </c>
      <c r="G29" s="28">
        <v>3</v>
      </c>
      <c r="H29" s="16" t="str">
        <f t="shared" si="2"/>
        <v>11208_2-3</v>
      </c>
      <c r="I29" s="32">
        <v>123</v>
      </c>
      <c r="J29" s="20" t="str">
        <f ca="1">VLOOKUP($I29,OFFSET([2]enemies!$A$1,0,0,COUNTA([2]enemies!$A:$A),MATCH(J$1,[2]enemies!$2:$2,0)-MATCH($I$1,[2]enemies!$2:$2,0)+1),MATCH(J$1,[2]enemies!$2:$2,0)-MATCH($I$1,[2]enemies!$2:$2,0)+1,FALSE)</f>
        <v>癒しの果実</v>
      </c>
      <c r="K29" s="22" t="str">
        <f ca="1">VLOOKUP($I29,OFFSET([2]enemies!$A$1,0,0,COUNTA([2]enemies!$A:$A),MATCH(K$1,[2]enemies!$2:$2,0)-MATCH($I$1,[2]enemies!$2:$2,0)+1),MATCH(K$1,[2]enemies!$2:$2,0)-MATCH($I$1,[2]enemies!$2:$2,0)+1,FALSE)</f>
        <v>blue</v>
      </c>
      <c r="L29" s="22" t="str">
        <f ca="1">VLOOKUP($I29,OFFSET([3]characters!$A$1,0,0,COUNTA([3]characters!$A:$A),MATCH(L$1,[3]characters!$2:$2,0)-MATCH($I$1,[3]characters!$2:$2,0)+1),MATCH(L$1,[3]characters!$2:$2,0)-MATCH($I$1,[3]characters!$2:$2,0)+1,FALSE)</f>
        <v>Material</v>
      </c>
      <c r="M29" s="21" t="str">
        <f ca="1">VLOOKUP($I29,OFFSET([3]characters!$A$1,0,0,COUNTA([3]characters!$A:$A),MATCH(M$1,[3]characters!$2:$2,0)-MATCH($I$1,[3]characters!$2:$2,0)+2),MATCH(M$1,[3]characters!$2:$2,0)-MATCH($I$1,[3]characters!$2:$2,0)+2,FALSE)</f>
        <v>Unknown</v>
      </c>
      <c r="N29" s="4">
        <f ca="1">VLOOKUP($I29,OFFSET([2]enemies!$A$1,0,0,COUNTA([2]enemies!$A:$A),MATCH(N$1,[2]enemies!$2:$2,0)-MATCH($I$1,[2]enemies!$2:$2,0)+1),MATCH(N$1,[2]enemies!$2:$2,0)-MATCH($I$1,[2]enemies!$2:$2,0)+1,FALSE)</f>
        <v>20</v>
      </c>
      <c r="O29" s="5">
        <v>32</v>
      </c>
      <c r="P29" s="25">
        <v>0.4</v>
      </c>
      <c r="Q29" s="25">
        <v>1</v>
      </c>
      <c r="R29" s="5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4">
        <f ca="1">VLOOKUP($I29,OFFSET([2]enemies!$A$1,0,0,COUNTA([2]enemies!$A:$A),MATCH(T$1,[2]enemies!$2:$2,0)-MATCH($I$1,[2]enemies!$2:$2,0)+1),MATCH(T$1,[2]enemies!$2:$2,0)-MATCH($I$1,[2]enemies!$2:$2,0)+1,FALSE)</f>
        <v>0</v>
      </c>
      <c r="U29" s="6">
        <v>0</v>
      </c>
      <c r="V29" s="6">
        <v>100</v>
      </c>
      <c r="W29" s="6">
        <v>0</v>
      </c>
      <c r="X29" s="20">
        <v>1</v>
      </c>
      <c r="Y29" s="32">
        <v>123</v>
      </c>
      <c r="Z29" s="4" t="str">
        <f ca="1">IFERROR(VLOOKUP($Y29,OFFSET([3]characters!$A$1,0,0,COUNTA([3]characters!$A:$A),MATCH(Z$1,[3]characters!$2:$2,0)-MATCH("character_id",[3]characters!$2:$2,0)+1),MATCH(Z$1,[3]characters!$2:$2,0)-MATCH("character_id",[3]characters!$2:$2,0)+1,FALSE),"")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29" s="4">
        <f ca="1">IFERROR(VLOOKUP($Y29,OFFSET([3]characters!$A$1,0,0,COUNTA([3]characters!$A:$A),MATCH(AA$1,[3]characters!$2:$2,0)-MATCH("character_id",[3]characters!$2:$2,0)+1),MATCH(AA$1,[3]characters!$2:$2,0)-MATCH("character_id",[3]characters!$2:$2,0)+1,FALSE),"")</f>
        <v>3</v>
      </c>
      <c r="AB29" s="4" t="str">
        <f ca="1">IFERROR(VLOOKUP($Y29,OFFSET([3]characters!$A$1,0,0,COUNTA([3]characters!$A:$A),MATCH(AB$1,[3]characters!$2:$2,0)-MATCH("character_id",[3]characters!$2:$2,0)+1),MATCH(AB$1,[3]characters!$2:$2,0)-MATCH("character_id",[3]characters!$2:$2,0)+1,FALSE),"")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9" s="27">
        <v>1</v>
      </c>
      <c r="AD29" s="33">
        <f t="shared" ca="1" si="3"/>
        <v>3</v>
      </c>
      <c r="AE29" s="7">
        <v>100</v>
      </c>
      <c r="AF29" s="27">
        <v>0</v>
      </c>
      <c r="AG29" s="27">
        <v>0</v>
      </c>
      <c r="AH29" s="27">
        <v>0</v>
      </c>
      <c r="AI29" s="27">
        <v>0</v>
      </c>
      <c r="AJ29" s="27">
        <v>1</v>
      </c>
    </row>
    <row r="30" spans="1:36" ht="21" customHeight="1">
      <c r="A30" s="17" t="str">
        <f t="shared" ca="1" si="0"/>
        <v>11208_2-4/47&lt;lv32&gt;s1</v>
      </c>
      <c r="B30" s="27">
        <v>11208</v>
      </c>
      <c r="C30" s="30">
        <v>2</v>
      </c>
      <c r="D30" s="16" t="str">
        <f t="shared" si="1"/>
        <v>11208_2</v>
      </c>
      <c r="E30" s="4" t="str">
        <f ca="1">VLOOKUP($B30,OFFSET([1]quests!$A$1,0,0,COUNTA([1]quests!$A:$A),MATCH(E$1,[1]quests!$1:$1,0)-MATCH($B$1,[1]quests!$1:$1,0)+1),MATCH(E$1,[1]quests!$1:$1,0)-MATCH($B$1,[1]quests!$1:$1,0)+1,FALSE)</f>
        <v>果実達の大宴会</v>
      </c>
      <c r="F30" s="4" t="str">
        <f ca="1">VLOOKUP($D30,OFFSET([1]stages!$A$1,0,0,COUNTA([1]stages!$A:$A),MATCH(F$1,[1]stages!$2:$2,0)-MATCH($D$1,[1]stages!$2:$2,0)+1),MATCH(F$1,[1]stages!$2:$2,0)-MATCH($D$1,[1]stages!$2:$2,0)+1,FALSE)</f>
        <v>果実達の大宴会【超級】</v>
      </c>
      <c r="G30" s="31">
        <v>4</v>
      </c>
      <c r="H30" s="16" t="str">
        <f t="shared" si="2"/>
        <v>11208_2-4</v>
      </c>
      <c r="I30" s="32">
        <v>47</v>
      </c>
      <c r="J30" s="20" t="str">
        <f ca="1">VLOOKUP($I30,OFFSET([2]enemies!$A$1,0,0,COUNTA([2]enemies!$A:$A),MATCH(J$1,[2]enemies!$2:$2,0)-MATCH($I$1,[2]enemies!$2:$2,0)+1),MATCH(J$1,[2]enemies!$2:$2,0)-MATCH($I$1,[2]enemies!$2:$2,0)+1,FALSE)</f>
        <v>ヒロ</v>
      </c>
      <c r="K30" s="22" t="str">
        <f ca="1">VLOOKUP($I30,OFFSET([2]enemies!$A$1,0,0,COUNTA([2]enemies!$A:$A),MATCH(K$1,[2]enemies!$2:$2,0)-MATCH($I$1,[2]enemies!$2:$2,0)+1),MATCH(K$1,[2]enemies!$2:$2,0)-MATCH($I$1,[2]enemies!$2:$2,0)+1,FALSE)</f>
        <v>yellow</v>
      </c>
      <c r="L30" s="22" t="str">
        <f ca="1">VLOOKUP($I30,OFFSET([3]characters!$A$1,0,0,COUNTA([3]characters!$A:$A),MATCH(L$1,[3]characters!$2:$2,0)-MATCH($I$1,[3]characters!$2:$2,0)+1),MATCH(L$1,[3]characters!$2:$2,0)-MATCH($I$1,[3]characters!$2:$2,0)+1,FALSE)</f>
        <v>Drop1N</v>
      </c>
      <c r="M30" s="21" t="str">
        <f ca="1">VLOOKUP($I30,OFFSET([3]characters!$A$1,0,0,COUNTA([3]characters!$A:$A),MATCH(M$1,[3]characters!$2:$2,0)-MATCH($I$1,[3]characters!$2:$2,0)+2),MATCH(M$1,[3]characters!$2:$2,0)-MATCH($I$1,[3]characters!$2:$2,0)+2,FALSE)</f>
        <v>アニマル</v>
      </c>
      <c r="N30" s="4">
        <f ca="1">VLOOKUP($I30,OFFSET([2]enemies!$A$1,0,0,COUNTA([2]enemies!$A:$A),MATCH(N$1,[2]enemies!$2:$2,0)-MATCH($I$1,[2]enemies!$2:$2,0)+1),MATCH(N$1,[2]enemies!$2:$2,0)-MATCH($I$1,[2]enemies!$2:$2,0)+1,FALSE)</f>
        <v>15</v>
      </c>
      <c r="O30" s="5">
        <v>32</v>
      </c>
      <c r="P30" s="25">
        <v>0.4</v>
      </c>
      <c r="Q30" s="25">
        <v>1</v>
      </c>
      <c r="R30" s="5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4">
        <f ca="1">VLOOKUP($I30,OFFSET([2]enemies!$A$1,0,0,COUNTA([2]enemies!$A:$A),MATCH(T$1,[2]enemies!$2:$2,0)-MATCH($I$1,[2]enemies!$2:$2,0)+1),MATCH(T$1,[2]enemies!$2:$2,0)-MATCH($I$1,[2]enemies!$2:$2,0)+1,FALSE)</f>
        <v>0</v>
      </c>
      <c r="U30" s="6">
        <v>1</v>
      </c>
      <c r="V30" s="6">
        <v>0</v>
      </c>
      <c r="W30" s="6">
        <v>1</v>
      </c>
      <c r="X30" s="20">
        <f ca="1">VLOOKUP($I30,OFFSET([2]enemies!$A$1,0,0,COUNTA([2]enemies!$A:$A),MATCH(X$1,[2]enemies!$2:$2,0)-MATCH($I$1,[2]enemies!$2:$2,0)+1),MATCH(X$1,[2]enemies!$2:$2,0)-MATCH($I$1,[2]enemies!$2:$2,0)+1,FALSE)</f>
        <v>1</v>
      </c>
      <c r="Y30" s="32">
        <v>121</v>
      </c>
      <c r="Z30" s="4" t="str">
        <f ca="1">IFERROR(VLOOKUP($Y30,OFFSET([3]characters!$A$1,0,0,COUNTA([3]characters!$A:$A),MATCH(Z$1,[3]characters!$2:$2,0)-MATCH("character_id",[3]characters!$2:$2,0)+1),MATCH(Z$1,[3]characters!$2:$2,0)-MATCH("character_id",[3]characters!$2:$2,0)+1,FALSE),"")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30" s="4">
        <f ca="1">IFERROR(VLOOKUP($Y30,OFFSET([3]characters!$A$1,0,0,COUNTA([3]characters!$A:$A),MATCH(AA$1,[3]characters!$2:$2,0)-MATCH("character_id",[3]characters!$2:$2,0)+1),MATCH(AA$1,[3]characters!$2:$2,0)-MATCH("character_id",[3]characters!$2:$2,0)+1,FALSE),"")</f>
        <v>3</v>
      </c>
      <c r="AB30" s="4" t="str">
        <f ca="1">IFERROR(VLOOKUP($Y30,OFFSET([3]characters!$A$1,0,0,COUNTA([3]characters!$A:$A),MATCH(AB$1,[3]characters!$2:$2,0)-MATCH("character_id",[3]characters!$2:$2,0)+1),MATCH(AB$1,[3]characters!$2:$2,0)-MATCH("character_id",[3]characters!$2:$2,0)+1,FALSE),"")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0" s="27">
        <v>1</v>
      </c>
      <c r="AD30" s="33">
        <f t="shared" ca="1" si="3"/>
        <v>3</v>
      </c>
      <c r="AE30" s="7">
        <v>0</v>
      </c>
      <c r="AF30" s="27">
        <v>0</v>
      </c>
      <c r="AG30" s="27">
        <v>0</v>
      </c>
      <c r="AH30" s="27">
        <v>0</v>
      </c>
      <c r="AI30" s="27">
        <v>0</v>
      </c>
      <c r="AJ30" s="27">
        <v>1</v>
      </c>
    </row>
    <row r="31" spans="1:36" ht="21" customHeight="1">
      <c r="A31" s="17" t="str">
        <f t="shared" ca="1" si="0"/>
        <v>11208_2-4/121&lt;lv32&gt;s1</v>
      </c>
      <c r="B31" s="27">
        <v>11208</v>
      </c>
      <c r="C31" s="30">
        <v>2</v>
      </c>
      <c r="D31" s="16" t="str">
        <f t="shared" si="1"/>
        <v>11208_2</v>
      </c>
      <c r="E31" s="4" t="str">
        <f ca="1">VLOOKUP($B31,OFFSET([1]quests!$A$1,0,0,COUNTA([1]quests!$A:$A),MATCH(E$1,[1]quests!$1:$1,0)-MATCH($B$1,[1]quests!$1:$1,0)+1),MATCH(E$1,[1]quests!$1:$1,0)-MATCH($B$1,[1]quests!$1:$1,0)+1,FALSE)</f>
        <v>果実達の大宴会</v>
      </c>
      <c r="F31" s="4" t="str">
        <f ca="1">VLOOKUP($D31,OFFSET([1]stages!$A$1,0,0,COUNTA([1]stages!$A:$A),MATCH(F$1,[1]stages!$2:$2,0)-MATCH($D$1,[1]stages!$2:$2,0)+1),MATCH(F$1,[1]stages!$2:$2,0)-MATCH($D$1,[1]stages!$2:$2,0)+1,FALSE)</f>
        <v>果実達の大宴会【超級】</v>
      </c>
      <c r="G31" s="31">
        <v>4</v>
      </c>
      <c r="H31" s="16" t="str">
        <f t="shared" si="2"/>
        <v>11208_2-4</v>
      </c>
      <c r="I31" s="32">
        <v>121</v>
      </c>
      <c r="J31" s="20" t="str">
        <f ca="1">VLOOKUP($I31,OFFSET([2]enemies!$A$1,0,0,COUNTA([2]enemies!$A:$A),MATCH(J$1,[2]enemies!$2:$2,0)-MATCH($I$1,[2]enemies!$2:$2,0)+1),MATCH(J$1,[2]enemies!$2:$2,0)-MATCH($I$1,[2]enemies!$2:$2,0)+1,FALSE)</f>
        <v>攻めの果実</v>
      </c>
      <c r="K31" s="22" t="str">
        <f ca="1">VLOOKUP($I31,OFFSET([2]enemies!$A$1,0,0,COUNTA([2]enemies!$A:$A),MATCH(K$1,[2]enemies!$2:$2,0)-MATCH($I$1,[2]enemies!$2:$2,0)+1),MATCH(K$1,[2]enemies!$2:$2,0)-MATCH($I$1,[2]enemies!$2:$2,0)+1,FALSE)</f>
        <v>red</v>
      </c>
      <c r="L31" s="22" t="str">
        <f ca="1">VLOOKUP($I31,OFFSET([3]characters!$A$1,0,0,COUNTA([3]characters!$A:$A),MATCH(L$1,[3]characters!$2:$2,0)-MATCH($I$1,[3]characters!$2:$2,0)+1),MATCH(L$1,[3]characters!$2:$2,0)-MATCH($I$1,[3]characters!$2:$2,0)+1,FALSE)</f>
        <v>Material</v>
      </c>
      <c r="M31" s="21" t="str">
        <f ca="1">VLOOKUP($I31,OFFSET([3]characters!$A$1,0,0,COUNTA([3]characters!$A:$A),MATCH(M$1,[3]characters!$2:$2,0)-MATCH($I$1,[3]characters!$2:$2,0)+2),MATCH(M$1,[3]characters!$2:$2,0)-MATCH($I$1,[3]characters!$2:$2,0)+2,FALSE)</f>
        <v>Unknown</v>
      </c>
      <c r="N31" s="4">
        <f ca="1">VLOOKUP($I31,OFFSET([2]enemies!$A$1,0,0,COUNTA([2]enemies!$A:$A),MATCH(N$1,[2]enemies!$2:$2,0)-MATCH($I$1,[2]enemies!$2:$2,0)+1),MATCH(N$1,[2]enemies!$2:$2,0)-MATCH($I$1,[2]enemies!$2:$2,0)+1,FALSE)</f>
        <v>20</v>
      </c>
      <c r="O31" s="5">
        <v>32</v>
      </c>
      <c r="P31" s="25">
        <v>0.4</v>
      </c>
      <c r="Q31" s="25">
        <v>1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4">
        <f ca="1">VLOOKUP($I31,OFFSET([2]enemies!$A$1,0,0,COUNTA([2]enemies!$A:$A),MATCH(T$1,[2]enemies!$2:$2,0)-MATCH($I$1,[2]enemies!$2:$2,0)+1),MATCH(T$1,[2]enemies!$2:$2,0)-MATCH($I$1,[2]enemies!$2:$2,0)+1,FALSE)</f>
        <v>0</v>
      </c>
      <c r="U31" s="6">
        <v>0</v>
      </c>
      <c r="V31" s="6">
        <v>100</v>
      </c>
      <c r="W31" s="6">
        <v>0</v>
      </c>
      <c r="X31" s="20">
        <f ca="1">VLOOKUP($I31,OFFSET([2]enemies!$A$1,0,0,COUNTA([2]enemies!$A:$A),MATCH(X$1,[2]enemies!$2:$2,0)-MATCH($I$1,[2]enemies!$2:$2,0)+1),MATCH(X$1,[2]enemies!$2:$2,0)-MATCH($I$1,[2]enemies!$2:$2,0)+1,FALSE)</f>
        <v>1</v>
      </c>
      <c r="Y31" s="32">
        <v>121</v>
      </c>
      <c r="Z31" s="4" t="str">
        <f ca="1">IFERROR(VLOOKUP($Y31,OFFSET([3]characters!$A$1,0,0,COUNTA([3]characters!$A:$A),MATCH(Z$1,[3]characters!$2:$2,0)-MATCH("character_id",[3]characters!$2:$2,0)+1),MATCH(Z$1,[3]characters!$2:$2,0)-MATCH("character_id",[3]characters!$2:$2,0)+1,FALSE),"")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31" s="4">
        <f ca="1">IFERROR(VLOOKUP($Y31,OFFSET([3]characters!$A$1,0,0,COUNTA([3]characters!$A:$A),MATCH(AA$1,[3]characters!$2:$2,0)-MATCH("character_id",[3]characters!$2:$2,0)+1),MATCH(AA$1,[3]characters!$2:$2,0)-MATCH("character_id",[3]characters!$2:$2,0)+1,FALSE),"")</f>
        <v>3</v>
      </c>
      <c r="AB31" s="4" t="str">
        <f ca="1">IFERROR(VLOOKUP($Y31,OFFSET([3]characters!$A$1,0,0,COUNTA([3]characters!$A:$A),MATCH(AB$1,[3]characters!$2:$2,0)-MATCH("character_id",[3]characters!$2:$2,0)+1),MATCH(AB$1,[3]characters!$2:$2,0)-MATCH("character_id",[3]characters!$2:$2,0)+1,FALSE),"")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1" s="27">
        <v>1</v>
      </c>
      <c r="AD31" s="33">
        <f t="shared" ca="1" si="3"/>
        <v>3</v>
      </c>
      <c r="AE31" s="7">
        <v>100</v>
      </c>
      <c r="AF31" s="27">
        <v>0</v>
      </c>
      <c r="AG31" s="27">
        <v>0</v>
      </c>
      <c r="AH31" s="27">
        <v>0</v>
      </c>
      <c r="AI31" s="27">
        <v>0</v>
      </c>
      <c r="AJ31" s="27">
        <v>1</v>
      </c>
    </row>
    <row r="32" spans="1:36" ht="21" customHeight="1">
      <c r="A32" s="17" t="str">
        <f t="shared" si="0"/>
        <v>11208_2-4/122&lt;lv32&gt;s1</v>
      </c>
      <c r="B32" s="27">
        <v>11208</v>
      </c>
      <c r="C32" s="30">
        <v>2</v>
      </c>
      <c r="D32" s="16" t="str">
        <f t="shared" si="1"/>
        <v>11208_2</v>
      </c>
      <c r="E32" s="4" t="str">
        <f ca="1">VLOOKUP($B32,OFFSET([1]quests!$A$1,0,0,COUNTA([1]quests!$A:$A),MATCH(E$1,[1]quests!$1:$1,0)-MATCH($B$1,[1]quests!$1:$1,0)+1),MATCH(E$1,[1]quests!$1:$1,0)-MATCH($B$1,[1]quests!$1:$1,0)+1,FALSE)</f>
        <v>果実達の大宴会</v>
      </c>
      <c r="F32" s="4" t="str">
        <f ca="1">VLOOKUP($D32,OFFSET([1]stages!$A$1,0,0,COUNTA([1]stages!$A:$A),MATCH(F$1,[1]stages!$2:$2,0)-MATCH($D$1,[1]stages!$2:$2,0)+1),MATCH(F$1,[1]stages!$2:$2,0)-MATCH($D$1,[1]stages!$2:$2,0)+1,FALSE)</f>
        <v>果実達の大宴会【超級】</v>
      </c>
      <c r="G32" s="31">
        <v>4</v>
      </c>
      <c r="H32" s="16" t="str">
        <f t="shared" si="2"/>
        <v>11208_2-4</v>
      </c>
      <c r="I32" s="32">
        <v>122</v>
      </c>
      <c r="J32" s="20" t="str">
        <f ca="1">VLOOKUP($I32,OFFSET([2]enemies!$A$1,0,0,COUNTA([2]enemies!$A:$A),MATCH(J$1,[2]enemies!$2:$2,0)-MATCH($I$1,[2]enemies!$2:$2,0)+1),MATCH(J$1,[2]enemies!$2:$2,0)-MATCH($I$1,[2]enemies!$2:$2,0)+1,FALSE)</f>
        <v>生命の果実</v>
      </c>
      <c r="K32" s="22" t="str">
        <f ca="1">VLOOKUP($I32,OFFSET([2]enemies!$A$1,0,0,COUNTA([2]enemies!$A:$A),MATCH(K$1,[2]enemies!$2:$2,0)-MATCH($I$1,[2]enemies!$2:$2,0)+1),MATCH(K$1,[2]enemies!$2:$2,0)-MATCH($I$1,[2]enemies!$2:$2,0)+1,FALSE)</f>
        <v>green</v>
      </c>
      <c r="L32" s="22" t="str">
        <f ca="1">VLOOKUP($I32,OFFSET([3]characters!$A$1,0,0,COUNTA([3]characters!$A:$A),MATCH(L$1,[3]characters!$2:$2,0)-MATCH($I$1,[3]characters!$2:$2,0)+1),MATCH(L$1,[3]characters!$2:$2,0)-MATCH($I$1,[3]characters!$2:$2,0)+1,FALSE)</f>
        <v>Material</v>
      </c>
      <c r="M32" s="21" t="str">
        <f ca="1">VLOOKUP($I32,OFFSET([3]characters!$A$1,0,0,COUNTA([3]characters!$A:$A),MATCH(M$1,[3]characters!$2:$2,0)-MATCH($I$1,[3]characters!$2:$2,0)+2),MATCH(M$1,[3]characters!$2:$2,0)-MATCH($I$1,[3]characters!$2:$2,0)+2,FALSE)</f>
        <v>Unknown</v>
      </c>
      <c r="N32" s="4">
        <f ca="1">VLOOKUP($I32,OFFSET([2]enemies!$A$1,0,0,COUNTA([2]enemies!$A:$A),MATCH(N$1,[2]enemies!$2:$2,0)-MATCH($I$1,[2]enemies!$2:$2,0)+1),MATCH(N$1,[2]enemies!$2:$2,0)-MATCH($I$1,[2]enemies!$2:$2,0)+1,FALSE)</f>
        <v>20</v>
      </c>
      <c r="O32" s="5">
        <v>32</v>
      </c>
      <c r="P32" s="25">
        <v>0.4</v>
      </c>
      <c r="Q32" s="25">
        <v>1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4">
        <f ca="1">VLOOKUP($I32,OFFSET([2]enemies!$A$1,0,0,COUNTA([2]enemies!$A:$A),MATCH(T$1,[2]enemies!$2:$2,0)-MATCH($I$1,[2]enemies!$2:$2,0)+1),MATCH(T$1,[2]enemies!$2:$2,0)-MATCH($I$1,[2]enemies!$2:$2,0)+1,FALSE)</f>
        <v>0</v>
      </c>
      <c r="U32" s="6">
        <v>0</v>
      </c>
      <c r="V32" s="6">
        <v>100</v>
      </c>
      <c r="W32" s="6">
        <v>0</v>
      </c>
      <c r="X32" s="20">
        <v>1</v>
      </c>
      <c r="Y32" s="32">
        <v>122</v>
      </c>
      <c r="Z32" s="4" t="str">
        <f ca="1">IFERROR(VLOOKUP($Y32,OFFSET([3]characters!$A$1,0,0,COUNTA([3]characters!$A:$A),MATCH(Z$1,[3]characters!$2:$2,0)-MATCH("character_id",[3]characters!$2:$2,0)+1),MATCH(Z$1,[3]characters!$2:$2,0)-MATCH("character_id",[3]characters!$2:$2,0)+1,FALSE),"")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32" s="4">
        <f ca="1">IFERROR(VLOOKUP($Y32,OFFSET([3]characters!$A$1,0,0,COUNTA([3]characters!$A:$A),MATCH(AA$1,[3]characters!$2:$2,0)-MATCH("character_id",[3]characters!$2:$2,0)+1),MATCH(AA$1,[3]characters!$2:$2,0)-MATCH("character_id",[3]characters!$2:$2,0)+1,FALSE),"")</f>
        <v>3</v>
      </c>
      <c r="AB32" s="4" t="str">
        <f ca="1">IFERROR(VLOOKUP($Y32,OFFSET([3]characters!$A$1,0,0,COUNTA([3]characters!$A:$A),MATCH(AB$1,[3]characters!$2:$2,0)-MATCH("character_id",[3]characters!$2:$2,0)+1),MATCH(AB$1,[3]characters!$2:$2,0)-MATCH("character_id",[3]characters!$2:$2,0)+1,FALSE),"")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2" s="27">
        <v>1</v>
      </c>
      <c r="AD32" s="33">
        <f t="shared" ca="1" si="3"/>
        <v>3</v>
      </c>
      <c r="AE32" s="7">
        <v>100</v>
      </c>
      <c r="AF32" s="27">
        <v>0</v>
      </c>
      <c r="AG32" s="27">
        <v>0</v>
      </c>
      <c r="AH32" s="27">
        <v>0</v>
      </c>
      <c r="AI32" s="27">
        <v>0</v>
      </c>
      <c r="AJ32" s="27">
        <v>1</v>
      </c>
    </row>
    <row r="33" spans="1:36" ht="21" customHeight="1">
      <c r="A33" s="17" t="str">
        <f t="shared" si="0"/>
        <v>11208_2-4/123&lt;lv32&gt;s1</v>
      </c>
      <c r="B33" s="27">
        <v>11208</v>
      </c>
      <c r="C33" s="30">
        <v>2</v>
      </c>
      <c r="D33" s="16" t="str">
        <f t="shared" si="1"/>
        <v>11208_2</v>
      </c>
      <c r="E33" s="4" t="str">
        <f ca="1">VLOOKUP($B33,OFFSET([1]quests!$A$1,0,0,COUNTA([1]quests!$A:$A),MATCH(E$1,[1]quests!$1:$1,0)-MATCH($B$1,[1]quests!$1:$1,0)+1),MATCH(E$1,[1]quests!$1:$1,0)-MATCH($B$1,[1]quests!$1:$1,0)+1,FALSE)</f>
        <v>果実達の大宴会</v>
      </c>
      <c r="F33" s="4" t="str">
        <f ca="1">VLOOKUP($D33,OFFSET([1]stages!$A$1,0,0,COUNTA([1]stages!$A:$A),MATCH(F$1,[1]stages!$2:$2,0)-MATCH($D$1,[1]stages!$2:$2,0)+1),MATCH(F$1,[1]stages!$2:$2,0)-MATCH($D$1,[1]stages!$2:$2,0)+1,FALSE)</f>
        <v>果実達の大宴会【超級】</v>
      </c>
      <c r="G33" s="31">
        <v>4</v>
      </c>
      <c r="H33" s="16" t="str">
        <f t="shared" si="2"/>
        <v>11208_2-4</v>
      </c>
      <c r="I33" s="32">
        <v>123</v>
      </c>
      <c r="J33" s="20" t="str">
        <f ca="1">VLOOKUP($I33,OFFSET([2]enemies!$A$1,0,0,COUNTA([2]enemies!$A:$A),MATCH(J$1,[2]enemies!$2:$2,0)-MATCH($I$1,[2]enemies!$2:$2,0)+1),MATCH(J$1,[2]enemies!$2:$2,0)-MATCH($I$1,[2]enemies!$2:$2,0)+1,FALSE)</f>
        <v>癒しの果実</v>
      </c>
      <c r="K33" s="22" t="str">
        <f ca="1">VLOOKUP($I33,OFFSET([2]enemies!$A$1,0,0,COUNTA([2]enemies!$A:$A),MATCH(K$1,[2]enemies!$2:$2,0)-MATCH($I$1,[2]enemies!$2:$2,0)+1),MATCH(K$1,[2]enemies!$2:$2,0)-MATCH($I$1,[2]enemies!$2:$2,0)+1,FALSE)</f>
        <v>blue</v>
      </c>
      <c r="L33" s="22" t="str">
        <f ca="1">VLOOKUP($I33,OFFSET([3]characters!$A$1,0,0,COUNTA([3]characters!$A:$A),MATCH(L$1,[3]characters!$2:$2,0)-MATCH($I$1,[3]characters!$2:$2,0)+1),MATCH(L$1,[3]characters!$2:$2,0)-MATCH($I$1,[3]characters!$2:$2,0)+1,FALSE)</f>
        <v>Material</v>
      </c>
      <c r="M33" s="21" t="str">
        <f ca="1">VLOOKUP($I33,OFFSET([3]characters!$A$1,0,0,COUNTA([3]characters!$A:$A),MATCH(M$1,[3]characters!$2:$2,0)-MATCH($I$1,[3]characters!$2:$2,0)+2),MATCH(M$1,[3]characters!$2:$2,0)-MATCH($I$1,[3]characters!$2:$2,0)+2,FALSE)</f>
        <v>Unknown</v>
      </c>
      <c r="N33" s="4">
        <f ca="1">VLOOKUP($I33,OFFSET([2]enemies!$A$1,0,0,COUNTA([2]enemies!$A:$A),MATCH(N$1,[2]enemies!$2:$2,0)-MATCH($I$1,[2]enemies!$2:$2,0)+1),MATCH(N$1,[2]enemies!$2:$2,0)-MATCH($I$1,[2]enemies!$2:$2,0)+1,FALSE)</f>
        <v>20</v>
      </c>
      <c r="O33" s="5">
        <v>32</v>
      </c>
      <c r="P33" s="25">
        <v>0.4</v>
      </c>
      <c r="Q33" s="25">
        <v>1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4">
        <f ca="1">VLOOKUP($I33,OFFSET([2]enemies!$A$1,0,0,COUNTA([2]enemies!$A:$A),MATCH(T$1,[2]enemies!$2:$2,0)-MATCH($I$1,[2]enemies!$2:$2,0)+1),MATCH(T$1,[2]enemies!$2:$2,0)-MATCH($I$1,[2]enemies!$2:$2,0)+1,FALSE)</f>
        <v>0</v>
      </c>
      <c r="U33" s="6">
        <v>0</v>
      </c>
      <c r="V33" s="6">
        <v>100</v>
      </c>
      <c r="W33" s="6">
        <v>0</v>
      </c>
      <c r="X33" s="20">
        <v>1</v>
      </c>
      <c r="Y33" s="32">
        <v>123</v>
      </c>
      <c r="Z33" s="4" t="str">
        <f ca="1">IFERROR(VLOOKUP($Y33,OFFSET([3]characters!$A$1,0,0,COUNTA([3]characters!$A:$A),MATCH(Z$1,[3]characters!$2:$2,0)-MATCH("character_id",[3]characters!$2:$2,0)+1),MATCH(Z$1,[3]characters!$2:$2,0)-MATCH("character_id",[3]characters!$2:$2,0)+1,FALSE),"")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33" s="4">
        <f ca="1">IFERROR(VLOOKUP($Y33,OFFSET([3]characters!$A$1,0,0,COUNTA([3]characters!$A:$A),MATCH(AA$1,[3]characters!$2:$2,0)-MATCH("character_id",[3]characters!$2:$2,0)+1),MATCH(AA$1,[3]characters!$2:$2,0)-MATCH("character_id",[3]characters!$2:$2,0)+1,FALSE),"")</f>
        <v>3</v>
      </c>
      <c r="AB33" s="4" t="str">
        <f ca="1">IFERROR(VLOOKUP($Y33,OFFSET([3]characters!$A$1,0,0,COUNTA([3]characters!$A:$A),MATCH(AB$1,[3]characters!$2:$2,0)-MATCH("character_id",[3]characters!$2:$2,0)+1),MATCH(AB$1,[3]characters!$2:$2,0)-MATCH("character_id",[3]characters!$2:$2,0)+1,FALSE),"")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3" s="27">
        <v>1</v>
      </c>
      <c r="AD33" s="33">
        <f t="shared" ca="1" si="3"/>
        <v>3</v>
      </c>
      <c r="AE33" s="7">
        <v>100</v>
      </c>
      <c r="AF33" s="27">
        <v>0</v>
      </c>
      <c r="AG33" s="27">
        <v>0</v>
      </c>
      <c r="AH33" s="27">
        <v>0</v>
      </c>
      <c r="AI33" s="27">
        <v>0</v>
      </c>
      <c r="AJ33" s="27">
        <v>1</v>
      </c>
    </row>
    <row r="34" spans="1:36" ht="21" customHeight="1">
      <c r="A34" s="17" t="str">
        <f t="shared" ca="1" si="0"/>
        <v>11208_2-5/41&lt;lv32&gt;s1</v>
      </c>
      <c r="B34" s="27">
        <v>11208</v>
      </c>
      <c r="C34" s="30">
        <v>2</v>
      </c>
      <c r="D34" s="16" t="str">
        <f t="shared" si="1"/>
        <v>11208_2</v>
      </c>
      <c r="E34" s="4" t="str">
        <f ca="1">VLOOKUP($B34,OFFSET([1]quests!$A$1,0,0,COUNTA([1]quests!$A:$A),MATCH(E$1,[1]quests!$1:$1,0)-MATCH($B$1,[1]quests!$1:$1,0)+1),MATCH(E$1,[1]quests!$1:$1,0)-MATCH($B$1,[1]quests!$1:$1,0)+1,FALSE)</f>
        <v>果実達の大宴会</v>
      </c>
      <c r="F34" s="4" t="str">
        <f ca="1">VLOOKUP($D34,OFFSET([1]stages!$A$1,0,0,COUNTA([1]stages!$A:$A),MATCH(F$1,[1]stages!$2:$2,0)-MATCH($D$1,[1]stages!$2:$2,0)+1),MATCH(F$1,[1]stages!$2:$2,0)-MATCH($D$1,[1]stages!$2:$2,0)+1,FALSE)</f>
        <v>果実達の大宴会【超級】</v>
      </c>
      <c r="G34" s="28">
        <v>5</v>
      </c>
      <c r="H34" s="16" t="str">
        <f t="shared" si="2"/>
        <v>11208_2-5</v>
      </c>
      <c r="I34" s="32">
        <v>41</v>
      </c>
      <c r="J34" s="20" t="str">
        <f ca="1">VLOOKUP($I34,OFFSET([2]enemies!$A$1,0,0,COUNTA([2]enemies!$A:$A),MATCH(J$1,[2]enemies!$2:$2,0)-MATCH($I$1,[2]enemies!$2:$2,0)+1),MATCH(J$1,[2]enemies!$2:$2,0)-MATCH($I$1,[2]enemies!$2:$2,0)+1,FALSE)</f>
        <v>ヒュウガ</v>
      </c>
      <c r="K34" s="22" t="str">
        <f ca="1">VLOOKUP($I34,OFFSET([2]enemies!$A$1,0,0,COUNTA([2]enemies!$A:$A),MATCH(K$1,[2]enemies!$2:$2,0)-MATCH($I$1,[2]enemies!$2:$2,0)+1),MATCH(K$1,[2]enemies!$2:$2,0)-MATCH($I$1,[2]enemies!$2:$2,0)+1,FALSE)</f>
        <v>red</v>
      </c>
      <c r="L34" s="22" t="str">
        <f ca="1">VLOOKUP($I34,OFFSET([3]characters!$A$1,0,0,COUNTA([3]characters!$A:$A),MATCH(L$1,[3]characters!$2:$2,0)-MATCH($I$1,[3]characters!$2:$2,0)+1),MATCH(L$1,[3]characters!$2:$2,0)-MATCH($I$1,[3]characters!$2:$2,0)+1,FALSE)</f>
        <v>Drop1N</v>
      </c>
      <c r="M34" s="21" t="str">
        <f ca="1">VLOOKUP($I34,OFFSET([3]characters!$A$1,0,0,COUNTA([3]characters!$A:$A),MATCH(M$1,[3]characters!$2:$2,0)-MATCH($I$1,[3]characters!$2:$2,0)+2),MATCH(M$1,[3]characters!$2:$2,0)-MATCH($I$1,[3]characters!$2:$2,0)+2,FALSE)</f>
        <v>ドラゴン</v>
      </c>
      <c r="N34" s="4">
        <f ca="1">VLOOKUP($I34,OFFSET([2]enemies!$A$1,0,0,COUNTA([2]enemies!$A:$A),MATCH(N$1,[2]enemies!$2:$2,0)-MATCH($I$1,[2]enemies!$2:$2,0)+1),MATCH(N$1,[2]enemies!$2:$2,0)-MATCH($I$1,[2]enemies!$2:$2,0)+1,FALSE)</f>
        <v>15</v>
      </c>
      <c r="O34" s="5">
        <v>32</v>
      </c>
      <c r="P34" s="25">
        <v>0.4</v>
      </c>
      <c r="Q34" s="25">
        <v>1</v>
      </c>
      <c r="R34" s="5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4">
        <f ca="1">VLOOKUP($I34,OFFSET([2]enemies!$A$1,0,0,COUNTA([2]enemies!$A:$A),MATCH(T$1,[2]enemies!$2:$2,0)-MATCH($I$1,[2]enemies!$2:$2,0)+1),MATCH(T$1,[2]enemies!$2:$2,0)-MATCH($I$1,[2]enemies!$2:$2,0)+1,FALSE)</f>
        <v>0</v>
      </c>
      <c r="U34" s="6">
        <v>1</v>
      </c>
      <c r="V34" s="6">
        <v>0</v>
      </c>
      <c r="W34" s="6">
        <v>1</v>
      </c>
      <c r="X34" s="20">
        <f ca="1">VLOOKUP($I34,OFFSET([2]enemies!$A$1,0,0,COUNTA([2]enemies!$A:$A),MATCH(X$1,[2]enemies!$2:$2,0)-MATCH($I$1,[2]enemies!$2:$2,0)+1),MATCH(X$1,[2]enemies!$2:$2,0)-MATCH($I$1,[2]enemies!$2:$2,0)+1,FALSE)</f>
        <v>1</v>
      </c>
      <c r="Y34" s="32">
        <v>121</v>
      </c>
      <c r="Z34" s="4" t="str">
        <f ca="1">IFERROR(VLOOKUP($Y34,OFFSET([3]characters!$A$1,0,0,COUNTA([3]characters!$A:$A),MATCH(Z$1,[3]characters!$2:$2,0)-MATCH("character_id",[3]characters!$2:$2,0)+1),MATCH(Z$1,[3]characters!$2:$2,0)-MATCH("character_id",[3]characters!$2:$2,0)+1,FALSE),"")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34" s="4">
        <f ca="1">IFERROR(VLOOKUP($Y34,OFFSET([3]characters!$A$1,0,0,COUNTA([3]characters!$A:$A),MATCH(AA$1,[3]characters!$2:$2,0)-MATCH("character_id",[3]characters!$2:$2,0)+1),MATCH(AA$1,[3]characters!$2:$2,0)-MATCH("character_id",[3]characters!$2:$2,0)+1,FALSE),"")</f>
        <v>3</v>
      </c>
      <c r="AB34" s="4" t="str">
        <f ca="1">IFERROR(VLOOKUP($Y34,OFFSET([3]characters!$A$1,0,0,COUNTA([3]characters!$A:$A),MATCH(AB$1,[3]characters!$2:$2,0)-MATCH("character_id",[3]characters!$2:$2,0)+1),MATCH(AB$1,[3]characters!$2:$2,0)-MATCH("character_id",[3]characters!$2:$2,0)+1,FALSE),"")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4" s="27">
        <v>1</v>
      </c>
      <c r="AD34" s="33">
        <f t="shared" ca="1" si="3"/>
        <v>3</v>
      </c>
      <c r="AE34" s="7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1</v>
      </c>
    </row>
    <row r="35" spans="1:36" ht="21" customHeight="1">
      <c r="A35" s="17" t="str">
        <f t="shared" ca="1" si="0"/>
        <v>11208_2-5/121&lt;lv32&gt;s1</v>
      </c>
      <c r="B35" s="27">
        <v>11208</v>
      </c>
      <c r="C35" s="30">
        <v>2</v>
      </c>
      <c r="D35" s="16" t="str">
        <f t="shared" si="1"/>
        <v>11208_2</v>
      </c>
      <c r="E35" s="4" t="str">
        <f ca="1">VLOOKUP($B35,OFFSET([1]quests!$A$1,0,0,COUNTA([1]quests!$A:$A),MATCH(E$1,[1]quests!$1:$1,0)-MATCH($B$1,[1]quests!$1:$1,0)+1),MATCH(E$1,[1]quests!$1:$1,0)-MATCH($B$1,[1]quests!$1:$1,0)+1,FALSE)</f>
        <v>果実達の大宴会</v>
      </c>
      <c r="F35" s="4" t="str">
        <f ca="1">VLOOKUP($D35,OFFSET([1]stages!$A$1,0,0,COUNTA([1]stages!$A:$A),MATCH(F$1,[1]stages!$2:$2,0)-MATCH($D$1,[1]stages!$2:$2,0)+1),MATCH(F$1,[1]stages!$2:$2,0)-MATCH($D$1,[1]stages!$2:$2,0)+1,FALSE)</f>
        <v>果実達の大宴会【超級】</v>
      </c>
      <c r="G35" s="28">
        <v>5</v>
      </c>
      <c r="H35" s="16" t="str">
        <f t="shared" si="2"/>
        <v>11208_2-5</v>
      </c>
      <c r="I35" s="32">
        <v>121</v>
      </c>
      <c r="J35" s="20" t="str">
        <f ca="1">VLOOKUP($I35,OFFSET([2]enemies!$A$1,0,0,COUNTA([2]enemies!$A:$A),MATCH(J$1,[2]enemies!$2:$2,0)-MATCH($I$1,[2]enemies!$2:$2,0)+1),MATCH(J$1,[2]enemies!$2:$2,0)-MATCH($I$1,[2]enemies!$2:$2,0)+1,FALSE)</f>
        <v>攻めの果実</v>
      </c>
      <c r="K35" s="22" t="str">
        <f ca="1">VLOOKUP($I35,OFFSET([2]enemies!$A$1,0,0,COUNTA([2]enemies!$A:$A),MATCH(K$1,[2]enemies!$2:$2,0)-MATCH($I$1,[2]enemies!$2:$2,0)+1),MATCH(K$1,[2]enemies!$2:$2,0)-MATCH($I$1,[2]enemies!$2:$2,0)+1,FALSE)</f>
        <v>red</v>
      </c>
      <c r="L35" s="22" t="str">
        <f ca="1">VLOOKUP($I35,OFFSET([3]characters!$A$1,0,0,COUNTA([3]characters!$A:$A),MATCH(L$1,[3]characters!$2:$2,0)-MATCH($I$1,[3]characters!$2:$2,0)+1),MATCH(L$1,[3]characters!$2:$2,0)-MATCH($I$1,[3]characters!$2:$2,0)+1,FALSE)</f>
        <v>Material</v>
      </c>
      <c r="M35" s="21" t="str">
        <f ca="1">VLOOKUP($I35,OFFSET([3]characters!$A$1,0,0,COUNTA([3]characters!$A:$A),MATCH(M$1,[3]characters!$2:$2,0)-MATCH($I$1,[3]characters!$2:$2,0)+2),MATCH(M$1,[3]characters!$2:$2,0)-MATCH($I$1,[3]characters!$2:$2,0)+2,FALSE)</f>
        <v>Unknown</v>
      </c>
      <c r="N35" s="4">
        <f ca="1">VLOOKUP($I35,OFFSET([2]enemies!$A$1,0,0,COUNTA([2]enemies!$A:$A),MATCH(N$1,[2]enemies!$2:$2,0)-MATCH($I$1,[2]enemies!$2:$2,0)+1),MATCH(N$1,[2]enemies!$2:$2,0)-MATCH($I$1,[2]enemies!$2:$2,0)+1,FALSE)</f>
        <v>20</v>
      </c>
      <c r="O35" s="5">
        <v>32</v>
      </c>
      <c r="P35" s="25">
        <v>0.4</v>
      </c>
      <c r="Q35" s="25">
        <v>1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4">
        <f ca="1">VLOOKUP($I35,OFFSET([2]enemies!$A$1,0,0,COUNTA([2]enemies!$A:$A),MATCH(T$1,[2]enemies!$2:$2,0)-MATCH($I$1,[2]enemies!$2:$2,0)+1),MATCH(T$1,[2]enemies!$2:$2,0)-MATCH($I$1,[2]enemies!$2:$2,0)+1,FALSE)</f>
        <v>0</v>
      </c>
      <c r="U35" s="6">
        <v>0</v>
      </c>
      <c r="V35" s="6">
        <v>100</v>
      </c>
      <c r="W35" s="6">
        <v>0</v>
      </c>
      <c r="X35" s="20">
        <f ca="1">VLOOKUP($I35,OFFSET([2]enemies!$A$1,0,0,COUNTA([2]enemies!$A:$A),MATCH(X$1,[2]enemies!$2:$2,0)-MATCH($I$1,[2]enemies!$2:$2,0)+1),MATCH(X$1,[2]enemies!$2:$2,0)-MATCH($I$1,[2]enemies!$2:$2,0)+1,FALSE)</f>
        <v>1</v>
      </c>
      <c r="Y35" s="32">
        <v>121</v>
      </c>
      <c r="Z35" s="4" t="str">
        <f ca="1">IFERROR(VLOOKUP($Y35,OFFSET([3]characters!$A$1,0,0,COUNTA([3]characters!$A:$A),MATCH(Z$1,[3]characters!$2:$2,0)-MATCH("character_id",[3]characters!$2:$2,0)+1),MATCH(Z$1,[3]characters!$2:$2,0)-MATCH("character_id",[3]characters!$2:$2,0)+1,FALSE),"")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35" s="4">
        <f ca="1">IFERROR(VLOOKUP($Y35,OFFSET([3]characters!$A$1,0,0,COUNTA([3]characters!$A:$A),MATCH(AA$1,[3]characters!$2:$2,0)-MATCH("character_id",[3]characters!$2:$2,0)+1),MATCH(AA$1,[3]characters!$2:$2,0)-MATCH("character_id",[3]characters!$2:$2,0)+1,FALSE),"")</f>
        <v>3</v>
      </c>
      <c r="AB35" s="4" t="str">
        <f ca="1">IFERROR(VLOOKUP($Y35,OFFSET([3]characters!$A$1,0,0,COUNTA([3]characters!$A:$A),MATCH(AB$1,[3]characters!$2:$2,0)-MATCH("character_id",[3]characters!$2:$2,0)+1),MATCH(AB$1,[3]characters!$2:$2,0)-MATCH("character_id",[3]characters!$2:$2,0)+1,FALSE),"")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5" s="27">
        <v>1</v>
      </c>
      <c r="AD35" s="33">
        <f t="shared" ca="1" si="3"/>
        <v>3</v>
      </c>
      <c r="AE35" s="7">
        <v>100</v>
      </c>
      <c r="AF35" s="27">
        <v>0</v>
      </c>
      <c r="AG35" s="27">
        <v>0</v>
      </c>
      <c r="AH35" s="27">
        <v>0</v>
      </c>
      <c r="AI35" s="27">
        <v>0</v>
      </c>
      <c r="AJ35" s="27">
        <v>1</v>
      </c>
    </row>
    <row r="36" spans="1:36" ht="21" customHeight="1">
      <c r="A36" s="17" t="str">
        <f t="shared" si="0"/>
        <v>11208_2-5/122&lt;lv32&gt;s1</v>
      </c>
      <c r="B36" s="27">
        <v>11208</v>
      </c>
      <c r="C36" s="30">
        <v>2</v>
      </c>
      <c r="D36" s="16" t="str">
        <f t="shared" si="1"/>
        <v>11208_2</v>
      </c>
      <c r="E36" s="4" t="str">
        <f ca="1">VLOOKUP($B36,OFFSET([1]quests!$A$1,0,0,COUNTA([1]quests!$A:$A),MATCH(E$1,[1]quests!$1:$1,0)-MATCH($B$1,[1]quests!$1:$1,0)+1),MATCH(E$1,[1]quests!$1:$1,0)-MATCH($B$1,[1]quests!$1:$1,0)+1,FALSE)</f>
        <v>果実達の大宴会</v>
      </c>
      <c r="F36" s="4" t="str">
        <f ca="1">VLOOKUP($D36,OFFSET([1]stages!$A$1,0,0,COUNTA([1]stages!$A:$A),MATCH(F$1,[1]stages!$2:$2,0)-MATCH($D$1,[1]stages!$2:$2,0)+1),MATCH(F$1,[1]stages!$2:$2,0)-MATCH($D$1,[1]stages!$2:$2,0)+1,FALSE)</f>
        <v>果実達の大宴会【超級】</v>
      </c>
      <c r="G36" s="28">
        <v>5</v>
      </c>
      <c r="H36" s="16" t="str">
        <f t="shared" si="2"/>
        <v>11208_2-5</v>
      </c>
      <c r="I36" s="32">
        <v>122</v>
      </c>
      <c r="J36" s="20" t="str">
        <f ca="1">VLOOKUP($I36,OFFSET([2]enemies!$A$1,0,0,COUNTA([2]enemies!$A:$A),MATCH(J$1,[2]enemies!$2:$2,0)-MATCH($I$1,[2]enemies!$2:$2,0)+1),MATCH(J$1,[2]enemies!$2:$2,0)-MATCH($I$1,[2]enemies!$2:$2,0)+1,FALSE)</f>
        <v>生命の果実</v>
      </c>
      <c r="K36" s="22" t="str">
        <f ca="1">VLOOKUP($I36,OFFSET([2]enemies!$A$1,0,0,COUNTA([2]enemies!$A:$A),MATCH(K$1,[2]enemies!$2:$2,0)-MATCH($I$1,[2]enemies!$2:$2,0)+1),MATCH(K$1,[2]enemies!$2:$2,0)-MATCH($I$1,[2]enemies!$2:$2,0)+1,FALSE)</f>
        <v>green</v>
      </c>
      <c r="L36" s="22" t="str">
        <f ca="1">VLOOKUP($I36,OFFSET([3]characters!$A$1,0,0,COUNTA([3]characters!$A:$A),MATCH(L$1,[3]characters!$2:$2,0)-MATCH($I$1,[3]characters!$2:$2,0)+1),MATCH(L$1,[3]characters!$2:$2,0)-MATCH($I$1,[3]characters!$2:$2,0)+1,FALSE)</f>
        <v>Material</v>
      </c>
      <c r="M36" s="21" t="str">
        <f ca="1">VLOOKUP($I36,OFFSET([3]characters!$A$1,0,0,COUNTA([3]characters!$A:$A),MATCH(M$1,[3]characters!$2:$2,0)-MATCH($I$1,[3]characters!$2:$2,0)+2),MATCH(M$1,[3]characters!$2:$2,0)-MATCH($I$1,[3]characters!$2:$2,0)+2,FALSE)</f>
        <v>Unknown</v>
      </c>
      <c r="N36" s="4">
        <f ca="1">VLOOKUP($I36,OFFSET([2]enemies!$A$1,0,0,COUNTA([2]enemies!$A:$A),MATCH(N$1,[2]enemies!$2:$2,0)-MATCH($I$1,[2]enemies!$2:$2,0)+1),MATCH(N$1,[2]enemies!$2:$2,0)-MATCH($I$1,[2]enemies!$2:$2,0)+1,FALSE)</f>
        <v>20</v>
      </c>
      <c r="O36" s="5">
        <v>32</v>
      </c>
      <c r="P36" s="25">
        <v>0.4</v>
      </c>
      <c r="Q36" s="25">
        <v>1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" s="4">
        <f ca="1">VLOOKUP($I36,OFFSET([2]enemies!$A$1,0,0,COUNTA([2]enemies!$A:$A),MATCH(T$1,[2]enemies!$2:$2,0)-MATCH($I$1,[2]enemies!$2:$2,0)+1),MATCH(T$1,[2]enemies!$2:$2,0)-MATCH($I$1,[2]enemies!$2:$2,0)+1,FALSE)</f>
        <v>0</v>
      </c>
      <c r="U36" s="6">
        <v>0</v>
      </c>
      <c r="V36" s="6">
        <v>100</v>
      </c>
      <c r="W36" s="6">
        <v>0</v>
      </c>
      <c r="X36" s="20">
        <v>1</v>
      </c>
      <c r="Y36" s="32">
        <v>122</v>
      </c>
      <c r="Z36" s="4" t="str">
        <f ca="1">IFERROR(VLOOKUP($Y36,OFFSET([3]characters!$A$1,0,0,COUNTA([3]characters!$A:$A),MATCH(Z$1,[3]characters!$2:$2,0)-MATCH("character_id",[3]characters!$2:$2,0)+1),MATCH(Z$1,[3]characters!$2:$2,0)-MATCH("character_id",[3]characters!$2:$2,0)+1,FALSE),"")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36" s="4">
        <f ca="1">IFERROR(VLOOKUP($Y36,OFFSET([3]characters!$A$1,0,0,COUNTA([3]characters!$A:$A),MATCH(AA$1,[3]characters!$2:$2,0)-MATCH("character_id",[3]characters!$2:$2,0)+1),MATCH(AA$1,[3]characters!$2:$2,0)-MATCH("character_id",[3]characters!$2:$2,0)+1,FALSE),"")</f>
        <v>3</v>
      </c>
      <c r="AB36" s="4" t="str">
        <f ca="1">IFERROR(VLOOKUP($Y36,OFFSET([3]characters!$A$1,0,0,COUNTA([3]characters!$A:$A),MATCH(AB$1,[3]characters!$2:$2,0)-MATCH("character_id",[3]characters!$2:$2,0)+1),MATCH(AB$1,[3]characters!$2:$2,0)-MATCH("character_id",[3]characters!$2:$2,0)+1,FALSE),"")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" s="27">
        <v>1</v>
      </c>
      <c r="AD36" s="33">
        <f t="shared" ca="1" si="3"/>
        <v>3</v>
      </c>
      <c r="AE36" s="7">
        <v>100</v>
      </c>
      <c r="AF36" s="27">
        <v>0</v>
      </c>
      <c r="AG36" s="27">
        <v>0</v>
      </c>
      <c r="AH36" s="27">
        <v>0</v>
      </c>
      <c r="AI36" s="27">
        <v>0</v>
      </c>
      <c r="AJ36" s="27">
        <v>1</v>
      </c>
    </row>
    <row r="37" spans="1:36" ht="21" customHeight="1">
      <c r="A37" s="17" t="str">
        <f t="shared" si="0"/>
        <v>11208_2-5/123&lt;lv32&gt;s1</v>
      </c>
      <c r="B37" s="27">
        <v>11208</v>
      </c>
      <c r="C37" s="30">
        <v>2</v>
      </c>
      <c r="D37" s="16" t="str">
        <f t="shared" si="1"/>
        <v>11208_2</v>
      </c>
      <c r="E37" s="4" t="str">
        <f ca="1">VLOOKUP($B37,OFFSET([1]quests!$A$1,0,0,COUNTA([1]quests!$A:$A),MATCH(E$1,[1]quests!$1:$1,0)-MATCH($B$1,[1]quests!$1:$1,0)+1),MATCH(E$1,[1]quests!$1:$1,0)-MATCH($B$1,[1]quests!$1:$1,0)+1,FALSE)</f>
        <v>果実達の大宴会</v>
      </c>
      <c r="F37" s="4" t="str">
        <f ca="1">VLOOKUP($D37,OFFSET([1]stages!$A$1,0,0,COUNTA([1]stages!$A:$A),MATCH(F$1,[1]stages!$2:$2,0)-MATCH($D$1,[1]stages!$2:$2,0)+1),MATCH(F$1,[1]stages!$2:$2,0)-MATCH($D$1,[1]stages!$2:$2,0)+1,FALSE)</f>
        <v>果実達の大宴会【超級】</v>
      </c>
      <c r="G37" s="28">
        <v>5</v>
      </c>
      <c r="H37" s="16" t="str">
        <f t="shared" si="2"/>
        <v>11208_2-5</v>
      </c>
      <c r="I37" s="32">
        <v>123</v>
      </c>
      <c r="J37" s="20" t="str">
        <f ca="1">VLOOKUP($I37,OFFSET([2]enemies!$A$1,0,0,COUNTA([2]enemies!$A:$A),MATCH(J$1,[2]enemies!$2:$2,0)-MATCH($I$1,[2]enemies!$2:$2,0)+1),MATCH(J$1,[2]enemies!$2:$2,0)-MATCH($I$1,[2]enemies!$2:$2,0)+1,FALSE)</f>
        <v>癒しの果実</v>
      </c>
      <c r="K37" s="22" t="str">
        <f ca="1">VLOOKUP($I37,OFFSET([2]enemies!$A$1,0,0,COUNTA([2]enemies!$A:$A),MATCH(K$1,[2]enemies!$2:$2,0)-MATCH($I$1,[2]enemies!$2:$2,0)+1),MATCH(K$1,[2]enemies!$2:$2,0)-MATCH($I$1,[2]enemies!$2:$2,0)+1,FALSE)</f>
        <v>blue</v>
      </c>
      <c r="L37" s="22" t="str">
        <f ca="1">VLOOKUP($I37,OFFSET([3]characters!$A$1,0,0,COUNTA([3]characters!$A:$A),MATCH(L$1,[3]characters!$2:$2,0)-MATCH($I$1,[3]characters!$2:$2,0)+1),MATCH(L$1,[3]characters!$2:$2,0)-MATCH($I$1,[3]characters!$2:$2,0)+1,FALSE)</f>
        <v>Material</v>
      </c>
      <c r="M37" s="21" t="str">
        <f ca="1">VLOOKUP($I37,OFFSET([3]characters!$A$1,0,0,COUNTA([3]characters!$A:$A),MATCH(M$1,[3]characters!$2:$2,0)-MATCH($I$1,[3]characters!$2:$2,0)+2),MATCH(M$1,[3]characters!$2:$2,0)-MATCH($I$1,[3]characters!$2:$2,0)+2,FALSE)</f>
        <v>Unknown</v>
      </c>
      <c r="N37" s="4">
        <f ca="1">VLOOKUP($I37,OFFSET([2]enemies!$A$1,0,0,COUNTA([2]enemies!$A:$A),MATCH(N$1,[2]enemies!$2:$2,0)-MATCH($I$1,[2]enemies!$2:$2,0)+1),MATCH(N$1,[2]enemies!$2:$2,0)-MATCH($I$1,[2]enemies!$2:$2,0)+1,FALSE)</f>
        <v>20</v>
      </c>
      <c r="O37" s="5">
        <v>32</v>
      </c>
      <c r="P37" s="25">
        <v>0.4</v>
      </c>
      <c r="Q37" s="25">
        <v>1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4">
        <f ca="1">VLOOKUP($I37,OFFSET([2]enemies!$A$1,0,0,COUNTA([2]enemies!$A:$A),MATCH(T$1,[2]enemies!$2:$2,0)-MATCH($I$1,[2]enemies!$2:$2,0)+1),MATCH(T$1,[2]enemies!$2:$2,0)-MATCH($I$1,[2]enemies!$2:$2,0)+1,FALSE)</f>
        <v>0</v>
      </c>
      <c r="U37" s="6">
        <v>0</v>
      </c>
      <c r="V37" s="6">
        <v>100</v>
      </c>
      <c r="W37" s="6">
        <v>0</v>
      </c>
      <c r="X37" s="20">
        <v>1</v>
      </c>
      <c r="Y37" s="32">
        <v>123</v>
      </c>
      <c r="Z37" s="4" t="str">
        <f ca="1">IFERROR(VLOOKUP($Y37,OFFSET([3]characters!$A$1,0,0,COUNTA([3]characters!$A:$A),MATCH(Z$1,[3]characters!$2:$2,0)-MATCH("character_id",[3]characters!$2:$2,0)+1),MATCH(Z$1,[3]characters!$2:$2,0)-MATCH("character_id",[3]characters!$2:$2,0)+1,FALSE),"")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37" s="4">
        <f ca="1">IFERROR(VLOOKUP($Y37,OFFSET([3]characters!$A$1,0,0,COUNTA([3]characters!$A:$A),MATCH(AA$1,[3]characters!$2:$2,0)-MATCH("character_id",[3]characters!$2:$2,0)+1),MATCH(AA$1,[3]characters!$2:$2,0)-MATCH("character_id",[3]characters!$2:$2,0)+1,FALSE),"")</f>
        <v>3</v>
      </c>
      <c r="AB37" s="4" t="str">
        <f ca="1">IFERROR(VLOOKUP($Y37,OFFSET([3]characters!$A$1,0,0,COUNTA([3]characters!$A:$A),MATCH(AB$1,[3]characters!$2:$2,0)-MATCH("character_id",[3]characters!$2:$2,0)+1),MATCH(AB$1,[3]characters!$2:$2,0)-MATCH("character_id",[3]characters!$2:$2,0)+1,FALSE),"")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" s="27">
        <v>1</v>
      </c>
      <c r="AD37" s="33">
        <f t="shared" ca="1" si="3"/>
        <v>3</v>
      </c>
      <c r="AE37" s="7">
        <v>100</v>
      </c>
      <c r="AF37" s="27">
        <v>0</v>
      </c>
      <c r="AG37" s="27">
        <v>0</v>
      </c>
      <c r="AH37" s="27">
        <v>0</v>
      </c>
      <c r="AI37" s="27">
        <v>0</v>
      </c>
      <c r="AJ37" s="27">
        <v>1</v>
      </c>
    </row>
    <row r="38" spans="1:36" ht="21" customHeight="1">
      <c r="A38" s="17" t="str">
        <f t="shared" si="0"/>
        <v>11208_2-6/121&lt;lv32&gt;s1</v>
      </c>
      <c r="B38" s="27">
        <v>11208</v>
      </c>
      <c r="C38" s="30">
        <v>2</v>
      </c>
      <c r="D38" s="16" t="str">
        <f t="shared" si="1"/>
        <v>11208_2</v>
      </c>
      <c r="E38" s="4" t="str">
        <f ca="1">VLOOKUP($B38,OFFSET([1]quests!$A$1,0,0,COUNTA([1]quests!$A:$A),MATCH(E$1,[1]quests!$1:$1,0)-MATCH($B$1,[1]quests!$1:$1,0)+1),MATCH(E$1,[1]quests!$1:$1,0)-MATCH($B$1,[1]quests!$1:$1,0)+1,FALSE)</f>
        <v>果実達の大宴会</v>
      </c>
      <c r="F38" s="4" t="str">
        <f ca="1">VLOOKUP($D38,OFFSET([1]stages!$A$1,0,0,COUNTA([1]stages!$A:$A),MATCH(F$1,[1]stages!$2:$2,0)-MATCH($D$1,[1]stages!$2:$2,0)+1),MATCH(F$1,[1]stages!$2:$2,0)-MATCH($D$1,[1]stages!$2:$2,0)+1,FALSE)</f>
        <v>果実達の大宴会【超級】</v>
      </c>
      <c r="G38" s="31">
        <v>6</v>
      </c>
      <c r="H38" s="16" t="str">
        <f t="shared" si="2"/>
        <v>11208_2-6</v>
      </c>
      <c r="I38" s="32">
        <v>121</v>
      </c>
      <c r="J38" s="20" t="str">
        <f ca="1">VLOOKUP($I38,OFFSET([2]enemies!$A$1,0,0,COUNTA([2]enemies!$A:$A),MATCH(J$1,[2]enemies!$2:$2,0)-MATCH($I$1,[2]enemies!$2:$2,0)+1),MATCH(J$1,[2]enemies!$2:$2,0)-MATCH($I$1,[2]enemies!$2:$2,0)+1,FALSE)</f>
        <v>攻めの果実</v>
      </c>
      <c r="K38" s="22" t="str">
        <f ca="1">VLOOKUP($I38,OFFSET([2]enemies!$A$1,0,0,COUNTA([2]enemies!$A:$A),MATCH(K$1,[2]enemies!$2:$2,0)-MATCH($I$1,[2]enemies!$2:$2,0)+1),MATCH(K$1,[2]enemies!$2:$2,0)-MATCH($I$1,[2]enemies!$2:$2,0)+1,FALSE)</f>
        <v>red</v>
      </c>
      <c r="L38" s="22" t="str">
        <f ca="1">VLOOKUP($I38,OFFSET([3]characters!$A$1,0,0,COUNTA([3]characters!$A:$A),MATCH(L$1,[3]characters!$2:$2,0)-MATCH($I$1,[3]characters!$2:$2,0)+1),MATCH(L$1,[3]characters!$2:$2,0)-MATCH($I$1,[3]characters!$2:$2,0)+1,FALSE)</f>
        <v>Material</v>
      </c>
      <c r="M38" s="21" t="str">
        <f ca="1">VLOOKUP($I38,OFFSET([3]characters!$A$1,0,0,COUNTA([3]characters!$A:$A),MATCH(M$1,[3]characters!$2:$2,0)-MATCH($I$1,[3]characters!$2:$2,0)+2),MATCH(M$1,[3]characters!$2:$2,0)-MATCH($I$1,[3]characters!$2:$2,0)+2,FALSE)</f>
        <v>Unknown</v>
      </c>
      <c r="N38" s="4">
        <f ca="1">VLOOKUP($I38,OFFSET([2]enemies!$A$1,0,0,COUNTA([2]enemies!$A:$A),MATCH(N$1,[2]enemies!$2:$2,0)-MATCH($I$1,[2]enemies!$2:$2,0)+1),MATCH(N$1,[2]enemies!$2:$2,0)-MATCH($I$1,[2]enemies!$2:$2,0)+1,FALSE)</f>
        <v>20</v>
      </c>
      <c r="O38" s="5">
        <v>32</v>
      </c>
      <c r="P38" s="25">
        <v>0.4</v>
      </c>
      <c r="Q38" s="25">
        <v>1</v>
      </c>
      <c r="R38" s="5">
        <v>0</v>
      </c>
      <c r="S38" s="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4">
        <f ca="1">VLOOKUP($I38,OFFSET([2]enemies!$A$1,0,0,COUNTA([2]enemies!$A:$A),MATCH(T$1,[2]enemies!$2:$2,0)-MATCH($I$1,[2]enemies!$2:$2,0)+1),MATCH(T$1,[2]enemies!$2:$2,0)-MATCH($I$1,[2]enemies!$2:$2,0)+1,FALSE)</f>
        <v>0</v>
      </c>
      <c r="U38" s="6">
        <v>0</v>
      </c>
      <c r="V38" s="6">
        <v>100</v>
      </c>
      <c r="W38" s="6">
        <v>0</v>
      </c>
      <c r="X38" s="20">
        <v>1</v>
      </c>
      <c r="Y38" s="32">
        <v>121</v>
      </c>
      <c r="Z38" s="4" t="str">
        <f ca="1">IFERROR(VLOOKUP($Y38,OFFSET([3]characters!$A$1,0,0,COUNTA([3]characters!$A:$A),MATCH(Z$1,[3]characters!$2:$2,0)-MATCH("character_id",[3]characters!$2:$2,0)+1),MATCH(Z$1,[3]characters!$2:$2,0)-MATCH("character_id",[3]characters!$2:$2,0)+1,FALSE),"")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38" s="4">
        <f ca="1">IFERROR(VLOOKUP($Y38,OFFSET([3]characters!$A$1,0,0,COUNTA([3]characters!$A:$A),MATCH(AA$1,[3]characters!$2:$2,0)-MATCH("character_id",[3]characters!$2:$2,0)+1),MATCH(AA$1,[3]characters!$2:$2,0)-MATCH("character_id",[3]characters!$2:$2,0)+1,FALSE),"")</f>
        <v>3</v>
      </c>
      <c r="AB38" s="4" t="str">
        <f ca="1">IFERROR(VLOOKUP($Y38,OFFSET([3]characters!$A$1,0,0,COUNTA([3]characters!$A:$A),MATCH(AB$1,[3]characters!$2:$2,0)-MATCH("character_id",[3]characters!$2:$2,0)+1),MATCH(AB$1,[3]characters!$2:$2,0)-MATCH("character_id",[3]characters!$2:$2,0)+1,FALSE),"")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8" s="27">
        <v>1</v>
      </c>
      <c r="AD38" s="33">
        <f t="shared" ca="1" si="3"/>
        <v>3</v>
      </c>
      <c r="AE38" s="7">
        <v>100</v>
      </c>
      <c r="AF38" s="27">
        <v>0</v>
      </c>
      <c r="AG38" s="27">
        <v>0</v>
      </c>
      <c r="AH38" s="27">
        <v>0</v>
      </c>
      <c r="AI38" s="27">
        <v>0</v>
      </c>
      <c r="AJ38" s="27">
        <v>1</v>
      </c>
    </row>
    <row r="39" spans="1:36" ht="21" customHeight="1">
      <c r="A39" s="17" t="str">
        <f t="shared" si="0"/>
        <v>11208_2-6/122&lt;lv32&gt;s1</v>
      </c>
      <c r="B39" s="27">
        <v>11208</v>
      </c>
      <c r="C39" s="30">
        <v>2</v>
      </c>
      <c r="D39" s="16" t="str">
        <f t="shared" si="1"/>
        <v>11208_2</v>
      </c>
      <c r="E39" s="4" t="str">
        <f ca="1">VLOOKUP($B39,OFFSET([1]quests!$A$1,0,0,COUNTA([1]quests!$A:$A),MATCH(E$1,[1]quests!$1:$1,0)-MATCH($B$1,[1]quests!$1:$1,0)+1),MATCH(E$1,[1]quests!$1:$1,0)-MATCH($B$1,[1]quests!$1:$1,0)+1,FALSE)</f>
        <v>果実達の大宴会</v>
      </c>
      <c r="F39" s="4" t="str">
        <f ca="1">VLOOKUP($D39,OFFSET([1]stages!$A$1,0,0,COUNTA([1]stages!$A:$A),MATCH(F$1,[1]stages!$2:$2,0)-MATCH($D$1,[1]stages!$2:$2,0)+1),MATCH(F$1,[1]stages!$2:$2,0)-MATCH($D$1,[1]stages!$2:$2,0)+1,FALSE)</f>
        <v>果実達の大宴会【超級】</v>
      </c>
      <c r="G39" s="31">
        <v>6</v>
      </c>
      <c r="H39" s="16" t="str">
        <f t="shared" si="2"/>
        <v>11208_2-6</v>
      </c>
      <c r="I39" s="32">
        <v>122</v>
      </c>
      <c r="J39" s="20" t="str">
        <f ca="1">VLOOKUP($I39,OFFSET([2]enemies!$A$1,0,0,COUNTA([2]enemies!$A:$A),MATCH(J$1,[2]enemies!$2:$2,0)-MATCH($I$1,[2]enemies!$2:$2,0)+1),MATCH(J$1,[2]enemies!$2:$2,0)-MATCH($I$1,[2]enemies!$2:$2,0)+1,FALSE)</f>
        <v>生命の果実</v>
      </c>
      <c r="K39" s="22" t="str">
        <f ca="1">VLOOKUP($I39,OFFSET([2]enemies!$A$1,0,0,COUNTA([2]enemies!$A:$A),MATCH(K$1,[2]enemies!$2:$2,0)-MATCH($I$1,[2]enemies!$2:$2,0)+1),MATCH(K$1,[2]enemies!$2:$2,0)-MATCH($I$1,[2]enemies!$2:$2,0)+1,FALSE)</f>
        <v>green</v>
      </c>
      <c r="L39" s="22" t="str">
        <f ca="1">VLOOKUP($I39,OFFSET([3]characters!$A$1,0,0,COUNTA([3]characters!$A:$A),MATCH(L$1,[3]characters!$2:$2,0)-MATCH($I$1,[3]characters!$2:$2,0)+1),MATCH(L$1,[3]characters!$2:$2,0)-MATCH($I$1,[3]characters!$2:$2,0)+1,FALSE)</f>
        <v>Material</v>
      </c>
      <c r="M39" s="21" t="str">
        <f ca="1">VLOOKUP($I39,OFFSET([3]characters!$A$1,0,0,COUNTA([3]characters!$A:$A),MATCH(M$1,[3]characters!$2:$2,0)-MATCH($I$1,[3]characters!$2:$2,0)+2),MATCH(M$1,[3]characters!$2:$2,0)-MATCH($I$1,[3]characters!$2:$2,0)+2,FALSE)</f>
        <v>Unknown</v>
      </c>
      <c r="N39" s="4">
        <f ca="1">VLOOKUP($I39,OFFSET([2]enemies!$A$1,0,0,COUNTA([2]enemies!$A:$A),MATCH(N$1,[2]enemies!$2:$2,0)-MATCH($I$1,[2]enemies!$2:$2,0)+1),MATCH(N$1,[2]enemies!$2:$2,0)-MATCH($I$1,[2]enemies!$2:$2,0)+1,FALSE)</f>
        <v>20</v>
      </c>
      <c r="O39" s="5">
        <v>32</v>
      </c>
      <c r="P39" s="25">
        <v>0.4</v>
      </c>
      <c r="Q39" s="25">
        <v>1</v>
      </c>
      <c r="R39" s="5">
        <v>0</v>
      </c>
      <c r="S39" s="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4">
        <f ca="1">VLOOKUP($I39,OFFSET([2]enemies!$A$1,0,0,COUNTA([2]enemies!$A:$A),MATCH(T$1,[2]enemies!$2:$2,0)-MATCH($I$1,[2]enemies!$2:$2,0)+1),MATCH(T$1,[2]enemies!$2:$2,0)-MATCH($I$1,[2]enemies!$2:$2,0)+1,FALSE)</f>
        <v>0</v>
      </c>
      <c r="U39" s="6">
        <v>0</v>
      </c>
      <c r="V39" s="6">
        <v>100</v>
      </c>
      <c r="W39" s="6">
        <v>0</v>
      </c>
      <c r="X39" s="20">
        <v>1</v>
      </c>
      <c r="Y39" s="32">
        <v>122</v>
      </c>
      <c r="Z39" s="4" t="str">
        <f ca="1">IFERROR(VLOOKUP($Y39,OFFSET([3]characters!$A$1,0,0,COUNTA([3]characters!$A:$A),MATCH(Z$1,[3]characters!$2:$2,0)-MATCH("character_id",[3]characters!$2:$2,0)+1),MATCH(Z$1,[3]characters!$2:$2,0)-MATCH("character_id",[3]characters!$2:$2,0)+1,FALSE),"")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39" s="4">
        <f ca="1">IFERROR(VLOOKUP($Y39,OFFSET([3]characters!$A$1,0,0,COUNTA([3]characters!$A:$A),MATCH(AA$1,[3]characters!$2:$2,0)-MATCH("character_id",[3]characters!$2:$2,0)+1),MATCH(AA$1,[3]characters!$2:$2,0)-MATCH("character_id",[3]characters!$2:$2,0)+1,FALSE),"")</f>
        <v>3</v>
      </c>
      <c r="AB39" s="4" t="str">
        <f ca="1">IFERROR(VLOOKUP($Y39,OFFSET([3]characters!$A$1,0,0,COUNTA([3]characters!$A:$A),MATCH(AB$1,[3]characters!$2:$2,0)-MATCH("character_id",[3]characters!$2:$2,0)+1),MATCH(AB$1,[3]characters!$2:$2,0)-MATCH("character_id",[3]characters!$2:$2,0)+1,FALSE),"")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9" s="27">
        <v>1</v>
      </c>
      <c r="AD39" s="33">
        <f t="shared" ca="1" si="3"/>
        <v>3</v>
      </c>
      <c r="AE39" s="7">
        <v>100</v>
      </c>
      <c r="AF39" s="27">
        <v>0</v>
      </c>
      <c r="AG39" s="27">
        <v>0</v>
      </c>
      <c r="AH39" s="27">
        <v>0</v>
      </c>
      <c r="AI39" s="27">
        <v>0</v>
      </c>
      <c r="AJ39" s="27">
        <v>1</v>
      </c>
    </row>
    <row r="40" spans="1:36" ht="21" customHeight="1">
      <c r="A40" s="17" t="str">
        <f t="shared" si="0"/>
        <v>11208_2-6/123&lt;lv32&gt;s1</v>
      </c>
      <c r="B40" s="27">
        <v>11208</v>
      </c>
      <c r="C40" s="30">
        <v>2</v>
      </c>
      <c r="D40" s="16" t="str">
        <f t="shared" si="1"/>
        <v>11208_2</v>
      </c>
      <c r="E40" s="4" t="str">
        <f ca="1">VLOOKUP($B40,OFFSET([1]quests!$A$1,0,0,COUNTA([1]quests!$A:$A),MATCH(E$1,[1]quests!$1:$1,0)-MATCH($B$1,[1]quests!$1:$1,0)+1),MATCH(E$1,[1]quests!$1:$1,0)-MATCH($B$1,[1]quests!$1:$1,0)+1,FALSE)</f>
        <v>果実達の大宴会</v>
      </c>
      <c r="F40" s="4" t="str">
        <f ca="1">VLOOKUP($D40,OFFSET([1]stages!$A$1,0,0,COUNTA([1]stages!$A:$A),MATCH(F$1,[1]stages!$2:$2,0)-MATCH($D$1,[1]stages!$2:$2,0)+1),MATCH(F$1,[1]stages!$2:$2,0)-MATCH($D$1,[1]stages!$2:$2,0)+1,FALSE)</f>
        <v>果実達の大宴会【超級】</v>
      </c>
      <c r="G40" s="31">
        <v>6</v>
      </c>
      <c r="H40" s="16" t="str">
        <f t="shared" si="2"/>
        <v>11208_2-6</v>
      </c>
      <c r="I40" s="32">
        <v>123</v>
      </c>
      <c r="J40" s="20" t="str">
        <f ca="1">VLOOKUP($I40,OFFSET([2]enemies!$A$1,0,0,COUNTA([2]enemies!$A:$A),MATCH(J$1,[2]enemies!$2:$2,0)-MATCH($I$1,[2]enemies!$2:$2,0)+1),MATCH(J$1,[2]enemies!$2:$2,0)-MATCH($I$1,[2]enemies!$2:$2,0)+1,FALSE)</f>
        <v>癒しの果実</v>
      </c>
      <c r="K40" s="22" t="str">
        <f ca="1">VLOOKUP($I40,OFFSET([2]enemies!$A$1,0,0,COUNTA([2]enemies!$A:$A),MATCH(K$1,[2]enemies!$2:$2,0)-MATCH($I$1,[2]enemies!$2:$2,0)+1),MATCH(K$1,[2]enemies!$2:$2,0)-MATCH($I$1,[2]enemies!$2:$2,0)+1,FALSE)</f>
        <v>blue</v>
      </c>
      <c r="L40" s="22" t="str">
        <f ca="1">VLOOKUP($I40,OFFSET([3]characters!$A$1,0,0,COUNTA([3]characters!$A:$A),MATCH(L$1,[3]characters!$2:$2,0)-MATCH($I$1,[3]characters!$2:$2,0)+1),MATCH(L$1,[3]characters!$2:$2,0)-MATCH($I$1,[3]characters!$2:$2,0)+1,FALSE)</f>
        <v>Material</v>
      </c>
      <c r="M40" s="21" t="str">
        <f ca="1">VLOOKUP($I40,OFFSET([3]characters!$A$1,0,0,COUNTA([3]characters!$A:$A),MATCH(M$1,[3]characters!$2:$2,0)-MATCH($I$1,[3]characters!$2:$2,0)+2),MATCH(M$1,[3]characters!$2:$2,0)-MATCH($I$1,[3]characters!$2:$2,0)+2,FALSE)</f>
        <v>Unknown</v>
      </c>
      <c r="N40" s="4">
        <f ca="1">VLOOKUP($I40,OFFSET([2]enemies!$A$1,0,0,COUNTA([2]enemies!$A:$A),MATCH(N$1,[2]enemies!$2:$2,0)-MATCH($I$1,[2]enemies!$2:$2,0)+1),MATCH(N$1,[2]enemies!$2:$2,0)-MATCH($I$1,[2]enemies!$2:$2,0)+1,FALSE)</f>
        <v>20</v>
      </c>
      <c r="O40" s="5">
        <v>32</v>
      </c>
      <c r="P40" s="25">
        <v>0.4</v>
      </c>
      <c r="Q40" s="25">
        <v>1</v>
      </c>
      <c r="R40" s="5">
        <v>0</v>
      </c>
      <c r="S40" s="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4">
        <f ca="1">VLOOKUP($I40,OFFSET([2]enemies!$A$1,0,0,COUNTA([2]enemies!$A:$A),MATCH(T$1,[2]enemies!$2:$2,0)-MATCH($I$1,[2]enemies!$2:$2,0)+1),MATCH(T$1,[2]enemies!$2:$2,0)-MATCH($I$1,[2]enemies!$2:$2,0)+1,FALSE)</f>
        <v>0</v>
      </c>
      <c r="U40" s="6">
        <v>0</v>
      </c>
      <c r="V40" s="6">
        <v>100</v>
      </c>
      <c r="W40" s="6">
        <v>0</v>
      </c>
      <c r="X40" s="20">
        <v>1</v>
      </c>
      <c r="Y40" s="32">
        <v>123</v>
      </c>
      <c r="Z40" s="4" t="str">
        <f ca="1">IFERROR(VLOOKUP($Y40,OFFSET([3]characters!$A$1,0,0,COUNTA([3]characters!$A:$A),MATCH(Z$1,[3]characters!$2:$2,0)-MATCH("character_id",[3]characters!$2:$2,0)+1),MATCH(Z$1,[3]characters!$2:$2,0)-MATCH("character_id",[3]characters!$2:$2,0)+1,FALSE),"")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40" s="4">
        <f ca="1">IFERROR(VLOOKUP($Y40,OFFSET([3]characters!$A$1,0,0,COUNTA([3]characters!$A:$A),MATCH(AA$1,[3]characters!$2:$2,0)-MATCH("character_id",[3]characters!$2:$2,0)+1),MATCH(AA$1,[3]characters!$2:$2,0)-MATCH("character_id",[3]characters!$2:$2,0)+1,FALSE),"")</f>
        <v>3</v>
      </c>
      <c r="AB40" s="4" t="str">
        <f ca="1">IFERROR(VLOOKUP($Y40,OFFSET([3]characters!$A$1,0,0,COUNTA([3]characters!$A:$A),MATCH(AB$1,[3]characters!$2:$2,0)-MATCH("character_id",[3]characters!$2:$2,0)+1),MATCH(AB$1,[3]characters!$2:$2,0)-MATCH("character_id",[3]characters!$2:$2,0)+1,FALSE),"")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0" s="27">
        <v>1</v>
      </c>
      <c r="AD40" s="33">
        <f t="shared" ca="1" si="3"/>
        <v>3</v>
      </c>
      <c r="AE40" s="7">
        <v>100</v>
      </c>
      <c r="AF40" s="27">
        <v>0</v>
      </c>
      <c r="AG40" s="27">
        <v>0</v>
      </c>
      <c r="AH40" s="27">
        <v>0</v>
      </c>
      <c r="AI40" s="27">
        <v>0</v>
      </c>
      <c r="AJ40" s="27">
        <v>1</v>
      </c>
    </row>
    <row r="41" spans="1:36" ht="21" customHeight="1">
      <c r="A41" s="17" t="str">
        <f>B41&amp;"_"&amp;C41&amp;"-"&amp;G41&amp;"/"&amp;I41&amp;"&lt;lv"&amp;O41&amp;"&gt;s"&amp;X41</f>
        <v>11208_2-6/125&lt;lv32&gt;s1</v>
      </c>
      <c r="B41" s="27">
        <v>11208</v>
      </c>
      <c r="C41" s="30">
        <v>2</v>
      </c>
      <c r="D41" s="16" t="str">
        <f t="shared" si="1"/>
        <v>11208_2</v>
      </c>
      <c r="E41" s="4" t="str">
        <f ca="1">VLOOKUP($B41,OFFSET([1]quests!$A$1,0,0,COUNTA([1]quests!$A:$A),MATCH(E$1,[1]quests!$1:$1,0)-MATCH($B$1,[1]quests!$1:$1,0)+1),MATCH(E$1,[1]quests!$1:$1,0)-MATCH($B$1,[1]quests!$1:$1,0)+1,FALSE)</f>
        <v>果実達の大宴会</v>
      </c>
      <c r="F41" s="4" t="str">
        <f ca="1">VLOOKUP($D41,OFFSET([1]stages!$A$1,0,0,COUNTA([1]stages!$A:$A),MATCH(F$1,[1]stages!$2:$2,0)-MATCH($D$1,[1]stages!$2:$2,0)+1),MATCH(F$1,[1]stages!$2:$2,0)-MATCH($D$1,[1]stages!$2:$2,0)+1,FALSE)</f>
        <v>果実達の大宴会【超級】</v>
      </c>
      <c r="G41" s="31">
        <v>6</v>
      </c>
      <c r="H41" s="16" t="str">
        <f t="shared" si="2"/>
        <v>11208_2-6</v>
      </c>
      <c r="I41" s="32">
        <v>125</v>
      </c>
      <c r="J41" s="20" t="str">
        <f ca="1">VLOOKUP($I41,OFFSET([2]enemies!$A$1,0,0,COUNTA([2]enemies!$A:$A),MATCH(J$1,[2]enemies!$2:$2,0)-MATCH($I$1,[2]enemies!$2:$2,0)+1),MATCH(J$1,[2]enemies!$2:$2,0)-MATCH($I$1,[2]enemies!$2:$2,0)+1,FALSE)</f>
        <v>秘術の果実</v>
      </c>
      <c r="K41" s="22" t="str">
        <f ca="1">VLOOKUP($I41,OFFSET([2]enemies!$A$1,0,0,COUNTA([2]enemies!$A:$A),MATCH(K$1,[2]enemies!$2:$2,0)-MATCH($I$1,[2]enemies!$2:$2,0)+1),MATCH(K$1,[2]enemies!$2:$2,0)-MATCH($I$1,[2]enemies!$2:$2,0)+1,FALSE)</f>
        <v>blue</v>
      </c>
      <c r="L41" s="22" t="str">
        <f ca="1">VLOOKUP($I41,OFFSET([3]characters!$A$1,0,0,COUNTA([3]characters!$A:$A),MATCH(L$1,[3]characters!$2:$2,0)-MATCH($I$1,[3]characters!$2:$2,0)+1),MATCH(L$1,[3]characters!$2:$2,0)-MATCH($I$1,[3]characters!$2:$2,0)+1,FALSE)</f>
        <v>Material</v>
      </c>
      <c r="M41" s="21" t="str">
        <f ca="1">VLOOKUP($I41,OFFSET([3]characters!$A$1,0,0,COUNTA([3]characters!$A:$A),MATCH(M$1,[3]characters!$2:$2,0)-MATCH($I$1,[3]characters!$2:$2,0)+2),MATCH(M$1,[3]characters!$2:$2,0)-MATCH($I$1,[3]characters!$2:$2,0)+2,FALSE)</f>
        <v>Unknown</v>
      </c>
      <c r="N41" s="4">
        <f ca="1">VLOOKUP($I41,OFFSET([2]enemies!$A$1,0,0,COUNTA([2]enemies!$A:$A),MATCH(N$1,[2]enemies!$2:$2,0)-MATCH($I$1,[2]enemies!$2:$2,0)+1),MATCH(N$1,[2]enemies!$2:$2,0)-MATCH($I$1,[2]enemies!$2:$2,0)+1,FALSE)</f>
        <v>20</v>
      </c>
      <c r="O41" s="5">
        <v>32</v>
      </c>
      <c r="P41" s="25">
        <v>0.4</v>
      </c>
      <c r="Q41" s="25">
        <v>1</v>
      </c>
      <c r="R41" s="5">
        <v>0</v>
      </c>
      <c r="S41" s="4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4">
        <f ca="1">VLOOKUP($I41,OFFSET([2]enemies!$A$1,0,0,COUNTA([2]enemies!$A:$A),MATCH(T$1,[2]enemies!$2:$2,0)-MATCH($I$1,[2]enemies!$2:$2,0)+1),MATCH(T$1,[2]enemies!$2:$2,0)-MATCH($I$1,[2]enemies!$2:$2,0)+1,FALSE)</f>
        <v>0</v>
      </c>
      <c r="U41" s="6">
        <v>1</v>
      </c>
      <c r="V41" s="6">
        <v>0</v>
      </c>
      <c r="W41" s="6">
        <v>1</v>
      </c>
      <c r="X41" s="20">
        <v>1</v>
      </c>
      <c r="Y41" s="32">
        <v>125</v>
      </c>
      <c r="Z41" s="4" t="str">
        <f ca="1">IFERROR(VLOOKUP($Y41,OFFSET([3]characters!$A$1,0,0,COUNTA([3]characters!$A:$A),MATCH(Z$1,[3]characters!$2:$2,0)-MATCH("character_id",[3]characters!$2:$2,0)+1),MATCH(Z$1,[3]characters!$2:$2,0)-MATCH("character_id",[3]characters!$2:$2,0)+1,FALSE),"")</f>
        <v>秘術の果実</v>
      </c>
      <c r="AA41" s="4">
        <f ca="1">IFERROR(VLOOKUP($Y41,OFFSET([3]characters!$A$1,0,0,COUNTA([3]characters!$A:$A),MATCH(AA$1,[3]characters!$2:$2,0)-MATCH("character_id",[3]characters!$2:$2,0)+1),MATCH(AA$1,[3]characters!$2:$2,0)-MATCH("character_id",[3]characters!$2:$2,0)+1,FALSE),"")</f>
        <v>3</v>
      </c>
      <c r="AB41" s="4" t="str">
        <f ca="1">IFERROR(VLOOKUP($Y41,OFFSET([3]characters!$A$1,0,0,COUNTA([3]characters!$A:$A),MATCH(AB$1,[3]characters!$2:$2,0)-MATCH("character_id",[3]characters!$2:$2,0)+1),MATCH(AB$1,[3]characters!$2:$2,0)-MATCH("character_id",[3]characters!$2:$2,0)+1,FALSE),"")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41" s="27">
        <v>1</v>
      </c>
      <c r="AD41" s="33">
        <f t="shared" ca="1" si="3"/>
        <v>3</v>
      </c>
      <c r="AE41" s="7">
        <v>100</v>
      </c>
      <c r="AF41" s="27">
        <v>0</v>
      </c>
      <c r="AG41" s="27">
        <v>0</v>
      </c>
      <c r="AH41" s="27">
        <v>0</v>
      </c>
      <c r="AI41" s="27">
        <v>0</v>
      </c>
      <c r="AJ41" s="27">
        <v>1</v>
      </c>
    </row>
  </sheetData>
  <sheetProtection selectLockedCells="1" selectUnlockedCells="1"/>
  <autoFilter ref="B1:AG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2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42" sqref="G42"/>
    </sheetView>
  </sheetViews>
  <sheetFormatPr baseColWidth="12" defaultRowHeight="18" x14ac:dyDescent="0"/>
  <cols>
    <col min="1" max="1" width="10.1640625" style="18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2" customFormat="1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floors_cp_quests2_2</v>
      </c>
    </row>
    <row r="2" spans="1:6" s="14" customFormat="1">
      <c r="A2" s="18" t="s">
        <v>28</v>
      </c>
      <c r="B2" s="14" t="s">
        <v>0</v>
      </c>
      <c r="C2" s="14" t="s">
        <v>1</v>
      </c>
      <c r="D2" s="14" t="s">
        <v>13</v>
      </c>
      <c r="E2" s="14" t="s">
        <v>14</v>
      </c>
      <c r="F2" s="14" t="s">
        <v>15</v>
      </c>
    </row>
    <row r="3" spans="1:6">
      <c r="A3" s="19" t="str">
        <f t="shared" ref="A3:A12" si="0">INDIRECT(ADDRESS(ROW()+$A$1,COLUMN(),1,TRUE,$C$1))</f>
        <v>11208_1-1</v>
      </c>
      <c r="B3" s="15">
        <f t="shared" ref="B3:F12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11208</v>
      </c>
      <c r="C3" s="15">
        <f t="shared" si="1"/>
        <v>1</v>
      </c>
      <c r="D3" s="15">
        <f t="shared" si="1"/>
        <v>1</v>
      </c>
      <c r="E3" s="15">
        <f t="shared" si="1"/>
        <v>35</v>
      </c>
      <c r="F3" s="15">
        <f t="shared" si="1"/>
        <v>35</v>
      </c>
    </row>
    <row r="4" spans="1:6">
      <c r="A4" s="19" t="str">
        <f t="shared" si="0"/>
        <v>11208_1-2</v>
      </c>
      <c r="B4" s="15">
        <f t="shared" si="1"/>
        <v>11208</v>
      </c>
      <c r="C4" s="15">
        <f t="shared" si="1"/>
        <v>1</v>
      </c>
      <c r="D4" s="15">
        <f t="shared" si="1"/>
        <v>2</v>
      </c>
      <c r="E4" s="15">
        <f t="shared" si="1"/>
        <v>35</v>
      </c>
      <c r="F4" s="15">
        <f t="shared" si="1"/>
        <v>35</v>
      </c>
    </row>
    <row r="5" spans="1:6">
      <c r="A5" s="19" t="str">
        <f t="shared" si="0"/>
        <v>11208_1-3</v>
      </c>
      <c r="B5" s="15">
        <f t="shared" si="1"/>
        <v>11208</v>
      </c>
      <c r="C5" s="15">
        <f t="shared" si="1"/>
        <v>1</v>
      </c>
      <c r="D5" s="15">
        <f t="shared" si="1"/>
        <v>3</v>
      </c>
      <c r="E5" s="15">
        <f t="shared" si="1"/>
        <v>35</v>
      </c>
      <c r="F5" s="15">
        <f t="shared" si="1"/>
        <v>35</v>
      </c>
    </row>
    <row r="6" spans="1:6">
      <c r="A6" s="19" t="str">
        <f t="shared" si="0"/>
        <v>11208_1-4</v>
      </c>
      <c r="B6" s="15">
        <f t="shared" si="1"/>
        <v>11208</v>
      </c>
      <c r="C6" s="15">
        <f t="shared" si="1"/>
        <v>1</v>
      </c>
      <c r="D6" s="15">
        <f t="shared" si="1"/>
        <v>4</v>
      </c>
      <c r="E6" s="15">
        <f t="shared" si="1"/>
        <v>20</v>
      </c>
      <c r="F6" s="15">
        <f t="shared" si="1"/>
        <v>20</v>
      </c>
    </row>
    <row r="7" spans="1:6">
      <c r="A7" s="19" t="str">
        <f t="shared" si="0"/>
        <v>11208_2-1</v>
      </c>
      <c r="B7" s="15">
        <f t="shared" si="1"/>
        <v>11208</v>
      </c>
      <c r="C7" s="15">
        <f t="shared" si="1"/>
        <v>2</v>
      </c>
      <c r="D7" s="15">
        <f t="shared" si="1"/>
        <v>1</v>
      </c>
      <c r="E7" s="15">
        <f t="shared" si="1"/>
        <v>35</v>
      </c>
      <c r="F7" s="15">
        <f t="shared" si="1"/>
        <v>35</v>
      </c>
    </row>
    <row r="8" spans="1:6">
      <c r="A8" s="19" t="str">
        <f t="shared" si="0"/>
        <v>11208_2-2</v>
      </c>
      <c r="B8" s="15">
        <f t="shared" si="1"/>
        <v>11208</v>
      </c>
      <c r="C8" s="15">
        <f t="shared" si="1"/>
        <v>2</v>
      </c>
      <c r="D8" s="15">
        <f t="shared" si="1"/>
        <v>2</v>
      </c>
      <c r="E8" s="15">
        <f t="shared" si="1"/>
        <v>35</v>
      </c>
      <c r="F8" s="15">
        <f t="shared" si="1"/>
        <v>35</v>
      </c>
    </row>
    <row r="9" spans="1:6">
      <c r="A9" s="19" t="str">
        <f t="shared" si="0"/>
        <v>11208_2-3</v>
      </c>
      <c r="B9" s="15">
        <f t="shared" si="1"/>
        <v>11208</v>
      </c>
      <c r="C9" s="15">
        <f t="shared" si="1"/>
        <v>2</v>
      </c>
      <c r="D9" s="15">
        <f t="shared" si="1"/>
        <v>3</v>
      </c>
      <c r="E9" s="15">
        <f t="shared" si="1"/>
        <v>35</v>
      </c>
      <c r="F9" s="15">
        <f t="shared" si="1"/>
        <v>35</v>
      </c>
    </row>
    <row r="10" spans="1:6">
      <c r="A10" s="19" t="str">
        <f t="shared" si="0"/>
        <v>11208_2-4</v>
      </c>
      <c r="B10" s="15">
        <f t="shared" si="1"/>
        <v>11208</v>
      </c>
      <c r="C10" s="15">
        <f t="shared" si="1"/>
        <v>2</v>
      </c>
      <c r="D10" s="15">
        <f t="shared" si="1"/>
        <v>4</v>
      </c>
      <c r="E10" s="15">
        <f t="shared" si="1"/>
        <v>35</v>
      </c>
      <c r="F10" s="15">
        <f t="shared" si="1"/>
        <v>35</v>
      </c>
    </row>
    <row r="11" spans="1:6">
      <c r="A11" s="19" t="str">
        <f t="shared" si="0"/>
        <v>11208_2-5</v>
      </c>
      <c r="B11" s="15">
        <f t="shared" si="1"/>
        <v>11208</v>
      </c>
      <c r="C11" s="15">
        <f t="shared" si="1"/>
        <v>2</v>
      </c>
      <c r="D11" s="15">
        <f t="shared" si="1"/>
        <v>5</v>
      </c>
      <c r="E11" s="15">
        <f t="shared" si="1"/>
        <v>35</v>
      </c>
      <c r="F11" s="15">
        <f t="shared" si="1"/>
        <v>35</v>
      </c>
    </row>
    <row r="12" spans="1:6">
      <c r="A12" s="19" t="str">
        <f t="shared" si="0"/>
        <v>11208_2-6</v>
      </c>
      <c r="B12" s="15">
        <f t="shared" si="1"/>
        <v>11208</v>
      </c>
      <c r="C12" s="15">
        <f t="shared" si="1"/>
        <v>2</v>
      </c>
      <c r="D12" s="15">
        <f t="shared" si="1"/>
        <v>6</v>
      </c>
      <c r="E12" s="15">
        <f t="shared" si="1"/>
        <v>40</v>
      </c>
      <c r="F12" s="15">
        <f t="shared" si="1"/>
        <v>40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42"/>
  <sheetViews>
    <sheetView zoomScale="75" zoomScaleNormal="75" zoomScalePageLayoutView="75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F29" sqref="F29"/>
    </sheetView>
  </sheetViews>
  <sheetFormatPr baseColWidth="12" defaultRowHeight="18" x14ac:dyDescent="0"/>
  <cols>
    <col min="1" max="1" width="13.5" style="18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2" customFormat="1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enemy_habitats_cp_quests2_2</v>
      </c>
    </row>
    <row r="2" spans="1:23" s="14" customFormat="1">
      <c r="A2" s="18" t="s">
        <v>26</v>
      </c>
      <c r="B2" s="14" t="s">
        <v>0</v>
      </c>
      <c r="C2" s="14" t="s">
        <v>1</v>
      </c>
      <c r="D2" s="14" t="s">
        <v>13</v>
      </c>
      <c r="E2" s="14" t="s">
        <v>2</v>
      </c>
      <c r="F2" s="14" t="s">
        <v>3</v>
      </c>
      <c r="G2" s="14" t="s">
        <v>44</v>
      </c>
      <c r="H2" s="14" t="s">
        <v>46</v>
      </c>
      <c r="I2" s="14" t="s">
        <v>48</v>
      </c>
      <c r="J2" s="14" t="s">
        <v>20</v>
      </c>
      <c r="K2" s="14" t="s">
        <v>5</v>
      </c>
      <c r="L2" s="14" t="s">
        <v>6</v>
      </c>
      <c r="M2" s="14" t="s">
        <v>7</v>
      </c>
      <c r="N2" s="14" t="s">
        <v>8</v>
      </c>
      <c r="O2" s="14" t="s">
        <v>9</v>
      </c>
      <c r="P2" s="14" t="s">
        <v>10</v>
      </c>
      <c r="Q2" s="14" t="s">
        <v>11</v>
      </c>
      <c r="R2" s="14" t="s">
        <v>12</v>
      </c>
      <c r="S2" s="14" t="s">
        <v>34</v>
      </c>
      <c r="T2" s="14" t="s">
        <v>36</v>
      </c>
      <c r="U2" s="14" t="s">
        <v>38</v>
      </c>
      <c r="V2" s="14" t="s">
        <v>40</v>
      </c>
      <c r="W2" s="14" t="s">
        <v>42</v>
      </c>
    </row>
    <row r="3" spans="1:23">
      <c r="A3" s="19" t="str">
        <f>INDIRECT(ADDRESS(ROW()+$A$1,COLUMN(),1,TRUE,$C$1))</f>
        <v>11208_1-1/121&lt;lv16&gt;s1</v>
      </c>
      <c r="B3" s="15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11208</v>
      </c>
      <c r="C3" s="15">
        <f t="shared" si="0"/>
        <v>1</v>
      </c>
      <c r="D3" s="15">
        <f t="shared" si="0"/>
        <v>1</v>
      </c>
      <c r="E3" s="15">
        <f t="shared" si="0"/>
        <v>121</v>
      </c>
      <c r="F3" s="15">
        <f t="shared" si="0"/>
        <v>16</v>
      </c>
      <c r="G3" s="15">
        <f t="shared" si="0"/>
        <v>0.7</v>
      </c>
      <c r="H3" s="15">
        <f t="shared" si="0"/>
        <v>1</v>
      </c>
      <c r="I3" s="15">
        <f t="shared" si="0"/>
        <v>0</v>
      </c>
      <c r="J3" s="15">
        <f t="shared" si="0"/>
        <v>0</v>
      </c>
      <c r="K3" s="15">
        <f t="shared" si="0"/>
        <v>0</v>
      </c>
      <c r="L3" s="15">
        <f t="shared" si="0"/>
        <v>100</v>
      </c>
      <c r="M3" s="15">
        <f t="shared" si="0"/>
        <v>0</v>
      </c>
      <c r="N3" s="15">
        <f t="shared" si="0"/>
        <v>1</v>
      </c>
      <c r="O3" s="15">
        <f t="shared" si="0"/>
        <v>121</v>
      </c>
      <c r="P3" s="15">
        <f t="shared" si="0"/>
        <v>1</v>
      </c>
      <c r="Q3" s="15">
        <f t="shared" si="0"/>
        <v>3</v>
      </c>
      <c r="R3" s="15">
        <f t="shared" si="0"/>
        <v>100</v>
      </c>
      <c r="S3" s="15">
        <f t="shared" si="0"/>
        <v>0</v>
      </c>
      <c r="T3" s="15">
        <f t="shared" si="0"/>
        <v>0</v>
      </c>
      <c r="U3" s="15">
        <f t="shared" si="0"/>
        <v>0</v>
      </c>
      <c r="V3" s="15">
        <f t="shared" si="0"/>
        <v>0</v>
      </c>
      <c r="W3" s="15">
        <f t="shared" si="0"/>
        <v>1</v>
      </c>
    </row>
    <row r="4" spans="1:23">
      <c r="A4" s="19" t="str">
        <f t="shared" ref="A4:A42" si="1">INDIRECT(ADDRESS(ROW()+$A$1,COLUMN(),1,TRUE,$C$1))</f>
        <v>11208_1-1/122&lt;lv16&gt;s3</v>
      </c>
      <c r="B4" s="15">
        <f t="shared" si="0"/>
        <v>11208</v>
      </c>
      <c r="C4" s="15">
        <f t="shared" si="0"/>
        <v>1</v>
      </c>
      <c r="D4" s="15">
        <f t="shared" si="0"/>
        <v>1</v>
      </c>
      <c r="E4" s="15">
        <f t="shared" si="0"/>
        <v>122</v>
      </c>
      <c r="F4" s="15">
        <f t="shared" si="0"/>
        <v>16</v>
      </c>
      <c r="G4" s="15">
        <f t="shared" si="0"/>
        <v>0.7</v>
      </c>
      <c r="H4" s="15">
        <f t="shared" si="0"/>
        <v>1</v>
      </c>
      <c r="I4" s="15">
        <f t="shared" si="0"/>
        <v>0</v>
      </c>
      <c r="J4" s="15">
        <f t="shared" si="0"/>
        <v>0</v>
      </c>
      <c r="K4" s="15">
        <f t="shared" si="0"/>
        <v>0</v>
      </c>
      <c r="L4" s="15">
        <f t="shared" si="0"/>
        <v>100</v>
      </c>
      <c r="M4" s="15">
        <f t="shared" si="0"/>
        <v>0</v>
      </c>
      <c r="N4" s="15">
        <f t="shared" si="0"/>
        <v>3</v>
      </c>
      <c r="O4" s="15">
        <f t="shared" si="0"/>
        <v>122</v>
      </c>
      <c r="P4" s="15">
        <f t="shared" si="0"/>
        <v>1</v>
      </c>
      <c r="Q4" s="15">
        <f t="shared" si="0"/>
        <v>3</v>
      </c>
      <c r="R4" s="15">
        <f t="shared" si="0"/>
        <v>100</v>
      </c>
      <c r="S4" s="15">
        <f t="shared" si="0"/>
        <v>0</v>
      </c>
      <c r="T4" s="15">
        <f t="shared" si="0"/>
        <v>0</v>
      </c>
      <c r="U4" s="15">
        <f t="shared" si="0"/>
        <v>0</v>
      </c>
      <c r="V4" s="15">
        <f t="shared" si="0"/>
        <v>0</v>
      </c>
      <c r="W4" s="15">
        <f t="shared" si="0"/>
        <v>1</v>
      </c>
    </row>
    <row r="5" spans="1:23">
      <c r="A5" s="19" t="str">
        <f t="shared" si="1"/>
        <v>11208_1-1/123&lt;lv16&gt;s2</v>
      </c>
      <c r="B5" s="15">
        <f t="shared" si="0"/>
        <v>11208</v>
      </c>
      <c r="C5" s="15">
        <f t="shared" si="0"/>
        <v>1</v>
      </c>
      <c r="D5" s="15">
        <f t="shared" si="0"/>
        <v>1</v>
      </c>
      <c r="E5" s="15">
        <f t="shared" si="0"/>
        <v>123</v>
      </c>
      <c r="F5" s="15">
        <f t="shared" si="0"/>
        <v>16</v>
      </c>
      <c r="G5" s="15">
        <f t="shared" si="0"/>
        <v>0.7</v>
      </c>
      <c r="H5" s="15">
        <f t="shared" si="0"/>
        <v>1</v>
      </c>
      <c r="I5" s="15">
        <f t="shared" si="0"/>
        <v>0</v>
      </c>
      <c r="J5" s="15">
        <f t="shared" si="0"/>
        <v>0</v>
      </c>
      <c r="K5" s="15">
        <f t="shared" si="0"/>
        <v>0</v>
      </c>
      <c r="L5" s="15">
        <f t="shared" si="0"/>
        <v>100</v>
      </c>
      <c r="M5" s="15">
        <f t="shared" si="0"/>
        <v>0</v>
      </c>
      <c r="N5" s="15">
        <f t="shared" si="0"/>
        <v>2</v>
      </c>
      <c r="O5" s="15">
        <f t="shared" si="0"/>
        <v>123</v>
      </c>
      <c r="P5" s="15">
        <f t="shared" si="0"/>
        <v>1</v>
      </c>
      <c r="Q5" s="15">
        <f t="shared" si="0"/>
        <v>3</v>
      </c>
      <c r="R5" s="15">
        <f t="shared" si="0"/>
        <v>100</v>
      </c>
      <c r="S5" s="15">
        <f t="shared" si="0"/>
        <v>0</v>
      </c>
      <c r="T5" s="15">
        <f t="shared" si="0"/>
        <v>0</v>
      </c>
      <c r="U5" s="15">
        <f t="shared" si="0"/>
        <v>0</v>
      </c>
      <c r="V5" s="15">
        <f t="shared" si="0"/>
        <v>0</v>
      </c>
      <c r="W5" s="15">
        <f t="shared" si="0"/>
        <v>1</v>
      </c>
    </row>
    <row r="6" spans="1:23">
      <c r="A6" s="19" t="str">
        <f t="shared" si="1"/>
        <v>11208_1-1/51&lt;lv16&gt;s2</v>
      </c>
      <c r="B6" s="15">
        <f t="shared" si="0"/>
        <v>11208</v>
      </c>
      <c r="C6" s="15">
        <f t="shared" si="0"/>
        <v>1</v>
      </c>
      <c r="D6" s="15">
        <f t="shared" si="0"/>
        <v>1</v>
      </c>
      <c r="E6" s="15">
        <f t="shared" si="0"/>
        <v>51</v>
      </c>
      <c r="F6" s="15">
        <f t="shared" si="0"/>
        <v>16</v>
      </c>
      <c r="G6" s="15">
        <f t="shared" si="0"/>
        <v>0.7</v>
      </c>
      <c r="H6" s="15">
        <f t="shared" si="0"/>
        <v>1</v>
      </c>
      <c r="I6" s="15">
        <f t="shared" si="0"/>
        <v>0</v>
      </c>
      <c r="J6" s="15">
        <f t="shared" si="0"/>
        <v>51</v>
      </c>
      <c r="K6" s="15">
        <f t="shared" si="0"/>
        <v>1</v>
      </c>
      <c r="L6" s="15">
        <f t="shared" si="0"/>
        <v>0</v>
      </c>
      <c r="M6" s="15">
        <f t="shared" si="0"/>
        <v>1</v>
      </c>
      <c r="N6" s="15">
        <f t="shared" si="0"/>
        <v>2</v>
      </c>
      <c r="O6" s="15">
        <f t="shared" si="0"/>
        <v>123</v>
      </c>
      <c r="P6" s="15">
        <f t="shared" si="0"/>
        <v>1</v>
      </c>
      <c r="Q6" s="15">
        <f t="shared" si="0"/>
        <v>3</v>
      </c>
      <c r="R6" s="15">
        <f t="shared" si="0"/>
        <v>0</v>
      </c>
      <c r="S6" s="15">
        <f t="shared" si="0"/>
        <v>0</v>
      </c>
      <c r="T6" s="15">
        <f t="shared" si="0"/>
        <v>0</v>
      </c>
      <c r="U6" s="15">
        <f t="shared" si="0"/>
        <v>0</v>
      </c>
      <c r="V6" s="15">
        <f t="shared" si="0"/>
        <v>0</v>
      </c>
      <c r="W6" s="15">
        <f t="shared" si="0"/>
        <v>1</v>
      </c>
    </row>
    <row r="7" spans="1:23">
      <c r="A7" s="19" t="str">
        <f t="shared" si="1"/>
        <v>11208_1-2/121&lt;lv16&gt;s1</v>
      </c>
      <c r="B7" s="15">
        <f t="shared" si="0"/>
        <v>11208</v>
      </c>
      <c r="C7" s="15">
        <f t="shared" si="0"/>
        <v>1</v>
      </c>
      <c r="D7" s="15">
        <f t="shared" si="0"/>
        <v>2</v>
      </c>
      <c r="E7" s="15">
        <f t="shared" si="0"/>
        <v>121</v>
      </c>
      <c r="F7" s="15">
        <f t="shared" si="0"/>
        <v>16</v>
      </c>
      <c r="G7" s="15">
        <f t="shared" si="0"/>
        <v>0.7</v>
      </c>
      <c r="H7" s="15">
        <f t="shared" si="0"/>
        <v>1</v>
      </c>
      <c r="I7" s="15">
        <f t="shared" si="0"/>
        <v>0</v>
      </c>
      <c r="J7" s="15">
        <f t="shared" si="0"/>
        <v>0</v>
      </c>
      <c r="K7" s="15">
        <f t="shared" si="0"/>
        <v>0</v>
      </c>
      <c r="L7" s="15">
        <f t="shared" si="0"/>
        <v>100</v>
      </c>
      <c r="M7" s="15">
        <f t="shared" si="0"/>
        <v>0</v>
      </c>
      <c r="N7" s="15">
        <f t="shared" si="0"/>
        <v>1</v>
      </c>
      <c r="O7" s="15">
        <f t="shared" si="0"/>
        <v>121</v>
      </c>
      <c r="P7" s="15">
        <f t="shared" si="0"/>
        <v>1</v>
      </c>
      <c r="Q7" s="15">
        <f t="shared" si="0"/>
        <v>3</v>
      </c>
      <c r="R7" s="15">
        <f t="shared" si="0"/>
        <v>100</v>
      </c>
      <c r="S7" s="15">
        <f t="shared" si="0"/>
        <v>0</v>
      </c>
      <c r="T7" s="15">
        <f t="shared" si="0"/>
        <v>0</v>
      </c>
      <c r="U7" s="15">
        <f t="shared" si="0"/>
        <v>0</v>
      </c>
      <c r="V7" s="15">
        <f t="shared" si="0"/>
        <v>0</v>
      </c>
      <c r="W7" s="15">
        <f t="shared" si="0"/>
        <v>1</v>
      </c>
    </row>
    <row r="8" spans="1:23">
      <c r="A8" s="19" t="str">
        <f t="shared" si="1"/>
        <v>11208_1-2/122&lt;lv16&gt;s3</v>
      </c>
      <c r="B8" s="15">
        <f t="shared" si="0"/>
        <v>11208</v>
      </c>
      <c r="C8" s="15">
        <f t="shared" si="0"/>
        <v>1</v>
      </c>
      <c r="D8" s="15">
        <f t="shared" si="0"/>
        <v>2</v>
      </c>
      <c r="E8" s="15">
        <f t="shared" si="0"/>
        <v>122</v>
      </c>
      <c r="F8" s="15">
        <f t="shared" si="0"/>
        <v>16</v>
      </c>
      <c r="G8" s="15">
        <f t="shared" si="0"/>
        <v>0.7</v>
      </c>
      <c r="H8" s="15">
        <f t="shared" si="0"/>
        <v>1</v>
      </c>
      <c r="I8" s="15">
        <f t="shared" si="0"/>
        <v>0</v>
      </c>
      <c r="J8" s="15">
        <f t="shared" si="0"/>
        <v>0</v>
      </c>
      <c r="K8" s="15">
        <f t="shared" si="0"/>
        <v>0</v>
      </c>
      <c r="L8" s="15">
        <f t="shared" si="0"/>
        <v>100</v>
      </c>
      <c r="M8" s="15">
        <f t="shared" si="0"/>
        <v>0</v>
      </c>
      <c r="N8" s="15">
        <f t="shared" si="0"/>
        <v>3</v>
      </c>
      <c r="O8" s="15">
        <f t="shared" si="0"/>
        <v>122</v>
      </c>
      <c r="P8" s="15">
        <f t="shared" si="0"/>
        <v>1</v>
      </c>
      <c r="Q8" s="15">
        <f t="shared" si="0"/>
        <v>3</v>
      </c>
      <c r="R8" s="15">
        <f t="shared" si="0"/>
        <v>100</v>
      </c>
      <c r="S8" s="15">
        <f t="shared" si="0"/>
        <v>0</v>
      </c>
      <c r="T8" s="15">
        <f t="shared" si="0"/>
        <v>0</v>
      </c>
      <c r="U8" s="15">
        <f t="shared" si="0"/>
        <v>0</v>
      </c>
      <c r="V8" s="15">
        <f t="shared" si="0"/>
        <v>0</v>
      </c>
      <c r="W8" s="15">
        <f t="shared" si="0"/>
        <v>1</v>
      </c>
    </row>
    <row r="9" spans="1:23">
      <c r="A9" s="19" t="str">
        <f t="shared" si="1"/>
        <v>11208_1-2/123&lt;lv16&gt;s2</v>
      </c>
      <c r="B9" s="15">
        <f t="shared" si="0"/>
        <v>11208</v>
      </c>
      <c r="C9" s="15">
        <f t="shared" si="0"/>
        <v>1</v>
      </c>
      <c r="D9" s="15">
        <f t="shared" si="0"/>
        <v>2</v>
      </c>
      <c r="E9" s="15">
        <f t="shared" si="0"/>
        <v>123</v>
      </c>
      <c r="F9" s="15">
        <f t="shared" si="0"/>
        <v>16</v>
      </c>
      <c r="G9" s="15">
        <f t="shared" si="0"/>
        <v>0.7</v>
      </c>
      <c r="H9" s="15">
        <f t="shared" si="0"/>
        <v>1</v>
      </c>
      <c r="I9" s="15">
        <f t="shared" si="0"/>
        <v>0</v>
      </c>
      <c r="J9" s="15">
        <f t="shared" si="0"/>
        <v>0</v>
      </c>
      <c r="K9" s="15">
        <f t="shared" si="0"/>
        <v>0</v>
      </c>
      <c r="L9" s="15">
        <f t="shared" si="0"/>
        <v>100</v>
      </c>
      <c r="M9" s="15">
        <f t="shared" si="0"/>
        <v>0</v>
      </c>
      <c r="N9" s="15">
        <f t="shared" si="0"/>
        <v>2</v>
      </c>
      <c r="O9" s="15">
        <f t="shared" si="0"/>
        <v>123</v>
      </c>
      <c r="P9" s="15">
        <f t="shared" si="0"/>
        <v>1</v>
      </c>
      <c r="Q9" s="15">
        <f t="shared" si="0"/>
        <v>3</v>
      </c>
      <c r="R9" s="15">
        <f t="shared" si="0"/>
        <v>100</v>
      </c>
      <c r="S9" s="15">
        <f t="shared" si="0"/>
        <v>0</v>
      </c>
      <c r="T9" s="15">
        <f t="shared" si="0"/>
        <v>0</v>
      </c>
      <c r="U9" s="15">
        <f t="shared" si="0"/>
        <v>0</v>
      </c>
      <c r="V9" s="15">
        <f t="shared" si="0"/>
        <v>0</v>
      </c>
      <c r="W9" s="15">
        <f t="shared" si="0"/>
        <v>1</v>
      </c>
    </row>
    <row r="10" spans="1:23">
      <c r="A10" s="19" t="str">
        <f t="shared" si="1"/>
        <v>11208_1-2/53&lt;lv16&gt;s2</v>
      </c>
      <c r="B10" s="15">
        <f t="shared" si="0"/>
        <v>11208</v>
      </c>
      <c r="C10" s="15">
        <f t="shared" si="0"/>
        <v>1</v>
      </c>
      <c r="D10" s="15">
        <f t="shared" si="0"/>
        <v>2</v>
      </c>
      <c r="E10" s="15">
        <f t="shared" si="0"/>
        <v>53</v>
      </c>
      <c r="F10" s="15">
        <f t="shared" si="0"/>
        <v>16</v>
      </c>
      <c r="G10" s="15">
        <f t="shared" si="0"/>
        <v>0.7</v>
      </c>
      <c r="H10" s="15">
        <f t="shared" si="0"/>
        <v>1</v>
      </c>
      <c r="I10" s="15">
        <f t="shared" si="0"/>
        <v>0</v>
      </c>
      <c r="J10" s="15">
        <f t="shared" si="0"/>
        <v>53</v>
      </c>
      <c r="K10" s="15">
        <f t="shared" si="0"/>
        <v>1</v>
      </c>
      <c r="L10" s="15">
        <f t="shared" si="0"/>
        <v>0</v>
      </c>
      <c r="M10" s="15">
        <f t="shared" si="0"/>
        <v>1</v>
      </c>
      <c r="N10" s="15">
        <f t="shared" si="0"/>
        <v>2</v>
      </c>
      <c r="O10" s="15">
        <f t="shared" si="0"/>
        <v>121</v>
      </c>
      <c r="P10" s="15">
        <f t="shared" si="0"/>
        <v>1</v>
      </c>
      <c r="Q10" s="15">
        <f t="shared" si="0"/>
        <v>3</v>
      </c>
      <c r="R10" s="15">
        <f t="shared" si="0"/>
        <v>0</v>
      </c>
      <c r="S10" s="15">
        <f t="shared" si="0"/>
        <v>0</v>
      </c>
      <c r="T10" s="15">
        <f t="shared" si="0"/>
        <v>0</v>
      </c>
      <c r="U10" s="15">
        <f t="shared" si="0"/>
        <v>0</v>
      </c>
      <c r="V10" s="15">
        <f t="shared" si="0"/>
        <v>0</v>
      </c>
      <c r="W10" s="15">
        <f t="shared" si="0"/>
        <v>1</v>
      </c>
    </row>
    <row r="11" spans="1:23">
      <c r="A11" s="19" t="str">
        <f t="shared" si="1"/>
        <v>11208_1-3/121&lt;lv16&gt;s1</v>
      </c>
      <c r="B11" s="15">
        <f t="shared" si="0"/>
        <v>11208</v>
      </c>
      <c r="C11" s="15">
        <f t="shared" si="0"/>
        <v>1</v>
      </c>
      <c r="D11" s="15">
        <f t="shared" si="0"/>
        <v>3</v>
      </c>
      <c r="E11" s="15">
        <f t="shared" si="0"/>
        <v>121</v>
      </c>
      <c r="F11" s="15">
        <f t="shared" si="0"/>
        <v>16</v>
      </c>
      <c r="G11" s="15">
        <f t="shared" si="0"/>
        <v>0.7</v>
      </c>
      <c r="H11" s="15">
        <f t="shared" si="0"/>
        <v>1</v>
      </c>
      <c r="I11" s="15">
        <f t="shared" si="0"/>
        <v>0</v>
      </c>
      <c r="J11" s="15">
        <f t="shared" si="0"/>
        <v>0</v>
      </c>
      <c r="K11" s="15">
        <f t="shared" si="0"/>
        <v>0</v>
      </c>
      <c r="L11" s="15">
        <f t="shared" si="0"/>
        <v>100</v>
      </c>
      <c r="M11" s="15">
        <f t="shared" si="0"/>
        <v>0</v>
      </c>
      <c r="N11" s="15">
        <f t="shared" si="0"/>
        <v>1</v>
      </c>
      <c r="O11" s="15">
        <f t="shared" si="0"/>
        <v>121</v>
      </c>
      <c r="P11" s="15">
        <f t="shared" si="0"/>
        <v>1</v>
      </c>
      <c r="Q11" s="15">
        <f t="shared" si="0"/>
        <v>3</v>
      </c>
      <c r="R11" s="15">
        <f t="shared" si="0"/>
        <v>100</v>
      </c>
      <c r="S11" s="15">
        <f t="shared" si="0"/>
        <v>0</v>
      </c>
      <c r="T11" s="15">
        <f t="shared" si="0"/>
        <v>0</v>
      </c>
      <c r="U11" s="15">
        <f t="shared" si="0"/>
        <v>0</v>
      </c>
      <c r="V11" s="15">
        <f t="shared" si="0"/>
        <v>0</v>
      </c>
      <c r="W11" s="15">
        <f t="shared" si="0"/>
        <v>1</v>
      </c>
    </row>
    <row r="12" spans="1:23">
      <c r="A12" s="19" t="str">
        <f t="shared" si="1"/>
        <v>11208_1-3/122&lt;lv16&gt;s3</v>
      </c>
      <c r="B12" s="15">
        <f t="shared" si="0"/>
        <v>11208</v>
      </c>
      <c r="C12" s="15">
        <f t="shared" si="0"/>
        <v>1</v>
      </c>
      <c r="D12" s="15">
        <f t="shared" si="0"/>
        <v>3</v>
      </c>
      <c r="E12" s="15">
        <f t="shared" si="0"/>
        <v>122</v>
      </c>
      <c r="F12" s="15">
        <f t="shared" si="0"/>
        <v>16</v>
      </c>
      <c r="G12" s="15">
        <f t="shared" si="0"/>
        <v>0.7</v>
      </c>
      <c r="H12" s="15">
        <f t="shared" si="0"/>
        <v>1</v>
      </c>
      <c r="I12" s="15">
        <f t="shared" si="0"/>
        <v>0</v>
      </c>
      <c r="J12" s="15">
        <f t="shared" si="0"/>
        <v>0</v>
      </c>
      <c r="K12" s="15">
        <f t="shared" si="0"/>
        <v>0</v>
      </c>
      <c r="L12" s="15">
        <f t="shared" si="0"/>
        <v>100</v>
      </c>
      <c r="M12" s="15">
        <f t="shared" si="0"/>
        <v>0</v>
      </c>
      <c r="N12" s="15">
        <f t="shared" si="0"/>
        <v>3</v>
      </c>
      <c r="O12" s="15">
        <f t="shared" si="0"/>
        <v>122</v>
      </c>
      <c r="P12" s="15">
        <f t="shared" si="0"/>
        <v>1</v>
      </c>
      <c r="Q12" s="15">
        <f t="shared" si="0"/>
        <v>3</v>
      </c>
      <c r="R12" s="15">
        <f t="shared" si="0"/>
        <v>100</v>
      </c>
      <c r="S12" s="15">
        <f t="shared" si="0"/>
        <v>0</v>
      </c>
      <c r="T12" s="15">
        <f t="shared" si="0"/>
        <v>0</v>
      </c>
      <c r="U12" s="15">
        <f t="shared" si="0"/>
        <v>0</v>
      </c>
      <c r="V12" s="15">
        <f t="shared" si="0"/>
        <v>0</v>
      </c>
      <c r="W12" s="15">
        <f t="shared" si="0"/>
        <v>1</v>
      </c>
    </row>
    <row r="13" spans="1:23">
      <c r="A13" s="19" t="str">
        <f t="shared" si="1"/>
        <v>11208_1-3/123&lt;lv16&gt;s2</v>
      </c>
      <c r="B13" s="15">
        <f t="shared" si="0"/>
        <v>11208</v>
      </c>
      <c r="C13" s="15">
        <f t="shared" si="0"/>
        <v>1</v>
      </c>
      <c r="D13" s="15">
        <f t="shared" si="0"/>
        <v>3</v>
      </c>
      <c r="E13" s="15">
        <f t="shared" si="0"/>
        <v>123</v>
      </c>
      <c r="F13" s="15">
        <f t="shared" si="0"/>
        <v>16</v>
      </c>
      <c r="G13" s="15">
        <f t="shared" si="0"/>
        <v>0.7</v>
      </c>
      <c r="H13" s="15">
        <f t="shared" si="0"/>
        <v>1</v>
      </c>
      <c r="I13" s="15">
        <f t="shared" si="0"/>
        <v>0</v>
      </c>
      <c r="J13" s="15">
        <f t="shared" si="0"/>
        <v>0</v>
      </c>
      <c r="K13" s="15">
        <f t="shared" si="0"/>
        <v>0</v>
      </c>
      <c r="L13" s="15">
        <f t="shared" si="0"/>
        <v>100</v>
      </c>
      <c r="M13" s="15">
        <f t="shared" si="0"/>
        <v>0</v>
      </c>
      <c r="N13" s="15">
        <f t="shared" si="0"/>
        <v>2</v>
      </c>
      <c r="O13" s="15">
        <f t="shared" si="0"/>
        <v>123</v>
      </c>
      <c r="P13" s="15">
        <f t="shared" si="0"/>
        <v>1</v>
      </c>
      <c r="Q13" s="15">
        <f t="shared" si="0"/>
        <v>3</v>
      </c>
      <c r="R13" s="15">
        <f t="shared" si="0"/>
        <v>100</v>
      </c>
      <c r="S13" s="15">
        <f t="shared" si="0"/>
        <v>0</v>
      </c>
      <c r="T13" s="15">
        <f t="shared" si="0"/>
        <v>0</v>
      </c>
      <c r="U13" s="15">
        <f t="shared" si="0"/>
        <v>0</v>
      </c>
      <c r="V13" s="15">
        <f t="shared" si="0"/>
        <v>0</v>
      </c>
      <c r="W13" s="15">
        <f t="shared" si="0"/>
        <v>1</v>
      </c>
    </row>
    <row r="14" spans="1:23">
      <c r="A14" s="19" t="str">
        <f t="shared" si="1"/>
        <v>11208_1-3/41&lt;lv16&gt;s1</v>
      </c>
      <c r="B14" s="15">
        <f t="shared" si="0"/>
        <v>11208</v>
      </c>
      <c r="C14" s="15">
        <f t="shared" si="0"/>
        <v>1</v>
      </c>
      <c r="D14" s="15">
        <f t="shared" si="0"/>
        <v>3</v>
      </c>
      <c r="E14" s="15">
        <f t="shared" si="0"/>
        <v>41</v>
      </c>
      <c r="F14" s="15">
        <f t="shared" si="0"/>
        <v>16</v>
      </c>
      <c r="G14" s="15">
        <f t="shared" si="0"/>
        <v>0.7</v>
      </c>
      <c r="H14" s="15">
        <f t="shared" si="0"/>
        <v>1</v>
      </c>
      <c r="I14" s="15">
        <f t="shared" si="0"/>
        <v>0</v>
      </c>
      <c r="J14" s="15">
        <f t="shared" si="0"/>
        <v>0</v>
      </c>
      <c r="K14" s="15">
        <f t="shared" si="0"/>
        <v>1</v>
      </c>
      <c r="L14" s="15">
        <f t="shared" si="0"/>
        <v>0</v>
      </c>
      <c r="M14" s="15">
        <f t="shared" si="0"/>
        <v>1</v>
      </c>
      <c r="N14" s="15">
        <f t="shared" si="0"/>
        <v>1</v>
      </c>
      <c r="O14" s="15">
        <f t="shared" ref="O14:W29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123</v>
      </c>
      <c r="P14" s="15">
        <f t="shared" si="2"/>
        <v>1</v>
      </c>
      <c r="Q14" s="15">
        <f t="shared" si="2"/>
        <v>3</v>
      </c>
      <c r="R14" s="15">
        <f t="shared" si="2"/>
        <v>0</v>
      </c>
      <c r="S14" s="15">
        <f t="shared" si="2"/>
        <v>0</v>
      </c>
      <c r="T14" s="15">
        <f t="shared" si="2"/>
        <v>0</v>
      </c>
      <c r="U14" s="15">
        <f t="shared" si="2"/>
        <v>0</v>
      </c>
      <c r="V14" s="15">
        <f t="shared" si="2"/>
        <v>0</v>
      </c>
      <c r="W14" s="15">
        <f t="shared" si="2"/>
        <v>1</v>
      </c>
    </row>
    <row r="15" spans="1:23">
      <c r="A15" s="19" t="str">
        <f t="shared" si="1"/>
        <v>11208_1-4/121&lt;lv16&gt;s1</v>
      </c>
      <c r="B15" s="15">
        <f t="shared" ref="B15:Q30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11208</v>
      </c>
      <c r="C15" s="15">
        <f t="shared" si="3"/>
        <v>1</v>
      </c>
      <c r="D15" s="15">
        <f t="shared" si="3"/>
        <v>4</v>
      </c>
      <c r="E15" s="15">
        <f t="shared" si="3"/>
        <v>121</v>
      </c>
      <c r="F15" s="15">
        <f t="shared" si="3"/>
        <v>16</v>
      </c>
      <c r="G15" s="15">
        <f t="shared" si="3"/>
        <v>0.7</v>
      </c>
      <c r="H15" s="15">
        <f t="shared" si="3"/>
        <v>1</v>
      </c>
      <c r="I15" s="15">
        <f t="shared" si="3"/>
        <v>0</v>
      </c>
      <c r="J15" s="15">
        <f t="shared" si="3"/>
        <v>0</v>
      </c>
      <c r="K15" s="15">
        <f t="shared" si="3"/>
        <v>0</v>
      </c>
      <c r="L15" s="15">
        <f t="shared" si="3"/>
        <v>33</v>
      </c>
      <c r="M15" s="15">
        <f t="shared" si="3"/>
        <v>0</v>
      </c>
      <c r="N15" s="15">
        <f t="shared" si="3"/>
        <v>1</v>
      </c>
      <c r="O15" s="15">
        <f t="shared" si="3"/>
        <v>121</v>
      </c>
      <c r="P15" s="15">
        <f t="shared" si="3"/>
        <v>1</v>
      </c>
      <c r="Q15" s="15">
        <f t="shared" si="3"/>
        <v>3</v>
      </c>
      <c r="R15" s="15">
        <f t="shared" si="2"/>
        <v>100</v>
      </c>
      <c r="S15" s="15">
        <f t="shared" si="2"/>
        <v>0</v>
      </c>
      <c r="T15" s="15">
        <f t="shared" si="2"/>
        <v>0</v>
      </c>
      <c r="U15" s="15">
        <f t="shared" si="2"/>
        <v>0</v>
      </c>
      <c r="V15" s="15">
        <f t="shared" si="2"/>
        <v>0</v>
      </c>
      <c r="W15" s="15">
        <f t="shared" si="2"/>
        <v>1</v>
      </c>
    </row>
    <row r="16" spans="1:23">
      <c r="A16" s="19" t="str">
        <f t="shared" si="1"/>
        <v>11208_1-4/122&lt;lv16&gt;s1</v>
      </c>
      <c r="B16" s="15">
        <f t="shared" si="3"/>
        <v>11208</v>
      </c>
      <c r="C16" s="15">
        <f t="shared" si="3"/>
        <v>1</v>
      </c>
      <c r="D16" s="15">
        <f t="shared" si="3"/>
        <v>4</v>
      </c>
      <c r="E16" s="15">
        <f t="shared" si="3"/>
        <v>122</v>
      </c>
      <c r="F16" s="15">
        <f t="shared" si="3"/>
        <v>16</v>
      </c>
      <c r="G16" s="15">
        <f t="shared" si="3"/>
        <v>0.7</v>
      </c>
      <c r="H16" s="15">
        <f t="shared" si="3"/>
        <v>1</v>
      </c>
      <c r="I16" s="15">
        <f t="shared" si="3"/>
        <v>0</v>
      </c>
      <c r="J16" s="15">
        <f t="shared" si="3"/>
        <v>0</v>
      </c>
      <c r="K16" s="15">
        <f t="shared" si="3"/>
        <v>0</v>
      </c>
      <c r="L16" s="15">
        <f t="shared" si="3"/>
        <v>33</v>
      </c>
      <c r="M16" s="15">
        <f t="shared" si="3"/>
        <v>0</v>
      </c>
      <c r="N16" s="15">
        <f t="shared" si="3"/>
        <v>1</v>
      </c>
      <c r="O16" s="15">
        <f t="shared" si="3"/>
        <v>122</v>
      </c>
      <c r="P16" s="15">
        <f t="shared" si="3"/>
        <v>1</v>
      </c>
      <c r="Q16" s="15">
        <f t="shared" si="3"/>
        <v>3</v>
      </c>
      <c r="R16" s="15">
        <f t="shared" si="2"/>
        <v>100</v>
      </c>
      <c r="S16" s="15">
        <f t="shared" si="2"/>
        <v>0</v>
      </c>
      <c r="T16" s="15">
        <f t="shared" si="2"/>
        <v>0</v>
      </c>
      <c r="U16" s="15">
        <f t="shared" si="2"/>
        <v>0</v>
      </c>
      <c r="V16" s="15">
        <f t="shared" si="2"/>
        <v>0</v>
      </c>
      <c r="W16" s="15">
        <f t="shared" si="2"/>
        <v>1</v>
      </c>
    </row>
    <row r="17" spans="1:23">
      <c r="A17" s="19" t="str">
        <f t="shared" si="1"/>
        <v>11208_1-4/123&lt;lv16&gt;s1</v>
      </c>
      <c r="B17" s="15">
        <f t="shared" si="3"/>
        <v>11208</v>
      </c>
      <c r="C17" s="15">
        <f t="shared" si="3"/>
        <v>1</v>
      </c>
      <c r="D17" s="15">
        <f t="shared" si="3"/>
        <v>4</v>
      </c>
      <c r="E17" s="15">
        <f t="shared" si="3"/>
        <v>123</v>
      </c>
      <c r="F17" s="15">
        <f t="shared" si="3"/>
        <v>16</v>
      </c>
      <c r="G17" s="15">
        <f t="shared" si="3"/>
        <v>0.7</v>
      </c>
      <c r="H17" s="15">
        <f t="shared" si="3"/>
        <v>1</v>
      </c>
      <c r="I17" s="15">
        <f t="shared" si="3"/>
        <v>0</v>
      </c>
      <c r="J17" s="15">
        <f t="shared" si="3"/>
        <v>0</v>
      </c>
      <c r="K17" s="15">
        <f t="shared" si="3"/>
        <v>0</v>
      </c>
      <c r="L17" s="15">
        <f t="shared" si="3"/>
        <v>33</v>
      </c>
      <c r="M17" s="15">
        <f t="shared" si="3"/>
        <v>0</v>
      </c>
      <c r="N17" s="15">
        <f t="shared" si="3"/>
        <v>1</v>
      </c>
      <c r="O17" s="15">
        <f t="shared" si="3"/>
        <v>123</v>
      </c>
      <c r="P17" s="15">
        <f t="shared" si="3"/>
        <v>1</v>
      </c>
      <c r="Q17" s="15">
        <f t="shared" si="3"/>
        <v>3</v>
      </c>
      <c r="R17" s="15">
        <f t="shared" si="2"/>
        <v>100</v>
      </c>
      <c r="S17" s="15">
        <f t="shared" si="2"/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1</v>
      </c>
    </row>
    <row r="18" spans="1:23">
      <c r="A18" s="19" t="str">
        <f t="shared" si="1"/>
        <v>11208_1-4/125&lt;lv16&gt;s1</v>
      </c>
      <c r="B18" s="15">
        <f t="shared" si="3"/>
        <v>11208</v>
      </c>
      <c r="C18" s="15">
        <f t="shared" si="3"/>
        <v>1</v>
      </c>
      <c r="D18" s="15">
        <f t="shared" si="3"/>
        <v>4</v>
      </c>
      <c r="E18" s="15">
        <f t="shared" si="3"/>
        <v>125</v>
      </c>
      <c r="F18" s="15">
        <f t="shared" si="3"/>
        <v>16</v>
      </c>
      <c r="G18" s="15">
        <f t="shared" si="3"/>
        <v>0.7</v>
      </c>
      <c r="H18" s="15">
        <f t="shared" si="3"/>
        <v>1</v>
      </c>
      <c r="I18" s="15">
        <f t="shared" si="3"/>
        <v>0</v>
      </c>
      <c r="J18" s="15">
        <f t="shared" si="3"/>
        <v>0</v>
      </c>
      <c r="K18" s="15">
        <f t="shared" si="3"/>
        <v>0</v>
      </c>
      <c r="L18" s="15">
        <f t="shared" si="3"/>
        <v>5</v>
      </c>
      <c r="M18" s="15">
        <f t="shared" si="3"/>
        <v>0</v>
      </c>
      <c r="N18" s="15">
        <f t="shared" si="3"/>
        <v>1</v>
      </c>
      <c r="O18" s="15">
        <f t="shared" si="3"/>
        <v>125</v>
      </c>
      <c r="P18" s="15">
        <f t="shared" si="3"/>
        <v>1</v>
      </c>
      <c r="Q18" s="15">
        <f t="shared" si="3"/>
        <v>3</v>
      </c>
      <c r="R18" s="15">
        <f t="shared" si="2"/>
        <v>100</v>
      </c>
      <c r="S18" s="15">
        <f t="shared" si="2"/>
        <v>0</v>
      </c>
      <c r="T18" s="15">
        <f t="shared" si="2"/>
        <v>0</v>
      </c>
      <c r="U18" s="15">
        <f t="shared" si="2"/>
        <v>0</v>
      </c>
      <c r="V18" s="15">
        <f t="shared" si="2"/>
        <v>0</v>
      </c>
      <c r="W18" s="15">
        <f t="shared" si="2"/>
        <v>1</v>
      </c>
    </row>
    <row r="19" spans="1:23">
      <c r="A19" s="19" t="str">
        <f t="shared" si="1"/>
        <v>11208_2-1/51&lt;lv32&gt;s2</v>
      </c>
      <c r="B19" s="15">
        <f t="shared" si="3"/>
        <v>11208</v>
      </c>
      <c r="C19" s="15">
        <f t="shared" si="3"/>
        <v>2</v>
      </c>
      <c r="D19" s="15">
        <f t="shared" si="3"/>
        <v>1</v>
      </c>
      <c r="E19" s="15">
        <f t="shared" si="3"/>
        <v>51</v>
      </c>
      <c r="F19" s="15">
        <f t="shared" si="3"/>
        <v>32</v>
      </c>
      <c r="G19" s="15">
        <f t="shared" si="3"/>
        <v>0.4</v>
      </c>
      <c r="H19" s="15">
        <f t="shared" si="3"/>
        <v>1</v>
      </c>
      <c r="I19" s="15">
        <f t="shared" si="3"/>
        <v>0</v>
      </c>
      <c r="J19" s="15">
        <f t="shared" si="3"/>
        <v>51</v>
      </c>
      <c r="K19" s="15">
        <f t="shared" si="3"/>
        <v>1</v>
      </c>
      <c r="L19" s="15">
        <f t="shared" si="3"/>
        <v>0</v>
      </c>
      <c r="M19" s="15">
        <f t="shared" si="3"/>
        <v>1</v>
      </c>
      <c r="N19" s="15">
        <f t="shared" si="3"/>
        <v>2</v>
      </c>
      <c r="O19" s="15">
        <f t="shared" si="3"/>
        <v>121</v>
      </c>
      <c r="P19" s="15">
        <f t="shared" si="3"/>
        <v>1</v>
      </c>
      <c r="Q19" s="15">
        <f t="shared" si="3"/>
        <v>3</v>
      </c>
      <c r="R19" s="15">
        <f t="shared" si="2"/>
        <v>0</v>
      </c>
      <c r="S19" s="15">
        <f t="shared" si="2"/>
        <v>0</v>
      </c>
      <c r="T19" s="15">
        <f t="shared" si="2"/>
        <v>0</v>
      </c>
      <c r="U19" s="15">
        <f t="shared" si="2"/>
        <v>0</v>
      </c>
      <c r="V19" s="15">
        <f t="shared" si="2"/>
        <v>0</v>
      </c>
      <c r="W19" s="15">
        <f t="shared" si="2"/>
        <v>1</v>
      </c>
    </row>
    <row r="20" spans="1:23">
      <c r="A20" s="19" t="str">
        <f t="shared" si="1"/>
        <v>11208_2-1/121&lt;lv32&gt;s1</v>
      </c>
      <c r="B20" s="15">
        <f t="shared" si="3"/>
        <v>11208</v>
      </c>
      <c r="C20" s="15">
        <f t="shared" si="3"/>
        <v>2</v>
      </c>
      <c r="D20" s="15">
        <f t="shared" si="3"/>
        <v>1</v>
      </c>
      <c r="E20" s="15">
        <f t="shared" si="3"/>
        <v>121</v>
      </c>
      <c r="F20" s="15">
        <f t="shared" si="3"/>
        <v>32</v>
      </c>
      <c r="G20" s="15">
        <f t="shared" si="3"/>
        <v>0.4</v>
      </c>
      <c r="H20" s="15">
        <f t="shared" si="3"/>
        <v>1</v>
      </c>
      <c r="I20" s="15">
        <f t="shared" si="3"/>
        <v>0</v>
      </c>
      <c r="J20" s="15">
        <f t="shared" si="3"/>
        <v>0</v>
      </c>
      <c r="K20" s="15">
        <f t="shared" si="3"/>
        <v>0</v>
      </c>
      <c r="L20" s="15">
        <f t="shared" si="3"/>
        <v>100</v>
      </c>
      <c r="M20" s="15">
        <f t="shared" si="3"/>
        <v>0</v>
      </c>
      <c r="N20" s="15">
        <f t="shared" si="3"/>
        <v>1</v>
      </c>
      <c r="O20" s="15">
        <f t="shared" si="3"/>
        <v>121</v>
      </c>
      <c r="P20" s="15">
        <f t="shared" si="3"/>
        <v>1</v>
      </c>
      <c r="Q20" s="15">
        <f t="shared" si="3"/>
        <v>3</v>
      </c>
      <c r="R20" s="15">
        <f t="shared" si="2"/>
        <v>100</v>
      </c>
      <c r="S20" s="15">
        <f t="shared" si="2"/>
        <v>0</v>
      </c>
      <c r="T20" s="15">
        <f t="shared" si="2"/>
        <v>0</v>
      </c>
      <c r="U20" s="15">
        <f t="shared" si="2"/>
        <v>0</v>
      </c>
      <c r="V20" s="15">
        <f t="shared" si="2"/>
        <v>0</v>
      </c>
      <c r="W20" s="15">
        <f t="shared" si="2"/>
        <v>1</v>
      </c>
    </row>
    <row r="21" spans="1:23">
      <c r="A21" s="19" t="str">
        <f t="shared" si="1"/>
        <v>11208_2-1/122&lt;lv32&gt;s1</v>
      </c>
      <c r="B21" s="15">
        <f t="shared" si="3"/>
        <v>11208</v>
      </c>
      <c r="C21" s="15">
        <f t="shared" si="3"/>
        <v>2</v>
      </c>
      <c r="D21" s="15">
        <f t="shared" si="3"/>
        <v>1</v>
      </c>
      <c r="E21" s="15">
        <f t="shared" si="3"/>
        <v>122</v>
      </c>
      <c r="F21" s="15">
        <f t="shared" si="3"/>
        <v>32</v>
      </c>
      <c r="G21" s="15">
        <f t="shared" si="3"/>
        <v>0.4</v>
      </c>
      <c r="H21" s="15">
        <f t="shared" si="3"/>
        <v>1</v>
      </c>
      <c r="I21" s="15">
        <f t="shared" si="3"/>
        <v>0</v>
      </c>
      <c r="J21" s="15">
        <f t="shared" si="3"/>
        <v>0</v>
      </c>
      <c r="K21" s="15">
        <f t="shared" si="3"/>
        <v>0</v>
      </c>
      <c r="L21" s="15">
        <f t="shared" si="3"/>
        <v>100</v>
      </c>
      <c r="M21" s="15">
        <f t="shared" si="3"/>
        <v>0</v>
      </c>
      <c r="N21" s="15">
        <f t="shared" si="3"/>
        <v>1</v>
      </c>
      <c r="O21" s="15">
        <f t="shared" si="3"/>
        <v>122</v>
      </c>
      <c r="P21" s="15">
        <f t="shared" si="3"/>
        <v>1</v>
      </c>
      <c r="Q21" s="15">
        <f t="shared" si="3"/>
        <v>3</v>
      </c>
      <c r="R21" s="15">
        <f t="shared" si="2"/>
        <v>100</v>
      </c>
      <c r="S21" s="15">
        <f t="shared" si="2"/>
        <v>0</v>
      </c>
      <c r="T21" s="15">
        <f t="shared" si="2"/>
        <v>0</v>
      </c>
      <c r="U21" s="15">
        <f t="shared" si="2"/>
        <v>0</v>
      </c>
      <c r="V21" s="15">
        <f t="shared" si="2"/>
        <v>0</v>
      </c>
      <c r="W21" s="15">
        <f t="shared" si="2"/>
        <v>1</v>
      </c>
    </row>
    <row r="22" spans="1:23">
      <c r="A22" s="19" t="str">
        <f t="shared" si="1"/>
        <v>11208_2-1/123&lt;lv32&gt;s1</v>
      </c>
      <c r="B22" s="15">
        <f t="shared" si="3"/>
        <v>11208</v>
      </c>
      <c r="C22" s="15">
        <f t="shared" si="3"/>
        <v>2</v>
      </c>
      <c r="D22" s="15">
        <f t="shared" si="3"/>
        <v>1</v>
      </c>
      <c r="E22" s="15">
        <f t="shared" si="3"/>
        <v>123</v>
      </c>
      <c r="F22" s="15">
        <f t="shared" si="3"/>
        <v>32</v>
      </c>
      <c r="G22" s="15">
        <f t="shared" si="3"/>
        <v>0.4</v>
      </c>
      <c r="H22" s="15">
        <f t="shared" si="3"/>
        <v>1</v>
      </c>
      <c r="I22" s="15">
        <f t="shared" si="3"/>
        <v>0</v>
      </c>
      <c r="J22" s="15">
        <f t="shared" si="3"/>
        <v>0</v>
      </c>
      <c r="K22" s="15">
        <f t="shared" si="3"/>
        <v>0</v>
      </c>
      <c r="L22" s="15">
        <f t="shared" si="3"/>
        <v>100</v>
      </c>
      <c r="M22" s="15">
        <f t="shared" si="3"/>
        <v>0</v>
      </c>
      <c r="N22" s="15">
        <f t="shared" si="3"/>
        <v>1</v>
      </c>
      <c r="O22" s="15">
        <f t="shared" si="3"/>
        <v>123</v>
      </c>
      <c r="P22" s="15">
        <f t="shared" si="3"/>
        <v>1</v>
      </c>
      <c r="Q22" s="15">
        <f t="shared" si="3"/>
        <v>3</v>
      </c>
      <c r="R22" s="15">
        <f t="shared" si="2"/>
        <v>100</v>
      </c>
      <c r="S22" s="15">
        <f t="shared" si="2"/>
        <v>0</v>
      </c>
      <c r="T22" s="15">
        <f t="shared" si="2"/>
        <v>0</v>
      </c>
      <c r="U22" s="15">
        <f t="shared" si="2"/>
        <v>0</v>
      </c>
      <c r="V22" s="15">
        <f t="shared" si="2"/>
        <v>0</v>
      </c>
      <c r="W22" s="15">
        <f t="shared" si="2"/>
        <v>1</v>
      </c>
    </row>
    <row r="23" spans="1:23">
      <c r="A23" s="19" t="str">
        <f t="shared" si="1"/>
        <v>11208_2-2/53&lt;lv32&gt;s2</v>
      </c>
      <c r="B23" s="15">
        <f t="shared" si="3"/>
        <v>11208</v>
      </c>
      <c r="C23" s="15">
        <f t="shared" si="3"/>
        <v>2</v>
      </c>
      <c r="D23" s="15">
        <f t="shared" si="3"/>
        <v>2</v>
      </c>
      <c r="E23" s="15">
        <f t="shared" si="3"/>
        <v>53</v>
      </c>
      <c r="F23" s="15">
        <f t="shared" si="3"/>
        <v>32</v>
      </c>
      <c r="G23" s="15">
        <f t="shared" si="3"/>
        <v>0.4</v>
      </c>
      <c r="H23" s="15">
        <f t="shared" si="3"/>
        <v>1</v>
      </c>
      <c r="I23" s="15">
        <f t="shared" si="3"/>
        <v>0</v>
      </c>
      <c r="J23" s="15">
        <f t="shared" si="3"/>
        <v>53</v>
      </c>
      <c r="K23" s="15">
        <f t="shared" si="3"/>
        <v>1</v>
      </c>
      <c r="L23" s="15">
        <f t="shared" si="3"/>
        <v>0</v>
      </c>
      <c r="M23" s="15">
        <f t="shared" si="3"/>
        <v>1</v>
      </c>
      <c r="N23" s="15">
        <f t="shared" si="3"/>
        <v>2</v>
      </c>
      <c r="O23" s="15">
        <f t="shared" si="3"/>
        <v>121</v>
      </c>
      <c r="P23" s="15">
        <f t="shared" si="3"/>
        <v>1</v>
      </c>
      <c r="Q23" s="15">
        <f t="shared" si="3"/>
        <v>3</v>
      </c>
      <c r="R23" s="15">
        <f t="shared" si="2"/>
        <v>0</v>
      </c>
      <c r="S23" s="15">
        <f t="shared" si="2"/>
        <v>0</v>
      </c>
      <c r="T23" s="15">
        <f t="shared" si="2"/>
        <v>0</v>
      </c>
      <c r="U23" s="15">
        <f t="shared" si="2"/>
        <v>0</v>
      </c>
      <c r="V23" s="15">
        <f t="shared" si="2"/>
        <v>0</v>
      </c>
      <c r="W23" s="15">
        <f t="shared" si="2"/>
        <v>1</v>
      </c>
    </row>
    <row r="24" spans="1:23">
      <c r="A24" s="19" t="str">
        <f t="shared" si="1"/>
        <v>11208_2-2/121&lt;lv32&gt;s1</v>
      </c>
      <c r="B24" s="15">
        <f t="shared" si="3"/>
        <v>11208</v>
      </c>
      <c r="C24" s="15">
        <f t="shared" si="3"/>
        <v>2</v>
      </c>
      <c r="D24" s="15">
        <f t="shared" si="3"/>
        <v>2</v>
      </c>
      <c r="E24" s="15">
        <f t="shared" si="3"/>
        <v>121</v>
      </c>
      <c r="F24" s="15">
        <f t="shared" si="3"/>
        <v>32</v>
      </c>
      <c r="G24" s="15">
        <f t="shared" si="3"/>
        <v>0.4</v>
      </c>
      <c r="H24" s="15">
        <f t="shared" si="3"/>
        <v>1</v>
      </c>
      <c r="I24" s="15">
        <f t="shared" si="3"/>
        <v>0</v>
      </c>
      <c r="J24" s="15">
        <f t="shared" si="3"/>
        <v>0</v>
      </c>
      <c r="K24" s="15">
        <f t="shared" si="3"/>
        <v>0</v>
      </c>
      <c r="L24" s="15">
        <f t="shared" si="3"/>
        <v>100</v>
      </c>
      <c r="M24" s="15">
        <f t="shared" si="3"/>
        <v>0</v>
      </c>
      <c r="N24" s="15">
        <f t="shared" si="3"/>
        <v>1</v>
      </c>
      <c r="O24" s="15">
        <f t="shared" si="3"/>
        <v>121</v>
      </c>
      <c r="P24" s="15">
        <f t="shared" si="3"/>
        <v>1</v>
      </c>
      <c r="Q24" s="15">
        <f t="shared" si="3"/>
        <v>3</v>
      </c>
      <c r="R24" s="15">
        <f t="shared" si="2"/>
        <v>100</v>
      </c>
      <c r="S24" s="15">
        <f t="shared" si="2"/>
        <v>0</v>
      </c>
      <c r="T24" s="15">
        <f t="shared" si="2"/>
        <v>0</v>
      </c>
      <c r="U24" s="15">
        <f t="shared" si="2"/>
        <v>0</v>
      </c>
      <c r="V24" s="15">
        <f t="shared" si="2"/>
        <v>0</v>
      </c>
      <c r="W24" s="15">
        <f t="shared" si="2"/>
        <v>1</v>
      </c>
    </row>
    <row r="25" spans="1:23">
      <c r="A25" s="19" t="str">
        <f t="shared" si="1"/>
        <v>11208_2-2/122&lt;lv32&gt;s1</v>
      </c>
      <c r="B25" s="15">
        <f t="shared" si="3"/>
        <v>11208</v>
      </c>
      <c r="C25" s="15">
        <f t="shared" si="3"/>
        <v>2</v>
      </c>
      <c r="D25" s="15">
        <f t="shared" si="3"/>
        <v>2</v>
      </c>
      <c r="E25" s="15">
        <f t="shared" si="3"/>
        <v>122</v>
      </c>
      <c r="F25" s="15">
        <f t="shared" si="3"/>
        <v>32</v>
      </c>
      <c r="G25" s="15">
        <f t="shared" si="3"/>
        <v>0.4</v>
      </c>
      <c r="H25" s="15">
        <f t="shared" si="3"/>
        <v>1</v>
      </c>
      <c r="I25" s="15">
        <f t="shared" si="3"/>
        <v>0</v>
      </c>
      <c r="J25" s="15">
        <f t="shared" si="3"/>
        <v>0</v>
      </c>
      <c r="K25" s="15">
        <f t="shared" si="3"/>
        <v>0</v>
      </c>
      <c r="L25" s="15">
        <f t="shared" si="3"/>
        <v>100</v>
      </c>
      <c r="M25" s="15">
        <f t="shared" si="3"/>
        <v>0</v>
      </c>
      <c r="N25" s="15">
        <f t="shared" si="3"/>
        <v>1</v>
      </c>
      <c r="O25" s="15">
        <f t="shared" si="3"/>
        <v>122</v>
      </c>
      <c r="P25" s="15">
        <f t="shared" si="3"/>
        <v>1</v>
      </c>
      <c r="Q25" s="15">
        <f t="shared" si="3"/>
        <v>3</v>
      </c>
      <c r="R25" s="15">
        <f t="shared" si="2"/>
        <v>100</v>
      </c>
      <c r="S25" s="15">
        <f t="shared" si="2"/>
        <v>0</v>
      </c>
      <c r="T25" s="15">
        <f t="shared" si="2"/>
        <v>0</v>
      </c>
      <c r="U25" s="15">
        <f t="shared" si="2"/>
        <v>0</v>
      </c>
      <c r="V25" s="15">
        <f t="shared" si="2"/>
        <v>0</v>
      </c>
      <c r="W25" s="15">
        <f t="shared" si="2"/>
        <v>1</v>
      </c>
    </row>
    <row r="26" spans="1:23">
      <c r="A26" s="19" t="str">
        <f t="shared" si="1"/>
        <v>11208_2-2/123&lt;lv32&gt;s1</v>
      </c>
      <c r="B26" s="15">
        <f t="shared" si="3"/>
        <v>11208</v>
      </c>
      <c r="C26" s="15">
        <f t="shared" si="3"/>
        <v>2</v>
      </c>
      <c r="D26" s="15">
        <f t="shared" si="3"/>
        <v>2</v>
      </c>
      <c r="E26" s="15">
        <f t="shared" si="3"/>
        <v>123</v>
      </c>
      <c r="F26" s="15">
        <f t="shared" si="3"/>
        <v>32</v>
      </c>
      <c r="G26" s="15">
        <f t="shared" si="3"/>
        <v>0.4</v>
      </c>
      <c r="H26" s="15">
        <f t="shared" si="3"/>
        <v>1</v>
      </c>
      <c r="I26" s="15">
        <f t="shared" si="3"/>
        <v>0</v>
      </c>
      <c r="J26" s="15">
        <f t="shared" si="3"/>
        <v>0</v>
      </c>
      <c r="K26" s="15">
        <f t="shared" si="3"/>
        <v>0</v>
      </c>
      <c r="L26" s="15">
        <f t="shared" si="3"/>
        <v>100</v>
      </c>
      <c r="M26" s="15">
        <f t="shared" si="3"/>
        <v>0</v>
      </c>
      <c r="N26" s="15">
        <f t="shared" si="3"/>
        <v>1</v>
      </c>
      <c r="O26" s="15">
        <f t="shared" si="3"/>
        <v>123</v>
      </c>
      <c r="P26" s="15">
        <f t="shared" si="3"/>
        <v>1</v>
      </c>
      <c r="Q26" s="15">
        <f t="shared" si="3"/>
        <v>3</v>
      </c>
      <c r="R26" s="15">
        <f t="shared" si="2"/>
        <v>100</v>
      </c>
      <c r="S26" s="15">
        <f t="shared" si="2"/>
        <v>0</v>
      </c>
      <c r="T26" s="15">
        <f t="shared" si="2"/>
        <v>0</v>
      </c>
      <c r="U26" s="15">
        <f t="shared" si="2"/>
        <v>0</v>
      </c>
      <c r="V26" s="15">
        <f t="shared" si="2"/>
        <v>0</v>
      </c>
      <c r="W26" s="15">
        <f t="shared" si="2"/>
        <v>1</v>
      </c>
    </row>
    <row r="27" spans="1:23">
      <c r="A27" s="19" t="str">
        <f t="shared" si="1"/>
        <v>11208_2-3/43&lt;lv32&gt;s2</v>
      </c>
      <c r="B27" s="15">
        <f t="shared" si="3"/>
        <v>11208</v>
      </c>
      <c r="C27" s="15">
        <f t="shared" si="3"/>
        <v>2</v>
      </c>
      <c r="D27" s="15">
        <f t="shared" si="3"/>
        <v>3</v>
      </c>
      <c r="E27" s="15">
        <f t="shared" si="3"/>
        <v>43</v>
      </c>
      <c r="F27" s="15">
        <f t="shared" si="3"/>
        <v>32</v>
      </c>
      <c r="G27" s="15">
        <f t="shared" si="3"/>
        <v>0.4</v>
      </c>
      <c r="H27" s="15">
        <f t="shared" si="3"/>
        <v>1</v>
      </c>
      <c r="I27" s="15">
        <f t="shared" si="3"/>
        <v>0</v>
      </c>
      <c r="J27" s="15">
        <f t="shared" si="3"/>
        <v>0</v>
      </c>
      <c r="K27" s="15">
        <f t="shared" si="3"/>
        <v>1</v>
      </c>
      <c r="L27" s="15">
        <f t="shared" si="3"/>
        <v>0</v>
      </c>
      <c r="M27" s="15">
        <f t="shared" si="3"/>
        <v>1</v>
      </c>
      <c r="N27" s="15">
        <f t="shared" si="3"/>
        <v>2</v>
      </c>
      <c r="O27" s="15">
        <f t="shared" si="3"/>
        <v>121</v>
      </c>
      <c r="P27" s="15">
        <f t="shared" si="3"/>
        <v>1</v>
      </c>
      <c r="Q27" s="15">
        <f t="shared" si="3"/>
        <v>3</v>
      </c>
      <c r="R27" s="15">
        <f t="shared" si="2"/>
        <v>0</v>
      </c>
      <c r="S27" s="15">
        <f t="shared" si="2"/>
        <v>0</v>
      </c>
      <c r="T27" s="15">
        <f t="shared" si="2"/>
        <v>0</v>
      </c>
      <c r="U27" s="15">
        <f t="shared" si="2"/>
        <v>0</v>
      </c>
      <c r="V27" s="15">
        <f t="shared" si="2"/>
        <v>0</v>
      </c>
      <c r="W27" s="15">
        <f t="shared" si="2"/>
        <v>1</v>
      </c>
    </row>
    <row r="28" spans="1:23">
      <c r="A28" s="19" t="str">
        <f t="shared" si="1"/>
        <v>11208_2-3/121&lt;lv32&gt;s1</v>
      </c>
      <c r="B28" s="15">
        <f t="shared" si="3"/>
        <v>11208</v>
      </c>
      <c r="C28" s="15">
        <f t="shared" si="3"/>
        <v>2</v>
      </c>
      <c r="D28" s="15">
        <f t="shared" si="3"/>
        <v>3</v>
      </c>
      <c r="E28" s="15">
        <f t="shared" si="3"/>
        <v>121</v>
      </c>
      <c r="F28" s="15">
        <f t="shared" si="3"/>
        <v>32</v>
      </c>
      <c r="G28" s="15">
        <f t="shared" si="3"/>
        <v>0.4</v>
      </c>
      <c r="H28" s="15">
        <f t="shared" si="3"/>
        <v>1</v>
      </c>
      <c r="I28" s="15">
        <f t="shared" si="3"/>
        <v>0</v>
      </c>
      <c r="J28" s="15">
        <f t="shared" si="3"/>
        <v>0</v>
      </c>
      <c r="K28" s="15">
        <f t="shared" si="3"/>
        <v>0</v>
      </c>
      <c r="L28" s="15">
        <f t="shared" si="3"/>
        <v>100</v>
      </c>
      <c r="M28" s="15">
        <f t="shared" si="3"/>
        <v>0</v>
      </c>
      <c r="N28" s="15">
        <f t="shared" si="3"/>
        <v>1</v>
      </c>
      <c r="O28" s="15">
        <f t="shared" si="3"/>
        <v>121</v>
      </c>
      <c r="P28" s="15">
        <f t="shared" si="3"/>
        <v>1</v>
      </c>
      <c r="Q28" s="15">
        <f t="shared" si="3"/>
        <v>3</v>
      </c>
      <c r="R28" s="15">
        <f t="shared" si="2"/>
        <v>100</v>
      </c>
      <c r="S28" s="15">
        <f t="shared" si="2"/>
        <v>0</v>
      </c>
      <c r="T28" s="15">
        <f t="shared" si="2"/>
        <v>0</v>
      </c>
      <c r="U28" s="15">
        <f t="shared" si="2"/>
        <v>0</v>
      </c>
      <c r="V28" s="15">
        <f t="shared" si="2"/>
        <v>0</v>
      </c>
      <c r="W28" s="15">
        <f t="shared" si="2"/>
        <v>1</v>
      </c>
    </row>
    <row r="29" spans="1:23">
      <c r="A29" s="19" t="str">
        <f t="shared" si="1"/>
        <v>11208_2-3/122&lt;lv32&gt;s1</v>
      </c>
      <c r="B29" s="15">
        <f t="shared" si="3"/>
        <v>11208</v>
      </c>
      <c r="C29" s="15">
        <f t="shared" si="3"/>
        <v>2</v>
      </c>
      <c r="D29" s="15">
        <f t="shared" si="3"/>
        <v>3</v>
      </c>
      <c r="E29" s="15">
        <f t="shared" si="3"/>
        <v>122</v>
      </c>
      <c r="F29" s="15">
        <f t="shared" si="3"/>
        <v>32</v>
      </c>
      <c r="G29" s="15">
        <f t="shared" si="3"/>
        <v>0.4</v>
      </c>
      <c r="H29" s="15">
        <f t="shared" si="3"/>
        <v>1</v>
      </c>
      <c r="I29" s="15">
        <f t="shared" si="3"/>
        <v>0</v>
      </c>
      <c r="J29" s="15">
        <f t="shared" si="3"/>
        <v>0</v>
      </c>
      <c r="K29" s="15">
        <f t="shared" si="3"/>
        <v>0</v>
      </c>
      <c r="L29" s="15">
        <f t="shared" si="3"/>
        <v>100</v>
      </c>
      <c r="M29" s="15">
        <f t="shared" si="3"/>
        <v>0</v>
      </c>
      <c r="N29" s="15">
        <f t="shared" si="3"/>
        <v>1</v>
      </c>
      <c r="O29" s="15">
        <f t="shared" si="3"/>
        <v>122</v>
      </c>
      <c r="P29" s="15">
        <f t="shared" si="3"/>
        <v>1</v>
      </c>
      <c r="Q29" s="15">
        <f t="shared" si="3"/>
        <v>3</v>
      </c>
      <c r="R29" s="15">
        <f t="shared" si="2"/>
        <v>100</v>
      </c>
      <c r="S29" s="15">
        <f t="shared" si="2"/>
        <v>0</v>
      </c>
      <c r="T29" s="15">
        <f t="shared" si="2"/>
        <v>0</v>
      </c>
      <c r="U29" s="15">
        <f t="shared" si="2"/>
        <v>0</v>
      </c>
      <c r="V29" s="15">
        <f t="shared" si="2"/>
        <v>0</v>
      </c>
      <c r="W29" s="15">
        <f t="shared" si="2"/>
        <v>1</v>
      </c>
    </row>
    <row r="30" spans="1:23">
      <c r="A30" s="19" t="str">
        <f t="shared" si="1"/>
        <v>11208_2-3/123&lt;lv32&gt;s1</v>
      </c>
      <c r="B30" s="15">
        <f t="shared" si="3"/>
        <v>11208</v>
      </c>
      <c r="C30" s="15">
        <f t="shared" si="3"/>
        <v>2</v>
      </c>
      <c r="D30" s="15">
        <f t="shared" si="3"/>
        <v>3</v>
      </c>
      <c r="E30" s="15">
        <f t="shared" si="3"/>
        <v>123</v>
      </c>
      <c r="F30" s="15">
        <f t="shared" si="3"/>
        <v>32</v>
      </c>
      <c r="G30" s="15">
        <f t="shared" si="3"/>
        <v>0.4</v>
      </c>
      <c r="H30" s="15">
        <f t="shared" si="3"/>
        <v>1</v>
      </c>
      <c r="I30" s="15">
        <f t="shared" si="3"/>
        <v>0</v>
      </c>
      <c r="J30" s="15">
        <f t="shared" si="3"/>
        <v>0</v>
      </c>
      <c r="K30" s="15">
        <f t="shared" si="3"/>
        <v>0</v>
      </c>
      <c r="L30" s="15">
        <f t="shared" si="3"/>
        <v>100</v>
      </c>
      <c r="M30" s="15">
        <f t="shared" si="3"/>
        <v>0</v>
      </c>
      <c r="N30" s="15">
        <f t="shared" si="3"/>
        <v>1</v>
      </c>
      <c r="O30" s="15">
        <f t="shared" si="3"/>
        <v>123</v>
      </c>
      <c r="P30" s="15">
        <f t="shared" si="3"/>
        <v>1</v>
      </c>
      <c r="Q30" s="15">
        <f t="shared" ref="Q30:W42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30" s="15">
        <f t="shared" si="4"/>
        <v>100</v>
      </c>
      <c r="S30" s="15">
        <f t="shared" si="4"/>
        <v>0</v>
      </c>
      <c r="T30" s="15">
        <f t="shared" si="4"/>
        <v>0</v>
      </c>
      <c r="U30" s="15">
        <f t="shared" si="4"/>
        <v>0</v>
      </c>
      <c r="V30" s="15">
        <f t="shared" si="4"/>
        <v>0</v>
      </c>
      <c r="W30" s="15">
        <f t="shared" si="4"/>
        <v>1</v>
      </c>
    </row>
    <row r="31" spans="1:23">
      <c r="A31" s="19" t="str">
        <f t="shared" si="1"/>
        <v>11208_2-4/47&lt;lv32&gt;s1</v>
      </c>
      <c r="B31" s="15">
        <f t="shared" ref="B31:Q42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11208</v>
      </c>
      <c r="C31" s="15">
        <f t="shared" si="5"/>
        <v>2</v>
      </c>
      <c r="D31" s="15">
        <f t="shared" si="5"/>
        <v>4</v>
      </c>
      <c r="E31" s="15">
        <f t="shared" si="5"/>
        <v>47</v>
      </c>
      <c r="F31" s="15">
        <f t="shared" si="5"/>
        <v>32</v>
      </c>
      <c r="G31" s="15">
        <f t="shared" si="5"/>
        <v>0.4</v>
      </c>
      <c r="H31" s="15">
        <f t="shared" si="5"/>
        <v>1</v>
      </c>
      <c r="I31" s="15">
        <f t="shared" si="5"/>
        <v>0</v>
      </c>
      <c r="J31" s="15">
        <f t="shared" si="5"/>
        <v>0</v>
      </c>
      <c r="K31" s="15">
        <f t="shared" si="5"/>
        <v>1</v>
      </c>
      <c r="L31" s="15">
        <f t="shared" si="5"/>
        <v>0</v>
      </c>
      <c r="M31" s="15">
        <f t="shared" si="5"/>
        <v>1</v>
      </c>
      <c r="N31" s="15">
        <f t="shared" si="5"/>
        <v>1</v>
      </c>
      <c r="O31" s="15">
        <f t="shared" si="5"/>
        <v>121</v>
      </c>
      <c r="P31" s="15">
        <f t="shared" si="5"/>
        <v>1</v>
      </c>
      <c r="Q31" s="15">
        <f t="shared" si="5"/>
        <v>3</v>
      </c>
      <c r="R31" s="15">
        <f t="shared" si="4"/>
        <v>0</v>
      </c>
      <c r="S31" s="15">
        <f t="shared" si="4"/>
        <v>0</v>
      </c>
      <c r="T31" s="15">
        <f t="shared" si="4"/>
        <v>0</v>
      </c>
      <c r="U31" s="15">
        <f t="shared" si="4"/>
        <v>0</v>
      </c>
      <c r="V31" s="15">
        <f t="shared" si="4"/>
        <v>0</v>
      </c>
      <c r="W31" s="15">
        <f t="shared" si="4"/>
        <v>1</v>
      </c>
    </row>
    <row r="32" spans="1:23">
      <c r="A32" s="19" t="str">
        <f t="shared" si="1"/>
        <v>11208_2-4/121&lt;lv32&gt;s1</v>
      </c>
      <c r="B32" s="15">
        <f t="shared" si="5"/>
        <v>11208</v>
      </c>
      <c r="C32" s="15">
        <f t="shared" si="5"/>
        <v>2</v>
      </c>
      <c r="D32" s="15">
        <f t="shared" si="5"/>
        <v>4</v>
      </c>
      <c r="E32" s="15">
        <f t="shared" si="5"/>
        <v>121</v>
      </c>
      <c r="F32" s="15">
        <f t="shared" si="5"/>
        <v>32</v>
      </c>
      <c r="G32" s="15">
        <f t="shared" si="5"/>
        <v>0.4</v>
      </c>
      <c r="H32" s="15">
        <f t="shared" si="5"/>
        <v>1</v>
      </c>
      <c r="I32" s="15">
        <f t="shared" si="5"/>
        <v>0</v>
      </c>
      <c r="J32" s="15">
        <f t="shared" si="5"/>
        <v>0</v>
      </c>
      <c r="K32" s="15">
        <f t="shared" si="5"/>
        <v>0</v>
      </c>
      <c r="L32" s="15">
        <f t="shared" si="5"/>
        <v>100</v>
      </c>
      <c r="M32" s="15">
        <f t="shared" si="5"/>
        <v>0</v>
      </c>
      <c r="N32" s="15">
        <f t="shared" si="5"/>
        <v>1</v>
      </c>
      <c r="O32" s="15">
        <f t="shared" si="5"/>
        <v>121</v>
      </c>
      <c r="P32" s="15">
        <f t="shared" si="5"/>
        <v>1</v>
      </c>
      <c r="Q32" s="15">
        <f t="shared" si="5"/>
        <v>3</v>
      </c>
      <c r="R32" s="15">
        <f t="shared" si="4"/>
        <v>100</v>
      </c>
      <c r="S32" s="15">
        <f t="shared" si="4"/>
        <v>0</v>
      </c>
      <c r="T32" s="15">
        <f t="shared" si="4"/>
        <v>0</v>
      </c>
      <c r="U32" s="15">
        <f t="shared" si="4"/>
        <v>0</v>
      </c>
      <c r="V32" s="15">
        <f t="shared" si="4"/>
        <v>0</v>
      </c>
      <c r="W32" s="15">
        <f t="shared" si="4"/>
        <v>1</v>
      </c>
    </row>
    <row r="33" spans="1:23">
      <c r="A33" s="19" t="str">
        <f t="shared" si="1"/>
        <v>11208_2-4/122&lt;lv32&gt;s1</v>
      </c>
      <c r="B33" s="15">
        <f t="shared" si="5"/>
        <v>11208</v>
      </c>
      <c r="C33" s="15">
        <f t="shared" si="5"/>
        <v>2</v>
      </c>
      <c r="D33" s="15">
        <f t="shared" si="5"/>
        <v>4</v>
      </c>
      <c r="E33" s="15">
        <f t="shared" si="5"/>
        <v>122</v>
      </c>
      <c r="F33" s="15">
        <f t="shared" si="5"/>
        <v>32</v>
      </c>
      <c r="G33" s="15">
        <f t="shared" si="5"/>
        <v>0.4</v>
      </c>
      <c r="H33" s="15">
        <f t="shared" si="5"/>
        <v>1</v>
      </c>
      <c r="I33" s="15">
        <f t="shared" si="5"/>
        <v>0</v>
      </c>
      <c r="J33" s="15">
        <f t="shared" si="5"/>
        <v>0</v>
      </c>
      <c r="K33" s="15">
        <f t="shared" si="5"/>
        <v>0</v>
      </c>
      <c r="L33" s="15">
        <f t="shared" si="5"/>
        <v>100</v>
      </c>
      <c r="M33" s="15">
        <f t="shared" si="5"/>
        <v>0</v>
      </c>
      <c r="N33" s="15">
        <f t="shared" si="5"/>
        <v>1</v>
      </c>
      <c r="O33" s="15">
        <f t="shared" si="5"/>
        <v>122</v>
      </c>
      <c r="P33" s="15">
        <f t="shared" si="5"/>
        <v>1</v>
      </c>
      <c r="Q33" s="15">
        <f t="shared" si="5"/>
        <v>3</v>
      </c>
      <c r="R33" s="15">
        <f t="shared" si="4"/>
        <v>100</v>
      </c>
      <c r="S33" s="15">
        <f t="shared" si="4"/>
        <v>0</v>
      </c>
      <c r="T33" s="15">
        <f t="shared" si="4"/>
        <v>0</v>
      </c>
      <c r="U33" s="15">
        <f t="shared" si="4"/>
        <v>0</v>
      </c>
      <c r="V33" s="15">
        <f t="shared" si="4"/>
        <v>0</v>
      </c>
      <c r="W33" s="15">
        <f t="shared" si="4"/>
        <v>1</v>
      </c>
    </row>
    <row r="34" spans="1:23">
      <c r="A34" s="19" t="str">
        <f t="shared" si="1"/>
        <v>11208_2-4/123&lt;lv32&gt;s1</v>
      </c>
      <c r="B34" s="15">
        <f t="shared" si="5"/>
        <v>11208</v>
      </c>
      <c r="C34" s="15">
        <f t="shared" si="5"/>
        <v>2</v>
      </c>
      <c r="D34" s="15">
        <f t="shared" si="5"/>
        <v>4</v>
      </c>
      <c r="E34" s="15">
        <f t="shared" si="5"/>
        <v>123</v>
      </c>
      <c r="F34" s="15">
        <f t="shared" si="5"/>
        <v>32</v>
      </c>
      <c r="G34" s="15">
        <f t="shared" si="5"/>
        <v>0.4</v>
      </c>
      <c r="H34" s="15">
        <f t="shared" si="5"/>
        <v>1</v>
      </c>
      <c r="I34" s="15">
        <f t="shared" si="5"/>
        <v>0</v>
      </c>
      <c r="J34" s="15">
        <f t="shared" si="5"/>
        <v>0</v>
      </c>
      <c r="K34" s="15">
        <f t="shared" si="5"/>
        <v>0</v>
      </c>
      <c r="L34" s="15">
        <f t="shared" si="5"/>
        <v>100</v>
      </c>
      <c r="M34" s="15">
        <f t="shared" si="5"/>
        <v>0</v>
      </c>
      <c r="N34" s="15">
        <f t="shared" si="5"/>
        <v>1</v>
      </c>
      <c r="O34" s="15">
        <f t="shared" si="5"/>
        <v>123</v>
      </c>
      <c r="P34" s="15">
        <f t="shared" si="5"/>
        <v>1</v>
      </c>
      <c r="Q34" s="15">
        <f t="shared" si="5"/>
        <v>3</v>
      </c>
      <c r="R34" s="15">
        <f t="shared" si="4"/>
        <v>100</v>
      </c>
      <c r="S34" s="15">
        <f t="shared" si="4"/>
        <v>0</v>
      </c>
      <c r="T34" s="15">
        <f t="shared" si="4"/>
        <v>0</v>
      </c>
      <c r="U34" s="15">
        <f t="shared" si="4"/>
        <v>0</v>
      </c>
      <c r="V34" s="15">
        <f t="shared" si="4"/>
        <v>0</v>
      </c>
      <c r="W34" s="15">
        <f t="shared" si="4"/>
        <v>1</v>
      </c>
    </row>
    <row r="35" spans="1:23">
      <c r="A35" s="19" t="str">
        <f t="shared" si="1"/>
        <v>11208_2-5/41&lt;lv32&gt;s1</v>
      </c>
      <c r="B35" s="15">
        <f t="shared" si="5"/>
        <v>11208</v>
      </c>
      <c r="C35" s="15">
        <f t="shared" si="5"/>
        <v>2</v>
      </c>
      <c r="D35" s="15">
        <f t="shared" si="5"/>
        <v>5</v>
      </c>
      <c r="E35" s="15">
        <f t="shared" si="5"/>
        <v>41</v>
      </c>
      <c r="F35" s="15">
        <f t="shared" si="5"/>
        <v>32</v>
      </c>
      <c r="G35" s="15">
        <f t="shared" si="5"/>
        <v>0.4</v>
      </c>
      <c r="H35" s="15">
        <f t="shared" si="5"/>
        <v>1</v>
      </c>
      <c r="I35" s="15">
        <f t="shared" si="5"/>
        <v>0</v>
      </c>
      <c r="J35" s="15">
        <f t="shared" si="5"/>
        <v>0</v>
      </c>
      <c r="K35" s="15">
        <f t="shared" si="5"/>
        <v>1</v>
      </c>
      <c r="L35" s="15">
        <f t="shared" si="5"/>
        <v>0</v>
      </c>
      <c r="M35" s="15">
        <f t="shared" si="5"/>
        <v>1</v>
      </c>
      <c r="N35" s="15">
        <f t="shared" si="5"/>
        <v>1</v>
      </c>
      <c r="O35" s="15">
        <f t="shared" si="5"/>
        <v>121</v>
      </c>
      <c r="P35" s="15">
        <f t="shared" si="5"/>
        <v>1</v>
      </c>
      <c r="Q35" s="15">
        <f t="shared" si="5"/>
        <v>3</v>
      </c>
      <c r="R35" s="15">
        <f t="shared" si="4"/>
        <v>0</v>
      </c>
      <c r="S35" s="15">
        <f t="shared" si="4"/>
        <v>0</v>
      </c>
      <c r="T35" s="15">
        <f t="shared" si="4"/>
        <v>0</v>
      </c>
      <c r="U35" s="15">
        <f t="shared" si="4"/>
        <v>0</v>
      </c>
      <c r="V35" s="15">
        <f t="shared" si="4"/>
        <v>0</v>
      </c>
      <c r="W35" s="15">
        <f t="shared" si="4"/>
        <v>1</v>
      </c>
    </row>
    <row r="36" spans="1:23">
      <c r="A36" s="19" t="str">
        <f t="shared" si="1"/>
        <v>11208_2-5/121&lt;lv32&gt;s1</v>
      </c>
      <c r="B36" s="15">
        <f t="shared" si="5"/>
        <v>11208</v>
      </c>
      <c r="C36" s="15">
        <f t="shared" si="5"/>
        <v>2</v>
      </c>
      <c r="D36" s="15">
        <f t="shared" si="5"/>
        <v>5</v>
      </c>
      <c r="E36" s="15">
        <f t="shared" si="5"/>
        <v>121</v>
      </c>
      <c r="F36" s="15">
        <f t="shared" si="5"/>
        <v>32</v>
      </c>
      <c r="G36" s="15">
        <f t="shared" si="5"/>
        <v>0.4</v>
      </c>
      <c r="H36" s="15">
        <f t="shared" si="5"/>
        <v>1</v>
      </c>
      <c r="I36" s="15">
        <f t="shared" si="5"/>
        <v>0</v>
      </c>
      <c r="J36" s="15">
        <f t="shared" si="5"/>
        <v>0</v>
      </c>
      <c r="K36" s="15">
        <f t="shared" si="5"/>
        <v>0</v>
      </c>
      <c r="L36" s="15">
        <f t="shared" si="5"/>
        <v>100</v>
      </c>
      <c r="M36" s="15">
        <f t="shared" si="5"/>
        <v>0</v>
      </c>
      <c r="N36" s="15">
        <f t="shared" si="5"/>
        <v>1</v>
      </c>
      <c r="O36" s="15">
        <f t="shared" si="5"/>
        <v>121</v>
      </c>
      <c r="P36" s="15">
        <f t="shared" si="5"/>
        <v>1</v>
      </c>
      <c r="Q36" s="15">
        <f t="shared" si="5"/>
        <v>3</v>
      </c>
      <c r="R36" s="15">
        <f t="shared" si="4"/>
        <v>100</v>
      </c>
      <c r="S36" s="15">
        <f t="shared" si="4"/>
        <v>0</v>
      </c>
      <c r="T36" s="15">
        <f t="shared" si="4"/>
        <v>0</v>
      </c>
      <c r="U36" s="15">
        <f t="shared" si="4"/>
        <v>0</v>
      </c>
      <c r="V36" s="15">
        <f t="shared" si="4"/>
        <v>0</v>
      </c>
      <c r="W36" s="15">
        <f t="shared" si="4"/>
        <v>1</v>
      </c>
    </row>
    <row r="37" spans="1:23">
      <c r="A37" s="19" t="str">
        <f t="shared" si="1"/>
        <v>11208_2-5/122&lt;lv32&gt;s1</v>
      </c>
      <c r="B37" s="15">
        <f t="shared" si="5"/>
        <v>11208</v>
      </c>
      <c r="C37" s="15">
        <f t="shared" si="5"/>
        <v>2</v>
      </c>
      <c r="D37" s="15">
        <f t="shared" si="5"/>
        <v>5</v>
      </c>
      <c r="E37" s="15">
        <f t="shared" si="5"/>
        <v>122</v>
      </c>
      <c r="F37" s="15">
        <f t="shared" si="5"/>
        <v>32</v>
      </c>
      <c r="G37" s="15">
        <f t="shared" si="5"/>
        <v>0.4</v>
      </c>
      <c r="H37" s="15">
        <f t="shared" si="5"/>
        <v>1</v>
      </c>
      <c r="I37" s="15">
        <f t="shared" si="5"/>
        <v>0</v>
      </c>
      <c r="J37" s="15">
        <f t="shared" si="5"/>
        <v>0</v>
      </c>
      <c r="K37" s="15">
        <f t="shared" si="5"/>
        <v>0</v>
      </c>
      <c r="L37" s="15">
        <f t="shared" si="5"/>
        <v>100</v>
      </c>
      <c r="M37" s="15">
        <f t="shared" si="5"/>
        <v>0</v>
      </c>
      <c r="N37" s="15">
        <f t="shared" si="5"/>
        <v>1</v>
      </c>
      <c r="O37" s="15">
        <f t="shared" si="5"/>
        <v>122</v>
      </c>
      <c r="P37" s="15">
        <f t="shared" si="5"/>
        <v>1</v>
      </c>
      <c r="Q37" s="15">
        <f t="shared" si="5"/>
        <v>3</v>
      </c>
      <c r="R37" s="15">
        <f t="shared" si="4"/>
        <v>100</v>
      </c>
      <c r="S37" s="15">
        <f t="shared" si="4"/>
        <v>0</v>
      </c>
      <c r="T37" s="15">
        <f t="shared" si="4"/>
        <v>0</v>
      </c>
      <c r="U37" s="15">
        <f t="shared" si="4"/>
        <v>0</v>
      </c>
      <c r="V37" s="15">
        <f t="shared" si="4"/>
        <v>0</v>
      </c>
      <c r="W37" s="15">
        <f t="shared" si="4"/>
        <v>1</v>
      </c>
    </row>
    <row r="38" spans="1:23">
      <c r="A38" s="19" t="str">
        <f t="shared" si="1"/>
        <v>11208_2-5/123&lt;lv32&gt;s1</v>
      </c>
      <c r="B38" s="15">
        <f t="shared" si="5"/>
        <v>11208</v>
      </c>
      <c r="C38" s="15">
        <f t="shared" si="5"/>
        <v>2</v>
      </c>
      <c r="D38" s="15">
        <f t="shared" si="5"/>
        <v>5</v>
      </c>
      <c r="E38" s="15">
        <f t="shared" si="5"/>
        <v>123</v>
      </c>
      <c r="F38" s="15">
        <f t="shared" si="5"/>
        <v>32</v>
      </c>
      <c r="G38" s="15">
        <f t="shared" si="5"/>
        <v>0.4</v>
      </c>
      <c r="H38" s="15">
        <f t="shared" si="5"/>
        <v>1</v>
      </c>
      <c r="I38" s="15">
        <f t="shared" si="5"/>
        <v>0</v>
      </c>
      <c r="J38" s="15">
        <f t="shared" si="5"/>
        <v>0</v>
      </c>
      <c r="K38" s="15">
        <f t="shared" si="5"/>
        <v>0</v>
      </c>
      <c r="L38" s="15">
        <f t="shared" si="5"/>
        <v>100</v>
      </c>
      <c r="M38" s="15">
        <f t="shared" si="5"/>
        <v>0</v>
      </c>
      <c r="N38" s="15">
        <f t="shared" si="5"/>
        <v>1</v>
      </c>
      <c r="O38" s="15">
        <f t="shared" si="5"/>
        <v>123</v>
      </c>
      <c r="P38" s="15">
        <f t="shared" si="5"/>
        <v>1</v>
      </c>
      <c r="Q38" s="15">
        <f t="shared" si="5"/>
        <v>3</v>
      </c>
      <c r="R38" s="15">
        <f t="shared" si="4"/>
        <v>100</v>
      </c>
      <c r="S38" s="15">
        <f t="shared" si="4"/>
        <v>0</v>
      </c>
      <c r="T38" s="15">
        <f t="shared" si="4"/>
        <v>0</v>
      </c>
      <c r="U38" s="15">
        <f t="shared" si="4"/>
        <v>0</v>
      </c>
      <c r="V38" s="15">
        <f t="shared" si="4"/>
        <v>0</v>
      </c>
      <c r="W38" s="15">
        <f t="shared" si="4"/>
        <v>1</v>
      </c>
    </row>
    <row r="39" spans="1:23">
      <c r="A39" s="19" t="str">
        <f t="shared" si="1"/>
        <v>11208_2-6/121&lt;lv32&gt;s1</v>
      </c>
      <c r="B39" s="15">
        <f t="shared" si="5"/>
        <v>11208</v>
      </c>
      <c r="C39" s="15">
        <f t="shared" si="5"/>
        <v>2</v>
      </c>
      <c r="D39" s="15">
        <f t="shared" si="5"/>
        <v>6</v>
      </c>
      <c r="E39" s="15">
        <f t="shared" si="5"/>
        <v>121</v>
      </c>
      <c r="F39" s="15">
        <f t="shared" si="5"/>
        <v>32</v>
      </c>
      <c r="G39" s="15">
        <f t="shared" si="5"/>
        <v>0.4</v>
      </c>
      <c r="H39" s="15">
        <f t="shared" si="5"/>
        <v>1</v>
      </c>
      <c r="I39" s="15">
        <f t="shared" si="5"/>
        <v>0</v>
      </c>
      <c r="J39" s="15">
        <f t="shared" si="5"/>
        <v>0</v>
      </c>
      <c r="K39" s="15">
        <f t="shared" si="5"/>
        <v>0</v>
      </c>
      <c r="L39" s="15">
        <f t="shared" si="5"/>
        <v>100</v>
      </c>
      <c r="M39" s="15">
        <f t="shared" si="5"/>
        <v>0</v>
      </c>
      <c r="N39" s="15">
        <f t="shared" si="5"/>
        <v>1</v>
      </c>
      <c r="O39" s="15">
        <f t="shared" si="5"/>
        <v>121</v>
      </c>
      <c r="P39" s="15">
        <f t="shared" si="5"/>
        <v>1</v>
      </c>
      <c r="Q39" s="15">
        <f t="shared" si="5"/>
        <v>3</v>
      </c>
      <c r="R39" s="15">
        <f t="shared" si="4"/>
        <v>100</v>
      </c>
      <c r="S39" s="15">
        <f t="shared" si="4"/>
        <v>0</v>
      </c>
      <c r="T39" s="15">
        <f t="shared" si="4"/>
        <v>0</v>
      </c>
      <c r="U39" s="15">
        <f t="shared" si="4"/>
        <v>0</v>
      </c>
      <c r="V39" s="15">
        <f t="shared" si="4"/>
        <v>0</v>
      </c>
      <c r="W39" s="15">
        <f t="shared" si="4"/>
        <v>1</v>
      </c>
    </row>
    <row r="40" spans="1:23">
      <c r="A40" s="19" t="str">
        <f t="shared" si="1"/>
        <v>11208_2-6/122&lt;lv32&gt;s1</v>
      </c>
      <c r="B40" s="15">
        <f t="shared" si="5"/>
        <v>11208</v>
      </c>
      <c r="C40" s="15">
        <f t="shared" si="5"/>
        <v>2</v>
      </c>
      <c r="D40" s="15">
        <f t="shared" si="5"/>
        <v>6</v>
      </c>
      <c r="E40" s="15">
        <f t="shared" si="5"/>
        <v>122</v>
      </c>
      <c r="F40" s="15">
        <f t="shared" si="5"/>
        <v>32</v>
      </c>
      <c r="G40" s="15">
        <f t="shared" si="5"/>
        <v>0.4</v>
      </c>
      <c r="H40" s="15">
        <f t="shared" si="5"/>
        <v>1</v>
      </c>
      <c r="I40" s="15">
        <f t="shared" si="5"/>
        <v>0</v>
      </c>
      <c r="J40" s="15">
        <f t="shared" si="5"/>
        <v>0</v>
      </c>
      <c r="K40" s="15">
        <f t="shared" si="5"/>
        <v>0</v>
      </c>
      <c r="L40" s="15">
        <f t="shared" si="5"/>
        <v>100</v>
      </c>
      <c r="M40" s="15">
        <f t="shared" si="5"/>
        <v>0</v>
      </c>
      <c r="N40" s="15">
        <f t="shared" si="5"/>
        <v>1</v>
      </c>
      <c r="O40" s="15">
        <f t="shared" si="5"/>
        <v>122</v>
      </c>
      <c r="P40" s="15">
        <f t="shared" si="5"/>
        <v>1</v>
      </c>
      <c r="Q40" s="15">
        <f t="shared" si="5"/>
        <v>3</v>
      </c>
      <c r="R40" s="15">
        <f t="shared" si="4"/>
        <v>100</v>
      </c>
      <c r="S40" s="15">
        <f t="shared" si="4"/>
        <v>0</v>
      </c>
      <c r="T40" s="15">
        <f t="shared" si="4"/>
        <v>0</v>
      </c>
      <c r="U40" s="15">
        <f t="shared" si="4"/>
        <v>0</v>
      </c>
      <c r="V40" s="15">
        <f t="shared" si="4"/>
        <v>0</v>
      </c>
      <c r="W40" s="15">
        <f t="shared" si="4"/>
        <v>1</v>
      </c>
    </row>
    <row r="41" spans="1:23">
      <c r="A41" s="19" t="str">
        <f t="shared" si="1"/>
        <v>11208_2-6/123&lt;lv32&gt;s1</v>
      </c>
      <c r="B41" s="15">
        <f t="shared" si="5"/>
        <v>11208</v>
      </c>
      <c r="C41" s="15">
        <f t="shared" si="5"/>
        <v>2</v>
      </c>
      <c r="D41" s="15">
        <f t="shared" si="5"/>
        <v>6</v>
      </c>
      <c r="E41" s="15">
        <f t="shared" si="5"/>
        <v>123</v>
      </c>
      <c r="F41" s="15">
        <f t="shared" si="5"/>
        <v>32</v>
      </c>
      <c r="G41" s="15">
        <f t="shared" si="5"/>
        <v>0.4</v>
      </c>
      <c r="H41" s="15">
        <f t="shared" si="5"/>
        <v>1</v>
      </c>
      <c r="I41" s="15">
        <f t="shared" si="5"/>
        <v>0</v>
      </c>
      <c r="J41" s="15">
        <f t="shared" si="5"/>
        <v>0</v>
      </c>
      <c r="K41" s="15">
        <f t="shared" si="5"/>
        <v>0</v>
      </c>
      <c r="L41" s="15">
        <f t="shared" si="5"/>
        <v>100</v>
      </c>
      <c r="M41" s="15">
        <f t="shared" si="5"/>
        <v>0</v>
      </c>
      <c r="N41" s="15">
        <f t="shared" si="5"/>
        <v>1</v>
      </c>
      <c r="O41" s="15">
        <f t="shared" si="5"/>
        <v>123</v>
      </c>
      <c r="P41" s="15">
        <f t="shared" si="5"/>
        <v>1</v>
      </c>
      <c r="Q41" s="15">
        <f t="shared" si="5"/>
        <v>3</v>
      </c>
      <c r="R41" s="15">
        <f t="shared" si="4"/>
        <v>100</v>
      </c>
      <c r="S41" s="15">
        <f t="shared" si="4"/>
        <v>0</v>
      </c>
      <c r="T41" s="15">
        <f t="shared" si="4"/>
        <v>0</v>
      </c>
      <c r="U41" s="15">
        <f t="shared" si="4"/>
        <v>0</v>
      </c>
      <c r="V41" s="15">
        <f t="shared" si="4"/>
        <v>0</v>
      </c>
      <c r="W41" s="15">
        <f t="shared" si="4"/>
        <v>1</v>
      </c>
    </row>
    <row r="42" spans="1:23">
      <c r="A42" s="19" t="str">
        <f t="shared" si="1"/>
        <v>11208_2-6/125&lt;lv32&gt;s1</v>
      </c>
      <c r="B42" s="15">
        <f t="shared" si="5"/>
        <v>11208</v>
      </c>
      <c r="C42" s="15">
        <f t="shared" si="5"/>
        <v>2</v>
      </c>
      <c r="D42" s="15">
        <f t="shared" si="5"/>
        <v>6</v>
      </c>
      <c r="E42" s="15">
        <f t="shared" si="5"/>
        <v>125</v>
      </c>
      <c r="F42" s="15">
        <f t="shared" si="5"/>
        <v>32</v>
      </c>
      <c r="G42" s="15">
        <f t="shared" si="5"/>
        <v>0.4</v>
      </c>
      <c r="H42" s="15">
        <f t="shared" si="5"/>
        <v>1</v>
      </c>
      <c r="I42" s="15">
        <f t="shared" si="5"/>
        <v>0</v>
      </c>
      <c r="J42" s="15">
        <f t="shared" si="5"/>
        <v>0</v>
      </c>
      <c r="K42" s="15">
        <f t="shared" si="5"/>
        <v>1</v>
      </c>
      <c r="L42" s="15">
        <f t="shared" si="5"/>
        <v>0</v>
      </c>
      <c r="M42" s="15">
        <f t="shared" si="5"/>
        <v>1</v>
      </c>
      <c r="N42" s="15">
        <f t="shared" si="5"/>
        <v>1</v>
      </c>
      <c r="O42" s="15">
        <f t="shared" si="5"/>
        <v>125</v>
      </c>
      <c r="P42" s="15">
        <f t="shared" si="5"/>
        <v>1</v>
      </c>
      <c r="Q42" s="15">
        <f t="shared" si="5"/>
        <v>3</v>
      </c>
      <c r="R42" s="15">
        <f t="shared" si="4"/>
        <v>100</v>
      </c>
      <c r="S42" s="15">
        <f t="shared" si="4"/>
        <v>0</v>
      </c>
      <c r="T42" s="15">
        <f t="shared" si="4"/>
        <v>0</v>
      </c>
      <c r="U42" s="15">
        <f t="shared" si="4"/>
        <v>0</v>
      </c>
      <c r="V42" s="15">
        <f t="shared" si="4"/>
        <v>0</v>
      </c>
      <c r="W42" s="15">
        <f t="shared" si="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floors_cp_quests2_2</vt:lpstr>
      <vt:lpstr>enemy_habitats_cp_quests2_2</vt:lpstr>
      <vt:lpstr>floors_cp_quests2_2.tmp</vt:lpstr>
      <vt:lpstr>enemy_habitats_cp_quests2_2.tmp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福谷 優大</cp:lastModifiedBy>
  <dcterms:created xsi:type="dcterms:W3CDTF">2015-01-30T13:36:44Z</dcterms:created>
  <dcterms:modified xsi:type="dcterms:W3CDTF">2015-09-16T13:35:57Z</dcterms:modified>
</cp:coreProperties>
</file>