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5"/>
  </bookViews>
  <sheets>
    <sheet name="確率の考え方" sheetId="110" r:id="rId1"/>
    <sheet name="Sheet1" sheetId="107" r:id="rId2"/>
    <sheet name="output" sheetId="103" r:id="rId3"/>
    <sheet name="input_538010" sheetId="157" r:id="rId4"/>
    <sheet name="tables_538010" sheetId="158" r:id="rId5"/>
    <sheet name="gacha_bonus_tables" sheetId="98" r:id="rId6"/>
    <sheet name="R6追加前" sheetId="111" r:id="rId7"/>
    <sheet name="R6開放" sheetId="112" r:id="rId8"/>
  </sheets>
  <externalReferences>
    <externalReference r:id="rId9"/>
  </externalReferences>
  <definedNames>
    <definedName name="_xlnm._FilterDatabase" localSheetId="5" hidden="1">gacha_bonus_tables!$A$1:$F$1</definedName>
    <definedName name="_xlnm._FilterDatabase" localSheetId="4" hidden="1">tables_538010!$A$1:$V$354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8" l="1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6" i="157"/>
  <c r="B26" i="157"/>
  <c r="E5" i="157"/>
  <c r="E33" i="157"/>
  <c r="B33" i="157"/>
  <c r="B31" i="157"/>
  <c r="E30" i="157"/>
  <c r="B30" i="157"/>
  <c r="E29" i="157"/>
  <c r="B29" i="157"/>
  <c r="E28" i="157"/>
  <c r="B28" i="157"/>
  <c r="B6" i="157"/>
  <c r="E27" i="157"/>
  <c r="B27" i="157"/>
  <c r="E25" i="157"/>
  <c r="B25" i="157"/>
  <c r="E24" i="157"/>
  <c r="B24" i="157"/>
  <c r="E23" i="157"/>
  <c r="E22" i="157"/>
  <c r="E20" i="157"/>
  <c r="E19" i="157"/>
  <c r="B19" i="157"/>
  <c r="B17" i="157"/>
  <c r="E18" i="157"/>
  <c r="E17" i="157"/>
  <c r="E32" i="157"/>
  <c r="E31" i="157"/>
  <c r="H352" i="158"/>
  <c r="K352" i="158"/>
  <c r="L352" i="158"/>
  <c r="M352" i="158"/>
  <c r="N352" i="158"/>
  <c r="A2" i="157"/>
  <c r="A38" i="157"/>
  <c r="G33" i="157"/>
  <c r="H33" i="157"/>
  <c r="R9" i="157"/>
  <c r="O352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30" i="157"/>
  <c r="H30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R3" i="157"/>
  <c r="O346" i="158"/>
  <c r="R4" i="157"/>
  <c r="O347" i="158"/>
  <c r="R5" i="157"/>
  <c r="O348" i="158"/>
  <c r="R6" i="157"/>
  <c r="O349" i="158"/>
  <c r="R7" i="157"/>
  <c r="O350" i="158"/>
  <c r="R8" i="157"/>
  <c r="O351" i="158"/>
  <c r="R10" i="157"/>
  <c r="O353" i="158"/>
  <c r="R11" i="157"/>
  <c r="O354" i="158"/>
  <c r="P352" i="158"/>
  <c r="H353" i="158"/>
  <c r="K353" i="158"/>
  <c r="L353" i="158"/>
  <c r="M353" i="158"/>
  <c r="N353" i="158"/>
  <c r="P353" i="158"/>
  <c r="H354" i="158"/>
  <c r="K354" i="158"/>
  <c r="L354" i="158"/>
  <c r="M354" i="158"/>
  <c r="N354" i="158"/>
  <c r="P354" i="158"/>
  <c r="A354" i="158"/>
  <c r="A353" i="158"/>
  <c r="H351" i="158"/>
  <c r="K351" i="158"/>
  <c r="L351" i="158"/>
  <c r="M351" i="158"/>
  <c r="N351" i="158"/>
  <c r="P351" i="158"/>
  <c r="A352" i="158"/>
  <c r="A351" i="158"/>
  <c r="C29" i="157"/>
  <c r="C30" i="157"/>
  <c r="F29" i="157"/>
  <c r="G29" i="157"/>
  <c r="H29" i="157"/>
  <c r="I29" i="157"/>
  <c r="J29" i="157"/>
  <c r="F30" i="157"/>
  <c r="I30" i="157"/>
  <c r="J30" i="157"/>
  <c r="M8" i="157"/>
  <c r="M7" i="157"/>
  <c r="M6" i="157"/>
  <c r="M5" i="157"/>
  <c r="M4" i="157"/>
  <c r="M3" i="157"/>
  <c r="C17" i="157"/>
  <c r="C18" i="157"/>
  <c r="C19" i="157"/>
  <c r="C20" i="157"/>
  <c r="C21" i="157"/>
  <c r="C22" i="157"/>
  <c r="C23" i="157"/>
  <c r="C24" i="157"/>
  <c r="C25" i="157"/>
  <c r="C26" i="157"/>
  <c r="C27" i="157"/>
  <c r="C28" i="157"/>
  <c r="C31" i="157"/>
  <c r="C32" i="157"/>
  <c r="C33" i="157"/>
  <c r="F31" i="157"/>
  <c r="G31" i="157"/>
  <c r="H31" i="157"/>
  <c r="I31" i="157"/>
  <c r="J31" i="157"/>
  <c r="M9" i="157"/>
  <c r="M10" i="157"/>
  <c r="M11" i="157"/>
  <c r="H347" i="158"/>
  <c r="K347" i="158"/>
  <c r="L347" i="158"/>
  <c r="M347" i="158"/>
  <c r="N347" i="158"/>
  <c r="P347" i="158"/>
  <c r="H348" i="158"/>
  <c r="K348" i="158"/>
  <c r="L348" i="158"/>
  <c r="M348" i="158"/>
  <c r="N348" i="158"/>
  <c r="P348" i="158"/>
  <c r="H349" i="158"/>
  <c r="K349" i="158"/>
  <c r="L349" i="158"/>
  <c r="M349" i="158"/>
  <c r="N349" i="158"/>
  <c r="P349" i="158"/>
  <c r="H350" i="158"/>
  <c r="K350" i="158"/>
  <c r="L350" i="158"/>
  <c r="M350" i="158"/>
  <c r="N350" i="158"/>
  <c r="P350" i="158"/>
  <c r="A347" i="158"/>
  <c r="A348" i="158"/>
  <c r="A349" i="158"/>
  <c r="A350" i="158"/>
  <c r="C2" i="103"/>
  <c r="A2" i="158"/>
  <c r="H2" i="158"/>
  <c r="K2" i="158"/>
  <c r="L2" i="158"/>
  <c r="M2" i="158"/>
  <c r="N2" i="158"/>
  <c r="P2" i="158"/>
  <c r="A3" i="158"/>
  <c r="H3" i="158"/>
  <c r="K3" i="158"/>
  <c r="L3" i="158"/>
  <c r="M3" i="158"/>
  <c r="N3" i="158"/>
  <c r="P3" i="158"/>
  <c r="A4" i="158"/>
  <c r="H4" i="158"/>
  <c r="K4" i="158"/>
  <c r="L4" i="158"/>
  <c r="M4" i="158"/>
  <c r="N4" i="158"/>
  <c r="P4" i="158"/>
  <c r="A5" i="158"/>
  <c r="H5" i="158"/>
  <c r="K5" i="158"/>
  <c r="L5" i="158"/>
  <c r="M5" i="158"/>
  <c r="N5" i="158"/>
  <c r="P5" i="158"/>
  <c r="A6" i="158"/>
  <c r="H6" i="158"/>
  <c r="K6" i="158"/>
  <c r="L6" i="158"/>
  <c r="M6" i="158"/>
  <c r="N6" i="158"/>
  <c r="P6" i="158"/>
  <c r="A7" i="158"/>
  <c r="H7" i="158"/>
  <c r="K7" i="158"/>
  <c r="L7" i="158"/>
  <c r="M7" i="158"/>
  <c r="N7" i="158"/>
  <c r="P7" i="158"/>
  <c r="A8" i="158"/>
  <c r="H8" i="158"/>
  <c r="K8" i="158"/>
  <c r="L8" i="158"/>
  <c r="M8" i="158"/>
  <c r="N8" i="158"/>
  <c r="P8" i="158"/>
  <c r="A9" i="158"/>
  <c r="H9" i="158"/>
  <c r="K9" i="158"/>
  <c r="L9" i="158"/>
  <c r="M9" i="158"/>
  <c r="N9" i="158"/>
  <c r="P9" i="158"/>
  <c r="A10" i="158"/>
  <c r="H10" i="158"/>
  <c r="K10" i="158"/>
  <c r="L10" i="158"/>
  <c r="M10" i="158"/>
  <c r="N10" i="158"/>
  <c r="P10" i="158"/>
  <c r="A11" i="158"/>
  <c r="H11" i="158"/>
  <c r="K11" i="158"/>
  <c r="L11" i="158"/>
  <c r="M11" i="158"/>
  <c r="N11" i="158"/>
  <c r="P11" i="158"/>
  <c r="A12" i="158"/>
  <c r="H12" i="158"/>
  <c r="K12" i="158"/>
  <c r="L12" i="158"/>
  <c r="M12" i="158"/>
  <c r="N12" i="158"/>
  <c r="P12" i="158"/>
  <c r="A13" i="158"/>
  <c r="H13" i="158"/>
  <c r="K13" i="158"/>
  <c r="L13" i="158"/>
  <c r="M13" i="158"/>
  <c r="N13" i="158"/>
  <c r="P13" i="158"/>
  <c r="A14" i="158"/>
  <c r="H14" i="158"/>
  <c r="K14" i="158"/>
  <c r="L14" i="158"/>
  <c r="M14" i="158"/>
  <c r="N14" i="158"/>
  <c r="P14" i="158"/>
  <c r="A15" i="158"/>
  <c r="H15" i="158"/>
  <c r="K15" i="158"/>
  <c r="L15" i="158"/>
  <c r="M15" i="158"/>
  <c r="N15" i="158"/>
  <c r="P15" i="158"/>
  <c r="A16" i="158"/>
  <c r="H16" i="158"/>
  <c r="K16" i="158"/>
  <c r="L16" i="158"/>
  <c r="M16" i="158"/>
  <c r="N16" i="158"/>
  <c r="P16" i="158"/>
  <c r="A17" i="158"/>
  <c r="H17" i="158"/>
  <c r="K17" i="158"/>
  <c r="L17" i="158"/>
  <c r="M17" i="158"/>
  <c r="N17" i="158"/>
  <c r="P17" i="158"/>
  <c r="A18" i="158"/>
  <c r="H18" i="158"/>
  <c r="K18" i="158"/>
  <c r="L18" i="158"/>
  <c r="M18" i="158"/>
  <c r="N18" i="158"/>
  <c r="P18" i="158"/>
  <c r="A19" i="158"/>
  <c r="H19" i="158"/>
  <c r="K19" i="158"/>
  <c r="L19" i="158"/>
  <c r="M19" i="158"/>
  <c r="N19" i="158"/>
  <c r="P19" i="158"/>
  <c r="A20" i="158"/>
  <c r="H20" i="158"/>
  <c r="K20" i="158"/>
  <c r="L20" i="158"/>
  <c r="M20" i="158"/>
  <c r="N20" i="158"/>
  <c r="P20" i="158"/>
  <c r="A21" i="158"/>
  <c r="H21" i="158"/>
  <c r="K21" i="158"/>
  <c r="L21" i="158"/>
  <c r="M21" i="158"/>
  <c r="N21" i="158"/>
  <c r="P21" i="158"/>
  <c r="A22" i="158"/>
  <c r="H22" i="158"/>
  <c r="K22" i="158"/>
  <c r="L22" i="158"/>
  <c r="M22" i="158"/>
  <c r="N22" i="158"/>
  <c r="P22" i="158"/>
  <c r="A23" i="158"/>
  <c r="H23" i="158"/>
  <c r="K23" i="158"/>
  <c r="L23" i="158"/>
  <c r="M23" i="158"/>
  <c r="N23" i="158"/>
  <c r="P23" i="158"/>
  <c r="A24" i="158"/>
  <c r="H24" i="158"/>
  <c r="K24" i="158"/>
  <c r="L24" i="158"/>
  <c r="M24" i="158"/>
  <c r="N24" i="158"/>
  <c r="P24" i="158"/>
  <c r="A25" i="158"/>
  <c r="H25" i="158"/>
  <c r="K25" i="158"/>
  <c r="L25" i="158"/>
  <c r="M25" i="158"/>
  <c r="N25" i="158"/>
  <c r="P25" i="158"/>
  <c r="A26" i="158"/>
  <c r="H26" i="158"/>
  <c r="K26" i="158"/>
  <c r="L26" i="158"/>
  <c r="M26" i="158"/>
  <c r="N26" i="158"/>
  <c r="P26" i="158"/>
  <c r="A27" i="158"/>
  <c r="H27" i="158"/>
  <c r="K27" i="158"/>
  <c r="L27" i="158"/>
  <c r="M27" i="158"/>
  <c r="N27" i="158"/>
  <c r="P27" i="158"/>
  <c r="A28" i="158"/>
  <c r="H28" i="158"/>
  <c r="K28" i="158"/>
  <c r="L28" i="158"/>
  <c r="M28" i="158"/>
  <c r="N28" i="158"/>
  <c r="P28" i="158"/>
  <c r="A29" i="158"/>
  <c r="H29" i="158"/>
  <c r="K29" i="158"/>
  <c r="L29" i="158"/>
  <c r="M29" i="158"/>
  <c r="N29" i="158"/>
  <c r="P29" i="158"/>
  <c r="A30" i="158"/>
  <c r="H30" i="158"/>
  <c r="K30" i="158"/>
  <c r="L30" i="158"/>
  <c r="M30" i="158"/>
  <c r="N30" i="158"/>
  <c r="P30" i="158"/>
  <c r="A31" i="158"/>
  <c r="H31" i="158"/>
  <c r="K31" i="158"/>
  <c r="L31" i="158"/>
  <c r="M31" i="158"/>
  <c r="N31" i="158"/>
  <c r="P31" i="158"/>
  <c r="A32" i="158"/>
  <c r="H32" i="158"/>
  <c r="K32" i="158"/>
  <c r="L32" i="158"/>
  <c r="M32" i="158"/>
  <c r="N32" i="158"/>
  <c r="P32" i="158"/>
  <c r="A33" i="158"/>
  <c r="H33" i="158"/>
  <c r="K33" i="158"/>
  <c r="L33" i="158"/>
  <c r="M33" i="158"/>
  <c r="N33" i="158"/>
  <c r="P33" i="158"/>
  <c r="A34" i="158"/>
  <c r="H34" i="158"/>
  <c r="K34" i="158"/>
  <c r="L34" i="158"/>
  <c r="M34" i="158"/>
  <c r="N34" i="158"/>
  <c r="P34" i="158"/>
  <c r="A35" i="158"/>
  <c r="H35" i="158"/>
  <c r="K35" i="158"/>
  <c r="L35" i="158"/>
  <c r="M35" i="158"/>
  <c r="N35" i="158"/>
  <c r="P35" i="158"/>
  <c r="A36" i="158"/>
  <c r="H36" i="158"/>
  <c r="K36" i="158"/>
  <c r="L36" i="158"/>
  <c r="M36" i="158"/>
  <c r="N36" i="158"/>
  <c r="P36" i="158"/>
  <c r="A37" i="158"/>
  <c r="H37" i="158"/>
  <c r="K37" i="158"/>
  <c r="L37" i="158"/>
  <c r="M37" i="158"/>
  <c r="N37" i="158"/>
  <c r="P37" i="158"/>
  <c r="A38" i="158"/>
  <c r="H38" i="158"/>
  <c r="K38" i="158"/>
  <c r="L38" i="158"/>
  <c r="M38" i="158"/>
  <c r="N38" i="158"/>
  <c r="P38" i="158"/>
  <c r="A39" i="158"/>
  <c r="H39" i="158"/>
  <c r="K39" i="158"/>
  <c r="L39" i="158"/>
  <c r="M39" i="158"/>
  <c r="N39" i="158"/>
  <c r="P39" i="158"/>
  <c r="A40" i="158"/>
  <c r="H40" i="158"/>
  <c r="K40" i="158"/>
  <c r="L40" i="158"/>
  <c r="M40" i="158"/>
  <c r="N40" i="158"/>
  <c r="P40" i="158"/>
  <c r="A41" i="158"/>
  <c r="H41" i="158"/>
  <c r="K41" i="158"/>
  <c r="L41" i="158"/>
  <c r="M41" i="158"/>
  <c r="N41" i="158"/>
  <c r="P41" i="158"/>
  <c r="A42" i="158"/>
  <c r="H42" i="158"/>
  <c r="K42" i="158"/>
  <c r="L42" i="158"/>
  <c r="M42" i="158"/>
  <c r="N42" i="158"/>
  <c r="P42" i="158"/>
  <c r="A43" i="158"/>
  <c r="H43" i="158"/>
  <c r="K43" i="158"/>
  <c r="L43" i="158"/>
  <c r="M43" i="158"/>
  <c r="N43" i="158"/>
  <c r="P43" i="158"/>
  <c r="A44" i="158"/>
  <c r="H44" i="158"/>
  <c r="K44" i="158"/>
  <c r="L44" i="158"/>
  <c r="M44" i="158"/>
  <c r="N44" i="158"/>
  <c r="P44" i="158"/>
  <c r="A45" i="158"/>
  <c r="H45" i="158"/>
  <c r="K45" i="158"/>
  <c r="L45" i="158"/>
  <c r="M45" i="158"/>
  <c r="N45" i="158"/>
  <c r="P45" i="158"/>
  <c r="A46" i="158"/>
  <c r="H46" i="158"/>
  <c r="K46" i="158"/>
  <c r="L46" i="158"/>
  <c r="M46" i="158"/>
  <c r="N46" i="158"/>
  <c r="P46" i="158"/>
  <c r="A47" i="158"/>
  <c r="H47" i="158"/>
  <c r="K47" i="158"/>
  <c r="L47" i="158"/>
  <c r="M47" i="158"/>
  <c r="N47" i="158"/>
  <c r="P47" i="158"/>
  <c r="A48" i="158"/>
  <c r="H48" i="158"/>
  <c r="K48" i="158"/>
  <c r="L48" i="158"/>
  <c r="M48" i="158"/>
  <c r="N48" i="158"/>
  <c r="P48" i="158"/>
  <c r="A49" i="158"/>
  <c r="H49" i="158"/>
  <c r="K49" i="158"/>
  <c r="L49" i="158"/>
  <c r="M49" i="158"/>
  <c r="N49" i="158"/>
  <c r="P49" i="158"/>
  <c r="A50" i="158"/>
  <c r="H50" i="158"/>
  <c r="K50" i="158"/>
  <c r="L50" i="158"/>
  <c r="M50" i="158"/>
  <c r="N50" i="158"/>
  <c r="P50" i="158"/>
  <c r="A51" i="158"/>
  <c r="H51" i="158"/>
  <c r="K51" i="158"/>
  <c r="L51" i="158"/>
  <c r="M51" i="158"/>
  <c r="N51" i="158"/>
  <c r="P51" i="158"/>
  <c r="A52" i="158"/>
  <c r="H52" i="158"/>
  <c r="K52" i="158"/>
  <c r="L52" i="158"/>
  <c r="M52" i="158"/>
  <c r="N52" i="158"/>
  <c r="P52" i="158"/>
  <c r="A53" i="158"/>
  <c r="H53" i="158"/>
  <c r="K53" i="158"/>
  <c r="L53" i="158"/>
  <c r="M53" i="158"/>
  <c r="N53" i="158"/>
  <c r="P53" i="158"/>
  <c r="A54" i="158"/>
  <c r="H54" i="158"/>
  <c r="K54" i="158"/>
  <c r="L54" i="158"/>
  <c r="M54" i="158"/>
  <c r="N54" i="158"/>
  <c r="P54" i="158"/>
  <c r="A55" i="158"/>
  <c r="H55" i="158"/>
  <c r="K55" i="158"/>
  <c r="L55" i="158"/>
  <c r="M55" i="158"/>
  <c r="N55" i="158"/>
  <c r="P55" i="158"/>
  <c r="A56" i="158"/>
  <c r="H56" i="158"/>
  <c r="K56" i="158"/>
  <c r="L56" i="158"/>
  <c r="M56" i="158"/>
  <c r="N56" i="158"/>
  <c r="P56" i="158"/>
  <c r="A57" i="158"/>
  <c r="H57" i="158"/>
  <c r="K57" i="158"/>
  <c r="L57" i="158"/>
  <c r="M57" i="158"/>
  <c r="N57" i="158"/>
  <c r="P57" i="158"/>
  <c r="A58" i="158"/>
  <c r="H58" i="158"/>
  <c r="K58" i="158"/>
  <c r="L58" i="158"/>
  <c r="M58" i="158"/>
  <c r="N58" i="158"/>
  <c r="P58" i="158"/>
  <c r="A59" i="158"/>
  <c r="H59" i="158"/>
  <c r="K59" i="158"/>
  <c r="L59" i="158"/>
  <c r="M59" i="158"/>
  <c r="N59" i="158"/>
  <c r="P59" i="158"/>
  <c r="A60" i="158"/>
  <c r="H60" i="158"/>
  <c r="K60" i="158"/>
  <c r="L60" i="158"/>
  <c r="M60" i="158"/>
  <c r="N60" i="158"/>
  <c r="P60" i="158"/>
  <c r="A61" i="158"/>
  <c r="H61" i="158"/>
  <c r="K61" i="158"/>
  <c r="L61" i="158"/>
  <c r="M61" i="158"/>
  <c r="N61" i="158"/>
  <c r="P61" i="158"/>
  <c r="A62" i="158"/>
  <c r="H62" i="158"/>
  <c r="K62" i="158"/>
  <c r="L62" i="158"/>
  <c r="M62" i="158"/>
  <c r="N62" i="158"/>
  <c r="P62" i="158"/>
  <c r="A63" i="158"/>
  <c r="H63" i="158"/>
  <c r="K63" i="158"/>
  <c r="L63" i="158"/>
  <c r="M63" i="158"/>
  <c r="N63" i="158"/>
  <c r="P63" i="158"/>
  <c r="A64" i="158"/>
  <c r="H64" i="158"/>
  <c r="K64" i="158"/>
  <c r="L64" i="158"/>
  <c r="M64" i="158"/>
  <c r="N64" i="158"/>
  <c r="P64" i="158"/>
  <c r="A65" i="158"/>
  <c r="H65" i="158"/>
  <c r="K65" i="158"/>
  <c r="L65" i="158"/>
  <c r="M65" i="158"/>
  <c r="N65" i="158"/>
  <c r="P65" i="158"/>
  <c r="A66" i="158"/>
  <c r="H66" i="158"/>
  <c r="K66" i="158"/>
  <c r="L66" i="158"/>
  <c r="M66" i="158"/>
  <c r="N66" i="158"/>
  <c r="P66" i="158"/>
  <c r="A67" i="158"/>
  <c r="H67" i="158"/>
  <c r="K67" i="158"/>
  <c r="L67" i="158"/>
  <c r="M67" i="158"/>
  <c r="N67" i="158"/>
  <c r="P67" i="158"/>
  <c r="A68" i="158"/>
  <c r="H68" i="158"/>
  <c r="K68" i="158"/>
  <c r="L68" i="158"/>
  <c r="M68" i="158"/>
  <c r="N68" i="158"/>
  <c r="P68" i="158"/>
  <c r="A69" i="158"/>
  <c r="H69" i="158"/>
  <c r="K69" i="158"/>
  <c r="L69" i="158"/>
  <c r="M69" i="158"/>
  <c r="N69" i="158"/>
  <c r="P69" i="158"/>
  <c r="A70" i="158"/>
  <c r="H70" i="158"/>
  <c r="K70" i="158"/>
  <c r="L70" i="158"/>
  <c r="M70" i="158"/>
  <c r="N70" i="158"/>
  <c r="P70" i="158"/>
  <c r="A71" i="158"/>
  <c r="H71" i="158"/>
  <c r="K71" i="158"/>
  <c r="L71" i="158"/>
  <c r="M71" i="158"/>
  <c r="N71" i="158"/>
  <c r="P71" i="158"/>
  <c r="A72" i="158"/>
  <c r="H72" i="158"/>
  <c r="K72" i="158"/>
  <c r="L72" i="158"/>
  <c r="M72" i="158"/>
  <c r="N72" i="158"/>
  <c r="P72" i="158"/>
  <c r="A73" i="158"/>
  <c r="H73" i="158"/>
  <c r="K73" i="158"/>
  <c r="L73" i="158"/>
  <c r="M73" i="158"/>
  <c r="N73" i="158"/>
  <c r="P73" i="158"/>
  <c r="A74" i="158"/>
  <c r="H74" i="158"/>
  <c r="K74" i="158"/>
  <c r="L74" i="158"/>
  <c r="M74" i="158"/>
  <c r="N74" i="158"/>
  <c r="P74" i="158"/>
  <c r="A75" i="158"/>
  <c r="H75" i="158"/>
  <c r="K75" i="158"/>
  <c r="L75" i="158"/>
  <c r="M75" i="158"/>
  <c r="N75" i="158"/>
  <c r="P75" i="158"/>
  <c r="A76" i="158"/>
  <c r="H76" i="158"/>
  <c r="K76" i="158"/>
  <c r="L76" i="158"/>
  <c r="M76" i="158"/>
  <c r="N76" i="158"/>
  <c r="P76" i="158"/>
  <c r="A77" i="158"/>
  <c r="H77" i="158"/>
  <c r="K77" i="158"/>
  <c r="L77" i="158"/>
  <c r="M77" i="158"/>
  <c r="N77" i="158"/>
  <c r="P77" i="158"/>
  <c r="A78" i="158"/>
  <c r="H78" i="158"/>
  <c r="K78" i="158"/>
  <c r="L78" i="158"/>
  <c r="M78" i="158"/>
  <c r="N78" i="158"/>
  <c r="P78" i="158"/>
  <c r="A79" i="158"/>
  <c r="H79" i="158"/>
  <c r="K79" i="158"/>
  <c r="L79" i="158"/>
  <c r="M79" i="158"/>
  <c r="N79" i="158"/>
  <c r="P79" i="158"/>
  <c r="A80" i="158"/>
  <c r="H80" i="158"/>
  <c r="K80" i="158"/>
  <c r="L80" i="158"/>
  <c r="M80" i="158"/>
  <c r="N80" i="158"/>
  <c r="P80" i="158"/>
  <c r="A81" i="158"/>
  <c r="H81" i="158"/>
  <c r="K81" i="158"/>
  <c r="L81" i="158"/>
  <c r="M81" i="158"/>
  <c r="N81" i="158"/>
  <c r="P81" i="158"/>
  <c r="A82" i="158"/>
  <c r="H82" i="158"/>
  <c r="K82" i="158"/>
  <c r="L82" i="158"/>
  <c r="M82" i="158"/>
  <c r="N82" i="158"/>
  <c r="P82" i="158"/>
  <c r="A83" i="158"/>
  <c r="H83" i="158"/>
  <c r="K83" i="158"/>
  <c r="L83" i="158"/>
  <c r="M83" i="158"/>
  <c r="N83" i="158"/>
  <c r="P83" i="158"/>
  <c r="A84" i="158"/>
  <c r="H84" i="158"/>
  <c r="K84" i="158"/>
  <c r="L84" i="158"/>
  <c r="M84" i="158"/>
  <c r="N84" i="158"/>
  <c r="P84" i="158"/>
  <c r="A85" i="158"/>
  <c r="H85" i="158"/>
  <c r="K85" i="158"/>
  <c r="L85" i="158"/>
  <c r="M85" i="158"/>
  <c r="N85" i="158"/>
  <c r="P85" i="158"/>
  <c r="A86" i="158"/>
  <c r="H86" i="158"/>
  <c r="K86" i="158"/>
  <c r="L86" i="158"/>
  <c r="M86" i="158"/>
  <c r="N86" i="158"/>
  <c r="P86" i="158"/>
  <c r="A87" i="158"/>
  <c r="H87" i="158"/>
  <c r="K87" i="158"/>
  <c r="L87" i="158"/>
  <c r="M87" i="158"/>
  <c r="N87" i="158"/>
  <c r="P87" i="158"/>
  <c r="A88" i="158"/>
  <c r="H88" i="158"/>
  <c r="K88" i="158"/>
  <c r="L88" i="158"/>
  <c r="M88" i="158"/>
  <c r="N88" i="158"/>
  <c r="P88" i="158"/>
  <c r="A89" i="158"/>
  <c r="H89" i="158"/>
  <c r="K89" i="158"/>
  <c r="L89" i="158"/>
  <c r="M89" i="158"/>
  <c r="N89" i="158"/>
  <c r="P89" i="158"/>
  <c r="A90" i="158"/>
  <c r="H90" i="158"/>
  <c r="K90" i="158"/>
  <c r="L90" i="158"/>
  <c r="M90" i="158"/>
  <c r="N90" i="158"/>
  <c r="P90" i="158"/>
  <c r="A91" i="158"/>
  <c r="H91" i="158"/>
  <c r="K91" i="158"/>
  <c r="L91" i="158"/>
  <c r="M91" i="158"/>
  <c r="N91" i="158"/>
  <c r="P91" i="158"/>
  <c r="A92" i="158"/>
  <c r="H92" i="158"/>
  <c r="K92" i="158"/>
  <c r="L92" i="158"/>
  <c r="M92" i="158"/>
  <c r="N92" i="158"/>
  <c r="P92" i="158"/>
  <c r="A93" i="158"/>
  <c r="H93" i="158"/>
  <c r="K93" i="158"/>
  <c r="L93" i="158"/>
  <c r="M93" i="158"/>
  <c r="N93" i="158"/>
  <c r="P93" i="158"/>
  <c r="A94" i="158"/>
  <c r="H94" i="158"/>
  <c r="K94" i="158"/>
  <c r="L94" i="158"/>
  <c r="M94" i="158"/>
  <c r="N94" i="158"/>
  <c r="P94" i="158"/>
  <c r="A95" i="158"/>
  <c r="H95" i="158"/>
  <c r="K95" i="158"/>
  <c r="L95" i="158"/>
  <c r="M95" i="158"/>
  <c r="N95" i="158"/>
  <c r="P95" i="158"/>
  <c r="A96" i="158"/>
  <c r="H96" i="158"/>
  <c r="K96" i="158"/>
  <c r="L96" i="158"/>
  <c r="M96" i="158"/>
  <c r="N96" i="158"/>
  <c r="P96" i="158"/>
  <c r="A97" i="158"/>
  <c r="H97" i="158"/>
  <c r="K97" i="158"/>
  <c r="L97" i="158"/>
  <c r="M97" i="158"/>
  <c r="N97" i="158"/>
  <c r="P97" i="158"/>
  <c r="A98" i="158"/>
  <c r="H98" i="158"/>
  <c r="K98" i="158"/>
  <c r="L98" i="158"/>
  <c r="M98" i="158"/>
  <c r="N98" i="158"/>
  <c r="P98" i="158"/>
  <c r="A99" i="158"/>
  <c r="H99" i="158"/>
  <c r="K99" i="158"/>
  <c r="L99" i="158"/>
  <c r="M99" i="158"/>
  <c r="N99" i="158"/>
  <c r="P99" i="158"/>
  <c r="A100" i="158"/>
  <c r="H100" i="158"/>
  <c r="K100" i="158"/>
  <c r="L100" i="158"/>
  <c r="M100" i="158"/>
  <c r="N100" i="158"/>
  <c r="P100" i="158"/>
  <c r="A101" i="158"/>
  <c r="H101" i="158"/>
  <c r="K101" i="158"/>
  <c r="L101" i="158"/>
  <c r="M101" i="158"/>
  <c r="N101" i="158"/>
  <c r="P101" i="158"/>
  <c r="A102" i="158"/>
  <c r="H102" i="158"/>
  <c r="K102" i="158"/>
  <c r="L102" i="158"/>
  <c r="M102" i="158"/>
  <c r="N102" i="158"/>
  <c r="P102" i="158"/>
  <c r="A103" i="158"/>
  <c r="H103" i="158"/>
  <c r="K103" i="158"/>
  <c r="L103" i="158"/>
  <c r="M103" i="158"/>
  <c r="N103" i="158"/>
  <c r="P103" i="158"/>
  <c r="A104" i="158"/>
  <c r="H104" i="158"/>
  <c r="K104" i="158"/>
  <c r="L104" i="158"/>
  <c r="M104" i="158"/>
  <c r="N104" i="158"/>
  <c r="P104" i="158"/>
  <c r="A105" i="158"/>
  <c r="H105" i="158"/>
  <c r="K105" i="158"/>
  <c r="L105" i="158"/>
  <c r="M105" i="158"/>
  <c r="N105" i="158"/>
  <c r="P105" i="158"/>
  <c r="A106" i="158"/>
  <c r="H106" i="158"/>
  <c r="K106" i="158"/>
  <c r="L106" i="158"/>
  <c r="M106" i="158"/>
  <c r="N106" i="158"/>
  <c r="P106" i="158"/>
  <c r="A107" i="158"/>
  <c r="H107" i="158"/>
  <c r="K107" i="158"/>
  <c r="L107" i="158"/>
  <c r="M107" i="158"/>
  <c r="N107" i="158"/>
  <c r="P107" i="158"/>
  <c r="A108" i="158"/>
  <c r="H108" i="158"/>
  <c r="K108" i="158"/>
  <c r="L108" i="158"/>
  <c r="M108" i="158"/>
  <c r="N108" i="158"/>
  <c r="P108" i="158"/>
  <c r="A109" i="158"/>
  <c r="H109" i="158"/>
  <c r="K109" i="158"/>
  <c r="L109" i="158"/>
  <c r="M109" i="158"/>
  <c r="N109" i="158"/>
  <c r="P109" i="158"/>
  <c r="A110" i="158"/>
  <c r="H110" i="158"/>
  <c r="K110" i="158"/>
  <c r="L110" i="158"/>
  <c r="M110" i="158"/>
  <c r="N110" i="158"/>
  <c r="P110" i="158"/>
  <c r="A111" i="158"/>
  <c r="H111" i="158"/>
  <c r="K111" i="158"/>
  <c r="L111" i="158"/>
  <c r="M111" i="158"/>
  <c r="N111" i="158"/>
  <c r="P111" i="158"/>
  <c r="A112" i="158"/>
  <c r="H112" i="158"/>
  <c r="K112" i="158"/>
  <c r="L112" i="158"/>
  <c r="M112" i="158"/>
  <c r="N112" i="158"/>
  <c r="P112" i="158"/>
  <c r="A113" i="158"/>
  <c r="H113" i="158"/>
  <c r="K113" i="158"/>
  <c r="L113" i="158"/>
  <c r="M113" i="158"/>
  <c r="N113" i="158"/>
  <c r="P113" i="158"/>
  <c r="A114" i="158"/>
  <c r="H114" i="158"/>
  <c r="K114" i="158"/>
  <c r="L114" i="158"/>
  <c r="M114" i="158"/>
  <c r="N114" i="158"/>
  <c r="P114" i="158"/>
  <c r="A115" i="158"/>
  <c r="H115" i="158"/>
  <c r="K115" i="158"/>
  <c r="L115" i="158"/>
  <c r="M115" i="158"/>
  <c r="N115" i="158"/>
  <c r="P115" i="158"/>
  <c r="A116" i="158"/>
  <c r="H116" i="158"/>
  <c r="K116" i="158"/>
  <c r="L116" i="158"/>
  <c r="M116" i="158"/>
  <c r="N116" i="158"/>
  <c r="P116" i="158"/>
  <c r="A117" i="158"/>
  <c r="H117" i="158"/>
  <c r="K117" i="158"/>
  <c r="L117" i="158"/>
  <c r="M117" i="158"/>
  <c r="N117" i="158"/>
  <c r="P117" i="158"/>
  <c r="A118" i="158"/>
  <c r="H118" i="158"/>
  <c r="K118" i="158"/>
  <c r="L118" i="158"/>
  <c r="M118" i="158"/>
  <c r="N118" i="158"/>
  <c r="P118" i="158"/>
  <c r="A119" i="158"/>
  <c r="H119" i="158"/>
  <c r="K119" i="158"/>
  <c r="L119" i="158"/>
  <c r="M119" i="158"/>
  <c r="N119" i="158"/>
  <c r="P119" i="158"/>
  <c r="A120" i="158"/>
  <c r="H120" i="158"/>
  <c r="K120" i="158"/>
  <c r="L120" i="158"/>
  <c r="M120" i="158"/>
  <c r="N120" i="158"/>
  <c r="P120" i="158"/>
  <c r="A121" i="158"/>
  <c r="H121" i="158"/>
  <c r="K121" i="158"/>
  <c r="L121" i="158"/>
  <c r="M121" i="158"/>
  <c r="N121" i="158"/>
  <c r="P121" i="158"/>
  <c r="A122" i="158"/>
  <c r="H122" i="158"/>
  <c r="K122" i="158"/>
  <c r="L122" i="158"/>
  <c r="M122" i="158"/>
  <c r="N122" i="158"/>
  <c r="P122" i="158"/>
  <c r="A123" i="158"/>
  <c r="H123" i="158"/>
  <c r="K123" i="158"/>
  <c r="L123" i="158"/>
  <c r="M123" i="158"/>
  <c r="N123" i="158"/>
  <c r="P123" i="158"/>
  <c r="A124" i="158"/>
  <c r="H124" i="158"/>
  <c r="K124" i="158"/>
  <c r="L124" i="158"/>
  <c r="M124" i="158"/>
  <c r="N124" i="158"/>
  <c r="P124" i="158"/>
  <c r="A125" i="158"/>
  <c r="H125" i="158"/>
  <c r="K125" i="158"/>
  <c r="L125" i="158"/>
  <c r="M125" i="158"/>
  <c r="N125" i="158"/>
  <c r="P125" i="158"/>
  <c r="A126" i="158"/>
  <c r="H126" i="158"/>
  <c r="K126" i="158"/>
  <c r="L126" i="158"/>
  <c r="M126" i="158"/>
  <c r="N126" i="158"/>
  <c r="P126" i="158"/>
  <c r="A127" i="158"/>
  <c r="H127" i="158"/>
  <c r="K127" i="158"/>
  <c r="L127" i="158"/>
  <c r="M127" i="158"/>
  <c r="N127" i="158"/>
  <c r="P127" i="158"/>
  <c r="A128" i="158"/>
  <c r="H128" i="158"/>
  <c r="K128" i="158"/>
  <c r="L128" i="158"/>
  <c r="M128" i="158"/>
  <c r="N128" i="158"/>
  <c r="P128" i="158"/>
  <c r="A129" i="158"/>
  <c r="H129" i="158"/>
  <c r="K129" i="158"/>
  <c r="L129" i="158"/>
  <c r="M129" i="158"/>
  <c r="N129" i="158"/>
  <c r="P129" i="158"/>
  <c r="A130" i="158"/>
  <c r="H130" i="158"/>
  <c r="K130" i="158"/>
  <c r="L130" i="158"/>
  <c r="M130" i="158"/>
  <c r="N130" i="158"/>
  <c r="P130" i="158"/>
  <c r="A131" i="158"/>
  <c r="H131" i="158"/>
  <c r="K131" i="158"/>
  <c r="L131" i="158"/>
  <c r="M131" i="158"/>
  <c r="N131" i="158"/>
  <c r="P131" i="158"/>
  <c r="A132" i="158"/>
  <c r="H132" i="158"/>
  <c r="K132" i="158"/>
  <c r="L132" i="158"/>
  <c r="M132" i="158"/>
  <c r="N132" i="158"/>
  <c r="P132" i="158"/>
  <c r="A133" i="158"/>
  <c r="H133" i="158"/>
  <c r="K133" i="158"/>
  <c r="L133" i="158"/>
  <c r="M133" i="158"/>
  <c r="N133" i="158"/>
  <c r="P133" i="158"/>
  <c r="A134" i="158"/>
  <c r="H134" i="158"/>
  <c r="K134" i="158"/>
  <c r="L134" i="158"/>
  <c r="M134" i="158"/>
  <c r="N134" i="158"/>
  <c r="P134" i="158"/>
  <c r="A135" i="158"/>
  <c r="H135" i="158"/>
  <c r="K135" i="158"/>
  <c r="L135" i="158"/>
  <c r="M135" i="158"/>
  <c r="N135" i="158"/>
  <c r="P135" i="158"/>
  <c r="A136" i="158"/>
  <c r="H136" i="158"/>
  <c r="K136" i="158"/>
  <c r="L136" i="158"/>
  <c r="M136" i="158"/>
  <c r="N136" i="158"/>
  <c r="P136" i="158"/>
  <c r="A137" i="158"/>
  <c r="H137" i="158"/>
  <c r="K137" i="158"/>
  <c r="L137" i="158"/>
  <c r="M137" i="158"/>
  <c r="N137" i="158"/>
  <c r="P137" i="158"/>
  <c r="A138" i="158"/>
  <c r="H138" i="158"/>
  <c r="K138" i="158"/>
  <c r="L138" i="158"/>
  <c r="M138" i="158"/>
  <c r="N138" i="158"/>
  <c r="P138" i="158"/>
  <c r="A139" i="158"/>
  <c r="H139" i="158"/>
  <c r="K139" i="158"/>
  <c r="L139" i="158"/>
  <c r="M139" i="158"/>
  <c r="N139" i="158"/>
  <c r="P139" i="158"/>
  <c r="A140" i="158"/>
  <c r="H140" i="158"/>
  <c r="K140" i="158"/>
  <c r="L140" i="158"/>
  <c r="M140" i="158"/>
  <c r="N140" i="158"/>
  <c r="P140" i="158"/>
  <c r="A141" i="158"/>
  <c r="H141" i="158"/>
  <c r="K141" i="158"/>
  <c r="L141" i="158"/>
  <c r="M141" i="158"/>
  <c r="N141" i="158"/>
  <c r="P141" i="158"/>
  <c r="A142" i="158"/>
  <c r="H142" i="158"/>
  <c r="K142" i="158"/>
  <c r="L142" i="158"/>
  <c r="M142" i="158"/>
  <c r="N142" i="158"/>
  <c r="P142" i="158"/>
  <c r="A143" i="158"/>
  <c r="H143" i="158"/>
  <c r="K143" i="158"/>
  <c r="L143" i="158"/>
  <c r="M143" i="158"/>
  <c r="N143" i="158"/>
  <c r="P143" i="158"/>
  <c r="A144" i="158"/>
  <c r="H144" i="158"/>
  <c r="K144" i="158"/>
  <c r="L144" i="158"/>
  <c r="M144" i="158"/>
  <c r="N144" i="158"/>
  <c r="P144" i="158"/>
  <c r="A145" i="158"/>
  <c r="H145" i="158"/>
  <c r="K145" i="158"/>
  <c r="L145" i="158"/>
  <c r="M145" i="158"/>
  <c r="N145" i="158"/>
  <c r="P145" i="158"/>
  <c r="A146" i="158"/>
  <c r="H146" i="158"/>
  <c r="K146" i="158"/>
  <c r="L146" i="158"/>
  <c r="M146" i="158"/>
  <c r="N146" i="158"/>
  <c r="P146" i="158"/>
  <c r="A147" i="158"/>
  <c r="H147" i="158"/>
  <c r="K147" i="158"/>
  <c r="L147" i="158"/>
  <c r="M147" i="158"/>
  <c r="N147" i="158"/>
  <c r="P147" i="158"/>
  <c r="A148" i="158"/>
  <c r="H148" i="158"/>
  <c r="K148" i="158"/>
  <c r="L148" i="158"/>
  <c r="M148" i="158"/>
  <c r="N148" i="158"/>
  <c r="P148" i="158"/>
  <c r="A149" i="158"/>
  <c r="H149" i="158"/>
  <c r="K149" i="158"/>
  <c r="L149" i="158"/>
  <c r="M149" i="158"/>
  <c r="N149" i="158"/>
  <c r="P149" i="158"/>
  <c r="A150" i="158"/>
  <c r="H150" i="158"/>
  <c r="K150" i="158"/>
  <c r="L150" i="158"/>
  <c r="M150" i="158"/>
  <c r="N150" i="158"/>
  <c r="P150" i="158"/>
  <c r="A151" i="158"/>
  <c r="H151" i="158"/>
  <c r="K151" i="158"/>
  <c r="L151" i="158"/>
  <c r="M151" i="158"/>
  <c r="N151" i="158"/>
  <c r="P151" i="158"/>
  <c r="A152" i="158"/>
  <c r="H152" i="158"/>
  <c r="K152" i="158"/>
  <c r="L152" i="158"/>
  <c r="M152" i="158"/>
  <c r="N152" i="158"/>
  <c r="P152" i="158"/>
  <c r="A153" i="158"/>
  <c r="H153" i="158"/>
  <c r="K153" i="158"/>
  <c r="L153" i="158"/>
  <c r="M153" i="158"/>
  <c r="N153" i="158"/>
  <c r="P153" i="158"/>
  <c r="A154" i="158"/>
  <c r="H154" i="158"/>
  <c r="K154" i="158"/>
  <c r="L154" i="158"/>
  <c r="M154" i="158"/>
  <c r="N154" i="158"/>
  <c r="P154" i="158"/>
  <c r="A155" i="158"/>
  <c r="H155" i="158"/>
  <c r="K155" i="158"/>
  <c r="L155" i="158"/>
  <c r="M155" i="158"/>
  <c r="N155" i="158"/>
  <c r="P155" i="158"/>
  <c r="A156" i="158"/>
  <c r="H156" i="158"/>
  <c r="K156" i="158"/>
  <c r="L156" i="158"/>
  <c r="M156" i="158"/>
  <c r="N156" i="158"/>
  <c r="P156" i="158"/>
  <c r="A157" i="158"/>
  <c r="H157" i="158"/>
  <c r="K157" i="158"/>
  <c r="L157" i="158"/>
  <c r="M157" i="158"/>
  <c r="N157" i="158"/>
  <c r="P157" i="158"/>
  <c r="A158" i="158"/>
  <c r="H158" i="158"/>
  <c r="K158" i="158"/>
  <c r="L158" i="158"/>
  <c r="M158" i="158"/>
  <c r="N158" i="158"/>
  <c r="P158" i="158"/>
  <c r="A159" i="158"/>
  <c r="H159" i="158"/>
  <c r="K159" i="158"/>
  <c r="L159" i="158"/>
  <c r="M159" i="158"/>
  <c r="N159" i="158"/>
  <c r="P159" i="158"/>
  <c r="A160" i="158"/>
  <c r="H160" i="158"/>
  <c r="K160" i="158"/>
  <c r="L160" i="158"/>
  <c r="M160" i="158"/>
  <c r="N160" i="158"/>
  <c r="P160" i="158"/>
  <c r="A161" i="158"/>
  <c r="H161" i="158"/>
  <c r="K161" i="158"/>
  <c r="L161" i="158"/>
  <c r="M161" i="158"/>
  <c r="N161" i="158"/>
  <c r="P161" i="158"/>
  <c r="A162" i="158"/>
  <c r="H162" i="158"/>
  <c r="K162" i="158"/>
  <c r="L162" i="158"/>
  <c r="M162" i="158"/>
  <c r="N162" i="158"/>
  <c r="P162" i="158"/>
  <c r="A163" i="158"/>
  <c r="H163" i="158"/>
  <c r="K163" i="158"/>
  <c r="L163" i="158"/>
  <c r="M163" i="158"/>
  <c r="N163" i="158"/>
  <c r="P163" i="158"/>
  <c r="A164" i="158"/>
  <c r="H164" i="158"/>
  <c r="K164" i="158"/>
  <c r="L164" i="158"/>
  <c r="M164" i="158"/>
  <c r="N164" i="158"/>
  <c r="P164" i="158"/>
  <c r="A165" i="158"/>
  <c r="H165" i="158"/>
  <c r="K165" i="158"/>
  <c r="L165" i="158"/>
  <c r="M165" i="158"/>
  <c r="N165" i="158"/>
  <c r="P165" i="158"/>
  <c r="A166" i="158"/>
  <c r="H166" i="158"/>
  <c r="K166" i="158"/>
  <c r="L166" i="158"/>
  <c r="M166" i="158"/>
  <c r="N166" i="158"/>
  <c r="P166" i="158"/>
  <c r="A167" i="158"/>
  <c r="H167" i="158"/>
  <c r="K167" i="158"/>
  <c r="L167" i="158"/>
  <c r="M167" i="158"/>
  <c r="N167" i="158"/>
  <c r="P167" i="158"/>
  <c r="A168" i="158"/>
  <c r="H168" i="158"/>
  <c r="K168" i="158"/>
  <c r="L168" i="158"/>
  <c r="M168" i="158"/>
  <c r="N168" i="158"/>
  <c r="P168" i="158"/>
  <c r="A169" i="158"/>
  <c r="H169" i="158"/>
  <c r="K169" i="158"/>
  <c r="L169" i="158"/>
  <c r="M169" i="158"/>
  <c r="N169" i="158"/>
  <c r="P169" i="158"/>
  <c r="A170" i="158"/>
  <c r="H170" i="158"/>
  <c r="K170" i="158"/>
  <c r="L170" i="158"/>
  <c r="M170" i="158"/>
  <c r="N170" i="158"/>
  <c r="P170" i="158"/>
  <c r="A171" i="158"/>
  <c r="H171" i="158"/>
  <c r="K171" i="158"/>
  <c r="L171" i="158"/>
  <c r="M171" i="158"/>
  <c r="N171" i="158"/>
  <c r="P171" i="158"/>
  <c r="A172" i="158"/>
  <c r="H172" i="158"/>
  <c r="K172" i="158"/>
  <c r="L172" i="158"/>
  <c r="M172" i="158"/>
  <c r="N172" i="158"/>
  <c r="P172" i="158"/>
  <c r="A173" i="158"/>
  <c r="H173" i="158"/>
  <c r="K173" i="158"/>
  <c r="L173" i="158"/>
  <c r="M173" i="158"/>
  <c r="N173" i="158"/>
  <c r="P173" i="158"/>
  <c r="A174" i="158"/>
  <c r="H174" i="158"/>
  <c r="K174" i="158"/>
  <c r="L174" i="158"/>
  <c r="M174" i="158"/>
  <c r="N174" i="158"/>
  <c r="P174" i="158"/>
  <c r="A175" i="158"/>
  <c r="H175" i="158"/>
  <c r="K175" i="158"/>
  <c r="L175" i="158"/>
  <c r="M175" i="158"/>
  <c r="N175" i="158"/>
  <c r="P175" i="158"/>
  <c r="A176" i="158"/>
  <c r="H176" i="158"/>
  <c r="K176" i="158"/>
  <c r="L176" i="158"/>
  <c r="M176" i="158"/>
  <c r="N176" i="158"/>
  <c r="P176" i="158"/>
  <c r="A177" i="158"/>
  <c r="H177" i="158"/>
  <c r="K177" i="158"/>
  <c r="L177" i="158"/>
  <c r="M177" i="158"/>
  <c r="N177" i="158"/>
  <c r="P177" i="158"/>
  <c r="A178" i="158"/>
  <c r="H178" i="158"/>
  <c r="K178" i="158"/>
  <c r="L178" i="158"/>
  <c r="M178" i="158"/>
  <c r="N178" i="158"/>
  <c r="P178" i="158"/>
  <c r="A179" i="158"/>
  <c r="H179" i="158"/>
  <c r="K179" i="158"/>
  <c r="L179" i="158"/>
  <c r="M179" i="158"/>
  <c r="N179" i="158"/>
  <c r="P179" i="158"/>
  <c r="A180" i="158"/>
  <c r="H180" i="158"/>
  <c r="K180" i="158"/>
  <c r="L180" i="158"/>
  <c r="M180" i="158"/>
  <c r="N180" i="158"/>
  <c r="P180" i="158"/>
  <c r="A181" i="158"/>
  <c r="H181" i="158"/>
  <c r="K181" i="158"/>
  <c r="L181" i="158"/>
  <c r="M181" i="158"/>
  <c r="N181" i="158"/>
  <c r="P181" i="158"/>
  <c r="A182" i="158"/>
  <c r="H182" i="158"/>
  <c r="K182" i="158"/>
  <c r="L182" i="158"/>
  <c r="M182" i="158"/>
  <c r="N182" i="158"/>
  <c r="P182" i="158"/>
  <c r="A183" i="158"/>
  <c r="H183" i="158"/>
  <c r="K183" i="158"/>
  <c r="L183" i="158"/>
  <c r="M183" i="158"/>
  <c r="N183" i="158"/>
  <c r="P183" i="158"/>
  <c r="A184" i="158"/>
  <c r="H184" i="158"/>
  <c r="K184" i="158"/>
  <c r="L184" i="158"/>
  <c r="M184" i="158"/>
  <c r="N184" i="158"/>
  <c r="P184" i="158"/>
  <c r="A185" i="158"/>
  <c r="H185" i="158"/>
  <c r="K185" i="158"/>
  <c r="L185" i="158"/>
  <c r="M185" i="158"/>
  <c r="N185" i="158"/>
  <c r="P185" i="158"/>
  <c r="A186" i="158"/>
  <c r="H186" i="158"/>
  <c r="K186" i="158"/>
  <c r="L186" i="158"/>
  <c r="M186" i="158"/>
  <c r="N186" i="158"/>
  <c r="P186" i="158"/>
  <c r="A187" i="158"/>
  <c r="H187" i="158"/>
  <c r="K187" i="158"/>
  <c r="L187" i="158"/>
  <c r="M187" i="158"/>
  <c r="N187" i="158"/>
  <c r="P187" i="158"/>
  <c r="A188" i="158"/>
  <c r="H188" i="158"/>
  <c r="K188" i="158"/>
  <c r="L188" i="158"/>
  <c r="M188" i="158"/>
  <c r="N188" i="158"/>
  <c r="P188" i="158"/>
  <c r="A189" i="158"/>
  <c r="H189" i="158"/>
  <c r="K189" i="158"/>
  <c r="L189" i="158"/>
  <c r="M189" i="158"/>
  <c r="N189" i="158"/>
  <c r="P189" i="158"/>
  <c r="A190" i="158"/>
  <c r="H190" i="158"/>
  <c r="K190" i="158"/>
  <c r="L190" i="158"/>
  <c r="M190" i="158"/>
  <c r="N190" i="158"/>
  <c r="P190" i="158"/>
  <c r="A191" i="158"/>
  <c r="H191" i="158"/>
  <c r="K191" i="158"/>
  <c r="L191" i="158"/>
  <c r="M191" i="158"/>
  <c r="N191" i="158"/>
  <c r="P191" i="158"/>
  <c r="A192" i="158"/>
  <c r="H192" i="158"/>
  <c r="K192" i="158"/>
  <c r="L192" i="158"/>
  <c r="M192" i="158"/>
  <c r="N192" i="158"/>
  <c r="P192" i="158"/>
  <c r="A193" i="158"/>
  <c r="H193" i="158"/>
  <c r="K193" i="158"/>
  <c r="L193" i="158"/>
  <c r="M193" i="158"/>
  <c r="N193" i="158"/>
  <c r="P193" i="158"/>
  <c r="A194" i="158"/>
  <c r="H194" i="158"/>
  <c r="K194" i="158"/>
  <c r="L194" i="158"/>
  <c r="M194" i="158"/>
  <c r="N194" i="158"/>
  <c r="P194" i="158"/>
  <c r="A195" i="158"/>
  <c r="H195" i="158"/>
  <c r="K195" i="158"/>
  <c r="L195" i="158"/>
  <c r="M195" i="158"/>
  <c r="N195" i="158"/>
  <c r="P195" i="158"/>
  <c r="A196" i="158"/>
  <c r="H196" i="158"/>
  <c r="K196" i="158"/>
  <c r="L196" i="158"/>
  <c r="M196" i="158"/>
  <c r="N196" i="158"/>
  <c r="P196" i="158"/>
  <c r="A197" i="158"/>
  <c r="H197" i="158"/>
  <c r="K197" i="158"/>
  <c r="L197" i="158"/>
  <c r="M197" i="158"/>
  <c r="N197" i="158"/>
  <c r="P197" i="158"/>
  <c r="A198" i="158"/>
  <c r="H198" i="158"/>
  <c r="K198" i="158"/>
  <c r="L198" i="158"/>
  <c r="M198" i="158"/>
  <c r="N198" i="158"/>
  <c r="P198" i="158"/>
  <c r="A199" i="158"/>
  <c r="H199" i="158"/>
  <c r="K199" i="158"/>
  <c r="L199" i="158"/>
  <c r="M199" i="158"/>
  <c r="N199" i="158"/>
  <c r="P199" i="158"/>
  <c r="A200" i="158"/>
  <c r="H200" i="158"/>
  <c r="K200" i="158"/>
  <c r="L200" i="158"/>
  <c r="M200" i="158"/>
  <c r="N200" i="158"/>
  <c r="P200" i="158"/>
  <c r="A201" i="158"/>
  <c r="H201" i="158"/>
  <c r="K201" i="158"/>
  <c r="L201" i="158"/>
  <c r="M201" i="158"/>
  <c r="N201" i="158"/>
  <c r="P201" i="158"/>
  <c r="A202" i="158"/>
  <c r="H202" i="158"/>
  <c r="K202" i="158"/>
  <c r="L202" i="158"/>
  <c r="M202" i="158"/>
  <c r="N202" i="158"/>
  <c r="P202" i="158"/>
  <c r="A203" i="158"/>
  <c r="H203" i="158"/>
  <c r="K203" i="158"/>
  <c r="L203" i="158"/>
  <c r="M203" i="158"/>
  <c r="N203" i="158"/>
  <c r="P203" i="158"/>
  <c r="A204" i="158"/>
  <c r="H204" i="158"/>
  <c r="K204" i="158"/>
  <c r="L204" i="158"/>
  <c r="M204" i="158"/>
  <c r="N204" i="158"/>
  <c r="P204" i="158"/>
  <c r="A205" i="158"/>
  <c r="H205" i="158"/>
  <c r="K205" i="158"/>
  <c r="L205" i="158"/>
  <c r="M205" i="158"/>
  <c r="N205" i="158"/>
  <c r="P205" i="158"/>
  <c r="A206" i="158"/>
  <c r="H206" i="158"/>
  <c r="K206" i="158"/>
  <c r="L206" i="158"/>
  <c r="M206" i="158"/>
  <c r="N206" i="158"/>
  <c r="P206" i="158"/>
  <c r="A207" i="158"/>
  <c r="H207" i="158"/>
  <c r="K207" i="158"/>
  <c r="L207" i="158"/>
  <c r="M207" i="158"/>
  <c r="N207" i="158"/>
  <c r="P207" i="158"/>
  <c r="A208" i="158"/>
  <c r="H208" i="158"/>
  <c r="K208" i="158"/>
  <c r="L208" i="158"/>
  <c r="M208" i="158"/>
  <c r="N208" i="158"/>
  <c r="P208" i="158"/>
  <c r="A209" i="158"/>
  <c r="H209" i="158"/>
  <c r="K209" i="158"/>
  <c r="L209" i="158"/>
  <c r="M209" i="158"/>
  <c r="N209" i="158"/>
  <c r="P209" i="158"/>
  <c r="A210" i="158"/>
  <c r="H210" i="158"/>
  <c r="K210" i="158"/>
  <c r="L210" i="158"/>
  <c r="M210" i="158"/>
  <c r="N210" i="158"/>
  <c r="P210" i="158"/>
  <c r="A211" i="158"/>
  <c r="H211" i="158"/>
  <c r="K211" i="158"/>
  <c r="L211" i="158"/>
  <c r="M211" i="158"/>
  <c r="N211" i="158"/>
  <c r="P211" i="158"/>
  <c r="A212" i="158"/>
  <c r="H212" i="158"/>
  <c r="K212" i="158"/>
  <c r="L212" i="158"/>
  <c r="M212" i="158"/>
  <c r="N212" i="158"/>
  <c r="P212" i="158"/>
  <c r="A213" i="158"/>
  <c r="H213" i="158"/>
  <c r="K213" i="158"/>
  <c r="L213" i="158"/>
  <c r="M213" i="158"/>
  <c r="N213" i="158"/>
  <c r="P213" i="158"/>
  <c r="A214" i="158"/>
  <c r="H214" i="158"/>
  <c r="K214" i="158"/>
  <c r="L214" i="158"/>
  <c r="M214" i="158"/>
  <c r="N214" i="158"/>
  <c r="P214" i="158"/>
  <c r="A215" i="158"/>
  <c r="H215" i="158"/>
  <c r="K215" i="158"/>
  <c r="L215" i="158"/>
  <c r="M215" i="158"/>
  <c r="N215" i="158"/>
  <c r="P215" i="158"/>
  <c r="A216" i="158"/>
  <c r="H216" i="158"/>
  <c r="K216" i="158"/>
  <c r="L216" i="158"/>
  <c r="M216" i="158"/>
  <c r="N216" i="158"/>
  <c r="P216" i="158"/>
  <c r="A217" i="158"/>
  <c r="H217" i="158"/>
  <c r="K217" i="158"/>
  <c r="L217" i="158"/>
  <c r="M217" i="158"/>
  <c r="N217" i="158"/>
  <c r="P217" i="158"/>
  <c r="A218" i="158"/>
  <c r="H218" i="158"/>
  <c r="K218" i="158"/>
  <c r="L218" i="158"/>
  <c r="M218" i="158"/>
  <c r="N218" i="158"/>
  <c r="P218" i="158"/>
  <c r="A219" i="158"/>
  <c r="H219" i="158"/>
  <c r="K219" i="158"/>
  <c r="L219" i="158"/>
  <c r="M219" i="158"/>
  <c r="N219" i="158"/>
  <c r="P219" i="158"/>
  <c r="A220" i="158"/>
  <c r="H220" i="158"/>
  <c r="K220" i="158"/>
  <c r="L220" i="158"/>
  <c r="M220" i="158"/>
  <c r="N220" i="158"/>
  <c r="P220" i="158"/>
  <c r="A221" i="158"/>
  <c r="H221" i="158"/>
  <c r="K221" i="158"/>
  <c r="L221" i="158"/>
  <c r="M221" i="158"/>
  <c r="N221" i="158"/>
  <c r="P221" i="158"/>
  <c r="A222" i="158"/>
  <c r="H222" i="158"/>
  <c r="K222" i="158"/>
  <c r="L222" i="158"/>
  <c r="M222" i="158"/>
  <c r="N222" i="158"/>
  <c r="P222" i="158"/>
  <c r="A223" i="158"/>
  <c r="H223" i="158"/>
  <c r="K223" i="158"/>
  <c r="L223" i="158"/>
  <c r="M223" i="158"/>
  <c r="N223" i="158"/>
  <c r="P223" i="158"/>
  <c r="A224" i="158"/>
  <c r="H224" i="158"/>
  <c r="K224" i="158"/>
  <c r="L224" i="158"/>
  <c r="M224" i="158"/>
  <c r="N224" i="158"/>
  <c r="P224" i="158"/>
  <c r="A225" i="158"/>
  <c r="H225" i="158"/>
  <c r="K225" i="158"/>
  <c r="L225" i="158"/>
  <c r="M225" i="158"/>
  <c r="N225" i="158"/>
  <c r="P225" i="158"/>
  <c r="A226" i="158"/>
  <c r="H226" i="158"/>
  <c r="K226" i="158"/>
  <c r="L226" i="158"/>
  <c r="M226" i="158"/>
  <c r="N226" i="158"/>
  <c r="P226" i="158"/>
  <c r="A227" i="158"/>
  <c r="H227" i="158"/>
  <c r="K227" i="158"/>
  <c r="L227" i="158"/>
  <c r="M227" i="158"/>
  <c r="N227" i="158"/>
  <c r="P227" i="158"/>
  <c r="A228" i="158"/>
  <c r="H228" i="158"/>
  <c r="K228" i="158"/>
  <c r="L228" i="158"/>
  <c r="M228" i="158"/>
  <c r="N228" i="158"/>
  <c r="P228" i="158"/>
  <c r="A229" i="158"/>
  <c r="H229" i="158"/>
  <c r="K229" i="158"/>
  <c r="L229" i="158"/>
  <c r="M229" i="158"/>
  <c r="N229" i="158"/>
  <c r="P229" i="158"/>
  <c r="A230" i="158"/>
  <c r="H230" i="158"/>
  <c r="K230" i="158"/>
  <c r="L230" i="158"/>
  <c r="M230" i="158"/>
  <c r="N230" i="158"/>
  <c r="P230" i="158"/>
  <c r="A231" i="158"/>
  <c r="H231" i="158"/>
  <c r="K231" i="158"/>
  <c r="L231" i="158"/>
  <c r="M231" i="158"/>
  <c r="N231" i="158"/>
  <c r="P231" i="158"/>
  <c r="A232" i="158"/>
  <c r="H232" i="158"/>
  <c r="K232" i="158"/>
  <c r="L232" i="158"/>
  <c r="M232" i="158"/>
  <c r="N232" i="158"/>
  <c r="P232" i="158"/>
  <c r="A233" i="158"/>
  <c r="H233" i="158"/>
  <c r="K233" i="158"/>
  <c r="L233" i="158"/>
  <c r="M233" i="158"/>
  <c r="N233" i="158"/>
  <c r="P233" i="158"/>
  <c r="A234" i="158"/>
  <c r="H234" i="158"/>
  <c r="K234" i="158"/>
  <c r="L234" i="158"/>
  <c r="M234" i="158"/>
  <c r="N234" i="158"/>
  <c r="P234" i="158"/>
  <c r="A235" i="158"/>
  <c r="H235" i="158"/>
  <c r="K235" i="158"/>
  <c r="L235" i="158"/>
  <c r="M235" i="158"/>
  <c r="N235" i="158"/>
  <c r="P235" i="158"/>
  <c r="A236" i="158"/>
  <c r="H236" i="158"/>
  <c r="K236" i="158"/>
  <c r="L236" i="158"/>
  <c r="M236" i="158"/>
  <c r="N236" i="158"/>
  <c r="P236" i="158"/>
  <c r="A237" i="158"/>
  <c r="H237" i="158"/>
  <c r="K237" i="158"/>
  <c r="L237" i="158"/>
  <c r="M237" i="158"/>
  <c r="N237" i="158"/>
  <c r="P237" i="158"/>
  <c r="A238" i="158"/>
  <c r="H238" i="158"/>
  <c r="K238" i="158"/>
  <c r="L238" i="158"/>
  <c r="M238" i="158"/>
  <c r="N238" i="158"/>
  <c r="P238" i="158"/>
  <c r="A239" i="158"/>
  <c r="H239" i="158"/>
  <c r="K239" i="158"/>
  <c r="L239" i="158"/>
  <c r="M239" i="158"/>
  <c r="N239" i="158"/>
  <c r="P239" i="158"/>
  <c r="A240" i="158"/>
  <c r="H240" i="158"/>
  <c r="K240" i="158"/>
  <c r="L240" i="158"/>
  <c r="M240" i="158"/>
  <c r="N240" i="158"/>
  <c r="P240" i="158"/>
  <c r="A241" i="158"/>
  <c r="H241" i="158"/>
  <c r="K241" i="158"/>
  <c r="L241" i="158"/>
  <c r="M241" i="158"/>
  <c r="N241" i="158"/>
  <c r="P241" i="158"/>
  <c r="A242" i="158"/>
  <c r="H242" i="158"/>
  <c r="K242" i="158"/>
  <c r="L242" i="158"/>
  <c r="M242" i="158"/>
  <c r="N242" i="158"/>
  <c r="P242" i="158"/>
  <c r="A243" i="158"/>
  <c r="H243" i="158"/>
  <c r="K243" i="158"/>
  <c r="L243" i="158"/>
  <c r="M243" i="158"/>
  <c r="N243" i="158"/>
  <c r="P243" i="158"/>
  <c r="A244" i="158"/>
  <c r="H244" i="158"/>
  <c r="K244" i="158"/>
  <c r="L244" i="158"/>
  <c r="M244" i="158"/>
  <c r="N244" i="158"/>
  <c r="P244" i="158"/>
  <c r="A245" i="158"/>
  <c r="H245" i="158"/>
  <c r="K245" i="158"/>
  <c r="L245" i="158"/>
  <c r="M245" i="158"/>
  <c r="N245" i="158"/>
  <c r="P245" i="158"/>
  <c r="A246" i="158"/>
  <c r="H246" i="158"/>
  <c r="K246" i="158"/>
  <c r="L246" i="158"/>
  <c r="M246" i="158"/>
  <c r="N246" i="158"/>
  <c r="P246" i="158"/>
  <c r="A247" i="158"/>
  <c r="H247" i="158"/>
  <c r="K247" i="158"/>
  <c r="L247" i="158"/>
  <c r="M247" i="158"/>
  <c r="N247" i="158"/>
  <c r="P247" i="158"/>
  <c r="A248" i="158"/>
  <c r="H248" i="158"/>
  <c r="K248" i="158"/>
  <c r="L248" i="158"/>
  <c r="M248" i="158"/>
  <c r="N248" i="158"/>
  <c r="P248" i="158"/>
  <c r="A249" i="158"/>
  <c r="H249" i="158"/>
  <c r="K249" i="158"/>
  <c r="L249" i="158"/>
  <c r="M249" i="158"/>
  <c r="N249" i="158"/>
  <c r="P249" i="158"/>
  <c r="A250" i="158"/>
  <c r="H250" i="158"/>
  <c r="K250" i="158"/>
  <c r="L250" i="158"/>
  <c r="M250" i="158"/>
  <c r="N250" i="158"/>
  <c r="P250" i="158"/>
  <c r="A251" i="158"/>
  <c r="H251" i="158"/>
  <c r="K251" i="158"/>
  <c r="L251" i="158"/>
  <c r="M251" i="158"/>
  <c r="N251" i="158"/>
  <c r="P251" i="158"/>
  <c r="A252" i="158"/>
  <c r="H252" i="158"/>
  <c r="K252" i="158"/>
  <c r="L252" i="158"/>
  <c r="M252" i="158"/>
  <c r="N252" i="158"/>
  <c r="P252" i="158"/>
  <c r="A253" i="158"/>
  <c r="H253" i="158"/>
  <c r="K253" i="158"/>
  <c r="L253" i="158"/>
  <c r="M253" i="158"/>
  <c r="N253" i="158"/>
  <c r="P253" i="158"/>
  <c r="A254" i="158"/>
  <c r="H254" i="158"/>
  <c r="K254" i="158"/>
  <c r="L254" i="158"/>
  <c r="M254" i="158"/>
  <c r="N254" i="158"/>
  <c r="P254" i="158"/>
  <c r="A255" i="158"/>
  <c r="H255" i="158"/>
  <c r="K255" i="158"/>
  <c r="L255" i="158"/>
  <c r="M255" i="158"/>
  <c r="N255" i="158"/>
  <c r="P255" i="158"/>
  <c r="A256" i="158"/>
  <c r="H256" i="158"/>
  <c r="K256" i="158"/>
  <c r="L256" i="158"/>
  <c r="M256" i="158"/>
  <c r="N256" i="158"/>
  <c r="P256" i="158"/>
  <c r="A257" i="158"/>
  <c r="H257" i="158"/>
  <c r="K257" i="158"/>
  <c r="L257" i="158"/>
  <c r="M257" i="158"/>
  <c r="N257" i="158"/>
  <c r="P257" i="158"/>
  <c r="A258" i="158"/>
  <c r="H258" i="158"/>
  <c r="K258" i="158"/>
  <c r="L258" i="158"/>
  <c r="M258" i="158"/>
  <c r="N258" i="158"/>
  <c r="P258" i="158"/>
  <c r="A259" i="158"/>
  <c r="H259" i="158"/>
  <c r="K259" i="158"/>
  <c r="L259" i="158"/>
  <c r="M259" i="158"/>
  <c r="N259" i="158"/>
  <c r="P259" i="158"/>
  <c r="A260" i="158"/>
  <c r="H260" i="158"/>
  <c r="K260" i="158"/>
  <c r="L260" i="158"/>
  <c r="M260" i="158"/>
  <c r="N260" i="158"/>
  <c r="P260" i="158"/>
  <c r="A261" i="158"/>
  <c r="H261" i="158"/>
  <c r="K261" i="158"/>
  <c r="L261" i="158"/>
  <c r="M261" i="158"/>
  <c r="N261" i="158"/>
  <c r="P261" i="158"/>
  <c r="A262" i="158"/>
  <c r="H262" i="158"/>
  <c r="K262" i="158"/>
  <c r="L262" i="158"/>
  <c r="M262" i="158"/>
  <c r="N262" i="158"/>
  <c r="P262" i="158"/>
  <c r="A263" i="158"/>
  <c r="H263" i="158"/>
  <c r="K263" i="158"/>
  <c r="L263" i="158"/>
  <c r="M263" i="158"/>
  <c r="N263" i="158"/>
  <c r="P263" i="158"/>
  <c r="A264" i="158"/>
  <c r="H264" i="158"/>
  <c r="K264" i="158"/>
  <c r="L264" i="158"/>
  <c r="M264" i="158"/>
  <c r="N264" i="158"/>
  <c r="P264" i="158"/>
  <c r="A265" i="158"/>
  <c r="H265" i="158"/>
  <c r="K265" i="158"/>
  <c r="L265" i="158"/>
  <c r="M265" i="158"/>
  <c r="N265" i="158"/>
  <c r="P265" i="158"/>
  <c r="A266" i="158"/>
  <c r="H266" i="158"/>
  <c r="K266" i="158"/>
  <c r="L266" i="158"/>
  <c r="M266" i="158"/>
  <c r="N266" i="158"/>
  <c r="P266" i="158"/>
  <c r="A267" i="158"/>
  <c r="H267" i="158"/>
  <c r="K267" i="158"/>
  <c r="L267" i="158"/>
  <c r="M267" i="158"/>
  <c r="N267" i="158"/>
  <c r="P267" i="158"/>
  <c r="A268" i="158"/>
  <c r="H268" i="158"/>
  <c r="K268" i="158"/>
  <c r="L268" i="158"/>
  <c r="M268" i="158"/>
  <c r="N268" i="158"/>
  <c r="P268" i="158"/>
  <c r="A269" i="158"/>
  <c r="H269" i="158"/>
  <c r="K269" i="158"/>
  <c r="L269" i="158"/>
  <c r="M269" i="158"/>
  <c r="N269" i="158"/>
  <c r="P269" i="158"/>
  <c r="A270" i="158"/>
  <c r="H270" i="158"/>
  <c r="K270" i="158"/>
  <c r="L270" i="158"/>
  <c r="M270" i="158"/>
  <c r="N270" i="158"/>
  <c r="P270" i="158"/>
  <c r="A271" i="158"/>
  <c r="H271" i="158"/>
  <c r="K271" i="158"/>
  <c r="L271" i="158"/>
  <c r="M271" i="158"/>
  <c r="N271" i="158"/>
  <c r="P271" i="158"/>
  <c r="A272" i="158"/>
  <c r="H272" i="158"/>
  <c r="K272" i="158"/>
  <c r="L272" i="158"/>
  <c r="M272" i="158"/>
  <c r="N272" i="158"/>
  <c r="P272" i="158"/>
  <c r="A273" i="158"/>
  <c r="H273" i="158"/>
  <c r="K273" i="158"/>
  <c r="L273" i="158"/>
  <c r="M273" i="158"/>
  <c r="N273" i="158"/>
  <c r="P273" i="158"/>
  <c r="A274" i="158"/>
  <c r="H274" i="158"/>
  <c r="K274" i="158"/>
  <c r="L274" i="158"/>
  <c r="M274" i="158"/>
  <c r="N274" i="158"/>
  <c r="P274" i="158"/>
  <c r="A275" i="158"/>
  <c r="H275" i="158"/>
  <c r="K275" i="158"/>
  <c r="L275" i="158"/>
  <c r="M275" i="158"/>
  <c r="N275" i="158"/>
  <c r="P275" i="158"/>
  <c r="A276" i="158"/>
  <c r="H276" i="158"/>
  <c r="K276" i="158"/>
  <c r="L276" i="158"/>
  <c r="M276" i="158"/>
  <c r="N276" i="158"/>
  <c r="P276" i="158"/>
  <c r="A277" i="158"/>
  <c r="H277" i="158"/>
  <c r="K277" i="158"/>
  <c r="L277" i="158"/>
  <c r="M277" i="158"/>
  <c r="N277" i="158"/>
  <c r="P277" i="158"/>
  <c r="A278" i="158"/>
  <c r="H278" i="158"/>
  <c r="K278" i="158"/>
  <c r="L278" i="158"/>
  <c r="M278" i="158"/>
  <c r="N278" i="158"/>
  <c r="P278" i="158"/>
  <c r="A279" i="158"/>
  <c r="H279" i="158"/>
  <c r="K279" i="158"/>
  <c r="L279" i="158"/>
  <c r="M279" i="158"/>
  <c r="N279" i="158"/>
  <c r="P279" i="158"/>
  <c r="A280" i="158"/>
  <c r="H280" i="158"/>
  <c r="K280" i="158"/>
  <c r="L280" i="158"/>
  <c r="M280" i="158"/>
  <c r="N280" i="158"/>
  <c r="P280" i="158"/>
  <c r="A281" i="158"/>
  <c r="H281" i="158"/>
  <c r="K281" i="158"/>
  <c r="L281" i="158"/>
  <c r="M281" i="158"/>
  <c r="N281" i="158"/>
  <c r="P281" i="158"/>
  <c r="A282" i="158"/>
  <c r="H282" i="158"/>
  <c r="K282" i="158"/>
  <c r="L282" i="158"/>
  <c r="M282" i="158"/>
  <c r="N282" i="158"/>
  <c r="P282" i="158"/>
  <c r="A283" i="158"/>
  <c r="H283" i="158"/>
  <c r="K283" i="158"/>
  <c r="L283" i="158"/>
  <c r="M283" i="158"/>
  <c r="N283" i="158"/>
  <c r="P283" i="158"/>
  <c r="A284" i="158"/>
  <c r="H284" i="158"/>
  <c r="K284" i="158"/>
  <c r="L284" i="158"/>
  <c r="M284" i="158"/>
  <c r="N284" i="158"/>
  <c r="P284" i="158"/>
  <c r="A285" i="158"/>
  <c r="H285" i="158"/>
  <c r="K285" i="158"/>
  <c r="L285" i="158"/>
  <c r="M285" i="158"/>
  <c r="N285" i="158"/>
  <c r="P285" i="158"/>
  <c r="A286" i="158"/>
  <c r="H286" i="158"/>
  <c r="K286" i="158"/>
  <c r="L286" i="158"/>
  <c r="M286" i="158"/>
  <c r="N286" i="158"/>
  <c r="P286" i="158"/>
  <c r="A287" i="158"/>
  <c r="H287" i="158"/>
  <c r="K287" i="158"/>
  <c r="L287" i="158"/>
  <c r="M287" i="158"/>
  <c r="N287" i="158"/>
  <c r="P287" i="158"/>
  <c r="A288" i="158"/>
  <c r="H288" i="158"/>
  <c r="K288" i="158"/>
  <c r="L288" i="158"/>
  <c r="M288" i="158"/>
  <c r="N288" i="158"/>
  <c r="P288" i="158"/>
  <c r="A289" i="158"/>
  <c r="H289" i="158"/>
  <c r="K289" i="158"/>
  <c r="L289" i="158"/>
  <c r="M289" i="158"/>
  <c r="N289" i="158"/>
  <c r="P289" i="158"/>
  <c r="A290" i="158"/>
  <c r="H290" i="158"/>
  <c r="K290" i="158"/>
  <c r="L290" i="158"/>
  <c r="M290" i="158"/>
  <c r="N290" i="158"/>
  <c r="P290" i="158"/>
  <c r="A291" i="158"/>
  <c r="H291" i="158"/>
  <c r="K291" i="158"/>
  <c r="L291" i="158"/>
  <c r="M291" i="158"/>
  <c r="N291" i="158"/>
  <c r="P291" i="158"/>
  <c r="A292" i="158"/>
  <c r="H292" i="158"/>
  <c r="K292" i="158"/>
  <c r="L292" i="158"/>
  <c r="M292" i="158"/>
  <c r="N292" i="158"/>
  <c r="P292" i="158"/>
  <c r="A293" i="158"/>
  <c r="H293" i="158"/>
  <c r="K293" i="158"/>
  <c r="L293" i="158"/>
  <c r="M293" i="158"/>
  <c r="N293" i="158"/>
  <c r="P293" i="158"/>
  <c r="A294" i="158"/>
  <c r="H294" i="158"/>
  <c r="K294" i="158"/>
  <c r="L294" i="158"/>
  <c r="M294" i="158"/>
  <c r="N294" i="158"/>
  <c r="P294" i="158"/>
  <c r="A295" i="158"/>
  <c r="H295" i="158"/>
  <c r="K295" i="158"/>
  <c r="L295" i="158"/>
  <c r="M295" i="158"/>
  <c r="N295" i="158"/>
  <c r="P295" i="158"/>
  <c r="A296" i="158"/>
  <c r="H296" i="158"/>
  <c r="K296" i="158"/>
  <c r="L296" i="158"/>
  <c r="M296" i="158"/>
  <c r="N296" i="158"/>
  <c r="P296" i="158"/>
  <c r="A297" i="158"/>
  <c r="H297" i="158"/>
  <c r="K297" i="158"/>
  <c r="L297" i="158"/>
  <c r="M297" i="158"/>
  <c r="N297" i="158"/>
  <c r="P297" i="158"/>
  <c r="A298" i="158"/>
  <c r="H298" i="158"/>
  <c r="K298" i="158"/>
  <c r="L298" i="158"/>
  <c r="M298" i="158"/>
  <c r="N298" i="158"/>
  <c r="P298" i="158"/>
  <c r="A299" i="158"/>
  <c r="H299" i="158"/>
  <c r="K299" i="158"/>
  <c r="L299" i="158"/>
  <c r="M299" i="158"/>
  <c r="N299" i="158"/>
  <c r="P299" i="158"/>
  <c r="A300" i="158"/>
  <c r="H300" i="158"/>
  <c r="K300" i="158"/>
  <c r="L300" i="158"/>
  <c r="M300" i="158"/>
  <c r="N300" i="158"/>
  <c r="P300" i="158"/>
  <c r="A301" i="158"/>
  <c r="H301" i="158"/>
  <c r="K301" i="158"/>
  <c r="L301" i="158"/>
  <c r="M301" i="158"/>
  <c r="N301" i="158"/>
  <c r="P301" i="158"/>
  <c r="A302" i="158"/>
  <c r="H302" i="158"/>
  <c r="K302" i="158"/>
  <c r="L302" i="158"/>
  <c r="M302" i="158"/>
  <c r="N302" i="158"/>
  <c r="P302" i="158"/>
  <c r="A303" i="158"/>
  <c r="H303" i="158"/>
  <c r="K303" i="158"/>
  <c r="L303" i="158"/>
  <c r="M303" i="158"/>
  <c r="N303" i="158"/>
  <c r="P303" i="158"/>
  <c r="A304" i="158"/>
  <c r="H304" i="158"/>
  <c r="K304" i="158"/>
  <c r="L304" i="158"/>
  <c r="M304" i="158"/>
  <c r="N304" i="158"/>
  <c r="P304" i="158"/>
  <c r="A305" i="158"/>
  <c r="H305" i="158"/>
  <c r="K305" i="158"/>
  <c r="L305" i="158"/>
  <c r="M305" i="158"/>
  <c r="N305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A310" i="158"/>
  <c r="H310" i="158"/>
  <c r="K310" i="158"/>
  <c r="L310" i="158"/>
  <c r="M310" i="158"/>
  <c r="N310" i="158"/>
  <c r="P310" i="158"/>
  <c r="A311" i="158"/>
  <c r="H311" i="158"/>
  <c r="K311" i="158"/>
  <c r="L311" i="158"/>
  <c r="M311" i="158"/>
  <c r="N311" i="158"/>
  <c r="P311" i="158"/>
  <c r="A312" i="158"/>
  <c r="H312" i="158"/>
  <c r="K312" i="158"/>
  <c r="L312" i="158"/>
  <c r="M312" i="158"/>
  <c r="N312" i="158"/>
  <c r="P312" i="158"/>
  <c r="A313" i="158"/>
  <c r="H313" i="158"/>
  <c r="K313" i="158"/>
  <c r="L313" i="158"/>
  <c r="M313" i="158"/>
  <c r="N313" i="158"/>
  <c r="P313" i="158"/>
  <c r="A314" i="158"/>
  <c r="H314" i="158"/>
  <c r="K314" i="158"/>
  <c r="L314" i="158"/>
  <c r="M314" i="158"/>
  <c r="N314" i="158"/>
  <c r="P314" i="158"/>
  <c r="A315" i="158"/>
  <c r="H315" i="158"/>
  <c r="K315" i="158"/>
  <c r="L315" i="158"/>
  <c r="M315" i="158"/>
  <c r="N315" i="158"/>
  <c r="P315" i="158"/>
  <c r="A316" i="158"/>
  <c r="H316" i="158"/>
  <c r="K316" i="158"/>
  <c r="L316" i="158"/>
  <c r="M316" i="158"/>
  <c r="N316" i="158"/>
  <c r="P316" i="158"/>
  <c r="A317" i="158"/>
  <c r="H317" i="158"/>
  <c r="K317" i="158"/>
  <c r="L317" i="158"/>
  <c r="M317" i="158"/>
  <c r="N317" i="158"/>
  <c r="P317" i="158"/>
  <c r="A318" i="158"/>
  <c r="H318" i="158"/>
  <c r="K318" i="158"/>
  <c r="L318" i="158"/>
  <c r="M318" i="158"/>
  <c r="N318" i="158"/>
  <c r="P318" i="158"/>
  <c r="A319" i="158"/>
  <c r="H319" i="158"/>
  <c r="K319" i="158"/>
  <c r="L319" i="158"/>
  <c r="M319" i="158"/>
  <c r="N319" i="158"/>
  <c r="P319" i="158"/>
  <c r="A320" i="158"/>
  <c r="H320" i="158"/>
  <c r="K320" i="158"/>
  <c r="L320" i="158"/>
  <c r="M320" i="158"/>
  <c r="N320" i="158"/>
  <c r="P320" i="158"/>
  <c r="A321" i="158"/>
  <c r="H321" i="158"/>
  <c r="K321" i="158"/>
  <c r="L321" i="158"/>
  <c r="M321" i="158"/>
  <c r="N321" i="158"/>
  <c r="P321" i="158"/>
  <c r="A322" i="158"/>
  <c r="H322" i="158"/>
  <c r="K322" i="158"/>
  <c r="L322" i="158"/>
  <c r="M322" i="158"/>
  <c r="N322" i="158"/>
  <c r="P322" i="158"/>
  <c r="A323" i="158"/>
  <c r="H323" i="158"/>
  <c r="K323" i="158"/>
  <c r="L323" i="158"/>
  <c r="M323" i="158"/>
  <c r="N323" i="158"/>
  <c r="P323" i="158"/>
  <c r="A324" i="158"/>
  <c r="H324" i="158"/>
  <c r="K324" i="158"/>
  <c r="L324" i="158"/>
  <c r="M324" i="158"/>
  <c r="N324" i="158"/>
  <c r="P324" i="158"/>
  <c r="A325" i="158"/>
  <c r="H325" i="158"/>
  <c r="K325" i="158"/>
  <c r="L325" i="158"/>
  <c r="M325" i="158"/>
  <c r="N325" i="158"/>
  <c r="P325" i="158"/>
  <c r="A326" i="158"/>
  <c r="H326" i="158"/>
  <c r="K326" i="158"/>
  <c r="L326" i="158"/>
  <c r="M326" i="158"/>
  <c r="N326" i="158"/>
  <c r="P326" i="158"/>
  <c r="A327" i="158"/>
  <c r="H327" i="158"/>
  <c r="K327" i="158"/>
  <c r="L327" i="158"/>
  <c r="M327" i="158"/>
  <c r="N327" i="158"/>
  <c r="P327" i="158"/>
  <c r="A328" i="158"/>
  <c r="H328" i="158"/>
  <c r="K328" i="158"/>
  <c r="L328" i="158"/>
  <c r="M328" i="158"/>
  <c r="N328" i="158"/>
  <c r="P328" i="158"/>
  <c r="A329" i="158"/>
  <c r="H329" i="158"/>
  <c r="K329" i="158"/>
  <c r="L329" i="158"/>
  <c r="M329" i="158"/>
  <c r="N329" i="158"/>
  <c r="P329" i="158"/>
  <c r="A330" i="158"/>
  <c r="H330" i="158"/>
  <c r="K330" i="158"/>
  <c r="L330" i="158"/>
  <c r="M330" i="158"/>
  <c r="N330" i="158"/>
  <c r="P330" i="158"/>
  <c r="A331" i="158"/>
  <c r="H331" i="158"/>
  <c r="K331" i="158"/>
  <c r="L331" i="158"/>
  <c r="M331" i="158"/>
  <c r="N331" i="158"/>
  <c r="P331" i="158"/>
  <c r="A332" i="158"/>
  <c r="H332" i="158"/>
  <c r="K332" i="158"/>
  <c r="L332" i="158"/>
  <c r="M332" i="158"/>
  <c r="N332" i="158"/>
  <c r="P332" i="158"/>
  <c r="A333" i="158"/>
  <c r="H333" i="158"/>
  <c r="K333" i="158"/>
  <c r="L333" i="158"/>
  <c r="M333" i="158"/>
  <c r="N333" i="158"/>
  <c r="P333" i="158"/>
  <c r="A334" i="158"/>
  <c r="H334" i="158"/>
  <c r="K334" i="158"/>
  <c r="L334" i="158"/>
  <c r="M334" i="158"/>
  <c r="N334" i="158"/>
  <c r="P334" i="158"/>
  <c r="A335" i="158"/>
  <c r="H335" i="158"/>
  <c r="K335" i="158"/>
  <c r="L335" i="158"/>
  <c r="M335" i="158"/>
  <c r="N335" i="158"/>
  <c r="P335" i="158"/>
  <c r="A336" i="158"/>
  <c r="H336" i="158"/>
  <c r="K336" i="158"/>
  <c r="L336" i="158"/>
  <c r="M336" i="158"/>
  <c r="N336" i="158"/>
  <c r="P336" i="158"/>
  <c r="A337" i="158"/>
  <c r="H337" i="158"/>
  <c r="K337" i="158"/>
  <c r="L337" i="158"/>
  <c r="M337" i="158"/>
  <c r="N337" i="158"/>
  <c r="P337" i="158"/>
  <c r="A338" i="158"/>
  <c r="H338" i="158"/>
  <c r="K338" i="158"/>
  <c r="L338" i="158"/>
  <c r="M338" i="158"/>
  <c r="N338" i="158"/>
  <c r="P338" i="158"/>
  <c r="A339" i="158"/>
  <c r="H339" i="158"/>
  <c r="K339" i="158"/>
  <c r="L339" i="158"/>
  <c r="M339" i="158"/>
  <c r="N339" i="158"/>
  <c r="P339" i="158"/>
  <c r="A340" i="158"/>
  <c r="H340" i="158"/>
  <c r="K340" i="158"/>
  <c r="L340" i="158"/>
  <c r="M340" i="158"/>
  <c r="N340" i="158"/>
  <c r="P340" i="158"/>
  <c r="A341" i="158"/>
  <c r="H341" i="158"/>
  <c r="K341" i="158"/>
  <c r="L341" i="158"/>
  <c r="M341" i="158"/>
  <c r="N341" i="158"/>
  <c r="P341" i="158"/>
  <c r="A342" i="158"/>
  <c r="H342" i="158"/>
  <c r="K342" i="158"/>
  <c r="L342" i="158"/>
  <c r="M342" i="158"/>
  <c r="N342" i="158"/>
  <c r="P342" i="158"/>
  <c r="A343" i="158"/>
  <c r="H343" i="158"/>
  <c r="K343" i="158"/>
  <c r="L343" i="158"/>
  <c r="M343" i="158"/>
  <c r="N343" i="158"/>
  <c r="P343" i="158"/>
  <c r="A344" i="158"/>
  <c r="H344" i="158"/>
  <c r="K344" i="158"/>
  <c r="L344" i="158"/>
  <c r="M344" i="158"/>
  <c r="N344" i="158"/>
  <c r="P344" i="158"/>
  <c r="A345" i="158"/>
  <c r="H345" i="158"/>
  <c r="K345" i="158"/>
  <c r="L345" i="158"/>
  <c r="M345" i="158"/>
  <c r="N345" i="158"/>
  <c r="P345" i="158"/>
  <c r="A346" i="158"/>
  <c r="H346" i="158"/>
  <c r="K346" i="158"/>
  <c r="L346" i="158"/>
  <c r="M346" i="158"/>
  <c r="N346" i="158"/>
  <c r="P346" i="158"/>
  <c r="F50" i="157"/>
  <c r="F51" i="157"/>
  <c r="G50" i="157"/>
  <c r="F43" i="157"/>
  <c r="G43" i="157"/>
  <c r="F44" i="157"/>
  <c r="G44" i="157"/>
  <c r="C34" i="157"/>
  <c r="C4" i="103"/>
  <c r="E4" i="103"/>
  <c r="G32" i="157"/>
  <c r="H32" i="157"/>
  <c r="F49" i="157"/>
  <c r="B42" i="157"/>
  <c r="B43" i="157"/>
  <c r="B44" i="157"/>
  <c r="B45" i="157"/>
  <c r="B46" i="157"/>
  <c r="B47" i="157"/>
  <c r="B48" i="157"/>
  <c r="B49" i="157"/>
  <c r="C42" i="157"/>
  <c r="C43" i="157"/>
  <c r="C44" i="157"/>
  <c r="C45" i="157"/>
  <c r="C46" i="157"/>
  <c r="C47" i="157"/>
  <c r="C48" i="157"/>
  <c r="C49" i="157"/>
  <c r="F48" i="157"/>
  <c r="F47" i="157"/>
  <c r="F42" i="157"/>
  <c r="G42" i="157"/>
  <c r="B34" i="157"/>
  <c r="D34" i="157"/>
  <c r="I33" i="157"/>
  <c r="J33" i="157"/>
  <c r="F33" i="157"/>
  <c r="D33" i="157"/>
  <c r="I32" i="157"/>
  <c r="J32" i="157"/>
  <c r="F32" i="157"/>
  <c r="D32" i="157"/>
  <c r="D31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D18" i="157"/>
  <c r="R17" i="157"/>
  <c r="P17" i="157"/>
  <c r="O17" i="157"/>
  <c r="M17" i="157"/>
  <c r="I17" i="157"/>
  <c r="J17" i="157"/>
  <c r="F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P11" i="157"/>
  <c r="O11" i="157"/>
  <c r="V10" i="157"/>
  <c r="P10" i="157"/>
  <c r="O10" i="157"/>
  <c r="V9" i="157"/>
  <c r="P9" i="157"/>
  <c r="O9" i="157"/>
  <c r="V8" i="157"/>
  <c r="P8" i="157"/>
  <c r="O8" i="157"/>
  <c r="V7" i="157"/>
  <c r="P7" i="157"/>
  <c r="O7" i="157"/>
  <c r="V6" i="157"/>
  <c r="P6" i="157"/>
  <c r="O6" i="157"/>
  <c r="V5" i="157"/>
  <c r="P5" i="157"/>
  <c r="O5" i="157"/>
  <c r="V4" i="157"/>
  <c r="P4" i="157"/>
  <c r="O4" i="157"/>
  <c r="V3" i="157"/>
  <c r="P3" i="157"/>
  <c r="O3" i="157"/>
  <c r="V2" i="157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<sst xmlns="http://schemas.openxmlformats.org/spreadsheetml/2006/main" count="406" uniqueCount="260">
  <si>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</si>
  <si>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</si>
  <si>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</si>
  <si>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</si>
  <si>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</si>
  <si>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</si>
  <si>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</si>
  <si>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</si>
  <si>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</si>
  <si>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</si>
  <si>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</si>
  <si>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</si>
  <si>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</si>
  <si>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</si>
  <si>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</si>
  <si>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</si>
  <si>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</si>
  <si>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</si>
  <si>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</si>
  <si>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</si>
  <si>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</si>
  <si>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</si>
  <si>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</si>
  <si>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</si>
  <si>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</si>
  <si>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</si>
  <si>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</si>
  <si>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</si>
  <si>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</si>
  <si>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</si>
  <si>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</si>
  <si>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</si>
  <si>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</si>
  <si>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</si>
  <si>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</si>
  <si>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</si>
  <si>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</si>
  <si>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</si>
  <si>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</si>
  <si>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</si>
  <si>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</si>
  <si>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</si>
  <si>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</si>
  <si>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</si>
  <si>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</si>
  <si>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</si>
  <si>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</si>
  <si>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</si>
  <si>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</si>
  <si>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</si>
  <si>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</si>
  <si>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</si>
  <si>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</si>
  <si>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</si>
  <si>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</si>
  <si>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</si>
  <si>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</si>
  <si>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</si>
  <si>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</si>
  <si>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</si>
  <si>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</si>
  <si>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</si>
  <si>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</si>
  <si>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</si>
  <si>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</si>
  <si>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</si>
  <si>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</si>
  <si>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</si>
  <si>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</si>
  <si>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</si>
  <si>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</si>
  <si>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</si>
  <si>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</si>
  <si>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</si>
  <si>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</si>
  <si>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</si>
  <si>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</si>
  <si>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</si>
  <si>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</si>
  <si>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</si>
  <si>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</si>
  <si>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</si>
  <si>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</si>
  <si>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</si>
  <si>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</si>
  <si>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</si>
  <si>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</si>
  <si>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</si>
  <si>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</si>
  <si>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</si>
  <si>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</si>
  <si>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</si>
  <si>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</si>
  <si>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</si>
  <si>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</si>
  <si>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</si>
  <si>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</si>
  <si>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</si>
  <si>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</si>
  <si>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</si>
  <si>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</si>
  <si>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</si>
  <si>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</si>
  <si>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</si>
  <si>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</si>
  <si>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</si>
  <si>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</si>
  <si>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</si>
  <si>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</si>
  <si>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</si>
  <si>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</si>
  <si>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</si>
  <si>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</si>
  <si>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</si>
  <si>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</si>
  <si>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</si>
  <si>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</si>
  <si>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</si>
  <si>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</si>
  <si>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</si>
  <si>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</si>
  <si>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</si>
  <si>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</si>
  <si>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</si>
  <si>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</si>
  <si>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</si>
  <si>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</si>
  <si>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</si>
  <si>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</si>
  <si>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</si>
  <si>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</si>
  <si>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</si>
  <si>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</si>
  <si>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</si>
  <si>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</si>
  <si>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</si>
  <si>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</si>
  <si>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</si>
  <si>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</si>
  <si>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</si>
  <si>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</si>
  <si>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</si>
  <si>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</si>
  <si>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</si>
  <si>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</si>
  <si>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</si>
  <si>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</si>
  <si>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</si>
  <si>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</si>
  <si>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</si>
  <si>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</si>
  <si>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</si>
  <si>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</si>
  <si>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</si>
  <si>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</si>
  <si>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</si>
  <si>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</si>
  <si>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</si>
  <si>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</si>
  <si>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</si>
  <si>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</si>
  <si>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</si>
  <si>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</si>
  <si>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</si>
  <si>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</si>
  <si>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</si>
  <si>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</si>
  <si>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</si>
  <si>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</si>
  <si>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</si>
  <si>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</si>
  <si>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</si>
  <si>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</si>
  <si>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</si>
  <si>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</si>
  <si>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</si>
  <si>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</si>
  <si>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</si>
  <si>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</si>
  <si>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</si>
  <si>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</si>
  <si>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</si>
  <si>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</si>
  <si>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</si>
  <si>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</si>
  <si>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</si>
  <si>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</si>
  <si>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</si>
  <si>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</si>
  <si>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</si>
  <si>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</si>
  <si>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</si>
  <si>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</si>
  <si>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</si>
  <si>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</si>
  <si>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</si>
  <si>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</si>
  <si>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</si>
  <si>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</si>
  <si>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</si>
  <si>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</si>
  <si>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</si>
  <si>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</si>
  <si>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</si>
  <si>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</si>
  <si>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</si>
  <si>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</si>
  <si>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</si>
  <si>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</si>
  <si>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</si>
  <si>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</si>
  <si>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</si>
  <si>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</si>
  <si>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</si>
  <si>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</si>
  <si>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</si>
  <si>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</si>
  <si>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</si>
  <si>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</si>
  <si>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</si>
  <si>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</si>
  <si>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</si>
  <si>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</si>
  <si>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</si>
  <si>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</si>
  <si>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</si>
  <si>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</si>
  <si>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</si>
  <si>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</si>
  <si>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</si>
  <si>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</si>
  <si>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</si>
  <si>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</si>
  <si>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</si>
  <si>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</si>
  <si>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</si>
  <si>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</si>
  <si>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</si>
  <si>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</si>
  <si>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</si>
  <si>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</si>
  <si>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</si>
  <si>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</si>
  <si>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</si>
  <si>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</si>
  <si>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</si>
  <si>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</si>
  <si>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</si>
  <si>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</si>
  <si>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通常確率</t>
    <rPh sb="0" eb="4">
      <t>ツウジョ</t>
    </rPh>
    <phoneticPr fontId="22"/>
  </si>
  <si>
    <t>PremiumSSS6R3less</t>
    <phoneticPr fontId="22"/>
  </si>
  <si>
    <t>PremiumSS6R5only</t>
    <phoneticPr fontId="22"/>
  </si>
  <si>
    <t>tables_531100</t>
    <phoneticPr fontId="22"/>
  </si>
  <si>
    <t>tables_settle_531100</t>
    <phoneticPr fontId="22"/>
  </si>
  <si>
    <t>1日1回無料スペシャルサマーガチャ特典</t>
    <phoneticPr fontId="22"/>
  </si>
  <si>
    <t>ja</t>
  </si>
  <si>
    <t>unit</t>
    <phoneticPr fontId="22"/>
  </si>
  <si>
    <t>tables_538010</t>
    <phoneticPr fontId="22"/>
  </si>
  <si>
    <t>ギガ攻めの果実 × 3</t>
    <phoneticPr fontId="22"/>
  </si>
  <si>
    <t>1日1回無料スペシャルサマーガチャ特典としてギガ攻めの果実 を3体プレゼント！</t>
    <rPh sb="4" eb="6">
      <t>ムリョウ</t>
    </rPh>
    <rPh sb="32" eb="33">
      <t>タイ</t>
    </rPh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</si>
</sst>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1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10" fontId="0" fillId="4" borderId="0" xfId="0" applyNumberFormat="1" applyFill="1"/>
    <xf numFmtId="0" fontId="6" fillId="4" borderId="1" xfId="2978" applyFont="1" applyFill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27" fillId="0" borderId="0" xfId="2" applyFont="1" applyBorder="1" applyAlignment="1">
      <alignment vertical="center"/>
    </xf>
    <xf numFmtId="184" fontId="27" fillId="4" borderId="1" xfId="3663" quotePrefix="1" applyNumberFormat="1" applyFont="1" applyFill="1" applyBorder="1" applyAlignment="1">
      <alignment vertical="center"/>
    </xf>
    <xf numFmtId="0" fontId="3" fillId="4" borderId="1" xfId="2978" applyFont="1" applyFill="1" applyBorder="1"/>
    <xf numFmtId="0" fontId="27" fillId="0" borderId="1" xfId="2" applyFont="1" applyFill="1" applyBorder="1" applyAlignment="1">
      <alignment vertical="center"/>
    </xf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openxmlformats.org/officeDocument/2006/relationships/calcChain" Target="calcChain.xml"/><Relationship Id="rId14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デカルト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カグツチ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リラ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パウリR5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パウリR6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波打際の宴麗 フロイト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magenta01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amber01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pumpkin01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rose01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burgundy01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cyan01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scarlet01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scarlet02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scarlet03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gold01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gold02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red01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red02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blue01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blue02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green01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green02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yellow01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yellow02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olive01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olive02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white01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white02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violet01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violet02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mint01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mint02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gray01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gray02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maroon01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maroon02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pink01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pink02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black01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black02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brown01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brown02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purple01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purple02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vanilla01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vanilla02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silver01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silver02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mauve01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mauve02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ochre01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ochre02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C11" sqref="C11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7" t="s">
        <v>241</v>
      </c>
      <c r="B2" s="61" t="s">
        <v>110</v>
      </c>
      <c r="C2" s="50" t="str">
        <f>RIGHT(F2,6)</f>
        <v>531100</v>
      </c>
      <c r="D2" s="19" t="s">
        <v>45</v>
      </c>
      <c r="E2" s="17" t="str">
        <f t="shared" ref="E2" si="0">B2&amp;C2&amp;D2</f>
        <v>gacha_select_tables_531100.tmp</v>
      </c>
      <c r="F2" s="98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245</v>
      </c>
      <c r="B3" s="61" t="s">
        <v>110</v>
      </c>
      <c r="C3" s="50" t="str">
        <f t="shared" ref="C3:C7" si="1">RIGHT(F3,6)</f>
        <v>538010</v>
      </c>
      <c r="D3" s="19" t="s">
        <v>45</v>
      </c>
      <c r="E3" s="17" t="str">
        <f t="shared" ref="E3:E10" si="2">B3&amp;C3&amp;D3</f>
        <v>gacha_select_tables_538010.tmp</v>
      </c>
      <c r="F3" s="100" t="s">
        <v>257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87" t="s">
        <v>241</v>
      </c>
      <c r="B4" s="93" t="s">
        <v>246</v>
      </c>
      <c r="C4" s="94" t="str">
        <f t="shared" si="1"/>
        <v>531100</v>
      </c>
      <c r="D4" s="19" t="s">
        <v>247</v>
      </c>
      <c r="E4" s="17" t="str">
        <f t="shared" si="2"/>
        <v>gacha_settle_tables_531100.tmp</v>
      </c>
      <c r="F4" s="98" t="s">
        <v>253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1"/>
        <v>363104</v>
      </c>
      <c r="D5" s="19" t="s">
        <v>45</v>
      </c>
      <c r="E5" s="17" t="str">
        <f t="shared" ref="E5:E7" si="3">B5&amp;C5&amp;D5</f>
        <v>gacha_select_tables_363104.tmp</v>
      </c>
      <c r="F5" s="89" t="s">
        <v>242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4">RIGHT(F6,6)</f>
        <v>363105</v>
      </c>
      <c r="D6" s="19" t="s">
        <v>45</v>
      </c>
      <c r="E6" s="17" t="str">
        <f t="shared" ref="E6" si="5">B6&amp;C6&amp;D6</f>
        <v>gacha_select_tables_363105.tmp</v>
      </c>
      <c r="F6" s="89" t="s">
        <v>243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1"/>
        <v>363100</v>
      </c>
      <c r="D7" s="19" t="s">
        <v>45</v>
      </c>
      <c r="E7" s="17" t="str">
        <f t="shared" si="3"/>
        <v>gacha_select_tables_363100.tmp</v>
      </c>
      <c r="F7" s="89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0" t="s">
        <v>245</v>
      </c>
      <c r="B8" s="27" t="s">
        <v>50</v>
      </c>
      <c r="C8" s="32">
        <v>538</v>
      </c>
      <c r="D8" s="19" t="s">
        <v>46</v>
      </c>
      <c r="E8" s="17" t="str">
        <f t="shared" si="2"/>
        <v>gacha_bonus_tables_538.tmp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0" t="s">
        <v>245</v>
      </c>
      <c r="B9" s="19" t="s">
        <v>48</v>
      </c>
      <c r="C9" s="32">
        <v>538</v>
      </c>
      <c r="D9" s="19" t="s">
        <v>46</v>
      </c>
      <c r="E9" s="17" t="str">
        <f t="shared" si="2"/>
        <v>gifts_tmp_538.tmp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0" t="s">
        <v>245</v>
      </c>
      <c r="B10" s="19" t="s">
        <v>49</v>
      </c>
      <c r="C10" s="32">
        <v>538</v>
      </c>
      <c r="D10" s="19" t="s">
        <v>46</v>
      </c>
      <c r="E10" s="17" t="str">
        <f t="shared" si="2"/>
        <v>gifts_i18n_538.tmp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1"/>
  <sheetViews>
    <sheetView workbookViewId="0">
      <selection activeCell="B28" sqref="B28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538010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>
        <v>1424</v>
      </c>
      <c r="M3" s="37" t="str">
        <f>VLOOKUP(L3,[1]characters!$A:$C,3,FALSE)</f>
        <v>波打際の宴麗 フロイト</v>
      </c>
      <c r="N3" s="63">
        <v>2E-3</v>
      </c>
      <c r="O3" s="37">
        <f>VLOOKUP(L3,[1]characters!$A:$I,9,FALSE)</f>
        <v>6</v>
      </c>
      <c r="P3" s="37" t="str">
        <f>VLOOKUP(L3,[1]characters!$A:$J,10,FALSE)</f>
        <v>PremiumSSS</v>
      </c>
      <c r="Q3" s="37" t="str">
        <f>VLOOKUP(L3,tables_538010!B:C,2,FALSE)</f>
        <v>PremiumSSS6R3less</v>
      </c>
      <c r="R3" s="62">
        <f t="shared" ref="R3:R20" si="1">N3*A$38</f>
        <v>124080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>
        <v>1047</v>
      </c>
      <c r="M4" s="37" t="str">
        <f>VLOOKUP(L4,[1]characters!$A:$C,3,FALSE)</f>
        <v>波浪の夏閃 オイラー</v>
      </c>
      <c r="N4" s="63">
        <v>2E-3</v>
      </c>
      <c r="O4" s="37">
        <f>VLOOKUP(L4,[1]characters!$A:$I,9,FALSE)</f>
        <v>6</v>
      </c>
      <c r="P4" s="37" t="str">
        <f>VLOOKUP(L4,[1]characters!$A:$J,10,FALSE)</f>
        <v>PremiumSSS</v>
      </c>
      <c r="Q4" s="37" t="str">
        <f>VLOOKUP(L4,tables_538010!B:C,2,FALSE)</f>
        <v>PremiumSSS6R3less</v>
      </c>
      <c r="R4" s="62">
        <f t="shared" si="1"/>
        <v>124080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1.3636363636363637E-3</v>
      </c>
      <c r="F5">
        <v>71</v>
      </c>
      <c r="H5" s="84">
        <v>0.01</v>
      </c>
      <c r="I5" s="31">
        <v>5</v>
      </c>
      <c r="L5" s="1">
        <v>1051</v>
      </c>
      <c r="M5" s="37" t="str">
        <f>VLOOKUP(L5,[1]characters!$A:$C,3,FALSE)</f>
        <v>嬌電の飛沫 ファラデー</v>
      </c>
      <c r="N5" s="63">
        <v>2E-3</v>
      </c>
      <c r="O5" s="37">
        <f>VLOOKUP(L5,[1]characters!$A:$I,9,FALSE)</f>
        <v>6</v>
      </c>
      <c r="P5" s="37" t="str">
        <f>VLOOKUP(L5,[1]characters!$A:$J,10,FALSE)</f>
        <v>PremiumSSS</v>
      </c>
      <c r="Q5" s="37" t="str">
        <f>VLOOKUP(L5,tables_538010!B:C,2,FALSE)</f>
        <v>PremiumSSS6R3less</v>
      </c>
      <c r="R5" s="62">
        <f t="shared" si="1"/>
        <v>124080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</v>
      </c>
      <c r="D6" t="s">
        <v>202</v>
      </c>
      <c r="E6" s="76">
        <v>0.01</v>
      </c>
      <c r="F6">
        <v>98</v>
      </c>
      <c r="H6" s="88">
        <v>0.2</v>
      </c>
      <c r="I6" s="31">
        <v>4</v>
      </c>
      <c r="L6" s="1">
        <v>1046</v>
      </c>
      <c r="M6" s="37" t="str">
        <f>VLOOKUP(L6,[1]characters!$A:$C,3,FALSE)</f>
        <v>涼求の炎狼 フェンリル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VLOOKUP(L6,tables_538010!B:C,2,FALSE)</f>
        <v>Premium5R3less</v>
      </c>
      <c r="R6" s="62">
        <f t="shared" si="1"/>
        <v>3102000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1">
        <v>1050</v>
      </c>
      <c r="M7" s="37" t="str">
        <f>VLOOKUP(L7,[1]characters!$A:$C,3,FALSE)</f>
        <v>廻遊の水獣宰相 ルキフグス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VLOOKUP(L7,tables_538010!B:C,2,FALSE)</f>
        <v>Premium5R3less</v>
      </c>
      <c r="R7" s="62">
        <f t="shared" si="1"/>
        <v>3102000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">
        <v>1049</v>
      </c>
      <c r="M8" s="37" t="str">
        <f>VLOOKUP(L8,[1]characters!$A:$C,3,FALSE)</f>
        <v>深秘の水宙 メビウス</v>
      </c>
      <c r="N8" s="63">
        <v>2E-3</v>
      </c>
      <c r="O8" s="37">
        <f>VLOOKUP(L8,[1]characters!$A:$I,9,FALSE)</f>
        <v>6</v>
      </c>
      <c r="P8" s="37" t="str">
        <f>VLOOKUP(L8,[1]characters!$A:$J,10,FALSE)</f>
        <v>PremiumSSS</v>
      </c>
      <c r="Q8" s="37" t="str">
        <f>VLOOKUP(L8,tables_538010!B:C,2,FALSE)</f>
        <v>PremiumSSS6R3less</v>
      </c>
      <c r="R8" s="62">
        <f t="shared" si="1"/>
        <v>124080</v>
      </c>
      <c r="S8">
        <v>598</v>
      </c>
      <c r="U8" s="33" t="s">
        <v>197</v>
      </c>
      <c r="V8" s="54">
        <f t="shared" si="0"/>
        <v>0.2</v>
      </c>
    </row>
    <row r="9" spans="1:22" x14ac:dyDescent="0.15">
      <c r="A9" s="35" t="s">
        <v>54</v>
      </c>
      <c r="B9" s="35"/>
      <c r="L9" s="1">
        <v>1045</v>
      </c>
      <c r="M9" s="37" t="str">
        <f>VLOOKUP(L9,[1]characters!$A:$C,3,FALSE)</f>
        <v>漂解の海原 シュレディンガー</v>
      </c>
      <c r="N9" s="63">
        <v>2E-3</v>
      </c>
      <c r="O9" s="37">
        <f>VLOOKUP(L9,[1]characters!$A:$I,9,FALSE)</f>
        <v>6</v>
      </c>
      <c r="P9" s="37" t="str">
        <f>VLOOKUP(L9,[1]characters!$A:$J,10,FALSE)</f>
        <v>PremiumSSS</v>
      </c>
      <c r="Q9" s="37" t="str">
        <f>VLOOKUP(L9,tables_538010!B:C,2,FALSE)</f>
        <v>PremiumSSS6R3less</v>
      </c>
      <c r="R9" s="62">
        <f t="shared" si="1"/>
        <v>124080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</v>
      </c>
      <c r="C10" t="s">
        <v>208</v>
      </c>
      <c r="L10" s="1">
        <v>1048</v>
      </c>
      <c r="M10" s="37" t="str">
        <f>VLOOKUP(L10,[1]characters!$A:$C,3,FALSE)</f>
        <v>砂上の城主竜 ケツァクアトル</v>
      </c>
      <c r="N10" s="63">
        <v>0.05</v>
      </c>
      <c r="O10" s="37">
        <f>VLOOKUP(L10,[1]characters!$A:$I,9,FALSE)</f>
        <v>5</v>
      </c>
      <c r="P10" s="37" t="str">
        <f>VLOOKUP(L10,[1]characters!$A:$J,10,FALSE)</f>
        <v>PremiumS</v>
      </c>
      <c r="Q10" s="37" t="str">
        <f>VLOOKUP(L10,tables_538010!B:C,2,FALSE)</f>
        <v>Premium5R3less</v>
      </c>
      <c r="R10" s="62">
        <f t="shared" si="1"/>
        <v>3102000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249</v>
      </c>
      <c r="L11" s="1">
        <v>1052</v>
      </c>
      <c r="M11" s="37" t="str">
        <f>VLOOKUP(L11,[1]characters!$A:$C,3,FALSE)</f>
        <v>戯魚群の潜光 バルドル</v>
      </c>
      <c r="N11" s="63">
        <v>0.05</v>
      </c>
      <c r="O11" s="37">
        <f>VLOOKUP(L11,[1]characters!$A:$I,9,FALSE)</f>
        <v>5</v>
      </c>
      <c r="P11" s="37" t="str">
        <f>VLOOKUP(L11,[1]characters!$A:$J,10,FALSE)</f>
        <v>PremiumS</v>
      </c>
      <c r="Q11" s="37" t="str">
        <f>VLOOKUP(L11,tables_538010!B:C,2,FALSE)</f>
        <v>Premium5R3less</v>
      </c>
      <c r="R11" s="62">
        <f t="shared" si="1"/>
        <v>3102000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VLOOKUP(L12,tables_538010!B:C,2,FALSE)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VLOOKUP(L13,tables_538010!B:C,2,FALSE)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VLOOKUP(L14,tables_538010!B:C,2,FALSE)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VLOOKUP(L15,tables_538010!B:C,2,FALSE)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VLOOKUP(L16,tables_538010!B:C,2,FALSE)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28" si="2">SUMIF(Q:Q,A17,N:N)</f>
        <v>0</v>
      </c>
      <c r="D17" s="74">
        <f t="shared" ref="D17:D34" si="3">B17-C17</f>
        <v>0</v>
      </c>
      <c r="E17">
        <f>COUNTIF(tables_538010!C:C,input_538010!A17)-COUNTIF(Q:Q,A17)</f>
        <v>20</v>
      </c>
      <c r="F17" s="43">
        <f>IFERROR(B17/E17,0)</f>
        <v>0</v>
      </c>
      <c r="G17">
        <f t="shared" ref="G17:G33" si="4">A$38*B17</f>
        <v>0</v>
      </c>
      <c r="H17">
        <f t="shared" ref="H17:H33" si="5">IFERROR(ROUND(G17/E17,5),0)</f>
        <v>0</v>
      </c>
      <c r="I17">
        <f t="shared" ref="I17:I33" si="6">MOD(H17,1)</f>
        <v>0</v>
      </c>
      <c r="J17">
        <f t="shared" ref="J17:J33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VLOOKUP(L17,tables_538010!B:C,2,FALSE)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v>0</v>
      </c>
      <c r="C18" s="85">
        <f t="shared" si="2"/>
        <v>0</v>
      </c>
      <c r="D18" s="74">
        <f t="shared" si="3"/>
        <v>0</v>
      </c>
      <c r="E18">
        <f>COUNTIF(tables_538010!C:C,input_538010!A18)-COUNTIF(Q:Q,A18)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VLOOKUP(L18,tables_538010!B:C,2,FALSE)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COUNTIF(tables_538010!C:C,input_538010!A19)-COUNTIF(Q:Q,A19)</f>
        <v>52</v>
      </c>
      <c r="F19" s="43">
        <f t="shared" ref="F19:F33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VLOOKUP(L19,tables_538010!B:C,2,FALSE)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v>0</v>
      </c>
      <c r="C20" s="85">
        <f t="shared" si="2"/>
        <v>0</v>
      </c>
      <c r="D20" s="74">
        <f t="shared" si="3"/>
        <v>0</v>
      </c>
      <c r="E20">
        <f>COUNTIF(tables_538010!C:C,input_538010!A20)-COUNTIF(Q:Q,A20)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VLOOKUP(L20,tables_538010!B:C,2,FALSE)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v>0.56000000000000005</v>
      </c>
      <c r="C21" s="85">
        <f t="shared" si="2"/>
        <v>0</v>
      </c>
      <c r="D21" s="74">
        <f t="shared" si="3"/>
        <v>0.56000000000000005</v>
      </c>
      <c r="E21">
        <f>COUNTIF(tables_538010!C:C,input_538010!A21)-COUNTIF(Q:Q,A21)</f>
        <v>52</v>
      </c>
      <c r="F21" s="43">
        <f t="shared" si="8"/>
        <v>1.0769230769230771E-2</v>
      </c>
      <c r="G21">
        <f t="shared" si="4"/>
        <v>34742400</v>
      </c>
      <c r="H21">
        <f t="shared" si="5"/>
        <v>668123.07692000002</v>
      </c>
      <c r="I21">
        <f t="shared" si="6"/>
        <v>7.6920000021345913E-2</v>
      </c>
      <c r="J21">
        <f t="shared" si="7"/>
        <v>13.000520017193084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5">
        <f t="shared" si="2"/>
        <v>0</v>
      </c>
      <c r="D22" s="74">
        <f t="shared" si="3"/>
        <v>0</v>
      </c>
      <c r="E22">
        <f>COUNTIF(tables_538010!C:C,input_538010!A22)-COUNTIF(Q:Q,A22)</f>
        <v>18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v>0.1</v>
      </c>
      <c r="C23" s="85">
        <f t="shared" si="2"/>
        <v>0.2</v>
      </c>
      <c r="D23" s="74">
        <f t="shared" si="3"/>
        <v>-0.1</v>
      </c>
      <c r="E23">
        <f>COUNTIF(tables_538010!C:C,input_538010!A23)-COUNTIF(Q:Q,A23)</f>
        <v>24</v>
      </c>
      <c r="F23" s="43">
        <f t="shared" si="8"/>
        <v>4.1666666666666666E-3</v>
      </c>
      <c r="G23">
        <f t="shared" si="4"/>
        <v>6204000</v>
      </c>
      <c r="H23">
        <f t="shared" si="5"/>
        <v>258500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COUNTIF(tables_538010!C:C,input_538010!A24)-COUNTIF(Q:Q,A24)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5">
        <f t="shared" si="2"/>
        <v>0</v>
      </c>
      <c r="D25" s="74">
        <f t="shared" si="3"/>
        <v>0</v>
      </c>
      <c r="E25">
        <f>COUNTIF(tables_538010!C:C,input_538010!A25)-COUNTIF(Q:Q,A25)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0.04</v>
      </c>
      <c r="C26" s="85">
        <f t="shared" si="2"/>
        <v>0</v>
      </c>
      <c r="D26" s="74">
        <f t="shared" si="3"/>
        <v>0.04</v>
      </c>
      <c r="E26">
        <f>COUNTIF(tables_538010!C:C,input_538010!A26)-COUNTIF(Q:Q,A26)</f>
        <v>4</v>
      </c>
      <c r="F26" s="43">
        <f t="shared" si="8"/>
        <v>0.01</v>
      </c>
      <c r="G26">
        <f t="shared" si="4"/>
        <v>2481600</v>
      </c>
      <c r="H26">
        <f t="shared" si="5"/>
        <v>620400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5">
        <f t="shared" si="2"/>
        <v>0</v>
      </c>
      <c r="D27" s="74">
        <f t="shared" si="3"/>
        <v>0</v>
      </c>
      <c r="E27">
        <f>COUNTIF(tables_538010!C:C,input_538010!A27)-COUNTIF(Q:Q,A27)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3.8181818181818185E-2</v>
      </c>
      <c r="C28" s="85">
        <f t="shared" si="2"/>
        <v>0</v>
      </c>
      <c r="D28" s="74">
        <f t="shared" si="3"/>
        <v>3.8181818181818185E-2</v>
      </c>
      <c r="E28">
        <f>COUNTIF(tables_538010!C:C,input_538010!A28)-COUNTIF(Q:Q,A28)</f>
        <v>28</v>
      </c>
      <c r="F28" s="43">
        <f t="shared" si="8"/>
        <v>1.3636363636363637E-3</v>
      </c>
      <c r="G28">
        <f t="shared" si="4"/>
        <v>2368800</v>
      </c>
      <c r="H28">
        <f t="shared" si="5"/>
        <v>84600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251</v>
      </c>
      <c r="B29" s="56">
        <f>E$5*E29</f>
        <v>0</v>
      </c>
      <c r="C29" s="85">
        <f t="shared" ref="C29:C30" si="9">SUMIF(Q:Q,A29,N:N)</f>
        <v>0</v>
      </c>
      <c r="D29" s="74"/>
      <c r="E29">
        <f>COUNTIF(tables_538010!C:C,input_538010!A29)-COUNTIF(Q:Q,A29)</f>
        <v>0</v>
      </c>
      <c r="F29" s="43">
        <f t="shared" ref="F29:F30" si="10">IFERROR(B29/E29,0)</f>
        <v>0</v>
      </c>
      <c r="G29">
        <f t="shared" ref="G29:G30" si="11">A$38*B29</f>
        <v>0</v>
      </c>
      <c r="H29">
        <f t="shared" ref="H29:H30" si="12">IFERROR(ROUND(G29/E29,5),0)</f>
        <v>0</v>
      </c>
      <c r="I29">
        <f t="shared" ref="I29:I30" si="13">MOD(H29,1)</f>
        <v>0</v>
      </c>
      <c r="J29">
        <f t="shared" ref="J29:J30" si="14">IFERROR(1/I29,1)</f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199</v>
      </c>
      <c r="B30" s="56">
        <f>E$5*E30</f>
        <v>5.1818181818181819E-2</v>
      </c>
      <c r="C30" s="85">
        <f t="shared" si="9"/>
        <v>0</v>
      </c>
      <c r="D30" s="74"/>
      <c r="E30">
        <f>COUNTIF(tables_538010!C:C,input_538010!A30)-COUNTIF(Q:Q,A30)</f>
        <v>38</v>
      </c>
      <c r="F30" s="43">
        <f t="shared" si="10"/>
        <v>1.3636363636363637E-3</v>
      </c>
      <c r="G30">
        <f t="shared" si="11"/>
        <v>3214800</v>
      </c>
      <c r="H30">
        <f t="shared" si="12"/>
        <v>84600</v>
      </c>
      <c r="I30">
        <f t="shared" si="13"/>
        <v>0</v>
      </c>
      <c r="J30">
        <f t="shared" si="14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>SUMIF(Q:Q,A31,N:N)</f>
        <v>0</v>
      </c>
      <c r="D31" s="74">
        <f t="shared" si="3"/>
        <v>0</v>
      </c>
      <c r="E31">
        <f>COUNTIF(tables_538010!C:C,input_538010!A31)-COUNTIF(Q:Q,A31)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>SUMIF(Q:Q,A32,N:N)</f>
        <v>0</v>
      </c>
      <c r="D32" s="74">
        <f t="shared" si="3"/>
        <v>0</v>
      </c>
      <c r="E32">
        <f>COUNTIF(tables_538010!C:C,input_538010!A32)-COUNTIF(Q:Q,A32)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3" t="s">
        <v>250</v>
      </c>
      <c r="B33" s="56">
        <f t="shared" ref="B33" si="15">E$5*E33</f>
        <v>0</v>
      </c>
      <c r="C33" s="85">
        <f>SUMIF(Q:Q,A33,N:N)</f>
        <v>0.01</v>
      </c>
      <c r="D33" s="74">
        <f t="shared" si="3"/>
        <v>-0.01</v>
      </c>
      <c r="E33">
        <f>COUNTIF(tables_538010!C:C,input_538010!A33)-COUNTIF(Q:Q,A33)</f>
        <v>0</v>
      </c>
      <c r="F33" s="43">
        <f t="shared" si="8"/>
        <v>0</v>
      </c>
      <c r="G33">
        <f t="shared" si="4"/>
        <v>0</v>
      </c>
      <c r="H33">
        <f t="shared" si="5"/>
        <v>0</v>
      </c>
      <c r="I33">
        <f t="shared" si="6"/>
        <v>0</v>
      </c>
      <c r="J33">
        <f t="shared" si="7"/>
        <v>1</v>
      </c>
      <c r="L33" s="57"/>
      <c r="M33" s="57"/>
      <c r="N33" s="58"/>
      <c r="O33" s="57"/>
      <c r="P33" s="57"/>
      <c r="Q33" s="57"/>
      <c r="R33" s="59"/>
    </row>
    <row r="34" spans="1:18" x14ac:dyDescent="0.15">
      <c r="A34" s="39" t="s">
        <v>59</v>
      </c>
      <c r="B34" s="40">
        <f>SUM(B17:B33)</f>
        <v>0.79</v>
      </c>
      <c r="C34" s="41">
        <f>SUM(C19:C33)</f>
        <v>0.21000000000000002</v>
      </c>
      <c r="D34" s="42">
        <f t="shared" si="3"/>
        <v>0.58000000000000007</v>
      </c>
      <c r="L34" s="57"/>
      <c r="M34" s="57"/>
      <c r="N34" s="57"/>
      <c r="O34" s="57"/>
      <c r="P34" s="57"/>
      <c r="Q34" s="57"/>
      <c r="R34" s="59"/>
    </row>
    <row r="36" spans="1:18" x14ac:dyDescent="0.15">
      <c r="E36" s="55"/>
      <c r="F36" s="55"/>
    </row>
    <row r="37" spans="1:18" x14ac:dyDescent="0.15">
      <c r="A37" t="s">
        <v>73</v>
      </c>
    </row>
    <row r="38" spans="1:18" x14ac:dyDescent="0.15">
      <c r="A38" s="31">
        <f>LCM(F5-I5,F6-I6)*1000*2*2*5</f>
        <v>62040000</v>
      </c>
    </row>
    <row r="40" spans="1:18" x14ac:dyDescent="0.15">
      <c r="A40" s="47" t="s">
        <v>76</v>
      </c>
    </row>
    <row r="41" spans="1:18" x14ac:dyDescent="0.15">
      <c r="A41" s="33" t="s">
        <v>60</v>
      </c>
      <c r="B41" t="s">
        <v>74</v>
      </c>
      <c r="C41" t="s">
        <v>100</v>
      </c>
      <c r="E41" t="s">
        <v>101</v>
      </c>
      <c r="F41" t="s">
        <v>2</v>
      </c>
      <c r="G41" t="s">
        <v>63</v>
      </c>
    </row>
    <row r="42" spans="1:18" x14ac:dyDescent="0.15">
      <c r="A42" s="33" t="s">
        <v>103</v>
      </c>
      <c r="B42">
        <f ca="1">SUMIF(tables_538010!C:C,input_538010!A42,tables_538010!O:O)</f>
        <v>0</v>
      </c>
      <c r="C42" s="54">
        <f t="shared" ref="C42:C48" ca="1" si="16">B42/B$49</f>
        <v>0</v>
      </c>
      <c r="E42">
        <v>3</v>
      </c>
      <c r="F42">
        <f ca="1">SUMIF(tables_538010!J:J,input_538010!E42,tables_538010!O:O)</f>
        <v>0</v>
      </c>
      <c r="G42">
        <f ca="1">F42/A38</f>
        <v>0</v>
      </c>
    </row>
    <row r="43" spans="1:18" x14ac:dyDescent="0.15">
      <c r="A43" s="33" t="s">
        <v>104</v>
      </c>
      <c r="B43">
        <f ca="1">SUMIF(tables_538010!C:C,input_538010!A43,tables_538010!O:O)</f>
        <v>0</v>
      </c>
      <c r="C43" s="54">
        <f t="shared" ca="1" si="16"/>
        <v>0</v>
      </c>
      <c r="E43">
        <v>4</v>
      </c>
      <c r="F43">
        <f ca="1">SUMIF(tables_538010!J:J,input_538010!E43,tables_538010!O:O)</f>
        <v>0</v>
      </c>
      <c r="G43">
        <f ca="1">F43/A38</f>
        <v>0</v>
      </c>
    </row>
    <row r="44" spans="1:18" x14ac:dyDescent="0.15">
      <c r="A44" s="33" t="s">
        <v>106</v>
      </c>
      <c r="B44">
        <f ca="1">SUMIF(tables_538010!C:C,input_538010!A44,tables_538010!O:O)</f>
        <v>0</v>
      </c>
      <c r="C44" s="54">
        <f t="shared" ca="1" si="16"/>
        <v>0</v>
      </c>
      <c r="E44">
        <v>5</v>
      </c>
      <c r="F44">
        <f ca="1">SUMIF(tables_538010!J:J,input_538010!E44,tables_538010!O:O)</f>
        <v>61419599.999840014</v>
      </c>
      <c r="G44">
        <f ca="1">F44/A38</f>
        <v>0.98999999999742128</v>
      </c>
    </row>
    <row r="45" spans="1:18" x14ac:dyDescent="0.15">
      <c r="A45" s="33" t="s">
        <v>109</v>
      </c>
      <c r="B45">
        <f>SUMIF(tables_538010!C:C,input_538010!A45,tables_538010!O:O)</f>
        <v>0</v>
      </c>
      <c r="C45" s="54">
        <f t="shared" ca="1" si="16"/>
        <v>0</v>
      </c>
      <c r="F45" s="55"/>
    </row>
    <row r="46" spans="1:18" x14ac:dyDescent="0.15">
      <c r="A46" s="33" t="s">
        <v>105</v>
      </c>
      <c r="B46">
        <f ca="1">SUMIF(tables_538010!C:C,input_538010!A46,tables_538010!O:O)</f>
        <v>34742399.999839991</v>
      </c>
      <c r="C46" s="54">
        <f t="shared" ca="1" si="16"/>
        <v>0.93617021276568224</v>
      </c>
      <c r="E46" t="s">
        <v>54</v>
      </c>
      <c r="F46" s="55"/>
    </row>
    <row r="47" spans="1:18" x14ac:dyDescent="0.15">
      <c r="A47" s="33" t="s">
        <v>107</v>
      </c>
      <c r="B47">
        <f ca="1">SUMIF(tables_538010!C:C,input_538010!A47,tables_538010!O:O)</f>
        <v>2368800</v>
      </c>
      <c r="C47" s="54">
        <f t="shared" ca="1" si="16"/>
        <v>6.3829787234317759E-2</v>
      </c>
      <c r="E47" t="s">
        <v>204</v>
      </c>
      <c r="F47" s="55">
        <f ca="1">SUMIF(tables_538010!I:I,input_538010!E47,tables_538010!P:P)</f>
        <v>2.5000000000064467E-2</v>
      </c>
    </row>
    <row r="48" spans="1:18" x14ac:dyDescent="0.15">
      <c r="A48" s="33" t="s">
        <v>108</v>
      </c>
      <c r="B48">
        <f>SUMIF(tables_538010!C:C,input_538010!A48,tables_538010!O:O)</f>
        <v>0</v>
      </c>
      <c r="C48" s="54">
        <f t="shared" ca="1" si="16"/>
        <v>0</v>
      </c>
      <c r="E48" t="s">
        <v>205</v>
      </c>
      <c r="F48" s="55">
        <f ca="1">SUMIF(tables_538010!I:I,input_538010!E48,tables_538010!P:P)</f>
        <v>0.21307692307662932</v>
      </c>
    </row>
    <row r="49" spans="1:7" x14ac:dyDescent="0.15">
      <c r="A49" s="39" t="s">
        <v>59</v>
      </c>
      <c r="B49">
        <f ca="1">SUM(B42:B48)</f>
        <v>37111199.999839991</v>
      </c>
      <c r="C49" s="55">
        <f ca="1">SUM(C42:C48)</f>
        <v>1</v>
      </c>
      <c r="E49" t="s">
        <v>206</v>
      </c>
      <c r="F49" s="55">
        <f ca="1">SUMIF(tables_538010!I:I,input_538010!E49,tables_538010!P:P)</f>
        <v>0.66192307692304797</v>
      </c>
    </row>
    <row r="50" spans="1:7" x14ac:dyDescent="0.15">
      <c r="E50" t="s">
        <v>207</v>
      </c>
      <c r="F50" s="55">
        <f ca="1">SUMIF(tables_538010!I:I,input_538010!E50,tables_538010!P:P)</f>
        <v>8.0454545454753043E-2</v>
      </c>
      <c r="G50" s="55">
        <f ca="1">0.05-F50-F51</f>
        <v>-4.0000000000232197E-2</v>
      </c>
    </row>
    <row r="51" spans="1:7" x14ac:dyDescent="0.15">
      <c r="E51" t="s">
        <v>248</v>
      </c>
      <c r="F51" s="55">
        <f ca="1">SUMIF(tables_538010!I:I,input_538010!E51,tables_538010!P:P)</f>
        <v>9.5454545454791602E-3</v>
      </c>
      <c r="G51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4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input_538010!A$2</f>
        <v>538010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IFERROR(VLOOKUP(B2,input_538010!L:R,7,FALSE),VLOOKUP(tables_538010!C2,input_538010!A:H,8,FALSE))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input_538010!A$2</f>
        <v>538010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IFERROR(VLOOKUP(B3,input_538010!L:R,7,FALSE),VLOOKUP(tables_538010!C3,input_538010!A:H,8,FALSE))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input_538010!A$2</f>
        <v>538010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IFERROR(VLOOKUP(B4,input_538010!L:R,7,FALSE),VLOOKUP(tables_538010!C4,input_538010!A:H,8,FALSE))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input_538010!A$2</f>
        <v>538010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IFERROR(VLOOKUP(B5,input_538010!L:R,7,FALSE),VLOOKUP(tables_538010!C5,input_538010!A:H,8,FALSE))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input_538010!A$2</f>
        <v>538010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IFERROR(VLOOKUP(B6,input_538010!L:R,7,FALSE),VLOOKUP(tables_538010!C6,input_538010!A:H,8,FALSE))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input_538010!A$2</f>
        <v>538010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IFERROR(VLOOKUP(B7,input_538010!L:R,7,FALSE),VLOOKUP(tables_538010!C7,input_538010!A:H,8,FALSE))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input_538010!A$2</f>
        <v>538010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IFERROR(VLOOKUP(B8,input_538010!L:R,7,FALSE),VLOOKUP(tables_538010!C8,input_538010!A:H,8,FALSE))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input_538010!A$2</f>
        <v>538010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IFERROR(VLOOKUP(B9,input_538010!L:R,7,FALSE),VLOOKUP(tables_538010!C9,input_538010!A:H,8,FALSE))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input_538010!A$2</f>
        <v>538010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IFERROR(VLOOKUP(B10,input_538010!L:R,7,FALSE),VLOOKUP(tables_538010!C10,input_538010!A:H,8,FALSE))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input_538010!A$2</f>
        <v>538010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IFERROR(VLOOKUP(B11,input_538010!L:R,7,FALSE),VLOOKUP(tables_538010!C11,input_538010!A:H,8,FALSE))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input_538010!A$2</f>
        <v>538010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IFERROR(VLOOKUP(B12,input_538010!L:R,7,FALSE),VLOOKUP(tables_538010!C12,input_538010!A:H,8,FALSE))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input_538010!A$2</f>
        <v>538010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IFERROR(VLOOKUP(B13,input_538010!L:R,7,FALSE),VLOOKUP(tables_538010!C13,input_538010!A:H,8,FALSE))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input_538010!A$2</f>
        <v>538010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IFERROR(VLOOKUP(B14,input_538010!L:R,7,FALSE),VLOOKUP(tables_538010!C14,input_538010!A:H,8,FALSE))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input_538010!A$2</f>
        <v>538010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IFERROR(VLOOKUP(B15,input_538010!L:R,7,FALSE),VLOOKUP(tables_538010!C15,input_538010!A:H,8,FALSE))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input_538010!A$2</f>
        <v>538010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IFERROR(VLOOKUP(B16,input_538010!L:R,7,FALSE),VLOOKUP(tables_538010!C16,input_538010!A:H,8,FALSE))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input_538010!A$2</f>
        <v>538010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IFERROR(VLOOKUP(B17,input_538010!L:R,7,FALSE),VLOOKUP(tables_538010!C17,input_538010!A:H,8,FALSE))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input_538010!A$2</f>
        <v>538010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IFERROR(VLOOKUP(B18,input_538010!L:R,7,FALSE),VLOOKUP(tables_538010!C18,input_538010!A:H,8,FALSE))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input_538010!A$2</f>
        <v>538010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IFERROR(VLOOKUP(B19,input_538010!L:R,7,FALSE),VLOOKUP(tables_538010!C19,input_538010!A:H,8,FALSE))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input_538010!A$2</f>
        <v>538010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IFERROR(VLOOKUP(B20,input_538010!L:R,7,FALSE),VLOOKUP(tables_538010!C20,input_538010!A:H,8,FALSE))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input_538010!A$2</f>
        <v>538010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IFERROR(VLOOKUP(B21,input_538010!L:R,7,FALSE),VLOOKUP(tables_538010!C21,input_538010!A:H,8,FALSE))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input_538010!A$2</f>
        <v>538010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IFERROR(VLOOKUP(B22,input_538010!L:R,7,FALSE),VLOOKUP(tables_538010!C22,input_538010!A:H,8,FALSE))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input_538010!A$2</f>
        <v>538010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IFERROR(VLOOKUP(B23,input_538010!L:R,7,FALSE),VLOOKUP(tables_538010!C23,input_538010!A:H,8,FALSE))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input_538010!A$2</f>
        <v>538010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IFERROR(VLOOKUP(B24,input_538010!L:R,7,FALSE),VLOOKUP(tables_538010!C24,input_538010!A:H,8,FALSE))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input_538010!A$2</f>
        <v>538010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IFERROR(VLOOKUP(B25,input_538010!L:R,7,FALSE),VLOOKUP(tables_538010!C25,input_538010!A:H,8,FALSE))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input_538010!A$2</f>
        <v>538010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IFERROR(VLOOKUP(B26,input_538010!L:R,7,FALSE),VLOOKUP(tables_538010!C26,input_538010!A:H,8,FALSE))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input_538010!A$2</f>
        <v>538010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IFERROR(VLOOKUP(B27,input_538010!L:R,7,FALSE),VLOOKUP(tables_538010!C27,input_538010!A:H,8,FALSE))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input_538010!A$2</f>
        <v>538010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IFERROR(VLOOKUP(B28,input_538010!L:R,7,FALSE),VLOOKUP(tables_538010!C28,input_538010!A:H,8,FALSE))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input_538010!A$2</f>
        <v>538010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IFERROR(VLOOKUP(B29,input_538010!L:R,7,FALSE),VLOOKUP(tables_538010!C29,input_538010!A:H,8,FALSE))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input_538010!A$2</f>
        <v>538010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IFERROR(VLOOKUP(B30,input_538010!L:R,7,FALSE),VLOOKUP(tables_538010!C30,input_538010!A:H,8,FALSE))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input_538010!A$2</f>
        <v>538010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IFERROR(VLOOKUP(B31,input_538010!L:R,7,FALSE),VLOOKUP(tables_538010!C31,input_538010!A:H,8,FALSE))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input_538010!A$2</f>
        <v>538010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IFERROR(VLOOKUP(B32,input_538010!L:R,7,FALSE),VLOOKUP(tables_538010!C32,input_538010!A:H,8,FALSE))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input_538010!A$2</f>
        <v>538010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IFERROR(VLOOKUP(B33,input_538010!L:R,7,FALSE),VLOOKUP(tables_538010!C33,input_538010!A:H,8,FALSE))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input_538010!A$2</f>
        <v>538010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IFERROR(VLOOKUP(B34,input_538010!L:R,7,FALSE),VLOOKUP(tables_538010!C34,input_538010!A:H,8,FALSE))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input_538010!A$2</f>
        <v>538010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IFERROR(VLOOKUP(B35,input_538010!L:R,7,FALSE),VLOOKUP(tables_538010!C35,input_538010!A:H,8,FALSE))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input_538010!A$2</f>
        <v>538010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IFERROR(VLOOKUP(B36,input_538010!L:R,7,FALSE),VLOOKUP(tables_538010!C36,input_538010!A:H,8,FALSE))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input_538010!A$2</f>
        <v>538010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IFERROR(VLOOKUP(B37,input_538010!L:R,7,FALSE),VLOOKUP(tables_538010!C37,input_538010!A:H,8,FALSE))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input_538010!A$2</f>
        <v>538010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IFERROR(VLOOKUP(B38,input_538010!L:R,7,FALSE),VLOOKUP(tables_538010!C38,input_538010!A:H,8,FALSE))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input_538010!A$2</f>
        <v>538010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IFERROR(VLOOKUP(B39,input_538010!L:R,7,FALSE),VLOOKUP(tables_538010!C39,input_538010!A:H,8,FALSE))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input_538010!A$2</f>
        <v>538010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IFERROR(VLOOKUP(B40,input_538010!L:R,7,FALSE),VLOOKUP(tables_538010!C40,input_538010!A:H,8,FALSE))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input_538010!A$2</f>
        <v>538010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IFERROR(VLOOKUP(B41,input_538010!L:R,7,FALSE),VLOOKUP(tables_538010!C41,input_538010!A:H,8,FALSE))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input_538010!A$2</f>
        <v>538010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IFERROR(VLOOKUP(B42,input_538010!L:R,7,FALSE),VLOOKUP(tables_538010!C42,input_538010!A:H,8,FALSE))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input_538010!A$2</f>
        <v>538010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IFERROR(VLOOKUP(B43,input_538010!L:R,7,FALSE),VLOOKUP(tables_538010!C43,input_538010!A:H,8,FALSE))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input_538010!A$2</f>
        <v>538010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IFERROR(VLOOKUP(B44,input_538010!L:R,7,FALSE),VLOOKUP(tables_538010!C44,input_538010!A:H,8,FALSE))</f>
        <v>620400</v>
      </c>
      <c r="P44" s="46">
        <f t="shared" ca="1" si="1"/>
        <v>1.0000000000025787E-2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input_538010!A$2</f>
        <v>538010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IFERROR(VLOOKUP(B45,input_538010!L:R,7,FALSE),VLOOKUP(tables_538010!C45,input_538010!A:H,8,FALSE))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input_538010!A$2</f>
        <v>538010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IFERROR(VLOOKUP(B46,input_538010!L:R,7,FALSE),VLOOKUP(tables_538010!C46,input_538010!A:H,8,FALSE))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input_538010!A$2</f>
        <v>538010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IFERROR(VLOOKUP(B47,input_538010!L:R,7,FALSE),VLOOKUP(tables_538010!C47,input_538010!A:H,8,FALSE))</f>
        <v>620400</v>
      </c>
      <c r="P47" s="46">
        <f t="shared" ca="1" si="1"/>
        <v>1.0000000000025787E-2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input_538010!A$2</f>
        <v>538010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IFERROR(VLOOKUP(B48,input_538010!L:R,7,FALSE),VLOOKUP(tables_538010!C48,input_538010!A:H,8,FALSE))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input_538010!A$2</f>
        <v>538010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IFERROR(VLOOKUP(B49,input_538010!L:R,7,FALSE),VLOOKUP(tables_538010!C49,input_538010!A:H,8,FALSE))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input_538010!A$2</f>
        <v>538010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IFERROR(VLOOKUP(B50,input_538010!L:R,7,FALSE),VLOOKUP(tables_538010!C50,input_538010!A:H,8,FALSE))</f>
        <v>620400</v>
      </c>
      <c r="P50" s="46">
        <f t="shared" ca="1" si="1"/>
        <v>1.0000000000025787E-2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input_538010!A$2</f>
        <v>538010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IFERROR(VLOOKUP(B51,input_538010!L:R,7,FALSE),VLOOKUP(tables_538010!C51,input_538010!A:H,8,FALSE))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input_538010!A$2</f>
        <v>538010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IFERROR(VLOOKUP(B52,input_538010!L:R,7,FALSE),VLOOKUP(tables_538010!C52,input_538010!A:H,8,FALSE))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input_538010!A$2</f>
        <v>538010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IFERROR(VLOOKUP(B53,input_538010!L:R,7,FALSE),VLOOKUP(tables_538010!C53,input_538010!A:H,8,FALSE))</f>
        <v>668123.07692000002</v>
      </c>
      <c r="P53" s="46">
        <f t="shared" ca="1" si="1"/>
        <v>1.0769230769208944E-2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input_538010!A$2</f>
        <v>538010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IFERROR(VLOOKUP(B54,input_538010!L:R,7,FALSE),VLOOKUP(tables_538010!C54,input_538010!A:H,8,FALSE))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input_538010!A$2</f>
        <v>538010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IFERROR(VLOOKUP(B55,input_538010!L:R,7,FALSE),VLOOKUP(tables_538010!C55,input_538010!A:H,8,FALSE))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input_538010!A$2</f>
        <v>538010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IFERROR(VLOOKUP(B56,input_538010!L:R,7,FALSE),VLOOKUP(tables_538010!C56,input_538010!A:H,8,FALSE))</f>
        <v>668123.07692000002</v>
      </c>
      <c r="P56" s="46">
        <f t="shared" ca="1" si="1"/>
        <v>1.0769230769208944E-2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input_538010!A$2</f>
        <v>538010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IFERROR(VLOOKUP(B57,input_538010!L:R,7,FALSE),VLOOKUP(tables_538010!C57,input_538010!A:H,8,FALSE))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input_538010!A$2</f>
        <v>538010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IFERROR(VLOOKUP(B58,input_538010!L:R,7,FALSE),VLOOKUP(tables_538010!C58,input_538010!A:H,8,FALSE))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input_538010!A$2</f>
        <v>538010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IFERROR(VLOOKUP(B59,input_538010!L:R,7,FALSE),VLOOKUP(tables_538010!C59,input_538010!A:H,8,FALSE))</f>
        <v>668123.07692000002</v>
      </c>
      <c r="P59" s="46">
        <f t="shared" ca="1" si="1"/>
        <v>1.0769230769208944E-2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input_538010!A$2</f>
        <v>538010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IFERROR(VLOOKUP(B60,input_538010!L:R,7,FALSE),VLOOKUP(tables_538010!C60,input_538010!A:H,8,FALSE))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input_538010!A$2</f>
        <v>538010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IFERROR(VLOOKUP(B61,input_538010!L:R,7,FALSE),VLOOKUP(tables_538010!C61,input_538010!A:H,8,FALSE))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input_538010!A$2</f>
        <v>538010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IFERROR(VLOOKUP(B62,input_538010!L:R,7,FALSE),VLOOKUP(tables_538010!C62,input_538010!A:H,8,FALSE))</f>
        <v>668123.07692000002</v>
      </c>
      <c r="P62" s="46">
        <f t="shared" ca="1" si="1"/>
        <v>1.0769230769208944E-2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input_538010!A$2</f>
        <v>538010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IFERROR(VLOOKUP(B63,input_538010!L:R,7,FALSE),VLOOKUP(tables_538010!C63,input_538010!A:H,8,FALSE))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input_538010!A$2</f>
        <v>538010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IFERROR(VLOOKUP(B64,input_538010!L:R,7,FALSE),VLOOKUP(tables_538010!C64,input_538010!A:H,8,FALSE))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input_538010!A$2</f>
        <v>538010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IFERROR(VLOOKUP(B65,input_538010!L:R,7,FALSE),VLOOKUP(tables_538010!C65,input_538010!A:H,8,FALSE))</f>
        <v>668123.07692000002</v>
      </c>
      <c r="P65" s="46">
        <f t="shared" ca="1" si="1"/>
        <v>1.0769230769208944E-2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input_538010!A$2</f>
        <v>538010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IFERROR(VLOOKUP(B66,input_538010!L:R,7,FALSE),VLOOKUP(tables_538010!C66,input_538010!A:H,8,FALSE))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input_538010!A$2</f>
        <v>538010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IFERROR(VLOOKUP(B67,input_538010!L:R,7,FALSE),VLOOKUP(tables_538010!C67,input_538010!A:H,8,FALSE))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input_538010!A$2</f>
        <v>538010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IFERROR(VLOOKUP(B68,input_538010!L:R,7,FALSE),VLOOKUP(tables_538010!C68,input_538010!A:H,8,FALSE))</f>
        <v>668123.07692000002</v>
      </c>
      <c r="P68" s="46">
        <f t="shared" ca="1" si="4"/>
        <v>1.0769230769208944E-2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input_538010!A$2</f>
        <v>538010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IFERROR(VLOOKUP(B69,input_538010!L:R,7,FALSE),VLOOKUP(tables_538010!C69,input_538010!A:H,8,FALSE))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input_538010!A$2</f>
        <v>538010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IFERROR(VLOOKUP(B70,input_538010!L:R,7,FALSE),VLOOKUP(tables_538010!C70,input_538010!A:H,8,FALSE))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input_538010!A$2</f>
        <v>538010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IFERROR(VLOOKUP(B71,input_538010!L:R,7,FALSE),VLOOKUP(tables_538010!C71,input_538010!A:H,8,FALSE))</f>
        <v>668123.07692000002</v>
      </c>
      <c r="P71" s="46">
        <f t="shared" ca="1" si="4"/>
        <v>1.0769230769208944E-2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input_538010!A$2</f>
        <v>538010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IFERROR(VLOOKUP(B72,input_538010!L:R,7,FALSE),VLOOKUP(tables_538010!C72,input_538010!A:H,8,FALSE))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input_538010!A$2</f>
        <v>538010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IFERROR(VLOOKUP(B73,input_538010!L:R,7,FALSE),VLOOKUP(tables_538010!C73,input_538010!A:H,8,FALSE))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input_538010!A$2</f>
        <v>538010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IFERROR(VLOOKUP(B74,input_538010!L:R,7,FALSE),VLOOKUP(tables_538010!C74,input_538010!A:H,8,FALSE))</f>
        <v>668123.07692000002</v>
      </c>
      <c r="P74" s="46">
        <f t="shared" ca="1" si="4"/>
        <v>1.0769230769208944E-2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input_538010!A$2</f>
        <v>538010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IFERROR(VLOOKUP(B75,input_538010!L:R,7,FALSE),VLOOKUP(tables_538010!C75,input_538010!A:H,8,FALSE))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input_538010!A$2</f>
        <v>538010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IFERROR(VLOOKUP(B76,input_538010!L:R,7,FALSE),VLOOKUP(tables_538010!C76,input_538010!A:H,8,FALSE))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input_538010!A$2</f>
        <v>538010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IFERROR(VLOOKUP(B77,input_538010!L:R,7,FALSE),VLOOKUP(tables_538010!C77,input_538010!A:H,8,FALSE))</f>
        <v>668123.07692000002</v>
      </c>
      <c r="P77" s="46">
        <f t="shared" ca="1" si="4"/>
        <v>1.0769230769208944E-2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input_538010!A$2</f>
        <v>538010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IFERROR(VLOOKUP(B78,input_538010!L:R,7,FALSE),VLOOKUP(tables_538010!C78,input_538010!A:H,8,FALSE))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input_538010!A$2</f>
        <v>538010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IFERROR(VLOOKUP(B79,input_538010!L:R,7,FALSE),VLOOKUP(tables_538010!C79,input_538010!A:H,8,FALSE))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input_538010!A$2</f>
        <v>538010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IFERROR(VLOOKUP(B80,input_538010!L:R,7,FALSE),VLOOKUP(tables_538010!C80,input_538010!A:H,8,FALSE))</f>
        <v>668123.07692000002</v>
      </c>
      <c r="P80" s="46">
        <f t="shared" ca="1" si="4"/>
        <v>1.0769230769208944E-2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input_538010!A$2</f>
        <v>538010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IFERROR(VLOOKUP(B81,input_538010!L:R,7,FALSE),VLOOKUP(tables_538010!C81,input_538010!A:H,8,FALSE))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input_538010!A$2</f>
        <v>538010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IFERROR(VLOOKUP(B82,input_538010!L:R,7,FALSE),VLOOKUP(tables_538010!C82,input_538010!A:H,8,FALSE))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input_538010!A$2</f>
        <v>538010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IFERROR(VLOOKUP(B83,input_538010!L:R,7,FALSE),VLOOKUP(tables_538010!C83,input_538010!A:H,8,FALSE))</f>
        <v>668123.07692000002</v>
      </c>
      <c r="P83" s="46">
        <f t="shared" ca="1" si="4"/>
        <v>1.0769230769208944E-2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input_538010!A$2</f>
        <v>538010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IFERROR(VLOOKUP(B84,input_538010!L:R,7,FALSE),VLOOKUP(tables_538010!C84,input_538010!A:H,8,FALSE))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input_538010!A$2</f>
        <v>538010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IFERROR(VLOOKUP(B85,input_538010!L:R,7,FALSE),VLOOKUP(tables_538010!C85,input_538010!A:H,8,FALSE))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input_538010!A$2</f>
        <v>538010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IFERROR(VLOOKUP(B86,input_538010!L:R,7,FALSE),VLOOKUP(tables_538010!C86,input_538010!A:H,8,FALSE))</f>
        <v>668123.07692000002</v>
      </c>
      <c r="P86" s="46">
        <f t="shared" ca="1" si="4"/>
        <v>1.0769230769208944E-2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input_538010!A$2</f>
        <v>538010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IFERROR(VLOOKUP(B87,input_538010!L:R,7,FALSE),VLOOKUP(tables_538010!C87,input_538010!A:H,8,FALSE))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input_538010!A$2</f>
        <v>538010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IFERROR(VLOOKUP(B88,input_538010!L:R,7,FALSE),VLOOKUP(tables_538010!C88,input_538010!A:H,8,FALSE))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input_538010!A$2</f>
        <v>538010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IFERROR(VLOOKUP(B89,input_538010!L:R,7,FALSE),VLOOKUP(tables_538010!C89,input_538010!A:H,8,FALSE))</f>
        <v>668123.07692000002</v>
      </c>
      <c r="P89" s="46">
        <f t="shared" ca="1" si="4"/>
        <v>1.0769230769208944E-2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input_538010!A$2</f>
        <v>538010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IFERROR(VLOOKUP(B90,input_538010!L:R,7,FALSE),VLOOKUP(tables_538010!C90,input_538010!A:H,8,FALSE))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input_538010!A$2</f>
        <v>538010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IFERROR(VLOOKUP(B91,input_538010!L:R,7,FALSE),VLOOKUP(tables_538010!C91,input_538010!A:H,8,FALSE))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input_538010!A$2</f>
        <v>538010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IFERROR(VLOOKUP(B92,input_538010!L:R,7,FALSE),VLOOKUP(tables_538010!C92,input_538010!A:H,8,FALSE))</f>
        <v>668123.07692000002</v>
      </c>
      <c r="P92" s="46">
        <f t="shared" ca="1" si="4"/>
        <v>1.0769230769208944E-2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input_538010!A$2</f>
        <v>538010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IFERROR(VLOOKUP(B93,input_538010!L:R,7,FALSE),VLOOKUP(tables_538010!C93,input_538010!A:H,8,FALSE))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input_538010!A$2</f>
        <v>538010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IFERROR(VLOOKUP(B94,input_538010!L:R,7,FALSE),VLOOKUP(tables_538010!C94,input_538010!A:H,8,FALSE))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input_538010!A$2</f>
        <v>538010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IFERROR(VLOOKUP(B95,input_538010!L:R,7,FALSE),VLOOKUP(tables_538010!C95,input_538010!A:H,8,FALSE))</f>
        <v>668123.07692000002</v>
      </c>
      <c r="P95" s="46">
        <f t="shared" ca="1" si="4"/>
        <v>1.0769230769208944E-2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input_538010!A$2</f>
        <v>538010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IFERROR(VLOOKUP(B96,input_538010!L:R,7,FALSE),VLOOKUP(tables_538010!C96,input_538010!A:H,8,FALSE))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input_538010!A$2</f>
        <v>538010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IFERROR(VLOOKUP(B97,input_538010!L:R,7,FALSE),VLOOKUP(tables_538010!C97,input_538010!A:H,8,FALSE))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input_538010!A$2</f>
        <v>538010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IFERROR(VLOOKUP(B98,input_538010!L:R,7,FALSE),VLOOKUP(tables_538010!C98,input_538010!A:H,8,FALSE))</f>
        <v>668123.07692000002</v>
      </c>
      <c r="P98" s="46">
        <f t="shared" ca="1" si="4"/>
        <v>1.0769230769208944E-2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input_538010!A$2</f>
        <v>538010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IFERROR(VLOOKUP(B99,input_538010!L:R,7,FALSE),VLOOKUP(tables_538010!C99,input_538010!A:H,8,FALSE))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input_538010!A$2</f>
        <v>538010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IFERROR(VLOOKUP(B100,input_538010!L:R,7,FALSE),VLOOKUP(tables_538010!C100,input_538010!A:H,8,FALSE))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input_538010!A$2</f>
        <v>538010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IFERROR(VLOOKUP(B101,input_538010!L:R,7,FALSE),VLOOKUP(tables_538010!C101,input_538010!A:H,8,FALSE))</f>
        <v>668123.07692000002</v>
      </c>
      <c r="P101" s="46">
        <f t="shared" ca="1" si="4"/>
        <v>1.0769230769208944E-2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input_538010!A$2</f>
        <v>538010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IFERROR(VLOOKUP(B102,input_538010!L:R,7,FALSE),VLOOKUP(tables_538010!C102,input_538010!A:H,8,FALSE))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input_538010!A$2</f>
        <v>538010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IFERROR(VLOOKUP(B103,input_538010!L:R,7,FALSE),VLOOKUP(tables_538010!C103,input_538010!A:H,8,FALSE))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input_538010!A$2</f>
        <v>538010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IFERROR(VLOOKUP(B104,input_538010!L:R,7,FALSE),VLOOKUP(tables_538010!C104,input_538010!A:H,8,FALSE))</f>
        <v>668123.07692000002</v>
      </c>
      <c r="P104" s="46">
        <f t="shared" ca="1" si="4"/>
        <v>1.0769230769208944E-2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input_538010!A$2</f>
        <v>538010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IFERROR(VLOOKUP(B105,input_538010!L:R,7,FALSE),VLOOKUP(tables_538010!C105,input_538010!A:H,8,FALSE))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input_538010!A$2</f>
        <v>538010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IFERROR(VLOOKUP(B106,input_538010!L:R,7,FALSE),VLOOKUP(tables_538010!C106,input_538010!A:H,8,FALSE))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input_538010!A$2</f>
        <v>538010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IFERROR(VLOOKUP(B107,input_538010!L:R,7,FALSE),VLOOKUP(tables_538010!C107,input_538010!A:H,8,FALSE))</f>
        <v>668123.07692000002</v>
      </c>
      <c r="P107" s="46">
        <f t="shared" ca="1" si="4"/>
        <v>1.0769230769208944E-2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input_538010!A$2</f>
        <v>538010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IFERROR(VLOOKUP(B108,input_538010!L:R,7,FALSE),VLOOKUP(tables_538010!C108,input_538010!A:H,8,FALSE))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input_538010!A$2</f>
        <v>538010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IFERROR(VLOOKUP(B109,input_538010!L:R,7,FALSE),VLOOKUP(tables_538010!C109,input_538010!A:H,8,FALSE))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input_538010!A$2</f>
        <v>538010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IFERROR(VLOOKUP(B110,input_538010!L:R,7,FALSE),VLOOKUP(tables_538010!C110,input_538010!A:H,8,FALSE))</f>
        <v>668123.07692000002</v>
      </c>
      <c r="P110" s="46">
        <f t="shared" ca="1" si="4"/>
        <v>1.0769230769208944E-2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input_538010!A$2</f>
        <v>538010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IFERROR(VLOOKUP(B111,input_538010!L:R,7,FALSE),VLOOKUP(tables_538010!C111,input_538010!A:H,8,FALSE))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input_538010!A$2</f>
        <v>538010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IFERROR(VLOOKUP(B112,input_538010!L:R,7,FALSE),VLOOKUP(tables_538010!C112,input_538010!A:H,8,FALSE))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input_538010!A$2</f>
        <v>538010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IFERROR(VLOOKUP(B113,input_538010!L:R,7,FALSE),VLOOKUP(tables_538010!C113,input_538010!A:H,8,FALSE))</f>
        <v>620400</v>
      </c>
      <c r="P113" s="46">
        <f t="shared" ca="1" si="4"/>
        <v>1.0000000000025787E-2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input_538010!A$2</f>
        <v>538010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IFERROR(VLOOKUP(B114,input_538010!L:R,7,FALSE),VLOOKUP(tables_538010!C114,input_538010!A:H,8,FALSE))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input_538010!A$2</f>
        <v>538010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IFERROR(VLOOKUP(B115,input_538010!L:R,7,FALSE),VLOOKUP(tables_538010!C115,input_538010!A:H,8,FALSE))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input_538010!A$2</f>
        <v>538010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IFERROR(VLOOKUP(B116,input_538010!L:R,7,FALSE),VLOOKUP(tables_538010!C116,input_538010!A:H,8,FALSE))</f>
        <v>668123.07692000002</v>
      </c>
      <c r="P116" s="46">
        <f t="shared" ca="1" si="4"/>
        <v>1.0769230769208944E-2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input_538010!A$2</f>
        <v>538010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IFERROR(VLOOKUP(B117,input_538010!L:R,7,FALSE),VLOOKUP(tables_538010!C117,input_538010!A:H,8,FALSE))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input_538010!A$2</f>
        <v>538010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IFERROR(VLOOKUP(B118,input_538010!L:R,7,FALSE),VLOOKUP(tables_538010!C118,input_538010!A:H,8,FALSE))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input_538010!A$2</f>
        <v>538010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IFERROR(VLOOKUP(B119,input_538010!L:R,7,FALSE),VLOOKUP(tables_538010!C119,input_538010!A:H,8,FALSE))</f>
        <v>668123.07692000002</v>
      </c>
      <c r="P119" s="46">
        <f t="shared" ca="1" si="4"/>
        <v>1.0769230769208944E-2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input_538010!A$2</f>
        <v>538010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IFERROR(VLOOKUP(B120,input_538010!L:R,7,FALSE),VLOOKUP(tables_538010!C120,input_538010!A:H,8,FALSE))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input_538010!A$2</f>
        <v>538010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IFERROR(VLOOKUP(B121,input_538010!L:R,7,FALSE),VLOOKUP(tables_538010!C121,input_538010!A:H,8,FALSE))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input_538010!A$2</f>
        <v>538010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IFERROR(VLOOKUP(B122,input_538010!L:R,7,FALSE),VLOOKUP(tables_538010!C122,input_538010!A:H,8,FALSE))</f>
        <v>668123.07692000002</v>
      </c>
      <c r="P122" s="46">
        <f t="shared" ca="1" si="4"/>
        <v>1.0769230769208944E-2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input_538010!A$2</f>
        <v>538010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IFERROR(VLOOKUP(B123,input_538010!L:R,7,FALSE),VLOOKUP(tables_538010!C123,input_538010!A:H,8,FALSE))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input_538010!A$2</f>
        <v>538010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IFERROR(VLOOKUP(B124,input_538010!L:R,7,FALSE),VLOOKUP(tables_538010!C124,input_538010!A:H,8,FALSE))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input_538010!A$2</f>
        <v>538010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IFERROR(VLOOKUP(B125,input_538010!L:R,7,FALSE),VLOOKUP(tables_538010!C125,input_538010!A:H,8,FALSE))</f>
        <v>668123.07692000002</v>
      </c>
      <c r="P125" s="46">
        <f t="shared" ca="1" si="4"/>
        <v>1.0769230769208944E-2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input_538010!A$2</f>
        <v>538010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IFERROR(VLOOKUP(B126,input_538010!L:R,7,FALSE),VLOOKUP(tables_538010!C126,input_538010!A:H,8,FALSE))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input_538010!A$2</f>
        <v>538010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IFERROR(VLOOKUP(B127,input_538010!L:R,7,FALSE),VLOOKUP(tables_538010!C127,input_538010!A:H,8,FALSE))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input_538010!A$2</f>
        <v>538010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IFERROR(VLOOKUP(B128,input_538010!L:R,7,FALSE),VLOOKUP(tables_538010!C128,input_538010!A:H,8,FALSE))</f>
        <v>668123.07692000002</v>
      </c>
      <c r="P128" s="46">
        <f t="shared" ca="1" si="4"/>
        <v>1.0769230769208944E-2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input_538010!A$2</f>
        <v>538010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IFERROR(VLOOKUP(B129,input_538010!L:R,7,FALSE),VLOOKUP(tables_538010!C129,input_538010!A:H,8,FALSE))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input_538010!A$2</f>
        <v>538010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IFERROR(VLOOKUP(B130,input_538010!L:R,7,FALSE),VLOOKUP(tables_538010!C130,input_538010!A:H,8,FALSE))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input_538010!A$2</f>
        <v>538010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IFERROR(VLOOKUP(B131,input_538010!L:R,7,FALSE),VLOOKUP(tables_538010!C131,input_538010!A:H,8,FALSE))</f>
        <v>668123.07692000002</v>
      </c>
      <c r="P131" s="46">
        <f t="shared" ca="1" si="7"/>
        <v>1.0769230769208944E-2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input_538010!A$2</f>
        <v>538010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IFERROR(VLOOKUP(B132,input_538010!L:R,7,FALSE),VLOOKUP(tables_538010!C132,input_538010!A:H,8,FALSE))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input_538010!A$2</f>
        <v>538010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IFERROR(VLOOKUP(B133,input_538010!L:R,7,FALSE),VLOOKUP(tables_538010!C133,input_538010!A:H,8,FALSE))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input_538010!A$2</f>
        <v>538010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IFERROR(VLOOKUP(B134,input_538010!L:R,7,FALSE),VLOOKUP(tables_538010!C134,input_538010!A:H,8,FALSE))</f>
        <v>668123.07692000002</v>
      </c>
      <c r="P134" s="46">
        <f t="shared" ca="1" si="7"/>
        <v>1.0769230769208944E-2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input_538010!A$2</f>
        <v>538010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IFERROR(VLOOKUP(B135,input_538010!L:R,7,FALSE),VLOOKUP(tables_538010!C135,input_538010!A:H,8,FALSE))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input_538010!A$2</f>
        <v>538010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IFERROR(VLOOKUP(B136,input_538010!L:R,7,FALSE),VLOOKUP(tables_538010!C136,input_538010!A:H,8,FALSE))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input_538010!A$2</f>
        <v>538010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IFERROR(VLOOKUP(B137,input_538010!L:R,7,FALSE),VLOOKUP(tables_538010!C137,input_538010!A:H,8,FALSE))</f>
        <v>668123.07692000002</v>
      </c>
      <c r="P137" s="46">
        <f t="shared" ca="1" si="7"/>
        <v>1.0769230769208944E-2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input_538010!A$2</f>
        <v>538010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IFERROR(VLOOKUP(B138,input_538010!L:R,7,FALSE),VLOOKUP(tables_538010!C138,input_538010!A:H,8,FALSE))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input_538010!A$2</f>
        <v>538010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IFERROR(VLOOKUP(B139,input_538010!L:R,7,FALSE),VLOOKUP(tables_538010!C139,input_538010!A:H,8,FALSE))</f>
        <v>84600</v>
      </c>
      <c r="P139" s="46">
        <f t="shared" ca="1" si="7"/>
        <v>1.36363636363988E-3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input_538010!A$2</f>
        <v>538010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IFERROR(VLOOKUP(B140,input_538010!L:R,7,FALSE),VLOOKUP(tables_538010!C140,input_538010!A:H,8,FALSE))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input_538010!A$2</f>
        <v>538010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IFERROR(VLOOKUP(B141,input_538010!L:R,7,FALSE),VLOOKUP(tables_538010!C141,input_538010!A:H,8,FALSE))</f>
        <v>84600</v>
      </c>
      <c r="P141" s="46">
        <f t="shared" ca="1" si="7"/>
        <v>1.36363636363988E-3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input_538010!A$2</f>
        <v>538010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IFERROR(VLOOKUP(B142,input_538010!L:R,7,FALSE),VLOOKUP(tables_538010!C142,input_538010!A:H,8,FALSE))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input_538010!A$2</f>
        <v>538010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IFERROR(VLOOKUP(B143,input_538010!L:R,7,FALSE),VLOOKUP(tables_538010!C143,input_538010!A:H,8,FALSE))</f>
        <v>84600</v>
      </c>
      <c r="P143" s="46">
        <f t="shared" ca="1" si="7"/>
        <v>1.36363636363988E-3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input_538010!A$2</f>
        <v>538010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IFERROR(VLOOKUP(B144,input_538010!L:R,7,FALSE),VLOOKUP(tables_538010!C144,input_538010!A:H,8,FALSE))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input_538010!A$2</f>
        <v>538010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IFERROR(VLOOKUP(B145,input_538010!L:R,7,FALSE),VLOOKUP(tables_538010!C145,input_538010!A:H,8,FALSE))</f>
        <v>84600</v>
      </c>
      <c r="P145" s="46">
        <f t="shared" ca="1" si="7"/>
        <v>1.36363636363988E-3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input_538010!A$2</f>
        <v>538010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IFERROR(VLOOKUP(B146,input_538010!L:R,7,FALSE),VLOOKUP(tables_538010!C146,input_538010!A:H,8,FALSE))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input_538010!A$2</f>
        <v>538010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IFERROR(VLOOKUP(B147,input_538010!L:R,7,FALSE),VLOOKUP(tables_538010!C147,input_538010!A:H,8,FALSE))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input_538010!A$2</f>
        <v>538010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IFERROR(VLOOKUP(B148,input_538010!L:R,7,FALSE),VLOOKUP(tables_538010!C148,input_538010!A:H,8,FALSE))</f>
        <v>668123.07692000002</v>
      </c>
      <c r="P148" s="46">
        <f t="shared" ca="1" si="7"/>
        <v>1.0769230769208944E-2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input_538010!A$2</f>
        <v>538010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IFERROR(VLOOKUP(B149,input_538010!L:R,7,FALSE),VLOOKUP(tables_538010!C149,input_538010!A:H,8,FALSE))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input_538010!A$2</f>
        <v>538010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IFERROR(VLOOKUP(B150,input_538010!L:R,7,FALSE),VLOOKUP(tables_538010!C150,input_538010!A:H,8,FALSE))</f>
        <v>84600</v>
      </c>
      <c r="P150" s="46">
        <f t="shared" ca="1" si="7"/>
        <v>1.36363636363988E-3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input_538010!A$2</f>
        <v>538010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IFERROR(VLOOKUP(B151,input_538010!L:R,7,FALSE),VLOOKUP(tables_538010!C151,input_538010!A:H,8,FALSE))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input_538010!A$2</f>
        <v>538010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IFERROR(VLOOKUP(B152,input_538010!L:R,7,FALSE),VLOOKUP(tables_538010!C152,input_538010!A:H,8,FALSE))</f>
        <v>84600</v>
      </c>
      <c r="P152" s="46">
        <f t="shared" ca="1" si="7"/>
        <v>1.36363636363988E-3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input_538010!A$2</f>
        <v>538010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IFERROR(VLOOKUP(B153,input_538010!L:R,7,FALSE),VLOOKUP(tables_538010!C153,input_538010!A:H,8,FALSE))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input_538010!A$2</f>
        <v>538010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IFERROR(VLOOKUP(B154,input_538010!L:R,7,FALSE),VLOOKUP(tables_538010!C154,input_538010!A:H,8,FALSE))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input_538010!A$2</f>
        <v>538010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IFERROR(VLOOKUP(B155,input_538010!L:R,7,FALSE),VLOOKUP(tables_538010!C155,input_538010!A:H,8,FALSE))</f>
        <v>668123.07692000002</v>
      </c>
      <c r="P155" s="46">
        <f t="shared" ca="1" si="7"/>
        <v>1.0769230769208944E-2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input_538010!A$2</f>
        <v>538010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IFERROR(VLOOKUP(B156,input_538010!L:R,7,FALSE),VLOOKUP(tables_538010!C156,input_538010!A:H,8,FALSE))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input_538010!A$2</f>
        <v>538010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IFERROR(VLOOKUP(B157,input_538010!L:R,7,FALSE),VLOOKUP(tables_538010!C157,input_538010!A:H,8,FALSE))</f>
        <v>84600</v>
      </c>
      <c r="P157" s="46">
        <f t="shared" ca="1" si="7"/>
        <v>1.36363636363988E-3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input_538010!A$2</f>
        <v>538010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IFERROR(VLOOKUP(B158,input_538010!L:R,7,FALSE),VLOOKUP(tables_538010!C158,input_538010!A:H,8,FALSE))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input_538010!A$2</f>
        <v>538010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IFERROR(VLOOKUP(B159,input_538010!L:R,7,FALSE),VLOOKUP(tables_538010!C159,input_538010!A:H,8,FALSE))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input_538010!A$2</f>
        <v>538010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IFERROR(VLOOKUP(B160,input_538010!L:R,7,FALSE),VLOOKUP(tables_538010!C160,input_538010!A:H,8,FALSE))</f>
        <v>668123.07692000002</v>
      </c>
      <c r="P160" s="46">
        <f t="shared" ca="1" si="7"/>
        <v>1.0769230769208944E-2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input_538010!A$2</f>
        <v>538010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IFERROR(VLOOKUP(B161,input_538010!L:R,7,FALSE),VLOOKUP(tables_538010!C161,input_538010!A:H,8,FALSE))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input_538010!A$2</f>
        <v>538010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IFERROR(VLOOKUP(B162,input_538010!L:R,7,FALSE),VLOOKUP(tables_538010!C162,input_538010!A:H,8,FALSE))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input_538010!A$2</f>
        <v>538010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IFERROR(VLOOKUP(B163,input_538010!L:R,7,FALSE),VLOOKUP(tables_538010!C163,input_538010!A:H,8,FALSE))</f>
        <v>668123.07692000002</v>
      </c>
      <c r="P163" s="46">
        <f t="shared" ca="1" si="7"/>
        <v>1.0769230769208944E-2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input_538010!A$2</f>
        <v>538010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IFERROR(VLOOKUP(B164,input_538010!L:R,7,FALSE),VLOOKUP(tables_538010!C164,input_538010!A:H,8,FALSE))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input_538010!A$2</f>
        <v>538010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IFERROR(VLOOKUP(B165,input_538010!L:R,7,FALSE),VLOOKUP(tables_538010!C165,input_538010!A:H,8,FALSE))</f>
        <v>84600</v>
      </c>
      <c r="P165" s="46">
        <f t="shared" ca="1" si="7"/>
        <v>1.36363636363988E-3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input_538010!A$2</f>
        <v>538010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IFERROR(VLOOKUP(B166,input_538010!L:R,7,FALSE),VLOOKUP(tables_538010!C166,input_538010!A:H,8,FALSE))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input_538010!A$2</f>
        <v>538010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IFERROR(VLOOKUP(B167,input_538010!L:R,7,FALSE),VLOOKUP(tables_538010!C167,input_538010!A:H,8,FALSE))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input_538010!A$2</f>
        <v>538010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IFERROR(VLOOKUP(B168,input_538010!L:R,7,FALSE),VLOOKUP(tables_538010!C168,input_538010!A:H,8,FALSE))</f>
        <v>668123.07692000002</v>
      </c>
      <c r="P168" s="46">
        <f t="shared" ca="1" si="7"/>
        <v>1.0769230769208944E-2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input_538010!A$2</f>
        <v>538010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IFERROR(VLOOKUP(B169,input_538010!L:R,7,FALSE),VLOOKUP(tables_538010!C169,input_538010!A:H,8,FALSE))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input_538010!A$2</f>
        <v>538010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IFERROR(VLOOKUP(B170,input_538010!L:R,7,FALSE),VLOOKUP(tables_538010!C170,input_538010!A:H,8,FALSE))</f>
        <v>84600</v>
      </c>
      <c r="P170" s="46">
        <f t="shared" ca="1" si="7"/>
        <v>1.36363636363988E-3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input_538010!A$2</f>
        <v>538010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IFERROR(VLOOKUP(B171,input_538010!L:R,7,FALSE),VLOOKUP(tables_538010!C171,input_538010!A:H,8,FALSE))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input_538010!A$2</f>
        <v>538010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IFERROR(VLOOKUP(B172,input_538010!L:R,7,FALSE),VLOOKUP(tables_538010!C172,input_538010!A:H,8,FALSE))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input_538010!A$2</f>
        <v>538010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IFERROR(VLOOKUP(B173,input_538010!L:R,7,FALSE),VLOOKUP(tables_538010!C173,input_538010!A:H,8,FALSE))</f>
        <v>668123.07692000002</v>
      </c>
      <c r="P173" s="46">
        <f t="shared" ca="1" si="7"/>
        <v>1.0769230769208944E-2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input_538010!A$2</f>
        <v>538010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IFERROR(VLOOKUP(B174,input_538010!L:R,7,FALSE),VLOOKUP(tables_538010!C174,input_538010!A:H,8,FALSE))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input_538010!A$2</f>
        <v>538010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IFERROR(VLOOKUP(B175,input_538010!L:R,7,FALSE),VLOOKUP(tables_538010!C175,input_538010!A:H,8,FALSE))</f>
        <v>84600</v>
      </c>
      <c r="P175" s="46">
        <f t="shared" ca="1" si="7"/>
        <v>1.36363636363988E-3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input_538010!A$2</f>
        <v>538010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IFERROR(VLOOKUP(B176,input_538010!L:R,7,FALSE),VLOOKUP(tables_538010!C176,input_538010!A:H,8,FALSE))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input_538010!A$2</f>
        <v>538010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IFERROR(VLOOKUP(B177,input_538010!L:R,7,FALSE),VLOOKUP(tables_538010!C177,input_538010!A:H,8,FALSE))</f>
        <v>84600</v>
      </c>
      <c r="P177" s="46">
        <f t="shared" ca="1" si="7"/>
        <v>1.36363636363988E-3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input_538010!A$2</f>
        <v>538010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IFERROR(VLOOKUP(B178,input_538010!L:R,7,FALSE),VLOOKUP(tables_538010!C178,input_538010!A:H,8,FALSE))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input_538010!A$2</f>
        <v>538010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IFERROR(VLOOKUP(B179,input_538010!L:R,7,FALSE),VLOOKUP(tables_538010!C179,input_538010!A:H,8,FALSE))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input_538010!A$2</f>
        <v>538010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IFERROR(VLOOKUP(B180,input_538010!L:R,7,FALSE),VLOOKUP(tables_538010!C180,input_538010!A:H,8,FALSE))</f>
        <v>668123.07692000002</v>
      </c>
      <c r="P180" s="46">
        <f t="shared" ca="1" si="7"/>
        <v>1.0769230769208944E-2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input_538010!A$2</f>
        <v>538010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IFERROR(VLOOKUP(B181,input_538010!L:R,7,FALSE),VLOOKUP(tables_538010!C181,input_538010!A:H,8,FALSE))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input_538010!A$2</f>
        <v>538010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IFERROR(VLOOKUP(B182,input_538010!L:R,7,FALSE),VLOOKUP(tables_538010!C182,input_538010!A:H,8,FALSE))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input_538010!A$2</f>
        <v>538010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IFERROR(VLOOKUP(B183,input_538010!L:R,7,FALSE),VLOOKUP(tables_538010!C183,input_538010!A:H,8,FALSE))</f>
        <v>668123.07692000002</v>
      </c>
      <c r="P183" s="46">
        <f t="shared" ca="1" si="7"/>
        <v>1.0769230769208944E-2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input_538010!A$2</f>
        <v>538010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IFERROR(VLOOKUP(B184,input_538010!L:R,7,FALSE),VLOOKUP(tables_538010!C184,input_538010!A:H,8,FALSE))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input_538010!A$2</f>
        <v>538010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IFERROR(VLOOKUP(B185,input_538010!L:R,7,FALSE),VLOOKUP(tables_538010!C185,input_538010!A:H,8,FALSE))</f>
        <v>84600</v>
      </c>
      <c r="P185" s="46">
        <f t="shared" ca="1" si="7"/>
        <v>1.36363636363988E-3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input_538010!A$2</f>
        <v>538010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IFERROR(VLOOKUP(B186,input_538010!L:R,7,FALSE),VLOOKUP(tables_538010!C186,input_538010!A:H,8,FALSE))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input_538010!A$2</f>
        <v>538010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IFERROR(VLOOKUP(B187,input_538010!L:R,7,FALSE),VLOOKUP(tables_538010!C187,input_538010!A:H,8,FALSE))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input_538010!A$2</f>
        <v>538010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IFERROR(VLOOKUP(B188,input_538010!L:R,7,FALSE),VLOOKUP(tables_538010!C188,input_538010!A:H,8,FALSE))</f>
        <v>668123.07692000002</v>
      </c>
      <c r="P188" s="46">
        <f t="shared" ca="1" si="7"/>
        <v>1.0769230769208944E-2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input_538010!A$2</f>
        <v>538010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IFERROR(VLOOKUP(B189,input_538010!L:R,7,FALSE),VLOOKUP(tables_538010!C189,input_538010!A:H,8,FALSE))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input_538010!A$2</f>
        <v>538010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IFERROR(VLOOKUP(B190,input_538010!L:R,7,FALSE),VLOOKUP(tables_538010!C190,input_538010!A:H,8,FALSE))</f>
        <v>84600</v>
      </c>
      <c r="P190" s="46">
        <f t="shared" ca="1" si="7"/>
        <v>1.36363636363988E-3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input_538010!A$2</f>
        <v>538010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IFERROR(VLOOKUP(B191,input_538010!L:R,7,FALSE),VLOOKUP(tables_538010!C191,input_538010!A:H,8,FALSE))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input_538010!A$2</f>
        <v>538010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IFERROR(VLOOKUP(B192,input_538010!L:R,7,FALSE),VLOOKUP(tables_538010!C192,input_538010!A:H,8,FALSE))</f>
        <v>84600</v>
      </c>
      <c r="P192" s="46">
        <f t="shared" ca="1" si="7"/>
        <v>1.36363636363988E-3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input_538010!A$2</f>
        <v>538010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IFERROR(VLOOKUP(B193,input_538010!L:R,7,FALSE),VLOOKUP(tables_538010!C193,input_538010!A:H,8,FALSE))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input_538010!A$2</f>
        <v>538010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IFERROR(VLOOKUP(B194,input_538010!L:R,7,FALSE),VLOOKUP(tables_538010!C194,input_538010!A:H,8,FALSE))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input_538010!A$2</f>
        <v>538010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IFERROR(VLOOKUP(B195,input_538010!L:R,7,FALSE),VLOOKUP(tables_538010!C195,input_538010!A:H,8,FALSE))</f>
        <v>668123.07692000002</v>
      </c>
      <c r="P195" s="46">
        <f t="shared" ca="1" si="10"/>
        <v>1.0769230769208944E-2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input_538010!A$2</f>
        <v>538010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IFERROR(VLOOKUP(B196,input_538010!L:R,7,FALSE),VLOOKUP(tables_538010!C196,input_538010!A:H,8,FALSE))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input_538010!A$2</f>
        <v>538010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IFERROR(VLOOKUP(B197,input_538010!L:R,7,FALSE),VLOOKUP(tables_538010!C197,input_538010!A:H,8,FALSE))</f>
        <v>84600</v>
      </c>
      <c r="P197" s="46">
        <f t="shared" ca="1" si="10"/>
        <v>1.36363636363988E-3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input_538010!A$2</f>
        <v>538010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IFERROR(VLOOKUP(B198,input_538010!L:R,7,FALSE),VLOOKUP(tables_538010!C198,input_538010!A:H,8,FALSE))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input_538010!A$2</f>
        <v>538010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IFERROR(VLOOKUP(B199,input_538010!L:R,7,FALSE),VLOOKUP(tables_538010!C199,input_538010!A:H,8,FALSE))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input_538010!A$2</f>
        <v>538010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IFERROR(VLOOKUP(B200,input_538010!L:R,7,FALSE),VLOOKUP(tables_538010!C200,input_538010!A:H,8,FALSE))</f>
        <v>668123.07692000002</v>
      </c>
      <c r="P200" s="46">
        <f t="shared" ca="1" si="10"/>
        <v>1.0769230769208944E-2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input_538010!A$2</f>
        <v>538010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IFERROR(VLOOKUP(B201,input_538010!L:R,7,FALSE),VLOOKUP(tables_538010!C201,input_538010!A:H,8,FALSE))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input_538010!A$2</f>
        <v>538010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IFERROR(VLOOKUP(B202,input_538010!L:R,7,FALSE),VLOOKUP(tables_538010!C202,input_538010!A:H,8,FALSE))</f>
        <v>84600</v>
      </c>
      <c r="P202" s="46">
        <f t="shared" ca="1" si="10"/>
        <v>1.36363636363988E-3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input_538010!A$2</f>
        <v>538010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IFERROR(VLOOKUP(B203,input_538010!L:R,7,FALSE),VLOOKUP(tables_538010!C203,input_538010!A:H,8,FALSE))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input_538010!A$2</f>
        <v>538010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IFERROR(VLOOKUP(B204,input_538010!L:R,7,FALSE),VLOOKUP(tables_538010!C204,input_538010!A:H,8,FALSE))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input_538010!A$2</f>
        <v>538010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IFERROR(VLOOKUP(B205,input_538010!L:R,7,FALSE),VLOOKUP(tables_538010!C205,input_538010!A:H,8,FALSE))</f>
        <v>668123.07692000002</v>
      </c>
      <c r="P205" s="46">
        <f t="shared" ca="1" si="10"/>
        <v>1.0769230769208944E-2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input_538010!A$2</f>
        <v>538010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IFERROR(VLOOKUP(B206,input_538010!L:R,7,FALSE),VLOOKUP(tables_538010!C206,input_538010!A:H,8,FALSE))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input_538010!A$2</f>
        <v>538010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IFERROR(VLOOKUP(B207,input_538010!L:R,7,FALSE),VLOOKUP(tables_538010!C207,input_538010!A:H,8,FALSE))</f>
        <v>84600</v>
      </c>
      <c r="P207" s="46">
        <f t="shared" ca="1" si="10"/>
        <v>1.36363636363988E-3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input_538010!A$2</f>
        <v>538010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IFERROR(VLOOKUP(B208,input_538010!L:R,7,FALSE),VLOOKUP(tables_538010!C208,input_538010!A:H,8,FALSE))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input_538010!A$2</f>
        <v>538010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IFERROR(VLOOKUP(B209,input_538010!L:R,7,FALSE),VLOOKUP(tables_538010!C209,input_538010!A:H,8,FALSE))</f>
        <v>84600</v>
      </c>
      <c r="P209" s="46">
        <f t="shared" ca="1" si="10"/>
        <v>1.36363636363988E-3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input_538010!A$2</f>
        <v>538010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IFERROR(VLOOKUP(B210,input_538010!L:R,7,FALSE),VLOOKUP(tables_538010!C210,input_538010!A:H,8,FALSE))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input_538010!A$2</f>
        <v>538010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IFERROR(VLOOKUP(B211,input_538010!L:R,7,FALSE),VLOOKUP(tables_538010!C211,input_538010!A:H,8,FALSE))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input_538010!A$2</f>
        <v>538010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IFERROR(VLOOKUP(B212,input_538010!L:R,7,FALSE),VLOOKUP(tables_538010!C212,input_538010!A:H,8,FALSE))</f>
        <v>668123.07692000002</v>
      </c>
      <c r="P212" s="46">
        <f t="shared" ca="1" si="10"/>
        <v>1.0769230769208944E-2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input_538010!A$2</f>
        <v>538010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IFERROR(VLOOKUP(B213,input_538010!L:R,7,FALSE),VLOOKUP(tables_538010!C213,input_538010!A:H,8,FALSE))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input_538010!A$2</f>
        <v>538010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IFERROR(VLOOKUP(B214,input_538010!L:R,7,FALSE),VLOOKUP(tables_538010!C214,input_538010!A:H,8,FALSE))</f>
        <v>84600</v>
      </c>
      <c r="P214" s="46">
        <f t="shared" ca="1" si="10"/>
        <v>1.36363636363988E-3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input_538010!A$2</f>
        <v>538010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IFERROR(VLOOKUP(B215,input_538010!L:R,7,FALSE),VLOOKUP(tables_538010!C215,input_538010!A:H,8,FALSE))</f>
        <v>258500</v>
      </c>
      <c r="P215" s="46">
        <f t="shared" ca="1" si="10"/>
        <v>4.1666666666774115E-3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input_538010!A$2</f>
        <v>538010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IFERROR(VLOOKUP(B216,input_538010!L:R,7,FALSE),VLOOKUP(tables_538010!C216,input_538010!A:H,8,FALSE))</f>
        <v>258500</v>
      </c>
      <c r="P216" s="46">
        <f t="shared" ca="1" si="10"/>
        <v>4.1666666666774115E-3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input_538010!A$2</f>
        <v>538010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IFERROR(VLOOKUP(B217,input_538010!L:R,7,FALSE),VLOOKUP(tables_538010!C217,input_538010!A:H,8,FALSE))</f>
        <v>258500</v>
      </c>
      <c r="P217" s="46">
        <f t="shared" ca="1" si="10"/>
        <v>4.1666666666774115E-3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input_538010!A$2</f>
        <v>538010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IFERROR(VLOOKUP(B218,input_538010!L:R,7,FALSE),VLOOKUP(tables_538010!C218,input_538010!A:H,8,FALSE))</f>
        <v>258500</v>
      </c>
      <c r="P218" s="46">
        <f t="shared" ca="1" si="10"/>
        <v>4.1666666666774115E-3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input_538010!A$2</f>
        <v>538010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IFERROR(VLOOKUP(B219,input_538010!L:R,7,FALSE),VLOOKUP(tables_538010!C219,input_538010!A:H,8,FALSE))</f>
        <v>258500</v>
      </c>
      <c r="P219" s="46">
        <f t="shared" ca="1" si="10"/>
        <v>4.1666666666774115E-3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input_538010!A$2</f>
        <v>538010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IFERROR(VLOOKUP(B220,input_538010!L:R,7,FALSE),VLOOKUP(tables_538010!C220,input_538010!A:H,8,FALSE))</f>
        <v>258500</v>
      </c>
      <c r="P220" s="46">
        <f t="shared" ca="1" si="10"/>
        <v>4.1666666666774115E-3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input_538010!A$2</f>
        <v>538010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IFERROR(VLOOKUP(B221,input_538010!L:R,7,FALSE),VLOOKUP(tables_538010!C221,input_538010!A:H,8,FALSE))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input_538010!A$2</f>
        <v>538010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IFERROR(VLOOKUP(B222,input_538010!L:R,7,FALSE),VLOOKUP(tables_538010!C222,input_538010!A:H,8,FALSE))</f>
        <v>84600</v>
      </c>
      <c r="P222" s="46">
        <f t="shared" ca="1" si="10"/>
        <v>1.36363636363988E-3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input_538010!A$2</f>
        <v>538010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IFERROR(VLOOKUP(B223,input_538010!L:R,7,FALSE),VLOOKUP(tables_538010!C223,input_538010!A:H,8,FALSE))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input_538010!A$2</f>
        <v>538010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IFERROR(VLOOKUP(B224,input_538010!L:R,7,FALSE),VLOOKUP(tables_538010!C224,input_538010!A:H,8,FALSE))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input_538010!A$2</f>
        <v>538010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IFERROR(VLOOKUP(B225,input_538010!L:R,7,FALSE),VLOOKUP(tables_538010!C225,input_538010!A:H,8,FALSE))</f>
        <v>668123.07692000002</v>
      </c>
      <c r="P225" s="46">
        <f t="shared" ca="1" si="10"/>
        <v>1.0769230769208944E-2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input_538010!A$2</f>
        <v>538010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IFERROR(VLOOKUP(B226,input_538010!L:R,7,FALSE),VLOOKUP(tables_538010!C226,input_538010!A:H,8,FALSE))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input_538010!A$2</f>
        <v>538010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IFERROR(VLOOKUP(B227,input_538010!L:R,7,FALSE),VLOOKUP(tables_538010!C227,input_538010!A:H,8,FALSE))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input_538010!A$2</f>
        <v>538010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IFERROR(VLOOKUP(B228,input_538010!L:R,7,FALSE),VLOOKUP(tables_538010!C228,input_538010!A:H,8,FALSE))</f>
        <v>668123.07692000002</v>
      </c>
      <c r="P228" s="46">
        <f t="shared" ca="1" si="10"/>
        <v>1.0769230769208944E-2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input_538010!A$2</f>
        <v>538010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IFERROR(VLOOKUP(B229,input_538010!L:R,7,FALSE),VLOOKUP(tables_538010!C229,input_538010!A:H,8,FALSE))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input_538010!A$2</f>
        <v>538010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IFERROR(VLOOKUP(B230,input_538010!L:R,7,FALSE),VLOOKUP(tables_538010!C230,input_538010!A:H,8,FALSE))</f>
        <v>84600</v>
      </c>
      <c r="P230" s="46">
        <f t="shared" ca="1" si="10"/>
        <v>1.36363636363988E-3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input_538010!A$2</f>
        <v>538010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IFERROR(VLOOKUP(B231,input_538010!L:R,7,FALSE),VLOOKUP(tables_538010!C231,input_538010!A:H,8,FALSE))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input_538010!A$2</f>
        <v>538010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IFERROR(VLOOKUP(B232,input_538010!L:R,7,FALSE),VLOOKUP(tables_538010!C232,input_538010!A:H,8,FALSE))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input_538010!A$2</f>
        <v>538010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IFERROR(VLOOKUP(B233,input_538010!L:R,7,FALSE),VLOOKUP(tables_538010!C233,input_538010!A:H,8,FALSE))</f>
        <v>668123.07692000002</v>
      </c>
      <c r="P233" s="46">
        <f t="shared" ca="1" si="10"/>
        <v>1.0769230769208944E-2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input_538010!A$2</f>
        <v>538010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IFERROR(VLOOKUP(B234,input_538010!L:R,7,FALSE),VLOOKUP(tables_538010!C234,input_538010!A:H,8,FALSE))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input_538010!A$2</f>
        <v>538010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IFERROR(VLOOKUP(B235,input_538010!L:R,7,FALSE),VLOOKUP(tables_538010!C235,input_538010!A:H,8,FALSE))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input_538010!A$2</f>
        <v>538010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IFERROR(VLOOKUP(B236,input_538010!L:R,7,FALSE),VLOOKUP(tables_538010!C236,input_538010!A:H,8,FALSE))</f>
        <v>668123.07692000002</v>
      </c>
      <c r="P236" s="46">
        <f t="shared" ca="1" si="10"/>
        <v>1.0769230769208944E-2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input_538010!A$2</f>
        <v>538010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IFERROR(VLOOKUP(B237,input_538010!L:R,7,FALSE),VLOOKUP(tables_538010!C237,input_538010!A:H,8,FALSE))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input_538010!A$2</f>
        <v>538010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IFERROR(VLOOKUP(B238,input_538010!L:R,7,FALSE),VLOOKUP(tables_538010!C238,input_538010!A:H,8,FALSE))</f>
        <v>84600</v>
      </c>
      <c r="P238" s="46">
        <f t="shared" ca="1" si="10"/>
        <v>1.36363636363988E-3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input_538010!A$2</f>
        <v>538010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IFERROR(VLOOKUP(B239,input_538010!L:R,7,FALSE),VLOOKUP(tables_538010!C239,input_538010!A:H,8,FALSE))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input_538010!A$2</f>
        <v>538010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IFERROR(VLOOKUP(B240,input_538010!L:R,7,FALSE),VLOOKUP(tables_538010!C240,input_538010!A:H,8,FALSE))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input_538010!A$2</f>
        <v>538010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IFERROR(VLOOKUP(B241,input_538010!L:R,7,FALSE),VLOOKUP(tables_538010!C241,input_538010!A:H,8,FALSE))</f>
        <v>668123.07692000002</v>
      </c>
      <c r="P241" s="46">
        <f t="shared" ca="1" si="10"/>
        <v>1.0769230769208944E-2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input_538010!A$2</f>
        <v>538010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IFERROR(VLOOKUP(B242,input_538010!L:R,7,FALSE),VLOOKUP(tables_538010!C242,input_538010!A:H,8,FALSE))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input_538010!A$2</f>
        <v>538010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IFERROR(VLOOKUP(B243,input_538010!L:R,7,FALSE),VLOOKUP(tables_538010!C243,input_538010!A:H,8,FALSE))</f>
        <v>84600</v>
      </c>
      <c r="P243" s="46">
        <f t="shared" ca="1" si="10"/>
        <v>1.36363636363988E-3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input_538010!A$2</f>
        <v>538010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IFERROR(VLOOKUP(B244,input_538010!L:R,7,FALSE),VLOOKUP(tables_538010!C244,input_538010!A:H,8,FALSE))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input_538010!A$2</f>
        <v>538010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IFERROR(VLOOKUP(B245,input_538010!L:R,7,FALSE),VLOOKUP(tables_538010!C245,input_538010!A:H,8,FALSE))</f>
        <v>84600</v>
      </c>
      <c r="P245" s="46">
        <f t="shared" ca="1" si="10"/>
        <v>1.36363636363988E-3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input_538010!A$2</f>
        <v>538010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IFERROR(VLOOKUP(B246,input_538010!L:R,7,FALSE),VLOOKUP(tables_538010!C246,input_538010!A:H,8,FALSE))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input_538010!A$2</f>
        <v>538010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IFERROR(VLOOKUP(B247,input_538010!L:R,7,FALSE),VLOOKUP(tables_538010!C247,input_538010!A:H,8,FALSE))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input_538010!A$2</f>
        <v>538010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IFERROR(VLOOKUP(B248,input_538010!L:R,7,FALSE),VLOOKUP(tables_538010!C248,input_538010!A:H,8,FALSE))</f>
        <v>668123.07692000002</v>
      </c>
      <c r="P248" s="46">
        <f t="shared" ca="1" si="10"/>
        <v>1.0769230769208944E-2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input_538010!A$2</f>
        <v>538010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IFERROR(VLOOKUP(B249,input_538010!L:R,7,FALSE),VLOOKUP(tables_538010!C249,input_538010!A:H,8,FALSE))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input_538010!A$2</f>
        <v>538010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IFERROR(VLOOKUP(B250,input_538010!L:R,7,FALSE),VLOOKUP(tables_538010!C250,input_538010!A:H,8,FALSE))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input_538010!A$2</f>
        <v>538010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IFERROR(VLOOKUP(B251,input_538010!L:R,7,FALSE),VLOOKUP(tables_538010!C251,input_538010!A:H,8,FALSE))</f>
        <v>668123.07692000002</v>
      </c>
      <c r="P251" s="46">
        <f t="shared" ca="1" si="10"/>
        <v>1.0769230769208944E-2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input_538010!A$2</f>
        <v>538010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IFERROR(VLOOKUP(B252,input_538010!L:R,7,FALSE),VLOOKUP(tables_538010!C252,input_538010!A:H,8,FALSE))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input_538010!A$2</f>
        <v>538010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IFERROR(VLOOKUP(B253,input_538010!L:R,7,FALSE),VLOOKUP(tables_538010!C253,input_538010!A:H,8,FALSE))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input_538010!A$2</f>
        <v>538010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IFERROR(VLOOKUP(B254,input_538010!L:R,7,FALSE),VLOOKUP(tables_538010!C254,input_538010!A:H,8,FALSE))</f>
        <v>668123.07692000002</v>
      </c>
      <c r="P254" s="46">
        <f t="shared" ca="1" si="10"/>
        <v>1.0769230769208944E-2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input_538010!A$2</f>
        <v>538010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IFERROR(VLOOKUP(B255,input_538010!L:R,7,FALSE),VLOOKUP(tables_538010!C255,input_538010!A:H,8,FALSE))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input_538010!A$2</f>
        <v>538010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IFERROR(VLOOKUP(B256,input_538010!L:R,7,FALSE),VLOOKUP(tables_538010!C256,input_538010!A:H,8,FALSE))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input_538010!A$2</f>
        <v>538010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IFERROR(VLOOKUP(B257,input_538010!L:R,7,FALSE),VLOOKUP(tables_538010!C257,input_538010!A:H,8,FALSE))</f>
        <v>668123.07692000002</v>
      </c>
      <c r="P257" s="46">
        <f t="shared" ca="1" si="10"/>
        <v>1.0769230769208944E-2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input_538010!A$2</f>
        <v>538010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IFERROR(VLOOKUP(B258,input_538010!L:R,7,FALSE),VLOOKUP(tables_538010!C258,input_538010!A:H,8,FALSE))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input_538010!A$2</f>
        <v>538010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IFERROR(VLOOKUP(B259,input_538010!L:R,7,FALSE),VLOOKUP(tables_538010!C259,input_538010!A:H,8,FALSE))</f>
        <v>84600</v>
      </c>
      <c r="P259" s="46">
        <f t="shared" ca="1" si="13"/>
        <v>1.36363636363988E-3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input_538010!A$2</f>
        <v>538010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IFERROR(VLOOKUP(B260,input_538010!L:R,7,FALSE),VLOOKUP(tables_538010!C260,input_538010!A:H,8,FALSE))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input_538010!A$2</f>
        <v>538010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IFERROR(VLOOKUP(B261,input_538010!L:R,7,FALSE),VLOOKUP(tables_538010!C261,input_538010!A:H,8,FALSE))</f>
        <v>84600</v>
      </c>
      <c r="P261" s="46">
        <f t="shared" ca="1" si="13"/>
        <v>1.36363636363988E-3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input_538010!A$2</f>
        <v>538010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IFERROR(VLOOKUP(B262,input_538010!L:R,7,FALSE),VLOOKUP(tables_538010!C262,input_538010!A:H,8,FALSE))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input_538010!A$2</f>
        <v>538010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IFERROR(VLOOKUP(B263,input_538010!L:R,7,FALSE),VLOOKUP(tables_538010!C263,input_538010!A:H,8,FALSE))</f>
        <v>258500</v>
      </c>
      <c r="P263" s="46">
        <f t="shared" ca="1" si="13"/>
        <v>4.1666666666774115E-3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input_538010!A$2</f>
        <v>538010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IFERROR(VLOOKUP(B264,input_538010!L:R,7,FALSE),VLOOKUP(tables_538010!C264,input_538010!A:H,8,FALSE))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input_538010!A$2</f>
        <v>538010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IFERROR(VLOOKUP(B265,input_538010!L:R,7,FALSE),VLOOKUP(tables_538010!C265,input_538010!A:H,8,FALSE))</f>
        <v>258500</v>
      </c>
      <c r="P265" s="46">
        <f t="shared" ca="1" si="13"/>
        <v>4.1666666666774115E-3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input_538010!A$2</f>
        <v>538010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IFERROR(VLOOKUP(B266,input_538010!L:R,7,FALSE),VLOOKUP(tables_538010!C266,input_538010!A:H,8,FALSE))</f>
        <v>84600</v>
      </c>
      <c r="P266" s="46">
        <f t="shared" ca="1" si="13"/>
        <v>1.36363636363988E-3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input_538010!A$2</f>
        <v>538010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IFERROR(VLOOKUP(B267,input_538010!L:R,7,FALSE),VLOOKUP(tables_538010!C267,input_538010!A:H,8,FALSE))</f>
        <v>84600</v>
      </c>
      <c r="P267" s="46">
        <f t="shared" ca="1" si="13"/>
        <v>1.36363636363988E-3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input_538010!A$2</f>
        <v>538010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IFERROR(VLOOKUP(B268,input_538010!L:R,7,FALSE),VLOOKUP(tables_538010!C268,input_538010!A:H,8,FALSE))</f>
        <v>84600</v>
      </c>
      <c r="P268" s="46">
        <f t="shared" ca="1" si="13"/>
        <v>1.36363636363988E-3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input_538010!A$2</f>
        <v>538010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IFERROR(VLOOKUP(B269,input_538010!L:R,7,FALSE),VLOOKUP(tables_538010!C269,input_538010!A:H,8,FALSE))</f>
        <v>84600</v>
      </c>
      <c r="P269" s="46">
        <f t="shared" ca="1" si="13"/>
        <v>1.36363636363988E-3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input_538010!A$2</f>
        <v>538010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IFERROR(VLOOKUP(B270,input_538010!L:R,7,FALSE),VLOOKUP(tables_538010!C270,input_538010!A:H,8,FALSE))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input_538010!A$2</f>
        <v>538010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IFERROR(VLOOKUP(B271,input_538010!L:R,7,FALSE),VLOOKUP(tables_538010!C271,input_538010!A:H,8,FALSE))</f>
        <v>258500</v>
      </c>
      <c r="P271" s="46">
        <f t="shared" ca="1" si="13"/>
        <v>4.1666666666774115E-3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input_538010!A$2</f>
        <v>538010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IFERROR(VLOOKUP(B272,input_538010!L:R,7,FALSE),VLOOKUP(tables_538010!C272,input_538010!A:H,8,FALSE))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input_538010!A$2</f>
        <v>538010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IFERROR(VLOOKUP(B273,input_538010!L:R,7,FALSE),VLOOKUP(tables_538010!C273,input_538010!A:H,8,FALSE))</f>
        <v>258500</v>
      </c>
      <c r="P273" s="46">
        <f t="shared" ca="1" si="13"/>
        <v>4.1666666666774115E-3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input_538010!A$2</f>
        <v>538010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IFERROR(VLOOKUP(B274,input_538010!L:R,7,FALSE),VLOOKUP(tables_538010!C274,input_538010!A:H,8,FALSE))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input_538010!A$2</f>
        <v>538010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IFERROR(VLOOKUP(B275,input_538010!L:R,7,FALSE),VLOOKUP(tables_538010!C275,input_538010!A:H,8,FALSE))</f>
        <v>84600</v>
      </c>
      <c r="P275" s="46">
        <f t="shared" ca="1" si="13"/>
        <v>1.36363636363988E-3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input_538010!A$2</f>
        <v>538010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IFERROR(VLOOKUP(B276,input_538010!L:R,7,FALSE),VLOOKUP(tables_538010!C276,input_538010!A:H,8,FALSE))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input_538010!A$2</f>
        <v>538010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IFERROR(VLOOKUP(B277,input_538010!L:R,7,FALSE),VLOOKUP(tables_538010!C277,input_538010!A:H,8,FALSE))</f>
        <v>84600</v>
      </c>
      <c r="P277" s="46">
        <f t="shared" ca="1" si="13"/>
        <v>1.36363636363988E-3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input_538010!A$2</f>
        <v>538010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IFERROR(VLOOKUP(B278,input_538010!L:R,7,FALSE),VLOOKUP(tables_538010!C278,input_538010!A:H,8,FALSE))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input_538010!A$2</f>
        <v>538010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IFERROR(VLOOKUP(B279,input_538010!L:R,7,FALSE),VLOOKUP(tables_538010!C279,input_538010!A:H,8,FALSE))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input_538010!A$2</f>
        <v>538010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IFERROR(VLOOKUP(B280,input_538010!L:R,7,FALSE),VLOOKUP(tables_538010!C280,input_538010!A:H,8,FALSE))</f>
        <v>668123.07692000002</v>
      </c>
      <c r="P280" s="46">
        <f t="shared" ca="1" si="13"/>
        <v>1.0769230769208944E-2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input_538010!A$2</f>
        <v>538010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IFERROR(VLOOKUP(B281,input_538010!L:R,7,FALSE),VLOOKUP(tables_538010!C281,input_538010!A:H,8,FALSE))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input_538010!A$2</f>
        <v>538010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IFERROR(VLOOKUP(B282,input_538010!L:R,7,FALSE),VLOOKUP(tables_538010!C282,input_538010!A:H,8,FALSE))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input_538010!A$2</f>
        <v>538010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IFERROR(VLOOKUP(B283,input_538010!L:R,7,FALSE),VLOOKUP(tables_538010!C283,input_538010!A:H,8,FALSE))</f>
        <v>668123.07692000002</v>
      </c>
      <c r="P283" s="46">
        <f t="shared" ca="1" si="13"/>
        <v>1.0769230769208944E-2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input_538010!A$2</f>
        <v>538010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IFERROR(VLOOKUP(B284,input_538010!L:R,7,FALSE),VLOOKUP(tables_538010!C284,input_538010!A:H,8,FALSE))</f>
        <v>84600</v>
      </c>
      <c r="P284" s="46">
        <f t="shared" ca="1" si="13"/>
        <v>1.36363636363988E-3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input_538010!A$2</f>
        <v>538010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IFERROR(VLOOKUP(B285,input_538010!L:R,7,FALSE),VLOOKUP(tables_538010!C285,input_538010!A:H,8,FALSE))</f>
        <v>84600</v>
      </c>
      <c r="P285" s="46">
        <f t="shared" ca="1" si="13"/>
        <v>1.36363636363988E-3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input_538010!A$2</f>
        <v>538010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IFERROR(VLOOKUP(B286,input_538010!L:R,7,FALSE),VLOOKUP(tables_538010!C286,input_538010!A:H,8,FALSE))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input_538010!A$2</f>
        <v>538010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IFERROR(VLOOKUP(B287,input_538010!L:R,7,FALSE),VLOOKUP(tables_538010!C287,input_538010!A:H,8,FALSE))</f>
        <v>258500</v>
      </c>
      <c r="P287" s="46">
        <f t="shared" ca="1" si="13"/>
        <v>4.1666666666774115E-3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input_538010!A$2</f>
        <v>538010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IFERROR(VLOOKUP(B288,input_538010!L:R,7,FALSE),VLOOKUP(tables_538010!C288,input_538010!A:H,8,FALSE))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input_538010!A$2</f>
        <v>538010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IFERROR(VLOOKUP(B289,input_538010!L:R,7,FALSE),VLOOKUP(tables_538010!C289,input_538010!A:H,8,FALSE))</f>
        <v>258500</v>
      </c>
      <c r="P289" s="46">
        <f t="shared" ca="1" si="13"/>
        <v>4.1666666666774115E-3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input_538010!A$2</f>
        <v>538010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IFERROR(VLOOKUP(B290,input_538010!L:R,7,FALSE),VLOOKUP(tables_538010!C290,input_538010!A:H,8,FALSE))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input_538010!A$2</f>
        <v>538010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IFERROR(VLOOKUP(B291,input_538010!L:R,7,FALSE),VLOOKUP(tables_538010!C291,input_538010!A:H,8,FALSE))</f>
        <v>258500</v>
      </c>
      <c r="P291" s="46">
        <f t="shared" ca="1" si="13"/>
        <v>4.1666666666774115E-3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input_538010!A$2</f>
        <v>538010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IFERROR(VLOOKUP(B292,input_538010!L:R,7,FALSE),VLOOKUP(tables_538010!C292,input_538010!A:H,8,FALSE))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input_538010!A$2</f>
        <v>538010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IFERROR(VLOOKUP(B293,input_538010!L:R,7,FALSE),VLOOKUP(tables_538010!C293,input_538010!A:H,8,FALSE))</f>
        <v>258500</v>
      </c>
      <c r="P293" s="46">
        <f t="shared" ca="1" si="13"/>
        <v>4.1666666666774115E-3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input_538010!A$2</f>
        <v>538010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IFERROR(VLOOKUP(B294,input_538010!L:R,7,FALSE),VLOOKUP(tables_538010!C294,input_538010!A:H,8,FALSE))</f>
        <v>84600</v>
      </c>
      <c r="P294" s="46">
        <f t="shared" ca="1" si="13"/>
        <v>1.36363636363988E-3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input_538010!A$2</f>
        <v>538010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IFERROR(VLOOKUP(B295,input_538010!L:R,7,FALSE),VLOOKUP(tables_538010!C295,input_538010!A:H,8,FALSE))</f>
        <v>84600</v>
      </c>
      <c r="P295" s="46">
        <f t="shared" ca="1" si="13"/>
        <v>1.36363636363988E-3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input_538010!A$2</f>
        <v>538010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IFERROR(VLOOKUP(B296,input_538010!L:R,7,FALSE),VLOOKUP(tables_538010!C296,input_538010!A:H,8,FALSE))</f>
        <v>84600</v>
      </c>
      <c r="P296" s="46">
        <f t="shared" ca="1" si="13"/>
        <v>1.36363636363988E-3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input_538010!A$2</f>
        <v>538010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IFERROR(VLOOKUP(B297,input_538010!L:R,7,FALSE),VLOOKUP(tables_538010!C297,input_538010!A:H,8,FALSE))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input_538010!A$2</f>
        <v>538010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IFERROR(VLOOKUP(B298,input_538010!L:R,7,FALSE),VLOOKUP(tables_538010!C298,input_538010!A:H,8,FALSE))</f>
        <v>258500</v>
      </c>
      <c r="P298" s="46">
        <f t="shared" ca="1" si="13"/>
        <v>4.1666666666774115E-3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input_538010!A$2</f>
        <v>538010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IFERROR(VLOOKUP(B299,input_538010!L:R,7,FALSE),VLOOKUP(tables_538010!C299,input_538010!A:H,8,FALSE))</f>
        <v>84600</v>
      </c>
      <c r="P299" s="46">
        <f t="shared" ca="1" si="13"/>
        <v>1.36363636363988E-3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input_538010!A$2</f>
        <v>538010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IFERROR(VLOOKUP(B300,input_538010!L:R,7,FALSE),VLOOKUP(tables_538010!C300,input_538010!A:H,8,FALSE))</f>
        <v>84600</v>
      </c>
      <c r="P300" s="46">
        <f t="shared" ca="1" si="13"/>
        <v>1.36363636363988E-3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input_538010!A$2</f>
        <v>538010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IFERROR(VLOOKUP(B301,input_538010!L:R,7,FALSE),VLOOKUP(tables_538010!C301,input_538010!A:H,8,FALSE))</f>
        <v>84600</v>
      </c>
      <c r="P301" s="46">
        <f t="shared" ca="1" si="13"/>
        <v>1.36363636363988E-3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input_538010!A$2</f>
        <v>538010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IFERROR(VLOOKUP(B302,input_538010!L:R,7,FALSE),VLOOKUP(tables_538010!C302,input_538010!A:H,8,FALSE))</f>
        <v>84600</v>
      </c>
      <c r="P302" s="46">
        <f t="shared" ca="1" si="13"/>
        <v>1.36363636363988E-3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input_538010!A$2</f>
        <v>538010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IFERROR(VLOOKUP(B303,input_538010!L:R,7,FALSE),VLOOKUP(tables_538010!C303,input_538010!A:H,8,FALSE))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input_538010!A$2</f>
        <v>538010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IFERROR(VLOOKUP(B304,input_538010!L:R,7,FALSE),VLOOKUP(tables_538010!C304,input_538010!A:H,8,FALSE))</f>
        <v>258500</v>
      </c>
      <c r="P304" s="46">
        <f t="shared" ca="1" si="13"/>
        <v>4.1666666666774115E-3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input_538010!A$2</f>
        <v>538010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IFERROR(VLOOKUP(B305,input_538010!L:R,7,FALSE),VLOOKUP(tables_538010!C305,input_538010!A:H,8,FALSE))</f>
        <v>84600</v>
      </c>
      <c r="P305" s="46">
        <f t="shared" ca="1" si="13"/>
        <v>1.36363636363988E-3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input_538010!A$2</f>
        <v>538010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IFERROR(VLOOKUP(B306,input_538010!L:R,7,FALSE),VLOOKUP(tables_538010!C306,input_538010!A:H,8,FALSE))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input_538010!A$2</f>
        <v>538010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IFERROR(VLOOKUP(B307,input_538010!L:R,7,FALSE),VLOOKUP(tables_538010!C307,input_538010!A:H,8,FALSE))</f>
        <v>258500</v>
      </c>
      <c r="P307" s="46">
        <f t="shared" ca="1" si="13"/>
        <v>4.1666666666774115E-3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input_538010!A$2</f>
        <v>538010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IFERROR(VLOOKUP(B308,input_538010!L:R,7,FALSE),VLOOKUP(tables_538010!C308,input_538010!A:H,8,FALSE))</f>
        <v>84600</v>
      </c>
      <c r="P308" s="46">
        <f t="shared" ca="1" si="13"/>
        <v>1.36363636363988E-3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input_538010!A$2</f>
        <v>538010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IFERROR(VLOOKUP(B309,input_538010!L:R,7,FALSE),VLOOKUP(tables_538010!C309,input_538010!A:H,8,FALSE))</f>
        <v>84600</v>
      </c>
      <c r="P309" s="46">
        <f t="shared" ca="1" si="13"/>
        <v>1.36363636363988E-3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input_538010!A$2</f>
        <v>538010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IFERROR(VLOOKUP(B310,input_538010!L:R,7,FALSE),VLOOKUP(tables_538010!C310,input_538010!A:H,8,FALSE))</f>
        <v>84600</v>
      </c>
      <c r="P310" s="46">
        <f t="shared" ca="1" si="13"/>
        <v>1.36363636363988E-3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input_538010!A$2</f>
        <v>538010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IFERROR(VLOOKUP(B311,input_538010!L:R,7,FALSE),VLOOKUP(tables_538010!C311,input_538010!A:H,8,FALSE))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input_538010!A$2</f>
        <v>538010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IFERROR(VLOOKUP(B312,input_538010!L:R,7,FALSE),VLOOKUP(tables_538010!C312,input_538010!A:H,8,FALSE))</f>
        <v>258500</v>
      </c>
      <c r="P312" s="46">
        <f t="shared" ca="1" si="13"/>
        <v>4.1666666666774115E-3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input_538010!A$2</f>
        <v>538010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IFERROR(VLOOKUP(B313,input_538010!L:R,7,FALSE),VLOOKUP(tables_538010!C313,input_538010!A:H,8,FALSE))</f>
        <v>84600</v>
      </c>
      <c r="P313" s="46">
        <f t="shared" ca="1" si="13"/>
        <v>1.36363636363988E-3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input_538010!A$2</f>
        <v>538010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IFERROR(VLOOKUP(B314,input_538010!L:R,7,FALSE),VLOOKUP(tables_538010!C314,input_538010!A:H,8,FALSE))</f>
        <v>84600</v>
      </c>
      <c r="P314" s="46">
        <f t="shared" ca="1" si="13"/>
        <v>1.36363636363988E-3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input_538010!A$2</f>
        <v>538010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IFERROR(VLOOKUP(B315,input_538010!L:R,7,FALSE),VLOOKUP(tables_538010!C315,input_538010!A:H,8,FALSE))</f>
        <v>84600</v>
      </c>
      <c r="P315" s="46">
        <f t="shared" ca="1" si="13"/>
        <v>1.36363636363988E-3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input_538010!A$2</f>
        <v>538010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IFERROR(VLOOKUP(B316,input_538010!L:R,7,FALSE),VLOOKUP(tables_538010!C316,input_538010!A:H,8,FALSE))</f>
        <v>84600</v>
      </c>
      <c r="P316" s="46">
        <f t="shared" ca="1" si="13"/>
        <v>1.36363636363988E-3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input_538010!A$2</f>
        <v>538010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IFERROR(VLOOKUP(B317,input_538010!L:R,7,FALSE),VLOOKUP(tables_538010!C317,input_538010!A:H,8,FALSE))</f>
        <v>84600</v>
      </c>
      <c r="P317" s="46">
        <f t="shared" ca="1" si="13"/>
        <v>1.36363636363988E-3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input_538010!A$2</f>
        <v>538010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IFERROR(VLOOKUP(B318,input_538010!L:R,7,FALSE),VLOOKUP(tables_538010!C318,input_538010!A:H,8,FALSE))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input_538010!A$2</f>
        <v>538010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IFERROR(VLOOKUP(B319,input_538010!L:R,7,FALSE),VLOOKUP(tables_538010!C319,input_538010!A:H,8,FALSE))</f>
        <v>258500</v>
      </c>
      <c r="P319" s="46">
        <f t="shared" ca="1" si="13"/>
        <v>4.1666666666774115E-3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input_538010!A$2</f>
        <v>538010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IFERROR(VLOOKUP(B320,input_538010!L:R,7,FALSE),VLOOKUP(tables_538010!C320,input_538010!A:H,8,FALSE))</f>
        <v>84600</v>
      </c>
      <c r="P320" s="46">
        <f t="shared" ca="1" si="13"/>
        <v>1.36363636363988E-3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input_538010!A$2</f>
        <v>538010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IFERROR(VLOOKUP(B321,input_538010!L:R,7,FALSE),VLOOKUP(tables_538010!C321,input_538010!A:H,8,FALSE))</f>
        <v>84600</v>
      </c>
      <c r="P321" s="46">
        <f t="shared" ca="1" si="13"/>
        <v>1.36363636363988E-3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input_538010!A$2</f>
        <v>538010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IFERROR(VLOOKUP(B322,input_538010!L:R,7,FALSE),VLOOKUP(tables_538010!C322,input_538010!A:H,8,FALSE))</f>
        <v>84600</v>
      </c>
      <c r="P322" s="46">
        <f t="shared" ref="P322:P346" ca="1" si="23">O322/SUM(O:O)</f>
        <v>1.36363636363988E-3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input_538010!A$2</f>
        <v>538010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IFERROR(VLOOKUP(B323,input_538010!L:R,7,FALSE),VLOOKUP(tables_538010!C323,input_538010!A:H,8,FALSE))</f>
        <v>84600</v>
      </c>
      <c r="P323" s="46">
        <f t="shared" ca="1" si="23"/>
        <v>1.36363636363988E-3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input_538010!A$2</f>
        <v>538010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IFERROR(VLOOKUP(B324,input_538010!L:R,7,FALSE),VLOOKUP(tables_538010!C324,input_538010!A:H,8,FALSE))</f>
        <v>0</v>
      </c>
      <c r="P324" s="46">
        <f t="shared" ca="1" si="23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input_538010!A$2</f>
        <v>538010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IFERROR(VLOOKUP(B325,input_538010!L:R,7,FALSE),VLOOKUP(tables_538010!C325,input_538010!A:H,8,FALSE))</f>
        <v>258500</v>
      </c>
      <c r="P325" s="46">
        <f t="shared" ca="1" si="23"/>
        <v>4.1666666666774115E-3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input_538010!A$2</f>
        <v>538010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IFERROR(VLOOKUP(B326,input_538010!L:R,7,FALSE),VLOOKUP(tables_538010!C326,input_538010!A:H,8,FALSE))</f>
        <v>0</v>
      </c>
      <c r="P326" s="46">
        <f t="shared" ca="1" si="23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input_538010!A$2</f>
        <v>538010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IFERROR(VLOOKUP(B327,input_538010!L:R,7,FALSE),VLOOKUP(tables_538010!C327,input_538010!A:H,8,FALSE))</f>
        <v>258500</v>
      </c>
      <c r="P327" s="46">
        <f t="shared" ca="1" si="23"/>
        <v>4.1666666666774115E-3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input_538010!A$2</f>
        <v>538010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IFERROR(VLOOKUP(B328,input_538010!L:R,7,FALSE),VLOOKUP(tables_538010!C328,input_538010!A:H,8,FALSE))</f>
        <v>84600</v>
      </c>
      <c r="P328" s="46">
        <f t="shared" ca="1" si="23"/>
        <v>1.36363636363988E-3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input_538010!A$2</f>
        <v>538010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IFERROR(VLOOKUP(B329,input_538010!L:R,7,FALSE),VLOOKUP(tables_538010!C329,input_538010!A:H,8,FALSE))</f>
        <v>84600</v>
      </c>
      <c r="P329" s="46">
        <f t="shared" ca="1" si="23"/>
        <v>1.36363636363988E-3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input_538010!A$2</f>
        <v>538010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IFERROR(VLOOKUP(B330,input_538010!L:R,7,FALSE),VLOOKUP(tables_538010!C330,input_538010!A:H,8,FALSE))</f>
        <v>84600</v>
      </c>
      <c r="P330" s="46">
        <f t="shared" ca="1" si="23"/>
        <v>1.36363636363988E-3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input_538010!A$2</f>
        <v>538010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IFERROR(VLOOKUP(B331,input_538010!L:R,7,FALSE),VLOOKUP(tables_538010!C331,input_538010!A:H,8,FALSE))</f>
        <v>84600</v>
      </c>
      <c r="P331" s="46">
        <f t="shared" ca="1" si="23"/>
        <v>1.36363636363988E-3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input_538010!A$2</f>
        <v>538010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IFERROR(VLOOKUP(B332,input_538010!L:R,7,FALSE),VLOOKUP(tables_538010!C332,input_538010!A:H,8,FALSE))</f>
        <v>84600</v>
      </c>
      <c r="P332" s="46">
        <f t="shared" ca="1" si="23"/>
        <v>1.36363636363988E-3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input_538010!A$2</f>
        <v>538010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IFERROR(VLOOKUP(B333,input_538010!L:R,7,FALSE),VLOOKUP(tables_538010!C333,input_538010!A:H,8,FALSE))</f>
        <v>84600</v>
      </c>
      <c r="P333" s="46">
        <f t="shared" ca="1" si="23"/>
        <v>1.36363636363988E-3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input_538010!A$2</f>
        <v>538010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IFERROR(VLOOKUP(B334,input_538010!L:R,7,FALSE),VLOOKUP(tables_538010!C334,input_538010!A:H,8,FALSE))</f>
        <v>0</v>
      </c>
      <c r="P334" s="46">
        <f t="shared" ca="1" si="23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input_538010!A$2</f>
        <v>538010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IFERROR(VLOOKUP(B335,input_538010!L:R,7,FALSE),VLOOKUP(tables_538010!C335,input_538010!A:H,8,FALSE))</f>
        <v>258500</v>
      </c>
      <c r="P335" s="46">
        <f t="shared" ca="1" si="23"/>
        <v>4.1666666666774115E-3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input_538010!A$2</f>
        <v>538010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IFERROR(VLOOKUP(B336,input_538010!L:R,7,FALSE),VLOOKUP(tables_538010!C336,input_538010!A:H,8,FALSE))</f>
        <v>0</v>
      </c>
      <c r="P336" s="46">
        <f t="shared" ca="1" si="23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input_538010!A$2</f>
        <v>538010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IFERROR(VLOOKUP(B337,input_538010!L:R,7,FALSE),VLOOKUP(tables_538010!C337,input_538010!A:H,8,FALSE))</f>
        <v>258500</v>
      </c>
      <c r="P337" s="46">
        <f t="shared" ca="1" si="23"/>
        <v>4.1666666666774115E-3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input_538010!A$2</f>
        <v>538010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IFERROR(VLOOKUP(B338,input_538010!L:R,7,FALSE),VLOOKUP(tables_538010!C338,input_538010!A:H,8,FALSE))</f>
        <v>84600</v>
      </c>
      <c r="P338" s="46">
        <f t="shared" ca="1" si="23"/>
        <v>1.36363636363988E-3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input_538010!A$2</f>
        <v>538010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IFERROR(VLOOKUP(B339,input_538010!L:R,7,FALSE),VLOOKUP(tables_538010!C339,input_538010!A:H,8,FALSE))</f>
        <v>84600</v>
      </c>
      <c r="P339" s="46">
        <f t="shared" ca="1" si="23"/>
        <v>1.36363636363988E-3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input_538010!A$2</f>
        <v>538010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IFERROR(VLOOKUP(B340,input_538010!L:R,7,FALSE),VLOOKUP(tables_538010!C340,input_538010!A:H,8,FALSE))</f>
        <v>84600</v>
      </c>
      <c r="P340" s="46">
        <f t="shared" ca="1" si="23"/>
        <v>1.36363636363988E-3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input_538010!A$2</f>
        <v>538010</v>
      </c>
      <c r="B341" s="96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IFERROR(VLOOKUP(B341,input_538010!L:R,7,FALSE),VLOOKUP(tables_538010!C341,input_538010!A:H,8,FALSE))</f>
        <v>84600</v>
      </c>
      <c r="P341" s="46">
        <f t="shared" ca="1" si="23"/>
        <v>1.36363636363988E-3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input_538010!A$2</f>
        <v>538010</v>
      </c>
      <c r="B342" s="96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IFERROR(VLOOKUP(B342,input_538010!L:R,7,FALSE),VLOOKUP(tables_538010!C342,input_538010!A:H,8,FALSE))</f>
        <v>84600</v>
      </c>
      <c r="P342" s="46">
        <f t="shared" ca="1" si="23"/>
        <v>1.36363636363988E-3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input_538010!A$2</f>
        <v>538010</v>
      </c>
      <c r="B343" s="96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IFERROR(VLOOKUP(B343,input_538010!L:R,7,FALSE),VLOOKUP(tables_538010!C343,input_538010!A:H,8,FALSE))</f>
        <v>0</v>
      </c>
      <c r="P343" s="46">
        <f t="shared" ca="1" si="23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input_538010!A$2</f>
        <v>538010</v>
      </c>
      <c r="B344" s="96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IFERROR(VLOOKUP(B344,input_538010!L:R,7,FALSE),VLOOKUP(tables_538010!C344,input_538010!A:H,8,FALSE))</f>
        <v>258500</v>
      </c>
      <c r="P344" s="46">
        <f t="shared" ca="1" si="23"/>
        <v>4.1666666666774115E-3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input_538010!A$2</f>
        <v>538010</v>
      </c>
      <c r="B345" s="96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IFERROR(VLOOKUP(B345,input_538010!L:R,7,FALSE),VLOOKUP(tables_538010!C345,input_538010!A:H,8,FALSE))</f>
        <v>84600</v>
      </c>
      <c r="P345" s="46">
        <f t="shared" ca="1" si="23"/>
        <v>1.36363636363988E-3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input_538010!A$2</f>
        <v>538010</v>
      </c>
      <c r="B346" s="1">
        <v>1424</v>
      </c>
      <c r="C346" s="7" t="str">
        <f t="shared" ref="C346" si="34">D346&amp;J346&amp;E346&amp;F346&amp;G346</f>
        <v>PremiumSSS6R3less</v>
      </c>
      <c r="D346" s="95" t="str">
        <f t="shared" ref="D346" si="35">IF(OR(I346="PremiumSS",I346="PremiumSSw"),"PremiumSS",IF(I346="PremiumSSS",I346,IF(I346="PremiumW",IF(J346=5,"premium",I346),"Premium")))</f>
        <v>PremiumSSS</v>
      </c>
      <c r="E346" s="7" t="str">
        <f>IF(COUNTIF('R6追加前'!A:A,B346)=0,IF(OR(I346="PremiumSS",I346="PremiumSSw"),"R5only","R3less"),"")</f>
        <v>R3less</v>
      </c>
      <c r="F346" s="7" t="str">
        <f>IF(COUNTIF('R6開放'!A:A,B346)&gt;0,"R6release","")</f>
        <v/>
      </c>
      <c r="G346" s="7"/>
      <c r="H346" s="7" t="str">
        <f>VLOOKUP(B346,[1]characters!$A:$C,3,FALSE)</f>
        <v>波打際の宴麗 フロイト</v>
      </c>
      <c r="I346" s="7" t="str">
        <f>VLOOKUP(B346,[1]characters!$A:$J,10,FALSE)</f>
        <v>PremiumSSS</v>
      </c>
      <c r="J346" s="7">
        <f>VLOOKUP(B346,[1]characters!$A:$I,9,FALSE)</f>
        <v>6</v>
      </c>
      <c r="K346" s="7" t="str">
        <f>VLOOKUP(B346,[1]characters!$A:$H,8,FALSE)</f>
        <v>blue</v>
      </c>
      <c r="L346" s="7" t="str">
        <f>VLOOKUP(B346,[1]characters!$A:$K,11,FALSE)</f>
        <v>balance</v>
      </c>
      <c r="M346" s="7" t="str">
        <f>VLOOKUP(B346,[1]characters!$A:$M,13,FALSE)</f>
        <v>academia</v>
      </c>
      <c r="N346" s="7">
        <f>VLOOKUP(B346,[1]characters!$A:$G,7,FALSE)</f>
        <v>0</v>
      </c>
      <c r="O346" s="45">
        <f>IFERROR(VLOOKUP(B346,input_538010!L:R,7,FALSE),VLOOKUP(tables_538010!C346,input_538010!A:H,8,FALSE))</f>
        <v>124080</v>
      </c>
      <c r="P346" s="46">
        <f t="shared" ca="1" si="23"/>
        <v>2.0000000000051574E-3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input_538010!A$2</f>
        <v>538010</v>
      </c>
      <c r="B347" s="1">
        <v>1047</v>
      </c>
      <c r="C347" s="7" t="str">
        <f t="shared" ref="C347:C350" si="36">D347&amp;J347&amp;E347&amp;F347&amp;G347</f>
        <v>PremiumSSS6R3less</v>
      </c>
      <c r="D347" s="95" t="str">
        <f t="shared" ref="D347:D350" si="37">IF(OR(I347="PremiumSS",I347="PremiumSSw"),"PremiumSS",IF(I347="PremiumSSS",I347,IF(I347="PremiumW",IF(J347=5,"premium",I347),"Premium")))</f>
        <v>PremiumSSS</v>
      </c>
      <c r="E347" s="7" t="str">
        <f>IF(COUNTIF('R6追加前'!A:A,B347)=0,IF(OR(I347="PremiumSS",I347="PremiumSSw"),"R5only","R3less"),"")</f>
        <v>R3less</v>
      </c>
      <c r="F347" s="7" t="str">
        <f>IF(COUNTIF('R6開放'!A:A,B347)&gt;0,"R6release","")</f>
        <v/>
      </c>
      <c r="G347" s="7"/>
      <c r="H347" s="7" t="str">
        <f>VLOOKUP(B347,[1]characters!$A:$C,3,FALSE)</f>
        <v>波浪の夏閃 オイラー</v>
      </c>
      <c r="I347" s="7" t="str">
        <f>VLOOKUP(B347,[1]characters!$A:$J,10,FALSE)</f>
        <v>PremiumSSS</v>
      </c>
      <c r="J347" s="7">
        <f>VLOOKUP(B347,[1]characters!$A:$I,9,FALSE)</f>
        <v>6</v>
      </c>
      <c r="K347" s="7" t="str">
        <f>VLOOKUP(B347,[1]characters!$A:$H,8,FALSE)</f>
        <v>blue</v>
      </c>
      <c r="L347" s="7" t="str">
        <f>VLOOKUP(B347,[1]characters!$A:$K,11,FALSE)</f>
        <v>balance</v>
      </c>
      <c r="M347" s="7" t="str">
        <f>VLOOKUP(B347,[1]characters!$A:$M,13,FALSE)</f>
        <v>academia</v>
      </c>
      <c r="N347" s="7" t="str">
        <f>VLOOKUP(B347,[1]characters!$A:$G,7,FALSE)</f>
        <v>男性</v>
      </c>
      <c r="O347" s="45">
        <f>IFERROR(VLOOKUP(B347,input_538010!L:R,7,FALSE),VLOOKUP(tables_538010!C347,input_538010!A:H,8,FALSE))</f>
        <v>124080</v>
      </c>
      <c r="P347" s="46">
        <f t="shared" ref="P347:P350" ca="1" si="38">O347/SUM(O:O)</f>
        <v>2.0000000000051574E-3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input_538010!A$2</f>
        <v>538010</v>
      </c>
      <c r="B348" s="1">
        <v>1051</v>
      </c>
      <c r="C348" s="7" t="str">
        <f t="shared" si="36"/>
        <v>PremiumSSS6R3less</v>
      </c>
      <c r="D348" s="95" t="str">
        <f t="shared" si="37"/>
        <v>PremiumSSS</v>
      </c>
      <c r="E348" s="7" t="str">
        <f>IF(COUNTIF('R6追加前'!A:A,B348)=0,IF(OR(I348="PremiumSS",I348="PremiumSSw"),"R5only","R3less"),"")</f>
        <v>R3less</v>
      </c>
      <c r="F348" s="7" t="str">
        <f>IF(COUNTIF('R6開放'!A:A,B348)&gt;0,"R6release","")</f>
        <v/>
      </c>
      <c r="G348" s="7"/>
      <c r="H348" s="7" t="str">
        <f>VLOOKUP(B348,[1]characters!$A:$C,3,FALSE)</f>
        <v>嬌電の飛沫 ファラデー</v>
      </c>
      <c r="I348" s="7" t="str">
        <f>VLOOKUP(B348,[1]characters!$A:$J,10,FALSE)</f>
        <v>PremiumSSS</v>
      </c>
      <c r="J348" s="7">
        <f>VLOOKUP(B348,[1]characters!$A:$I,9,FALSE)</f>
        <v>6</v>
      </c>
      <c r="K348" s="7" t="str">
        <f>VLOOKUP(B348,[1]characters!$A:$H,8,FALSE)</f>
        <v>blue</v>
      </c>
      <c r="L348" s="7" t="str">
        <f>VLOOKUP(B348,[1]characters!$A:$K,11,FALSE)</f>
        <v>balance</v>
      </c>
      <c r="M348" s="7" t="str">
        <f>VLOOKUP(B348,[1]characters!$A:$M,13,FALSE)</f>
        <v>academia</v>
      </c>
      <c r="N348" s="7" t="str">
        <f>VLOOKUP(B348,[1]characters!$A:$G,7,FALSE)</f>
        <v>男性</v>
      </c>
      <c r="O348" s="45">
        <f>IFERROR(VLOOKUP(B348,input_538010!L:R,7,FALSE),VLOOKUP(tables_538010!C348,input_538010!A:H,8,FALSE))</f>
        <v>124080</v>
      </c>
      <c r="P348" s="46">
        <f t="shared" ca="1" si="38"/>
        <v>2.0000000000051574E-3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input_538010!A$2</f>
        <v>538010</v>
      </c>
      <c r="B349" s="1">
        <v>1046</v>
      </c>
      <c r="C349" s="7" t="str">
        <f t="shared" si="36"/>
        <v>Premium5R3less</v>
      </c>
      <c r="D349" s="95" t="str">
        <f t="shared" si="37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涼求の炎狼 フェンリル</v>
      </c>
      <c r="I349" s="7" t="str">
        <f>VLOOKUP(B349,[1]characters!$A:$J,10,FALSE)</f>
        <v>PremiumS</v>
      </c>
      <c r="J349" s="7">
        <f>VLOOKUP(B349,[1]characters!$A:$I,9,FALSE)</f>
        <v>5</v>
      </c>
      <c r="K349" s="7" t="str">
        <f>VLOOKUP(B349,[1]characters!$A:$H,8,FALSE)</f>
        <v>blue</v>
      </c>
      <c r="L349" s="7" t="str">
        <f>VLOOKUP(B349,[1]characters!$A:$K,11,FALSE)</f>
        <v>attack</v>
      </c>
      <c r="M349" s="7" t="str">
        <f>VLOOKUP(B349,[1]characters!$A:$M,13,FALSE)</f>
        <v>animal</v>
      </c>
      <c r="N349" s="7" t="str">
        <f>VLOOKUP(B349,[1]characters!$A:$G,7,FALSE)</f>
        <v>男性</v>
      </c>
      <c r="O349" s="45">
        <f>IFERROR(VLOOKUP(B349,input_538010!L:R,7,FALSE),VLOOKUP(tables_538010!C349,input_538010!A:H,8,FALSE))</f>
        <v>3102000</v>
      </c>
      <c r="P349" s="46">
        <f t="shared" ca="1" si="38"/>
        <v>5.0000000000128941E-2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input_538010!A$2</f>
        <v>538010</v>
      </c>
      <c r="B350" s="1">
        <v>1050</v>
      </c>
      <c r="C350" s="7" t="str">
        <f t="shared" si="36"/>
        <v>Premium5R3less</v>
      </c>
      <c r="D350" s="95" t="str">
        <f t="shared" si="37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廻遊の水獣宰相 ルキフグス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blue</v>
      </c>
      <c r="L350" s="7" t="str">
        <f>VLOOKUP(B350,[1]characters!$A:$K,11,FALSE)</f>
        <v>balance</v>
      </c>
      <c r="M350" s="7" t="str">
        <f>VLOOKUP(B350,[1]characters!$A:$M,13,FALSE)</f>
        <v>god</v>
      </c>
      <c r="N350" s="7" t="str">
        <f>VLOOKUP(B350,[1]characters!$A:$G,7,FALSE)</f>
        <v>男性</v>
      </c>
      <c r="O350" s="45">
        <f>IFERROR(VLOOKUP(B350,input_538010!L:R,7,FALSE),VLOOKUP(tables_538010!C350,input_538010!A:H,8,FALSE))</f>
        <v>3102000</v>
      </c>
      <c r="P350" s="46">
        <f t="shared" ca="1" si="38"/>
        <v>5.0000000000128941E-2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input_538010!A$2</f>
        <v>538010</v>
      </c>
      <c r="B351" s="1">
        <v>1049</v>
      </c>
      <c r="C351" s="7" t="str">
        <f t="shared" ref="C351" si="39">D351&amp;J351&amp;E351&amp;F351&amp;G351</f>
        <v>PremiumSSS6R3less</v>
      </c>
      <c r="D351" s="95" t="str">
        <f t="shared" ref="D351" si="40">IF(OR(I351="PremiumSS",I351="PremiumSSw"),"PremiumSS",IF(I351="PremiumSSS",I351,IF(I351="PremiumW",IF(J351=5,"premium",I351),"Premium")))</f>
        <v>PremiumSSS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深秘の水宙 メビウス</v>
      </c>
      <c r="I351" s="7" t="str">
        <f>VLOOKUP(B351,[1]characters!$A:$J,10,FALSE)</f>
        <v>PremiumSSS</v>
      </c>
      <c r="J351" s="7">
        <f>VLOOKUP(B351,[1]characters!$A:$I,9,FALSE)</f>
        <v>6</v>
      </c>
      <c r="K351" s="7" t="str">
        <f>VLOOKUP(B351,[1]characters!$A:$H,8,FALSE)</f>
        <v>blue</v>
      </c>
      <c r="L351" s="7" t="str">
        <f>VLOOKUP(B351,[1]characters!$A:$K,11,FALSE)</f>
        <v>balance</v>
      </c>
      <c r="M351" s="7" t="str">
        <f>VLOOKUP(B351,[1]characters!$A:$M,13,FALSE)</f>
        <v>academia</v>
      </c>
      <c r="N351" s="7" t="str">
        <f>VLOOKUP(B351,[1]characters!$A:$G,7,FALSE)</f>
        <v>男性</v>
      </c>
      <c r="O351" s="45">
        <f>IFERROR(VLOOKUP(B351,input_538010!L:R,7,FALSE),VLOOKUP(tables_538010!C351,input_538010!A:H,8,FALSE))</f>
        <v>124080</v>
      </c>
      <c r="P351" s="46">
        <f t="shared" ref="P351" ca="1" si="41">O351/SUM(O:O)</f>
        <v>2.0000000000051574E-3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input_538010!A$2</f>
        <v>538010</v>
      </c>
      <c r="B352" s="1">
        <v>1045</v>
      </c>
      <c r="C352" s="7" t="str">
        <f t="shared" ref="C352:C354" si="42">D352&amp;J352&amp;E352&amp;F352&amp;G352</f>
        <v>PremiumSSS6R3less</v>
      </c>
      <c r="D352" s="95" t="str">
        <f t="shared" ref="D352:D354" si="43">IF(OR(I352="PremiumSS",I352="PremiumSSw"),"PremiumSS",IF(I352="PremiumSSS",I352,IF(I352="PremiumW",IF(J352=5,"premium",I352),"Premium")))</f>
        <v>PremiumSSS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漂解の海原 シュレディンガー</v>
      </c>
      <c r="I352" s="7" t="str">
        <f>VLOOKUP(B352,[1]characters!$A:$J,10,FALSE)</f>
        <v>PremiumSSS</v>
      </c>
      <c r="J352" s="7">
        <f>VLOOKUP(B352,[1]characters!$A:$I,9,FALSE)</f>
        <v>6</v>
      </c>
      <c r="K352" s="7" t="str">
        <f>VLOOKUP(B352,[1]characters!$A:$H,8,FALSE)</f>
        <v>blue</v>
      </c>
      <c r="L352" s="7" t="str">
        <f>VLOOKUP(B352,[1]characters!$A:$K,11,FALSE)</f>
        <v>balance</v>
      </c>
      <c r="M352" s="7" t="str">
        <f>VLOOKUP(B352,[1]characters!$A:$M,13,FALSE)</f>
        <v>academia</v>
      </c>
      <c r="N352" s="7" t="str">
        <f>VLOOKUP(B352,[1]characters!$A:$G,7,FALSE)</f>
        <v>男性</v>
      </c>
      <c r="O352" s="45">
        <f>IFERROR(VLOOKUP(B352,input_538010!L:R,7,FALSE),VLOOKUP(tables_538010!C352,input_538010!A:H,8,FALSE))</f>
        <v>124080</v>
      </c>
      <c r="P352" s="46">
        <f t="shared" ref="P352:P354" ca="1" si="44">O352/SUM(O:O)</f>
        <v>2.0000000000051574E-3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input_538010!A$2</f>
        <v>538010</v>
      </c>
      <c r="B353" s="1">
        <v>1048</v>
      </c>
      <c r="C353" s="7" t="str">
        <f t="shared" si="42"/>
        <v>Premium5R3less</v>
      </c>
      <c r="D353" s="95" t="str">
        <f t="shared" si="43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砂上の城主竜 ケツァクアトル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blue</v>
      </c>
      <c r="L353" s="7" t="str">
        <f>VLOOKUP(B353,[1]characters!$A:$K,11,FALSE)</f>
        <v>hp</v>
      </c>
      <c r="M353" s="7" t="str">
        <f>VLOOKUP(B353,[1]characters!$A:$M,13,FALSE)</f>
        <v>dragon</v>
      </c>
      <c r="N353" s="7" t="str">
        <f>VLOOKUP(B353,[1]characters!$A:$G,7,FALSE)</f>
        <v>男性</v>
      </c>
      <c r="O353" s="45">
        <f>IFERROR(VLOOKUP(B353,input_538010!L:R,7,FALSE),VLOOKUP(tables_538010!C353,input_538010!A:H,8,FALSE))</f>
        <v>3102000</v>
      </c>
      <c r="P353" s="46">
        <f t="shared" ca="1" si="44"/>
        <v>5.0000000000128941E-2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input_538010!A$2</f>
        <v>538010</v>
      </c>
      <c r="B354" s="1">
        <v>1052</v>
      </c>
      <c r="C354" s="7" t="str">
        <f t="shared" si="42"/>
        <v>Premium5R3less</v>
      </c>
      <c r="D354" s="95" t="str">
        <f t="shared" si="43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戯魚群の潜光 バルドル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 t="str">
        <f>VLOOKUP(B354,[1]characters!$A:$G,7,FALSE)</f>
        <v>男性</v>
      </c>
      <c r="O354" s="45">
        <f>IFERROR(VLOOKUP(B354,input_538010!L:R,7,FALSE),VLOOKUP(tables_538010!C354,input_538010!A:H,8,FALSE))</f>
        <v>3102000</v>
      </c>
      <c r="P354" s="46">
        <f t="shared" ca="1" si="44"/>
        <v>5.0000000000128941E-2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</sheetData>
  <autoFilter ref="A1:V35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tabSelected="1" workbookViewId="0">
      <pane ySplit="1" topLeftCell="A2" activePane="bottomLeft" state="frozen"/>
      <selection activeCell="M24" sqref="M24"/>
      <selection pane="bottomLeft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538105</v>
      </c>
      <c r="B2" s="97">
        <v>5381051</v>
      </c>
      <c r="C2" s="79" t="s">
        <v>256</v>
      </c>
      <c r="D2" s="79">
        <v>611</v>
      </c>
      <c r="E2" s="79">
        <v>3</v>
      </c>
      <c r="F2" s="2">
        <v>1</v>
      </c>
      <c r="G2" s="99">
        <v>0</v>
      </c>
      <c r="H2" s="99">
        <v>0</v>
      </c>
      <c r="I2" s="99">
        <v>0</v>
      </c>
      <c r="J2" s="99">
        <v>0</v>
      </c>
      <c r="K2" s="99">
        <v>1</v>
      </c>
      <c r="L2" s="99">
        <v>1</v>
      </c>
      <c r="M2" s="99">
        <v>1</v>
      </c>
      <c r="N2" s="79" t="s">
        <v>255</v>
      </c>
      <c r="O2" s="79" t="s">
        <v>258</v>
      </c>
      <c r="P2" s="79" t="s">
        <v>254</v>
      </c>
      <c r="Q2" s="80" t="s">
        <v>259</v>
      </c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確率の考え方</vt:lpstr>
      <vt:lpstr>Sheet1</vt:lpstr>
      <vt:lpstr>output</vt:lpstr>
      <vt:lpstr>input_538010</vt:lpstr>
      <vt:lpstr>tables_538010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2017-02-20T06:22:15Z</dcterms:modified>
</cp:coreProperties>
</file>