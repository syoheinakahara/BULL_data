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640" yWindow="460" windowWidth="24460" windowHeight="16240" tabRatio="963" activeTab="7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コスト" sheetId="13" r:id="rId8"/>
    <sheet name="レベル" sheetId="12" r:id="rId9"/>
    <sheet name="経験値" sheetId="10" r:id="rId10"/>
    <sheet name="RC6SV" sheetId="11" r:id="rId11"/>
    <sheet name="ビット" sheetId="15" r:id="rId12"/>
    <sheet name="チェックシート" sheetId="55" r:id="rId13"/>
  </sheets>
  <externalReferences>
    <externalReference r:id="rId14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2" i="23" l="1"/>
  <c r="A3" i="3"/>
  <c r="A4" i="3"/>
  <c r="A5" i="3"/>
  <c r="A6" i="3"/>
  <c r="A7" i="3"/>
  <c r="A8" i="3"/>
  <c r="A9" i="3"/>
  <c r="G9" i="3"/>
  <c r="G7" i="3"/>
  <c r="G8" i="3"/>
  <c r="G6" i="3"/>
  <c r="B2" i="23"/>
  <c r="B3" i="23"/>
  <c r="B4" i="23"/>
  <c r="C6" i="3"/>
  <c r="G2" i="23"/>
  <c r="G3" i="23"/>
  <c r="G4" i="23"/>
  <c r="D6" i="3"/>
  <c r="H2" i="23"/>
  <c r="H3" i="23"/>
  <c r="H4" i="23"/>
  <c r="E6" i="3"/>
  <c r="C7" i="3"/>
  <c r="D7" i="3"/>
  <c r="E7" i="3"/>
  <c r="C8" i="3"/>
  <c r="D8" i="3"/>
  <c r="E8" i="3"/>
  <c r="C9" i="3"/>
  <c r="D9" i="3"/>
  <c r="E9" i="3"/>
  <c r="C5" i="3"/>
  <c r="C4" i="3"/>
  <c r="C3" i="3"/>
  <c r="C2" i="3"/>
  <c r="G3" i="3"/>
  <c r="G4" i="3"/>
  <c r="G5" i="3"/>
  <c r="D3" i="3"/>
  <c r="E3" i="3"/>
  <c r="D4" i="3"/>
  <c r="E4" i="3"/>
  <c r="D5" i="3"/>
  <c r="E5" i="3"/>
  <c r="E2" i="52"/>
  <c r="E18" i="54"/>
  <c r="E17" i="54"/>
  <c r="E10" i="54"/>
  <c r="B10" i="54"/>
  <c r="E9" i="54"/>
  <c r="B9" i="54"/>
  <c r="E8" i="54"/>
  <c r="B8" i="54"/>
  <c r="E19" i="54"/>
  <c r="B19" i="54"/>
  <c r="B17" i="54"/>
  <c r="B18" i="54"/>
  <c r="E16" i="54"/>
  <c r="B16" i="54"/>
  <c r="E15" i="54"/>
  <c r="B15" i="54"/>
  <c r="E14" i="54"/>
  <c r="B14" i="54"/>
  <c r="E13" i="54"/>
  <c r="B13" i="54"/>
  <c r="E12" i="54"/>
  <c r="B12" i="54"/>
  <c r="E11" i="54"/>
  <c r="B11" i="54"/>
  <c r="E7" i="54"/>
  <c r="B7" i="54"/>
  <c r="E6" i="54"/>
  <c r="B6" i="54"/>
  <c r="E3" i="54"/>
  <c r="E4" i="54"/>
  <c r="E5" i="54"/>
  <c r="E2" i="54"/>
  <c r="B4" i="54"/>
  <c r="B5" i="54"/>
  <c r="B3" i="54"/>
  <c r="G3" i="53"/>
  <c r="E3" i="53"/>
  <c r="G4" i="53"/>
  <c r="E4" i="53"/>
  <c r="G5" i="53"/>
  <c r="E5" i="53"/>
  <c r="J3" i="52"/>
  <c r="E3" i="52"/>
  <c r="H3" i="52"/>
  <c r="J4" i="52"/>
  <c r="E4" i="52"/>
  <c r="H4" i="52"/>
  <c r="J5" i="52"/>
  <c r="E5" i="52"/>
  <c r="H5" i="52"/>
  <c r="J2" i="52"/>
  <c r="G2" i="53"/>
  <c r="C4" i="23"/>
  <c r="D4" i="23"/>
  <c r="E4" i="23"/>
  <c r="F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G5" i="23"/>
  <c r="H5" i="23"/>
  <c r="I5" i="23"/>
  <c r="J5" i="23"/>
  <c r="K5" i="23"/>
  <c r="L5" i="23"/>
  <c r="M5" i="23"/>
  <c r="G4" i="1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P3" i="23"/>
  <c r="P2" i="23"/>
  <c r="G10" i="13"/>
  <c r="G9" i="13"/>
  <c r="G8" i="13"/>
  <c r="G3" i="13"/>
  <c r="G2" i="13"/>
  <c r="C2" i="23"/>
  <c r="D2" i="23"/>
  <c r="E2" i="23"/>
  <c r="F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C3" i="23"/>
  <c r="D3" i="23"/>
  <c r="E3" i="23"/>
  <c r="F3" i="23"/>
  <c r="I3" i="23"/>
  <c r="J3" i="23"/>
  <c r="K3" i="23"/>
  <c r="L3" i="23"/>
  <c r="M3" i="23"/>
  <c r="N3" i="23"/>
  <c r="O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2" i="54"/>
  <c r="E2" i="53"/>
  <c r="H2" i="52"/>
  <c r="G2" i="3"/>
  <c r="E8" i="49"/>
  <c r="E7" i="49"/>
  <c r="E6" i="49"/>
  <c r="E5" i="49"/>
  <c r="E9" i="49"/>
  <c r="E10" i="49"/>
  <c r="E3" i="49"/>
  <c r="E4" i="49"/>
  <c r="E2" i="49"/>
  <c r="E2" i="3"/>
  <c r="D2" i="3"/>
  <c r="AG5" i="23"/>
  <c r="AH5" i="23"/>
</calcChain>
</file>

<file path=xl/sharedStrings.xml><?xml version="1.0" encoding="utf-8"?>
<sst xmlns="http://schemas.openxmlformats.org/spreadsheetml/2006/main" count="795" uniqueCount="295">
  <si>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</si>
  <si>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</si>
  <si>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</si>
  <si>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</si>
  <si>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</si>
  <si>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</si>
  <si>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</si>
  <si>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</si>
  <si>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</si>
  <si>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</si>
  <si>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</si>
  <si>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</si>
  <si>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</si>
  <si>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</si>
  <si>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</si>
  <si>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</si>
  <si>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</si>
  <si>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</si>
  <si>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</si>
  <si>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</si>
  <si>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</si>
  <si>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</si>
  <si>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</si>
  <si>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</si>
  <si>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</si>
  <si>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</si>
  <si>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</si>
  <si>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</si>
  <si>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</si>
  <si>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</si>
  <si>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</si>
  <si>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</si>
  <si>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</si>
  <si>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</si>
  <si>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</si>
  <si>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</si>
  <si>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</si>
  <si>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</si>
  <si>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</si>
  <si>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</si>
  <si>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</si>
  <si>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</si>
  <si>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</si>
  <si>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</si>
  <si>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</si>
  <si>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</si>
  <si>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</si>
  <si>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</si>
  <si>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</si>
  <si>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</si>
  <si>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</si>
  <si>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</si>
  <si>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</si>
  <si>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</si>
  <si>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</si>
  <si>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</si>
  <si>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</si>
  <si>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</si>
  <si>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</si>
  <si>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</si>
  <si>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</si>
  <si>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</si>
  <si>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</si>
  <si>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</si>
  <si>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</si>
  <si>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</si>
  <si>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</si>
  <si>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</si>
  <si>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</si>
  <si>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</si>
  <si>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</si>
  <si>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</si>
  <si>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</si>
  <si>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</si>
  <si>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</si>
  <si>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</si>
  <si>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</si>
  <si>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</si>
  <si>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</si>
  <si>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</si>
  <si>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</si>
  <si>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</si>
  <si>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</si>
  <si>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</si>
  <si>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</si>
  <si>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</si>
  <si>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</si>
  <si>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</si>
  <si>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</si>
  <si>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</si>
  <si>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</si>
  <si>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</si>
  <si>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</si>
  <si>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</si>
  <si>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</si>
  <si>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</si>
  <si>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</si>
  <si>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</si>
  <si>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</si>
  <si>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</si>
  <si>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</si>
  <si>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</si>
  <si>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</si>
  <si>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</si>
  <si>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</si>
  <si>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</si>
  <si>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</si>
  <si>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</si>
  <si>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</si>
  <si>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</si>
  <si>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</si>
  <si>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</si>
  <si>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</si>
  <si>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</si>
  <si>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</si>
  <si>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</si>
  <si>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</si>
  <si>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</si>
  <si>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</si>
  <si>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</si>
  <si>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</si>
  <si>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</si>
  <si>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</si>
  <si>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</si>
  <si>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</si>
  <si>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</si>
  <si>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</si>
  <si>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</si>
  <si>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</si>
  <si>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</si>
  <si>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</si>
  <si>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</si>
  <si>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</si>
  <si>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</si>
  <si>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</si>
  <si>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</si>
  <si>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</si>
  <si>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</si>
  <si>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</si>
  <si>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</si>
  <si>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</si>
  <si>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</si>
  <si>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</si>
  <si>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</si>
  <si>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</si>
  <si>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</si>
  <si>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</si>
  <si>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</si>
  <si>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</si>
  <si>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</si>
  <si>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</si>
  <si>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</si>
  <si>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</si>
  <si>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</si>
  <si>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</si>
  <si>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</si>
  <si>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</si>
  <si>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</si>
  <si>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</si>
  <si>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</si>
  <si>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</si>
  <si>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</si>
  <si>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</si>
  <si>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</si>
  <si>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</si>
  <si>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</si>
  <si>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</si>
  <si>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</si>
  <si>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</si>
  <si>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</si>
  <si>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</si>
  <si>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</si>
  <si>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</si>
  <si>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</si>
  <si>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</si>
  <si>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</si>
  <si>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</si>
  <si>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</si>
  <si>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</si>
  <si>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</si>
  <si>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</si>
  <si>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</si>
  <si>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</si>
  <si>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</si>
  <si>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</si>
  <si>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</si>
  <si>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</si>
  <si>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</si>
  <si>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</si>
  <si>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</si>
  <si>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</si>
  <si>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</si>
  <si>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</si>
  <si>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</si>
  <si>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</si>
  <si>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</si>
  <si>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</si>
  <si>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</si>
  <si>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</si>
  <si>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</si>
  <si>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</si>
  <si>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</si>
  <si>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</si>
  <si>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</si>
  <si>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</si>
  <si>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</si>
  <si>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</si>
  <si>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</si>
  <si>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</si>
  <si>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</si>
  <si>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</si>
  <si>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</si>
  <si>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</si>
  <si>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</si>
  <si>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</si>
  <si>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</si>
  <si>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</si>
  <si>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</si>
  <si>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</si>
  <si>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</si>
  <si>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</si>
  <si>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</si>
  <si>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</si>
  <si>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</si>
  <si>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</si>
  <si>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</si>
  <si>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</si>
  <si>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</si>
  <si>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</si>
  <si>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</si>
  <si>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</si>
  <si>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</si>
  <si>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</si>
  <si>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</si>
  <si>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</si>
  <si>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</si>
  <si>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</si>
  <si>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</si>
  <si>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</si>
  <si>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</si>
  <si>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</si>
  <si>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</si>
  <si>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</si>
  <si>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</si>
  <si>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</si>
  <si>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</si>
  <si>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</si>
  <si>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</si>
  <si>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</si>
  <si>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</si>
  <si>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</si>
  <si>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</si>
  <si>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</si>
  <si>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starfestival</t>
  </si>
  <si>
    <t>old</t>
    <phoneticPr fontId="22"/>
  </si>
  <si>
    <t>old</t>
    <phoneticPr fontId="22"/>
  </si>
  <si>
    <t>星河天譴</t>
  </si>
  <si>
    <t>月船天誅</t>
  </si>
  <si>
    <t>ミーティア･トライアングル</t>
  </si>
  <si>
    <t>アクィラ･トライアングル</t>
  </si>
  <si>
    <t>タラゼド・フレア</t>
  </si>
  <si>
    <t>アルシャイン・ウィンク</t>
  </si>
  <si>
    <t>シェリアク・ラピッズ</t>
  </si>
  <si>
    <t>スラファト・ロウラ</t>
  </si>
  <si>
    <t>短冊に想いを乗せて…！</t>
  </si>
  <si>
    <t>届けてみせる…絶対！</t>
  </si>
  <si>
    <t>私の気持ち届くかな？</t>
  </si>
  <si>
    <t>私だけ見ててほしいの！</t>
  </si>
  <si>
    <t>よそ見しちゃダメー！</t>
  </si>
  <si>
    <t>浮気者にはお仕置きよ！</t>
  </si>
  <si>
    <t>見惚れていたら火傷するぜ？</t>
  </si>
  <si>
    <t>子猫ちゃん相手してやるよ</t>
  </si>
  <si>
    <t>そーら、狙い撃ちだ！</t>
  </si>
  <si>
    <t>モテる男は辛いぜ…</t>
  </si>
  <si>
    <t>やれやれ、まったく…</t>
  </si>
  <si>
    <t>giza</t>
    <phoneticPr fontId="22"/>
  </si>
  <si>
    <t>giza</t>
    <phoneticPr fontId="22"/>
  </si>
  <si>
    <t xml:space="preserve">[effect:drop_block, block_type:crack_bomb, block_color:block_heart, color:block_all, val:12, rate:0.2, turn:2] ,[effect:force_change_block, new_block:crack_bomb, target:block_all, ignore01:crack_bomb, ignore02:crash, color:block_green, count:7, val:24, animation:change_block] </t>
    <phoneticPr fontId="22"/>
  </si>
  <si>
    <t>[effect:damage, target:enemy_one, color:green, val:2.5, animation:damage_one_green04],
[effect:enhance_unit, target:unit_green, turn:1, status:heal, val:0.03, calc:mul,animation:enhance_unit_all_heal01_unit01]</t>
    <phoneticPr fontId="22"/>
  </si>
  <si>
    <t>1体に大ダメージ+
1ターン赤属性の攻撃力小UP</t>
    <rPh sb="1" eb="2">
      <t>タイニ</t>
    </rPh>
    <rPh sb="3" eb="4">
      <t>ダイダメージ</t>
    </rPh>
    <rPh sb="20" eb="21">
      <t>リョク</t>
    </rPh>
    <rPh sb="21" eb="22">
      <t>ショウ</t>
    </rPh>
    <phoneticPr fontId="22"/>
  </si>
  <si>
    <t>1体に特大ダメージ+
1ターン赤属性の攻撃力小UP</t>
    <rPh sb="1" eb="2">
      <t>タイニ</t>
    </rPh>
    <rPh sb="3" eb="4">
      <t>トク</t>
    </rPh>
    <rPh sb="4" eb="5">
      <t>ダイダメージ</t>
    </rPh>
    <rPh sb="21" eb="22">
      <t>リョク</t>
    </rPh>
    <rPh sb="22" eb="23">
      <t>ショウ</t>
    </rPh>
    <phoneticPr fontId="22"/>
  </si>
  <si>
    <t>1体に特大ダメージ+
1ターン緑属性の回復力中UP</t>
    <rPh sb="1" eb="2">
      <t>タイニ</t>
    </rPh>
    <rPh sb="4" eb="5">
      <t>ダイダメージ</t>
    </rPh>
    <rPh sb="15" eb="16">
      <t>ミドリ</t>
    </rPh>
    <rPh sb="19" eb="21">
      <t>カイフク</t>
    </rPh>
    <rPh sb="21" eb="22">
      <t>リョク</t>
    </rPh>
    <rPh sb="22" eb="23">
      <t>チュウ</t>
    </rPh>
    <phoneticPr fontId="22"/>
  </si>
  <si>
    <t>1体に超大ダメージ+
1ターン緑属性の回復力中UP</t>
    <rPh sb="1" eb="2">
      <t>タイニ</t>
    </rPh>
    <rPh sb="4" eb="5">
      <t>ダイダメージ</t>
    </rPh>
    <rPh sb="15" eb="16">
      <t>ミドリ</t>
    </rPh>
    <rPh sb="19" eb="21">
      <t>カイフク</t>
    </rPh>
    <rPh sb="21" eb="22">
      <t>リョク</t>
    </rPh>
    <rPh sb="22" eb="23">
      <t>チュウ</t>
    </rPh>
    <phoneticPr fontId="22"/>
  </si>
  <si>
    <t>ランダムで最大7つ緑ボムパネル(大)を生成+2ターンハートボムパネルをドロップ</t>
    <phoneticPr fontId="22"/>
  </si>
  <si>
    <t>さあ…遊びの時間は終わりだ</t>
    <phoneticPr fontId="22"/>
  </si>
  <si>
    <t>[effect:damage, target:enemy_one, color:green, val:2.25, animation:damage_one_green04],
[effect:enhance_unit, target:unit_green, turn:1, status:heal, val:0.03, calc:mul,animation:enhance_unit_all_heal01_unit01]</t>
    <phoneticPr fontId="22"/>
  </si>
  <si>
    <t>[effect:damage, target:enemy_one, color:red, val:2.1, animation:damage_one_red02],
[effect:enhance_unit, target:unit_red, turn:1, status:attack, val:0.025, calc:mul,animation:enhance_unit_all_attack02_unit01]</t>
    <phoneticPr fontId="22"/>
  </si>
  <si>
    <t>[effect:damage, target:enemy_one, color:red, val:2.25, animation:damage_one_red02],
[effect:enhance_unit, target:unit_red, turn:1, status:attack, val:0.025, calc:mul,animation:enhance_unit_all_attack02_unit01]</t>
    <phoneticPr fontId="22"/>
  </si>
  <si>
    <t>2ターンハートパネルの出現率を0にする+ランダムで最大7つ赤ボムパネルを生成し、時限式ダメージパネルをCパネルに変換</t>
    <phoneticPr fontId="22"/>
  </si>
  <si>
    <t>ランダムで最大7つ緑ボムパネル(大)を生成+2ターンハートボムパネルをドロップ</t>
    <phoneticPr fontId="22"/>
  </si>
  <si>
    <t>2ターンハートパネルの出現率を0にする+ランダムで最大7つ赤ボムパネルを生成し、時限式ダメージパネルをCパネルに変換</t>
    <phoneticPr fontId="22"/>
  </si>
  <si>
    <t xml:space="preserve">[effect:force_change_block, new_block:crash, target:time_bomb, color:block_red, count:0, val:7, animation:change_block] ,[effect:force_change_block, new_block:crack_bomb, target:block_all, ignore01:crash, ignore02:crack_bomb, ignore03:time_bomb,color:block_red, count:7, val:13, animation:change_block],[effect:change_panel_ratio, turn:2, block_type:heal, val:0, animation:block_incidence04]       </t>
    <phoneticPr fontId="22"/>
  </si>
  <si>
    <t xml:space="preserve">[effect:force_change_block, new_block:crash, target:time_bomb, color:block_red, count:0, val:7, animation:change_block] ,[effect:force_change_block, new_block:crack_bomb, target:block_all, ignore01:crash, ignore02:crack_bomb, ignore03:time_bomb,color:block_red, count:7, val:13, animation:change_block],[effect:change_panel_ratio, turn:2, block_type:heal, val:0, animation:block_incidence04]       </t>
    <phoneticPr fontId="22"/>
  </si>
  <si>
    <t>sell_ghosts</t>
    <phoneticPr fontId="10"/>
  </si>
  <si>
    <t>sell_ghosts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</si>
</sst>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78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7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  <xf numFmtId="0" fontId="0" fillId="15" borderId="4" xfId="0" applyFill="1" applyBorder="1"/>
    <xf numFmtId="0" fontId="0" fillId="0" borderId="4" xfId="0" applyBorder="1" applyAlignment="1">
      <alignment wrapText="1"/>
    </xf>
    <xf numFmtId="0" fontId="13" fillId="0" borderId="4" xfId="0" applyFont="1" applyFill="1" applyBorder="1" applyAlignment="1">
      <alignment vertical="center" wrapText="1"/>
    </xf>
    <xf numFmtId="0" fontId="16" fillId="15" borderId="4" xfId="0" applyFont="1" applyFill="1" applyBorder="1" applyAlignment="1">
      <alignment horizontal="left" vertical="center"/>
    </xf>
  </cellXfs>
  <cellStyles count="4578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赤字強調" xfId="4"/>
    <cellStyle name="青字強調" xfId="3"/>
  </cellStyles>
  <dxfs count="28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F1" workbookViewId="0">
      <selection activeCell="N15" sqref="N15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6" t="s">
        <v>125</v>
      </c>
      <c r="B1" s="106" t="s">
        <v>116</v>
      </c>
      <c r="C1" s="106" t="s">
        <v>117</v>
      </c>
      <c r="D1" s="106" t="s">
        <v>118</v>
      </c>
      <c r="E1" s="106" t="s">
        <v>119</v>
      </c>
      <c r="F1" s="106" t="s">
        <v>120</v>
      </c>
      <c r="G1" s="106" t="s">
        <v>121</v>
      </c>
      <c r="H1" s="106"/>
      <c r="I1" s="106"/>
      <c r="J1" s="106"/>
      <c r="K1" s="106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</row>
    <row r="2" spans="1:23" x14ac:dyDescent="0.15">
      <c r="A2" s="108" t="s">
        <v>254</v>
      </c>
      <c r="B2" s="108" t="s">
        <v>129</v>
      </c>
      <c r="C2" s="167" t="s">
        <v>253</v>
      </c>
      <c r="D2" s="108" t="s">
        <v>128</v>
      </c>
      <c r="E2" s="107" t="str">
        <f>B2&amp;C2&amp;D2</f>
        <v>units_starfestival.tmp</v>
      </c>
      <c r="F2" s="108" t="s">
        <v>124</v>
      </c>
      <c r="G2" s="62" t="s">
        <v>17</v>
      </c>
      <c r="H2" s="63" t="s">
        <v>96</v>
      </c>
      <c r="I2" s="63" t="s">
        <v>1</v>
      </c>
      <c r="J2" s="63" t="s">
        <v>3</v>
      </c>
      <c r="K2" s="63" t="s">
        <v>2</v>
      </c>
      <c r="L2" s="63" t="s">
        <v>98</v>
      </c>
      <c r="M2" s="63" t="s">
        <v>20</v>
      </c>
      <c r="N2" s="63" t="s">
        <v>103</v>
      </c>
      <c r="O2" s="63" t="s">
        <v>101</v>
      </c>
      <c r="P2" s="63" t="s">
        <v>39</v>
      </c>
      <c r="Q2" s="63" t="s">
        <v>57</v>
      </c>
      <c r="R2" s="108" t="s">
        <v>294</v>
      </c>
      <c r="S2" s="108"/>
      <c r="T2" s="108"/>
      <c r="U2" s="108"/>
      <c r="V2" s="108"/>
      <c r="W2" s="108"/>
    </row>
    <row r="3" spans="1:23" x14ac:dyDescent="0.15">
      <c r="A3" s="108" t="s">
        <v>254</v>
      </c>
      <c r="B3" s="108" t="s">
        <v>130</v>
      </c>
      <c r="C3" s="167" t="s">
        <v>253</v>
      </c>
      <c r="D3" s="108" t="s">
        <v>128</v>
      </c>
      <c r="E3" s="107" t="str">
        <f>B3&amp;C3&amp;D3</f>
        <v>awake_materials_starfestival.tmp</v>
      </c>
      <c r="F3" s="108" t="s">
        <v>123</v>
      </c>
      <c r="G3" s="109" t="s">
        <v>38</v>
      </c>
      <c r="H3" s="110" t="s">
        <v>36</v>
      </c>
      <c r="I3" s="110" t="s">
        <v>37</v>
      </c>
      <c r="J3" s="112" t="s">
        <v>126</v>
      </c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</row>
    <row r="4" spans="1:23" x14ac:dyDescent="0.15">
      <c r="A4" s="108" t="s">
        <v>255</v>
      </c>
      <c r="B4" s="108" t="s">
        <v>131</v>
      </c>
      <c r="C4" s="167" t="s">
        <v>253</v>
      </c>
      <c r="D4" s="108" t="s">
        <v>132</v>
      </c>
      <c r="E4" s="107" t="str">
        <f t="shared" ref="E4" si="0">B4&amp;C4&amp;D4</f>
        <v>unit_levels_calc_starfestival.tmp</v>
      </c>
      <c r="F4" s="108" t="s">
        <v>122</v>
      </c>
      <c r="G4" s="58" t="s">
        <v>17</v>
      </c>
      <c r="H4" s="59" t="s">
        <v>2</v>
      </c>
      <c r="I4" s="60" t="s">
        <v>79</v>
      </c>
      <c r="J4" s="60" t="s">
        <v>80</v>
      </c>
      <c r="K4" s="60" t="s">
        <v>81</v>
      </c>
      <c r="L4" s="60" t="s">
        <v>82</v>
      </c>
      <c r="M4" s="60" t="s">
        <v>87</v>
      </c>
      <c r="N4" s="60" t="s">
        <v>88</v>
      </c>
      <c r="O4" s="60" t="s">
        <v>89</v>
      </c>
      <c r="P4" s="60" t="s">
        <v>90</v>
      </c>
      <c r="Q4" s="60" t="s">
        <v>91</v>
      </c>
      <c r="R4" s="60" t="s">
        <v>94</v>
      </c>
      <c r="S4" s="60" t="s">
        <v>92</v>
      </c>
      <c r="T4" s="60" t="s">
        <v>93</v>
      </c>
      <c r="U4" s="60" t="s">
        <v>83</v>
      </c>
      <c r="V4" s="60" t="s">
        <v>84</v>
      </c>
      <c r="W4" s="60" t="s">
        <v>85</v>
      </c>
    </row>
    <row r="5" spans="1:23" x14ac:dyDescent="0.15">
      <c r="A5" s="108" t="s">
        <v>255</v>
      </c>
      <c r="B5" s="108" t="s">
        <v>143</v>
      </c>
      <c r="C5" s="167" t="s">
        <v>253</v>
      </c>
      <c r="D5" s="108" t="s">
        <v>144</v>
      </c>
      <c r="E5" s="107" t="str">
        <f>B5&amp;C5&amp;D5</f>
        <v>unit_skills_data_starfestival.tmp</v>
      </c>
      <c r="F5" s="108" t="s">
        <v>145</v>
      </c>
      <c r="G5" s="117" t="s">
        <v>20</v>
      </c>
      <c r="H5" s="117" t="s">
        <v>146</v>
      </c>
      <c r="I5" s="117" t="s">
        <v>2</v>
      </c>
      <c r="J5" s="117" t="s">
        <v>147</v>
      </c>
      <c r="K5" s="117" t="s">
        <v>148</v>
      </c>
      <c r="L5" s="117" t="s">
        <v>4</v>
      </c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</row>
    <row r="6" spans="1:23" x14ac:dyDescent="0.15">
      <c r="A6" s="108" t="s">
        <v>255</v>
      </c>
      <c r="B6" s="108" t="s">
        <v>149</v>
      </c>
      <c r="C6" s="167" t="s">
        <v>253</v>
      </c>
      <c r="D6" s="108" t="s">
        <v>128</v>
      </c>
      <c r="E6" s="107" t="str">
        <f>B6&amp;C6&amp;D6</f>
        <v>unit_skills_i18n_starfestival.tmp</v>
      </c>
      <c r="F6" s="108" t="s">
        <v>145</v>
      </c>
      <c r="G6" s="117" t="s">
        <v>150</v>
      </c>
      <c r="H6" s="117" t="s">
        <v>134</v>
      </c>
      <c r="I6" s="117" t="s">
        <v>151</v>
      </c>
      <c r="J6" s="117" t="s">
        <v>152</v>
      </c>
      <c r="K6" s="111"/>
      <c r="L6" s="111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</row>
    <row r="7" spans="1:23" x14ac:dyDescent="0.15">
      <c r="A7" s="108" t="s">
        <v>255</v>
      </c>
      <c r="B7" s="108" t="s">
        <v>153</v>
      </c>
      <c r="C7" s="167" t="s">
        <v>253</v>
      </c>
      <c r="D7" s="108" t="s">
        <v>154</v>
      </c>
      <c r="E7" s="107" t="str">
        <f>B7&amp;C7&amp;D7</f>
        <v>crash_skills_data_starfestival.tmp</v>
      </c>
      <c r="F7" s="108" t="s">
        <v>155</v>
      </c>
      <c r="G7" s="117" t="s">
        <v>156</v>
      </c>
      <c r="H7" s="117" t="s">
        <v>148</v>
      </c>
      <c r="I7" s="117" t="s">
        <v>4</v>
      </c>
      <c r="J7" s="111"/>
      <c r="K7" s="111"/>
      <c r="L7" s="111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</row>
    <row r="8" spans="1:23" x14ac:dyDescent="0.15">
      <c r="A8" s="108" t="s">
        <v>255</v>
      </c>
      <c r="B8" s="108" t="s">
        <v>157</v>
      </c>
      <c r="C8" s="167" t="s">
        <v>253</v>
      </c>
      <c r="D8" s="108" t="s">
        <v>158</v>
      </c>
      <c r="E8" s="107" t="str">
        <f t="shared" ref="E8" si="1">B8&amp;C8&amp;D8</f>
        <v>crash_skills_i18n_starfestival.tmp</v>
      </c>
      <c r="F8" s="108" t="s">
        <v>155</v>
      </c>
      <c r="G8" s="117" t="s">
        <v>159</v>
      </c>
      <c r="H8" s="117" t="s">
        <v>160</v>
      </c>
      <c r="I8" s="117" t="s">
        <v>161</v>
      </c>
      <c r="J8" s="117" t="s">
        <v>162</v>
      </c>
      <c r="K8" s="118"/>
      <c r="L8" s="118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23" x14ac:dyDescent="0.15">
      <c r="A9" s="108" t="s">
        <v>255</v>
      </c>
      <c r="B9" s="111" t="s">
        <v>135</v>
      </c>
      <c r="C9" s="167" t="s">
        <v>253</v>
      </c>
      <c r="D9" s="108" t="s">
        <v>158</v>
      </c>
      <c r="E9" s="107" t="str">
        <f t="shared" ref="E9:E10" si="2">B9&amp;C9&amp;D9</f>
        <v>unit_serifs_data_starfestival.tmp</v>
      </c>
      <c r="F9" s="111" t="s">
        <v>137</v>
      </c>
      <c r="G9" s="116" t="s">
        <v>138</v>
      </c>
      <c r="H9" s="117" t="s">
        <v>139</v>
      </c>
      <c r="I9" s="117" t="s">
        <v>133</v>
      </c>
      <c r="J9" s="115" t="s">
        <v>190</v>
      </c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</row>
    <row r="10" spans="1:23" x14ac:dyDescent="0.15">
      <c r="A10" s="108" t="s">
        <v>254</v>
      </c>
      <c r="B10" s="111" t="s">
        <v>136</v>
      </c>
      <c r="C10" s="167" t="s">
        <v>253</v>
      </c>
      <c r="D10" s="108" t="s">
        <v>158</v>
      </c>
      <c r="E10" s="107" t="str">
        <f t="shared" si="2"/>
        <v>unit_serifs_i18n_starfestival.tmp</v>
      </c>
      <c r="F10" s="111" t="s">
        <v>137</v>
      </c>
      <c r="G10" s="116" t="s">
        <v>140</v>
      </c>
      <c r="H10" s="117" t="s">
        <v>141</v>
      </c>
      <c r="I10" s="117" t="s">
        <v>142</v>
      </c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workbookViewId="0">
      <pane xSplit="9" ySplit="1" topLeftCell="BJ2" activePane="bottomRight" state="frozen"/>
      <selection pane="topRight" activeCell="J1" sqref="J1"/>
      <selection pane="bottomLeft" activeCell="A3" sqref="A3"/>
      <selection pane="bottomRight" activeCell="BP7" sqref="BP7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5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0" t="s">
        <v>108</v>
      </c>
      <c r="B1" s="82" t="s">
        <v>44</v>
      </c>
      <c r="C1" s="85" t="s">
        <v>27</v>
      </c>
      <c r="D1" s="85" t="s">
        <v>30</v>
      </c>
      <c r="E1" s="85" t="s">
        <v>28</v>
      </c>
      <c r="F1" s="85" t="s">
        <v>29</v>
      </c>
      <c r="G1" s="80" t="s">
        <v>1</v>
      </c>
      <c r="H1" s="83" t="s">
        <v>19</v>
      </c>
      <c r="I1" s="84" t="s">
        <v>0</v>
      </c>
      <c r="J1" s="86" t="s">
        <v>49</v>
      </c>
      <c r="K1" s="86" t="s">
        <v>48</v>
      </c>
      <c r="L1" s="86" t="s">
        <v>50</v>
      </c>
      <c r="M1" s="86" t="s">
        <v>51</v>
      </c>
      <c r="N1" s="80" t="s">
        <v>3</v>
      </c>
      <c r="O1" s="87" t="s">
        <v>2</v>
      </c>
      <c r="P1" s="80" t="s">
        <v>97</v>
      </c>
      <c r="Q1" s="88" t="s">
        <v>18</v>
      </c>
      <c r="R1" s="79" t="s">
        <v>52</v>
      </c>
      <c r="S1" s="89" t="s">
        <v>23</v>
      </c>
      <c r="T1" s="89" t="s">
        <v>24</v>
      </c>
      <c r="U1" s="89" t="s">
        <v>26</v>
      </c>
      <c r="V1" s="89" t="s">
        <v>25</v>
      </c>
      <c r="W1" s="84" t="s">
        <v>32</v>
      </c>
      <c r="X1" s="85" t="s">
        <v>53</v>
      </c>
      <c r="Y1" s="84" t="s">
        <v>33</v>
      </c>
      <c r="Z1" s="85" t="s">
        <v>53</v>
      </c>
      <c r="AA1" s="86" t="s">
        <v>23</v>
      </c>
      <c r="AB1" s="86" t="s">
        <v>24</v>
      </c>
      <c r="AC1" s="86" t="s">
        <v>26</v>
      </c>
      <c r="AD1" s="86" t="s">
        <v>25</v>
      </c>
      <c r="AE1" s="90" t="s">
        <v>100</v>
      </c>
      <c r="AF1" s="79" t="s">
        <v>45</v>
      </c>
      <c r="AG1" s="91" t="s">
        <v>58</v>
      </c>
      <c r="AH1" s="79" t="s">
        <v>45</v>
      </c>
      <c r="AI1" s="91" t="s">
        <v>46</v>
      </c>
      <c r="AJ1" s="81" t="s">
        <v>67</v>
      </c>
      <c r="AK1" s="79" t="s">
        <v>21</v>
      </c>
      <c r="AL1" s="92" t="s">
        <v>68</v>
      </c>
      <c r="AM1" s="93" t="s">
        <v>66</v>
      </c>
      <c r="AN1" s="93" t="s">
        <v>69</v>
      </c>
      <c r="AO1" s="94" t="s">
        <v>31</v>
      </c>
      <c r="AP1" s="90" t="s">
        <v>20</v>
      </c>
      <c r="AQ1" s="95" t="s">
        <v>113</v>
      </c>
      <c r="AR1" s="95" t="s">
        <v>107</v>
      </c>
      <c r="AS1" s="79" t="s">
        <v>104</v>
      </c>
      <c r="AT1" s="90" t="s">
        <v>102</v>
      </c>
      <c r="AU1" s="79" t="s">
        <v>110</v>
      </c>
      <c r="AV1" s="95" t="s">
        <v>107</v>
      </c>
      <c r="AW1" s="79" t="s">
        <v>104</v>
      </c>
      <c r="AX1" s="85" t="s">
        <v>4</v>
      </c>
      <c r="AY1" s="96" t="s">
        <v>54</v>
      </c>
      <c r="AZ1" s="96" t="s">
        <v>55</v>
      </c>
      <c r="BA1" s="96" t="s">
        <v>114</v>
      </c>
      <c r="BB1" s="96" t="s">
        <v>56</v>
      </c>
      <c r="BC1" s="5" t="s">
        <v>22</v>
      </c>
      <c r="BD1" s="99" t="s">
        <v>34</v>
      </c>
      <c r="BE1" s="97" t="s">
        <v>5</v>
      </c>
      <c r="BF1" s="98" t="s">
        <v>6</v>
      </c>
      <c r="BG1" s="100" t="s">
        <v>70</v>
      </c>
      <c r="BH1" s="100" t="s">
        <v>71</v>
      </c>
      <c r="BI1" s="100" t="s">
        <v>72</v>
      </c>
      <c r="BJ1" s="100" t="s">
        <v>73</v>
      </c>
      <c r="BK1" s="101" t="s">
        <v>74</v>
      </c>
      <c r="BL1" s="101" t="s">
        <v>95</v>
      </c>
      <c r="BM1" s="101" t="s">
        <v>75</v>
      </c>
      <c r="BN1" s="101" t="s">
        <v>76</v>
      </c>
      <c r="BO1" s="102" t="s">
        <v>77</v>
      </c>
      <c r="BP1" s="103" t="s">
        <v>78</v>
      </c>
      <c r="BQ1" s="81" t="s">
        <v>86</v>
      </c>
      <c r="BR1" s="10" t="s">
        <v>293</v>
      </c>
    </row>
    <row r="2" spans="1:70" ht="26" customHeight="1" x14ac:dyDescent="0.15">
      <c r="A2" s="12">
        <v>1041</v>
      </c>
      <c r="B2" s="56" t="str">
        <f ca="1">VLOOKUP($A2,OFFSET([1]characters!$A$1,0,0,COUNTA([1]characters!$A:$A),MATCH(B$1,[1]characters!$1:$1,0)-MATCH($A$1,[1]characters!$1:$1,0)+1),MATCH(B$1,[1]characters!$1:$1,0)-MATCH($A$1,[1]characters!$1:$1,0)+1,FALSE)</f>
        <v>織姫</v>
      </c>
      <c r="C2" s="56" t="str">
        <f ca="1">VLOOKUP($A2,OFFSET([1]characters!$A$1,0,0,COUNTA([1]characters!$A:$A),MATCH(C$1,[1]characters!$1:$1,0)-MATCH($A$1,[1]characters!$1:$1,0)+1),MATCH(C$1,[1]characters!$1:$1,0)-MATCH($A$1,[1]characters!$1:$1,0)+1,FALSE)</f>
        <v>織姫(ベガ)</v>
      </c>
      <c r="D2" s="56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6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6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6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6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6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35</v>
      </c>
      <c r="O2" s="11">
        <f ca="1">INDEX(レベル!$A$1:$I$21,MATCH(H2,レベル!$A$1:$A$21,FALSE),MATCH(G2,レベル!$A$1:$I$1,FALSE))</f>
        <v>80</v>
      </c>
      <c r="P2" s="47">
        <f ca="1">IF(G2 &gt;= 6, 99,G2*15)</f>
        <v>75</v>
      </c>
      <c r="Q2" s="56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6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6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0.96</v>
      </c>
      <c r="AB2" s="11">
        <f ca="1">VLOOKUP(W2,[1]character_tribe_i18n!$A:$H,5,FALSE)</f>
        <v>1.02</v>
      </c>
      <c r="AC2" s="11">
        <f ca="1">VLOOKUP(W2,[1]character_tribe_i18n!$A:$H,6,FALSE)</f>
        <v>1</v>
      </c>
      <c r="AD2" s="11">
        <f ca="1">VLOOKUP(W2,[1]character_tribe_i18n!$A:$H,7,FALSE)</f>
        <v>1.02</v>
      </c>
      <c r="AE2" s="9">
        <v>1042</v>
      </c>
      <c r="AF2" s="61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希紡の天帝姫 織姫</v>
      </c>
      <c r="AG2" s="5">
        <f ca="1">IF(ISNA(MATCH(A2,AE:AE,0)),A2,INDIRECT(ADDRESS(MATCH(A2,AE:AE,0),COLUMN())))</f>
        <v>1041</v>
      </c>
      <c r="AH2" s="61" t="str">
        <f ca="1">VLOOKUP($AG2,OFFSET([1]characters!$A$1,0,0,COUNTA([1]characters!$A:$A),MATCH(AH$1,[1]characters!$1:$1,0)-MATCH($A$1,[1]characters!$1:$1,0)+1),MATCH(AH$1,[1]characters!$1:$1,0)-MATCH($A$1,[1]characters!$1:$1,0)+1,FALSE)</f>
        <v>織姫</v>
      </c>
      <c r="AI2" s="11">
        <f ca="1">IF(AE2="NULL","NULL",VLOOKUP(G2,ビット!$A$2:$B$7,2))</f>
        <v>200000</v>
      </c>
      <c r="AJ2" s="6">
        <v>2</v>
      </c>
      <c r="AK2" s="7" t="str">
        <f t="shared" ref="AK2:AK3" si="0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6400</v>
      </c>
      <c r="AN2" s="17">
        <f ca="1">VLOOKUP(G2,ビット!$G$2:$H$7,2)</f>
        <v>900</v>
      </c>
      <c r="AO2" s="44"/>
      <c r="AP2" s="66">
        <v>1041</v>
      </c>
      <c r="AQ2" s="56" t="str">
        <f ca="1">VLOOKUP($AP2,OFFSET(unit_skills!$A$1,0,0,COUNTA(unit_skills!$A:$A),MATCH(AQ$1,unit_skills!$1:$1,0)-MATCH($AP$1,unit_skills!$1:$1,0)+1),MATCH(AQ$1,unit_skills!$1:$1,0)-MATCH($AP$1,unit_skills!$1:$1,0)+1,FALSE)</f>
        <v>星河天譴</v>
      </c>
      <c r="AR2" s="56" t="str">
        <f ca="1">VLOOKUP($AP2,OFFSET(unit_skills!$A$1,0,0,COUNTA(unit_skills!$A:$A),MATCH(AR$1,unit_skills!$1:$1,0)-MATCH($AP$1,unit_skills!$1:$1,0)+1),MATCH(AR$1,unit_skills!$1:$1,0)-MATCH($AP$1,unit_skills!$1:$1,0)+1,FALSE)</f>
        <v>2ターンハートパネルの出現率を0にする+ランダムで最大7つ赤ボムパネルを生成し、時限式ダメージパネルをCパネルに変換</v>
      </c>
      <c r="AS2" s="56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6">
        <v>1041</v>
      </c>
      <c r="AU2" s="56" t="str">
        <f ca="1">VLOOKUP($AT2,OFFSET(crash_skills!$A$1,0,0,COUNTA(crash_skills!$A:$A),MATCH(AU$1,crash_skills!$1:$1,0)-MATCH($AT$1,crash_skills!$1:$1,0)+1),MATCH(AU$1,crash_skills!$1:$1,0)-MATCH($AT$1,crash_skills!$1:$1,0)+1,FALSE)</f>
        <v>シェリアク・ラピッズ</v>
      </c>
      <c r="AV2" s="56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1体に大ダメージ+_x000D_1ターン赤属性の攻撃力小UP</v>
      </c>
      <c r="AW2" s="56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7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7">
        <v>1</v>
      </c>
      <c r="AZ2" s="67">
        <v>1</v>
      </c>
      <c r="BA2" s="67">
        <v>0</v>
      </c>
      <c r="BB2" s="67">
        <v>1.1000000000000001</v>
      </c>
      <c r="BC2" s="11">
        <f ca="1">INDEX('RC6SV'!$A$1:$G$20,MATCH(H2,'RC6SV'!$A$1:$A$20,FALSE),MATCH(G2,'RC6SV'!$A$1:$G$1,FALSE))</f>
        <v>9500</v>
      </c>
      <c r="BD2" s="47">
        <f t="shared" ref="BD2:BD3" ca="1" si="1">ROUND(BC2*IF(AJ2=1,0.95,IF(AJ2=2,1,IF(AJ2,1.05,0))),0)</f>
        <v>9500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2280</v>
      </c>
      <c r="BH2" s="16">
        <f ca="1">IF($BE2&lt;=0,ROUND(BL2*0.5,0), ROUND($BE2*T2*AB2*K2*AZ2*0.8*[1]ステータス!$C$2,0))</f>
        <v>1972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875</v>
      </c>
      <c r="BK2" s="11">
        <f ca="1">ROUND(BD2*S2*AA2*J2*AY2*[1]ステータス!$B$2,0)</f>
        <v>4560</v>
      </c>
      <c r="BL2" s="11">
        <f ca="1">ROUND(BD2*T2*AB2*K2*AZ2*[1]ステータス!$C$2,0)</f>
        <v>3944</v>
      </c>
      <c r="BM2" s="11">
        <f ca="1">ROUND(BD2*U2*AC2*L2*BA2*[1]ステータス!$D$2,0)</f>
        <v>0</v>
      </c>
      <c r="BN2" s="11">
        <f ca="1">ROUND(BD2*V2*AD2*M2*BB2*[1]ステータス!$E$2,0)</f>
        <v>1750</v>
      </c>
      <c r="BO2" s="10">
        <v>0</v>
      </c>
      <c r="BP2" s="10">
        <v>1</v>
      </c>
      <c r="BQ2" s="10" t="s">
        <v>47</v>
      </c>
      <c r="BR2" s="170">
        <v>785</v>
      </c>
    </row>
    <row r="3" spans="1:70" ht="26" customHeight="1" x14ac:dyDescent="0.15">
      <c r="A3" s="12">
        <v>1042</v>
      </c>
      <c r="B3" s="56" t="str">
        <f ca="1">VLOOKUP($A3,OFFSET([1]characters!$A$1,0,0,COUNTA([1]characters!$A:$A),MATCH(B$1,[1]characters!$1:$1,0)-MATCH($A$1,[1]characters!$1:$1,0)+1),MATCH(B$1,[1]characters!$1:$1,0)-MATCH($A$1,[1]characters!$1:$1,0)+1,FALSE)</f>
        <v>希紡の天帝姫 織姫</v>
      </c>
      <c r="C3" s="56" t="str">
        <f ca="1">VLOOKUP($A3,OFFSET([1]characters!$A$1,0,0,COUNTA([1]characters!$A:$A),MATCH(C$1,[1]characters!$1:$1,0)-MATCH($A$1,[1]characters!$1:$1,0)+1),MATCH(C$1,[1]characters!$1:$1,0)-MATCH($A$1,[1]characters!$1:$1,0)+1,FALSE)</f>
        <v>織姫(ベガ)</v>
      </c>
      <c r="D3" s="56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6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6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6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6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6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INDEX(コスト!$A$1:$I$20,MATCH(H3,コスト!$A$1:$A$20,FALSE),MATCH(G3,コスト!$A$1:$I$1,FALSE))</f>
        <v>50</v>
      </c>
      <c r="O3" s="11">
        <f ca="1">INDEX(レベル!$A$1:$I$21,MATCH(H3,レベル!$A$1:$A$21,FALSE),MATCH(G3,レベル!$A$1:$I$1,FALSE))</f>
        <v>99</v>
      </c>
      <c r="P3" s="47">
        <f t="shared" ref="P3:P4" ca="1" si="2">IF(G3 &gt;= 6, 99,G3*15)</f>
        <v>99</v>
      </c>
      <c r="Q3" s="56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6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6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0.96</v>
      </c>
      <c r="AB3" s="11">
        <f ca="1">VLOOKUP(W3,[1]character_tribe_i18n!$A:$H,5,FALSE)</f>
        <v>1.02</v>
      </c>
      <c r="AC3" s="11">
        <f ca="1">VLOOKUP(W3,[1]character_tribe_i18n!$A:$H,6,FALSE)</f>
        <v>1</v>
      </c>
      <c r="AD3" s="11">
        <f ca="1">VLOOKUP(W3,[1]character_tribe_i18n!$A:$H,7,FALSE)</f>
        <v>1.02</v>
      </c>
      <c r="AE3" s="9" t="s">
        <v>183</v>
      </c>
      <c r="AF3" s="61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ca="1">IF(ISNA(MATCH(A3,AE:AE,0)),A3,INDIRECT(ADDRESS(MATCH(A3,AE:AE,0),COLUMN())))</f>
        <v>1041</v>
      </c>
      <c r="AH3" s="61" t="str">
        <f ca="1">VLOOKUP($AG3,OFFSET([1]characters!$A$1,0,0,COUNTA([1]characters!$A:$A),MATCH(AH$1,[1]characters!$1:$1,0)-MATCH($A$1,[1]characters!$1:$1,0)+1),MATCH(AH$1,[1]characters!$1:$1,0)-MATCH($A$1,[1]characters!$1:$1,0)+1,FALSE)</f>
        <v>織姫</v>
      </c>
      <c r="AI3" s="11" t="str">
        <f>IF(AE3="NULL","NULL",VLOOKUP(G3,ビット!$A$2:$B$7,2))</f>
        <v>NULL</v>
      </c>
      <c r="AJ3" s="6">
        <v>2</v>
      </c>
      <c r="AK3" s="7" t="str">
        <f t="shared" si="0"/>
        <v>普通</v>
      </c>
      <c r="AL3" s="11" t="str">
        <f ca="1">INDEX(経験値!$A$1:$I$20,MATCH(H3,経験値!$A$1:$A$20,FALSE),MATCH(G3,経験値!$A$1:$I$1,FALSE))</f>
        <v>required_exp_250</v>
      </c>
      <c r="AM3" s="8">
        <f ca="1">VLOOKUP(G3,経験値!$A$27:$B$31,2)</f>
        <v>6400</v>
      </c>
      <c r="AN3" s="17">
        <f ca="1">VLOOKUP(G3,ビット!$G$2:$H$7,2)</f>
        <v>900</v>
      </c>
      <c r="AO3" s="44"/>
      <c r="AP3" s="66">
        <v>1042</v>
      </c>
      <c r="AQ3" s="56" t="str">
        <f ca="1">VLOOKUP($AP3,OFFSET(unit_skills!$A$1,0,0,COUNTA(unit_skills!$A:$A),MATCH(AQ$1,unit_skills!$1:$1,0)-MATCH($AP$1,unit_skills!$1:$1,0)+1),MATCH(AQ$1,unit_skills!$1:$1,0)-MATCH($AP$1,unit_skills!$1:$1,0)+1,FALSE)</f>
        <v>月船天誅</v>
      </c>
      <c r="AR3" s="56" t="str">
        <f ca="1">VLOOKUP($AP3,OFFSET(unit_skills!$A$1,0,0,COUNTA(unit_skills!$A:$A),MATCH(AR$1,unit_skills!$1:$1,0)-MATCH($AP$1,unit_skills!$1:$1,0)+1),MATCH(AR$1,unit_skills!$1:$1,0)-MATCH($AP$1,unit_skills!$1:$1,0)+1,FALSE)</f>
        <v>2ターンハートパネルの出現率を0にする+ランダムで最大7つ赤ボムパネルを生成し、時限式ダメージパネルをCパネルに変換</v>
      </c>
      <c r="AS3" s="56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6">
        <v>1042</v>
      </c>
      <c r="AU3" s="56" t="str">
        <f ca="1">VLOOKUP($AT3,OFFSET(crash_skills!$A$1,0,0,COUNTA(crash_skills!$A:$A),MATCH(AU$1,crash_skills!$1:$1,0)-MATCH($AT$1,crash_skills!$1:$1,0)+1),MATCH(AU$1,crash_skills!$1:$1,0)-MATCH($AT$1,crash_skills!$1:$1,0)+1,FALSE)</f>
        <v>スラファト・ロウラ</v>
      </c>
      <c r="AV3" s="56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1体に特大ダメージ+_x000D_1ターン赤属性の攻撃力小UP</v>
      </c>
      <c r="AW3" s="56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7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7">
        <v>1</v>
      </c>
      <c r="AZ3" s="67">
        <v>1</v>
      </c>
      <c r="BA3" s="67">
        <v>0</v>
      </c>
      <c r="BB3" s="67">
        <v>1.1000000000000001</v>
      </c>
      <c r="BC3" s="11">
        <f ca="1">INDEX('RC6SV'!$A$1:$G$20,MATCH(H3,'RC6SV'!$A$1:$A$20,FALSE),MATCH(G3,'RC6SV'!$A$1:$G$1,FALSE))</f>
        <v>13000</v>
      </c>
      <c r="BD3" s="47">
        <f t="shared" ca="1" si="1"/>
        <v>13000</v>
      </c>
      <c r="BE3" s="11">
        <f ca="1">ROUND(IFERROR(INDIRECT(ADDRESS(MATCH($A3,$AE:$AE,0),MATCH($BC$1,$1:$1,0))),0),0)</f>
        <v>9500</v>
      </c>
      <c r="BF3" s="11">
        <f ca="1">ROUND(IFERROR(INDIRECT(ADDRESS(MATCH($A3,$AE:$AE,0),10)),INDIRECT(ADDRESS(MATCH($A3,$A:$A,0),10))),0)</f>
        <v>1</v>
      </c>
      <c r="BG3" s="16">
        <f ca="1">IF($BE3&lt;=0,ROUND(BK3*0.5,0), ROUND($BE3*S3*AA3*J3*AY3*0.8*[1]ステータス!$B$2,0))</f>
        <v>3648</v>
      </c>
      <c r="BH3" s="16">
        <f ca="1">IF($BE3&lt;=0,ROUND(BL3*0.5,0), ROUND($BE3*T3*AB3*K3*AZ3*0.8*[1]ステータス!$C$2,0))</f>
        <v>3155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1400</v>
      </c>
      <c r="BK3" s="11">
        <f ca="1">ROUND(BD3*S3*AA3*J3*AY3*[1]ステータス!$B$2,0)</f>
        <v>6240</v>
      </c>
      <c r="BL3" s="11">
        <f ca="1">ROUND(BD3*T3*AB3*K3*AZ3*[1]ステータス!$C$2,0)</f>
        <v>5397</v>
      </c>
      <c r="BM3" s="11">
        <f ca="1">ROUND(BD3*U3*AC3*L3*BA3*[1]ステータス!$D$2,0)</f>
        <v>0</v>
      </c>
      <c r="BN3" s="11">
        <f ca="1">ROUND(BD3*V3*AD3*M3*BB3*[1]ステータス!$E$2,0)</f>
        <v>2394</v>
      </c>
      <c r="BO3" s="10">
        <v>0</v>
      </c>
      <c r="BP3" s="10">
        <v>1</v>
      </c>
      <c r="BQ3" s="10" t="s">
        <v>47</v>
      </c>
      <c r="BR3" s="170">
        <v>785</v>
      </c>
    </row>
    <row r="4" spans="1:70" ht="26" customHeight="1" x14ac:dyDescent="0.15">
      <c r="A4" s="12">
        <v>1043</v>
      </c>
      <c r="B4" s="56" t="str">
        <f ca="1">VLOOKUP($A4,OFFSET([1]characters!$A$1,0,0,COUNTA([1]characters!$A:$A),MATCH(B$1,[1]characters!$1:$1,0)-MATCH($A$1,[1]characters!$1:$1,0)+1),MATCH(B$1,[1]characters!$1:$1,0)-MATCH($A$1,[1]characters!$1:$1,0)+1,FALSE)</f>
        <v>彦星</v>
      </c>
      <c r="C4" s="56" t="str">
        <f ca="1">VLOOKUP($A4,OFFSET([1]characters!$A$1,0,0,COUNTA([1]characters!$A:$A),MATCH(C$1,[1]characters!$1:$1,0)-MATCH($A$1,[1]characters!$1:$1,0)+1),MATCH(C$1,[1]characters!$1:$1,0)-MATCH($A$1,[1]characters!$1:$1,0)+1,FALSE)</f>
        <v>彦星(アルタイル)</v>
      </c>
      <c r="D4" s="56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6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6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6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6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6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INDEX(コスト!$A$1:$I$20,MATCH(H4,コスト!$A$1:$A$20,FALSE),MATCH(G4,コスト!$A$1:$I$1,FALSE))</f>
        <v>30</v>
      </c>
      <c r="O4" s="11">
        <f ca="1">INDEX(レベル!$A$1:$I$21,MATCH(H4,レベル!$A$1:$A$21,FALSE),MATCH(G4,レベル!$A$1:$I$1,FALSE))</f>
        <v>80</v>
      </c>
      <c r="P4" s="47">
        <f t="shared" ca="1" si="2"/>
        <v>75</v>
      </c>
      <c r="Q4" s="56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1">
        <f ca="1">VLOOKUP(Q4,[1]character_type_i18n!$A:$H,4,FALSE)</f>
        <v>0.9</v>
      </c>
      <c r="T4" s="11">
        <f ca="1">VLOOKUP(Q4,[1]character_type_i18n!$A:$H,5,FALSE)</f>
        <v>0.9</v>
      </c>
      <c r="U4" s="11">
        <f ca="1">VLOOKUP(Q4,[1]character_type_i18n!$A:$H,6,FALSE)</f>
        <v>1</v>
      </c>
      <c r="V4" s="11">
        <f ca="1">VLOOKUP(Q4,[1]character_type_i18n!$A:$H,7,FALSE)</f>
        <v>0.9</v>
      </c>
      <c r="W4" s="56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6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0.96</v>
      </c>
      <c r="AB4" s="11">
        <f ca="1">VLOOKUP(W4,[1]character_tribe_i18n!$A:$H,5,FALSE)</f>
        <v>1.02</v>
      </c>
      <c r="AC4" s="11">
        <f ca="1">VLOOKUP(W4,[1]character_tribe_i18n!$A:$H,6,FALSE)</f>
        <v>1</v>
      </c>
      <c r="AD4" s="11">
        <f ca="1">VLOOKUP(W4,[1]character_tribe_i18n!$A:$H,7,FALSE)</f>
        <v>1.02</v>
      </c>
      <c r="AE4" s="9">
        <v>1044</v>
      </c>
      <c r="AF4" s="61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恋狩の色星主  彦星</v>
      </c>
      <c r="AG4" s="5">
        <f ca="1">IF(ISNA(MATCH(A4,AE:AE,0)),A4,INDIRECT(ADDRESS(MATCH(A4,AE:AE,0),COLUMN())))</f>
        <v>1043</v>
      </c>
      <c r="AH4" s="61" t="str">
        <f ca="1">VLOOKUP($AG4,OFFSET([1]characters!$A$1,0,0,COUNTA([1]characters!$A:$A),MATCH(AH$1,[1]characters!$1:$1,0)-MATCH($A$1,[1]characters!$1:$1,0)+1),MATCH(AH$1,[1]characters!$1:$1,0)-MATCH($A$1,[1]characters!$1:$1,0)+1,FALSE)</f>
        <v>彦星</v>
      </c>
      <c r="AI4" s="11">
        <f ca="1">IF(AE4="NULL","NULL",VLOOKUP(G4,ビット!$A$2:$B$7,2))</f>
        <v>200000</v>
      </c>
      <c r="AJ4" s="6">
        <v>2</v>
      </c>
      <c r="AK4" s="7" t="str">
        <f t="shared" ref="AK4:AK5" si="3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6400</v>
      </c>
      <c r="AN4" s="17">
        <f ca="1">VLOOKUP(G4,ビット!$G$2:$H$7,2)</f>
        <v>900</v>
      </c>
      <c r="AO4" s="44"/>
      <c r="AP4" s="66">
        <v>1043</v>
      </c>
      <c r="AQ4" s="56" t="str">
        <f ca="1">VLOOKUP($AP4,OFFSET(unit_skills!$A$1,0,0,COUNTA(unit_skills!$A:$A),MATCH(AQ$1,unit_skills!$1:$1,0)-MATCH($AP$1,unit_skills!$1:$1,0)+1),MATCH(AQ$1,unit_skills!$1:$1,0)-MATCH($AP$1,unit_skills!$1:$1,0)+1,FALSE)</f>
        <v>ミーティア･トライアングル</v>
      </c>
      <c r="AR4" s="56" t="str">
        <f ca="1">VLOOKUP($AP4,OFFSET(unit_skills!$A$1,0,0,COUNTA(unit_skills!$A:$A),MATCH(AR$1,unit_skills!$1:$1,0)-MATCH($AP$1,unit_skills!$1:$1,0)+1),MATCH(AR$1,unit_skills!$1:$1,0)-MATCH($AP$1,unit_skills!$1:$1,0)+1,FALSE)</f>
        <v>ランダムで最大7つ緑ボムパネル(大)を生成+2ターンハートボムパネルをドロップ</v>
      </c>
      <c r="AS4" s="56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6">
        <v>1043</v>
      </c>
      <c r="AU4" s="56" t="str">
        <f ca="1">VLOOKUP($AT4,OFFSET(crash_skills!$A$1,0,0,COUNTA(crash_skills!$A:$A),MATCH(AU$1,crash_skills!$1:$1,0)-MATCH($AT$1,crash_skills!$1:$1,0)+1),MATCH(AU$1,crash_skills!$1:$1,0)-MATCH($AT$1,crash_skills!$1:$1,0)+1,FALSE)</f>
        <v>タラゼド・フレア</v>
      </c>
      <c r="AV4" s="56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1体に特大ダメージ+_x000D_1ターン緑属性の回復力中UP</v>
      </c>
      <c r="AW4" s="56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7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7">
        <v>1</v>
      </c>
      <c r="AZ4" s="67">
        <v>1.2</v>
      </c>
      <c r="BA4" s="67">
        <v>0</v>
      </c>
      <c r="BB4" s="67">
        <v>1.1000000000000001</v>
      </c>
      <c r="BC4" s="11">
        <f ca="1">INDEX('RC6SV'!$A$1:$G$20,MATCH(H4,'RC6SV'!$A$1:$A$20,FALSE),MATCH(G4,'RC6SV'!$A$1:$G$1,FALSE))</f>
        <v>9000</v>
      </c>
      <c r="BD4" s="47">
        <f t="shared" ref="BD4:BD5" ca="1" si="4">ROUND(BC4*IF(AJ4=1,0.95,IF(AJ4=2,1,IF(AJ4,1.05,0))),0)</f>
        <v>9000</v>
      </c>
      <c r="BE4" s="11">
        <f ca="1">ROUND(IFERROR(INDIRECT(ADDRESS(MATCH($A4,$AE:$AE,0),MATCH($BC$1,$1:$1,0))),0),0)</f>
        <v>0</v>
      </c>
      <c r="BF4" s="11">
        <f ca="1">ROUND(IFERROR(INDIRECT(ADDRESS(MATCH($A4,$AE:$AE,0),10)),INDIRECT(ADDRESS(MATCH($A4,$A:$A,0),10))),0)</f>
        <v>1</v>
      </c>
      <c r="BG4" s="16">
        <f ca="1">IF($BE4&lt;=0,ROUND(BK4*0.5,0), ROUND($BE4*S4*AA4*J4*AY4*0.8*[1]ステータス!$B$2,0))</f>
        <v>1983</v>
      </c>
      <c r="BH4" s="16">
        <f ca="1">IF($BE4&lt;=0,ROUND(BL4*0.5,0), ROUND($BE4*T4*AB4*K4*AZ4*0.8*[1]ステータス!$C$2,0))</f>
        <v>1458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1136</v>
      </c>
      <c r="BK4" s="11">
        <f ca="1">ROUND(BD4*S4*AA4*J4*AY4*[1]ステータス!$B$2,0)</f>
        <v>3966</v>
      </c>
      <c r="BL4" s="11">
        <f ca="1">ROUND(BD4*T4*AB4*K4*AZ4*[1]ステータス!$C$2,0)</f>
        <v>2915</v>
      </c>
      <c r="BM4" s="11">
        <f ca="1">ROUND(BD4*U4*AC4*L4*BA4*[1]ステータス!$D$2,0)</f>
        <v>0</v>
      </c>
      <c r="BN4" s="11">
        <f ca="1">ROUND(BD4*V4*AD4*M4*BB4*[1]ステータス!$E$2,0)</f>
        <v>2272</v>
      </c>
      <c r="BO4" s="10">
        <v>0</v>
      </c>
      <c r="BP4" s="10">
        <v>1</v>
      </c>
      <c r="BQ4" s="10" t="s">
        <v>47</v>
      </c>
      <c r="BR4" s="170">
        <v>1</v>
      </c>
    </row>
    <row r="5" spans="1:70" ht="26" customHeight="1" x14ac:dyDescent="0.15">
      <c r="A5" s="12">
        <v>1044</v>
      </c>
      <c r="B5" s="56" t="str">
        <f ca="1">VLOOKUP($A5,OFFSET([1]characters!$A$1,0,0,COUNTA([1]characters!$A:$A),MATCH(B$1,[1]characters!$1:$1,0)-MATCH($A$1,[1]characters!$1:$1,0)+1),MATCH(B$1,[1]characters!$1:$1,0)-MATCH($A$1,[1]characters!$1:$1,0)+1,FALSE)</f>
        <v>恋狩の色星主  彦星</v>
      </c>
      <c r="C5" s="56" t="str">
        <f ca="1">VLOOKUP($A5,OFFSET([1]characters!$A$1,0,0,COUNTA([1]characters!$A:$A),MATCH(C$1,[1]characters!$1:$1,0)-MATCH($A$1,[1]characters!$1:$1,0)+1),MATCH(C$1,[1]characters!$1:$1,0)-MATCH($A$1,[1]characters!$1:$1,0)+1,FALSE)</f>
        <v>彦星(アルタイル)</v>
      </c>
      <c r="D5" s="56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6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6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6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6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6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INDEX(コスト!$A$1:$I$20,MATCH(H5,コスト!$A$1:$A$20,FALSE),MATCH(G5,コスト!$A$1:$I$1,FALSE))</f>
        <v>45</v>
      </c>
      <c r="O5" s="11">
        <f ca="1">INDEX(レベル!$A$1:$I$21,MATCH(H5,レベル!$A$1:$A$21,FALSE),MATCH(G5,レベル!$A$1:$I$1,FALSE))</f>
        <v>99</v>
      </c>
      <c r="P5" s="47">
        <f t="shared" ref="P5" ca="1" si="5">IF(G5 &gt;= 6, 99,G5*15)</f>
        <v>99</v>
      </c>
      <c r="Q5" s="56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1">
        <f ca="1">VLOOKUP(Q5,[1]character_type_i18n!$A:$H,4,FALSE)</f>
        <v>0.9</v>
      </c>
      <c r="T5" s="11">
        <f ca="1">VLOOKUP(Q5,[1]character_type_i18n!$A:$H,5,FALSE)</f>
        <v>0.9</v>
      </c>
      <c r="U5" s="11">
        <f ca="1">VLOOKUP(Q5,[1]character_type_i18n!$A:$H,6,FALSE)</f>
        <v>1</v>
      </c>
      <c r="V5" s="11">
        <f ca="1">VLOOKUP(Q5,[1]character_type_i18n!$A:$H,7,FALSE)</f>
        <v>0.9</v>
      </c>
      <c r="W5" s="56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6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0.96</v>
      </c>
      <c r="AB5" s="11">
        <f ca="1">VLOOKUP(W5,[1]character_tribe_i18n!$A:$H,5,FALSE)</f>
        <v>1.02</v>
      </c>
      <c r="AC5" s="11">
        <f ca="1">VLOOKUP(W5,[1]character_tribe_i18n!$A:$H,6,FALSE)</f>
        <v>1</v>
      </c>
      <c r="AD5" s="11">
        <f ca="1">VLOOKUP(W5,[1]character_tribe_i18n!$A:$H,7,FALSE)</f>
        <v>1.02</v>
      </c>
      <c r="AE5" s="9" t="s">
        <v>183</v>
      </c>
      <c r="AF5" s="61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ca="1">IF(ISNA(MATCH(A5,AE:AE,0)),A5,INDIRECT(ADDRESS(MATCH(A5,AE:AE,0),COLUMN())))</f>
        <v>1043</v>
      </c>
      <c r="AH5" s="61" t="str">
        <f ca="1">VLOOKUP($AG5,OFFSET([1]characters!$A$1,0,0,COUNTA([1]characters!$A:$A),MATCH(AH$1,[1]characters!$1:$1,0)-MATCH($A$1,[1]characters!$1:$1,0)+1),MATCH(AH$1,[1]characters!$1:$1,0)-MATCH($A$1,[1]characters!$1:$1,0)+1,FALSE)</f>
        <v>彦星</v>
      </c>
      <c r="AI5" s="11" t="str">
        <f>IF(AE5="NULL","NULL",VLOOKUP(G5,ビット!$A$2:$B$7,2))</f>
        <v>NULL</v>
      </c>
      <c r="AJ5" s="6">
        <v>2</v>
      </c>
      <c r="AK5" s="7" t="str">
        <f t="shared" si="3"/>
        <v>普通</v>
      </c>
      <c r="AL5" s="11" t="str">
        <f ca="1">INDEX(経験値!$A$1:$I$20,MATCH(H5,経験値!$A$1:$A$20,FALSE),MATCH(G5,経験値!$A$1:$I$1,FALSE))</f>
        <v>required_exp_250</v>
      </c>
      <c r="AM5" s="8">
        <f ca="1">VLOOKUP(G5,経験値!$A$27:$B$31,2)</f>
        <v>6400</v>
      </c>
      <c r="AN5" s="17">
        <f ca="1">VLOOKUP(G5,ビット!$G$2:$H$7,2)</f>
        <v>900</v>
      </c>
      <c r="AO5" s="44"/>
      <c r="AP5" s="66">
        <v>1044</v>
      </c>
      <c r="AQ5" s="56" t="str">
        <f ca="1">VLOOKUP($AP5,OFFSET(unit_skills!$A$1,0,0,COUNTA(unit_skills!$A:$A),MATCH(AQ$1,unit_skills!$1:$1,0)-MATCH($AP$1,unit_skills!$1:$1,0)+1),MATCH(AQ$1,unit_skills!$1:$1,0)-MATCH($AP$1,unit_skills!$1:$1,0)+1,FALSE)</f>
        <v>アクィラ･トライアングル</v>
      </c>
      <c r="AR5" s="56" t="str">
        <f ca="1">VLOOKUP($AP5,OFFSET(unit_skills!$A$1,0,0,COUNTA(unit_skills!$A:$A),MATCH(AR$1,unit_skills!$1:$1,0)-MATCH($AP$1,unit_skills!$1:$1,0)+1),MATCH(AR$1,unit_skills!$1:$1,0)-MATCH($AP$1,unit_skills!$1:$1,0)+1,FALSE)</f>
        <v>ランダムで最大7つ緑ボムパネル(大)を生成+2ターンハートボムパネルをドロップ</v>
      </c>
      <c r="AS5" s="56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6">
        <v>1044</v>
      </c>
      <c r="AU5" s="56" t="str">
        <f ca="1">VLOOKUP($AT5,OFFSET(crash_skills!$A$1,0,0,COUNTA(crash_skills!$A:$A),MATCH(AU$1,crash_skills!$1:$1,0)-MATCH($AT$1,crash_skills!$1:$1,0)+1),MATCH(AU$1,crash_skills!$1:$1,0)-MATCH($AT$1,crash_skills!$1:$1,0)+1,FALSE)</f>
        <v>アルシャイン・ウィンク</v>
      </c>
      <c r="AV5" s="56" t="str">
        <f ca="1">VLOOKUP($AT5,OFFSET(crash_skills!$A$1,0,0,COUNTA(crash_skills!$A:$A),MATCH(AV$1,crash_skills!$1:$1,0)-MATCH($AT$1,crash_skills!$1:$1,0)+1),MATCH(AV$1,crash_skills!$1:$1,0)-MATCH($AT$1,crash_skills!$1:$1,0)+1,FALSE)</f>
        <v>1体に超大ダメージ+_x000D_1ターン緑属性の回復力中UP</v>
      </c>
      <c r="AW5" s="56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7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7">
        <v>1.0900000000000001</v>
      </c>
      <c r="AZ5" s="67">
        <v>1.3</v>
      </c>
      <c r="BA5" s="67">
        <v>0</v>
      </c>
      <c r="BB5" s="67">
        <v>1.1000000000000001</v>
      </c>
      <c r="BC5" s="11">
        <f ca="1">INDEX('RC6SV'!$A$1:$G$20,MATCH(H5,'RC6SV'!$A$1:$A$20,FALSE),MATCH(G5,'RC6SV'!$A$1:$G$1,FALSE))</f>
        <v>12000</v>
      </c>
      <c r="BD5" s="47">
        <f t="shared" ca="1" si="4"/>
        <v>12000</v>
      </c>
      <c r="BE5" s="11">
        <f ca="1">ROUND(IFERROR(INDIRECT(ADDRESS(MATCH($A5,$AE:$AE,0),MATCH($BC$1,$1:$1,0))),0),0)</f>
        <v>9000</v>
      </c>
      <c r="BF5" s="11">
        <f ca="1">ROUND(IFERROR(INDIRECT(ADDRESS(MATCH($A5,$AE:$AE,0),10)),INDIRECT(ADDRESS(MATCH($A5,$A:$A,0),10))),0)</f>
        <v>1</v>
      </c>
      <c r="BG5" s="16">
        <f ca="1">IF($BE5&lt;=0,ROUND(BK5*0.5,0), ROUND($BE5*S5*AA5*J5*AY5*0.8*[1]ステータス!$B$2,0))</f>
        <v>3458</v>
      </c>
      <c r="BH5" s="16">
        <f ca="1">IF($BE5&lt;=0,ROUND(BL5*0.5,0), ROUND($BE5*T5*AB5*K5*AZ5*0.8*[1]ステータス!$C$2,0))</f>
        <v>2526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1818</v>
      </c>
      <c r="BK5" s="11">
        <f ca="1">ROUND(BD5*S5*AA5*J5*AY5*[1]ステータス!$B$2,0)</f>
        <v>5764</v>
      </c>
      <c r="BL5" s="11">
        <f ca="1">ROUND(BD5*T5*AB5*K5*AZ5*[1]ステータス!$C$2,0)</f>
        <v>4210</v>
      </c>
      <c r="BM5" s="11">
        <f ca="1">ROUND(BD5*U5*AC5*L5*BA5*[1]ステータス!$D$2,0)</f>
        <v>0</v>
      </c>
      <c r="BN5" s="11">
        <f ca="1">ROUND(BD5*V5*AD5*M5*BB5*[1]ステータス!$E$2,0)</f>
        <v>3029</v>
      </c>
      <c r="BO5" s="10">
        <v>0</v>
      </c>
      <c r="BP5" s="10">
        <v>1</v>
      </c>
      <c r="BQ5" s="10" t="s">
        <v>47</v>
      </c>
      <c r="BR5" s="170">
        <v>1</v>
      </c>
    </row>
  </sheetData>
  <autoFilter ref="A1:BQ1"/>
  <phoneticPr fontId="10"/>
  <conditionalFormatting sqref="BO1">
    <cfRule type="cellIs" dxfId="27" priority="120" stopIfTrue="1" operator="equal">
      <formula>1</formula>
    </cfRule>
  </conditionalFormatting>
  <conditionalFormatting sqref="BQ1">
    <cfRule type="cellIs" dxfId="26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5"/>
  <sheetViews>
    <sheetView showGridLines="0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I3" sqref="I3"/>
    </sheetView>
  </sheetViews>
  <sheetFormatPr baseColWidth="12" defaultColWidth="13" defaultRowHeight="21" customHeight="1" outlineLevelCol="1" x14ac:dyDescent="0.15"/>
  <cols>
    <col min="1" max="1" width="16.1640625" style="131" bestFit="1" customWidth="1"/>
    <col min="2" max="2" width="13" style="131" bestFit="1" customWidth="1"/>
    <col min="3" max="3" width="21.83203125" style="131" customWidth="1"/>
    <col min="4" max="4" width="41.83203125" style="131" customWidth="1"/>
    <col min="5" max="5" width="9" style="131" customWidth="1"/>
    <col min="6" max="6" width="7.83203125" style="131" bestFit="1" customWidth="1"/>
    <col min="7" max="7" width="8.1640625" style="131" bestFit="1" customWidth="1"/>
    <col min="8" max="8" width="13.6640625" style="131" bestFit="1" customWidth="1"/>
    <col min="9" max="10" width="51.6640625" style="131" customWidth="1"/>
    <col min="11" max="11" width="10.83203125" style="131" customWidth="1" outlineLevel="1"/>
    <col min="12" max="17" width="9.5" style="130" customWidth="1" outlineLevel="1"/>
    <col min="18" max="18" width="20.33203125" style="131" customWidth="1" outlineLevel="1"/>
    <col min="19" max="19" width="10.33203125" style="131" bestFit="1" customWidth="1"/>
    <col min="20" max="16384" width="13" style="131"/>
  </cols>
  <sheetData>
    <row r="1" spans="1:19" s="130" customFormat="1" ht="21" customHeight="1" x14ac:dyDescent="0.15">
      <c r="A1" s="119" t="s">
        <v>20</v>
      </c>
      <c r="B1" s="120" t="s">
        <v>134</v>
      </c>
      <c r="C1" s="121" t="s">
        <v>40</v>
      </c>
      <c r="D1" s="122" t="s">
        <v>163</v>
      </c>
      <c r="E1" s="122" t="s">
        <v>164</v>
      </c>
      <c r="F1" s="119" t="s">
        <v>146</v>
      </c>
      <c r="G1" s="123" t="s">
        <v>2</v>
      </c>
      <c r="H1" s="123" t="s">
        <v>165</v>
      </c>
      <c r="I1" s="123" t="s">
        <v>166</v>
      </c>
      <c r="J1" s="124" t="s">
        <v>184</v>
      </c>
      <c r="K1" s="123" t="s">
        <v>4</v>
      </c>
      <c r="L1" s="125" t="s">
        <v>167</v>
      </c>
      <c r="M1" s="126" t="s">
        <v>168</v>
      </c>
      <c r="N1" s="126" t="s">
        <v>169</v>
      </c>
      <c r="O1" s="126" t="s">
        <v>170</v>
      </c>
      <c r="P1" s="126" t="s">
        <v>171</v>
      </c>
      <c r="Q1" s="127" t="s">
        <v>172</v>
      </c>
      <c r="R1" s="128" t="s">
        <v>173</v>
      </c>
      <c r="S1" s="129" t="s">
        <v>174</v>
      </c>
    </row>
    <row r="2" spans="1:19" ht="21" customHeight="1" x14ac:dyDescent="0.15">
      <c r="A2" s="12">
        <v>1041</v>
      </c>
      <c r="B2" s="134" t="s">
        <v>185</v>
      </c>
      <c r="C2" s="135" t="s">
        <v>256</v>
      </c>
      <c r="D2" s="135" t="s">
        <v>288</v>
      </c>
      <c r="E2" s="136">
        <f>LEN(D2)</f>
        <v>58</v>
      </c>
      <c r="F2" s="118">
        <v>12</v>
      </c>
      <c r="G2" s="118">
        <v>5</v>
      </c>
      <c r="H2" s="137">
        <f>2001</f>
        <v>2001</v>
      </c>
      <c r="I2" s="137" t="s">
        <v>292</v>
      </c>
      <c r="J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織姫</v>
      </c>
      <c r="K2" s="138">
        <v>3</v>
      </c>
      <c r="L2" s="139"/>
      <c r="M2" s="140"/>
      <c r="N2" s="140"/>
      <c r="O2" s="140"/>
      <c r="P2" s="140"/>
      <c r="Q2" s="140"/>
      <c r="R2" s="135"/>
      <c r="S2" s="141"/>
    </row>
    <row r="3" spans="1:19" ht="21" customHeight="1" x14ac:dyDescent="0.15">
      <c r="A3" s="12">
        <v>1042</v>
      </c>
      <c r="B3" s="134" t="s">
        <v>185</v>
      </c>
      <c r="C3" s="135" t="s">
        <v>257</v>
      </c>
      <c r="D3" s="135" t="s">
        <v>290</v>
      </c>
      <c r="E3" s="136">
        <f t="shared" ref="E3:E5" si="0">LEN(D3)</f>
        <v>58</v>
      </c>
      <c r="F3" s="118">
        <v>11</v>
      </c>
      <c r="G3" s="118">
        <v>5</v>
      </c>
      <c r="H3" s="137">
        <f>2001</f>
        <v>2001</v>
      </c>
      <c r="I3" s="137" t="s">
        <v>291</v>
      </c>
      <c r="J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希紡の天帝姫 織姫</v>
      </c>
      <c r="K3" s="138">
        <v>3</v>
      </c>
      <c r="L3" s="139"/>
      <c r="M3" s="140"/>
      <c r="N3" s="140"/>
      <c r="O3" s="140"/>
      <c r="P3" s="140"/>
      <c r="Q3" s="140"/>
      <c r="R3" s="135"/>
      <c r="S3" s="141"/>
    </row>
    <row r="4" spans="1:19" ht="21" customHeight="1" x14ac:dyDescent="0.15">
      <c r="A4" s="12">
        <v>1043</v>
      </c>
      <c r="B4" s="134" t="s">
        <v>185</v>
      </c>
      <c r="C4" s="135" t="s">
        <v>258</v>
      </c>
      <c r="D4" s="135" t="s">
        <v>289</v>
      </c>
      <c r="E4" s="136">
        <f t="shared" si="0"/>
        <v>39</v>
      </c>
      <c r="F4" s="118">
        <v>12</v>
      </c>
      <c r="G4" s="118">
        <v>5</v>
      </c>
      <c r="H4" s="137">
        <f>2001</f>
        <v>2001</v>
      </c>
      <c r="I4" s="137" t="s">
        <v>277</v>
      </c>
      <c r="J4" s="56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彦星</v>
      </c>
      <c r="K4" s="138">
        <v>3</v>
      </c>
      <c r="L4" s="139"/>
      <c r="M4" s="140"/>
      <c r="N4" s="140"/>
      <c r="O4" s="140"/>
      <c r="P4" s="140"/>
      <c r="Q4" s="140"/>
      <c r="R4" s="135"/>
      <c r="S4" s="141"/>
    </row>
    <row r="5" spans="1:19" ht="21" customHeight="1" x14ac:dyDescent="0.15">
      <c r="A5" s="12">
        <v>1044</v>
      </c>
      <c r="B5" s="134" t="s">
        <v>185</v>
      </c>
      <c r="C5" s="135" t="s">
        <v>259</v>
      </c>
      <c r="D5" s="135" t="s">
        <v>283</v>
      </c>
      <c r="E5" s="136">
        <f t="shared" si="0"/>
        <v>39</v>
      </c>
      <c r="F5" s="118">
        <v>11</v>
      </c>
      <c r="G5" s="118">
        <v>5</v>
      </c>
      <c r="H5" s="137">
        <f>2001</f>
        <v>2001</v>
      </c>
      <c r="I5" s="137" t="s">
        <v>277</v>
      </c>
      <c r="J5" s="56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恋狩の色星主  彦星</v>
      </c>
      <c r="K5" s="138">
        <v>3</v>
      </c>
      <c r="L5" s="139"/>
      <c r="M5" s="140"/>
      <c r="N5" s="140"/>
      <c r="O5" s="140"/>
      <c r="P5" s="140"/>
      <c r="Q5" s="140"/>
      <c r="R5" s="135"/>
      <c r="S5" s="141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6:E1048576">
    <cfRule type="cellIs" dxfId="25" priority="7" operator="greaterThan">
      <formula>41</formula>
    </cfRule>
  </conditionalFormatting>
  <conditionalFormatting sqref="E2:E5">
    <cfRule type="cellIs" dxfId="24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5"/>
  <sheetViews>
    <sheetView showGridLines="0" workbookViewId="0">
      <pane xSplit="4" ySplit="1" topLeftCell="F2" activePane="bottomRight" state="frozen"/>
      <selection pane="topRight" activeCell="D1" sqref="D1"/>
      <selection pane="bottomLeft" activeCell="A3" sqref="A3"/>
      <selection pane="bottomRight" activeCell="F4" sqref="F4"/>
    </sheetView>
  </sheetViews>
  <sheetFormatPr baseColWidth="12" defaultColWidth="13" defaultRowHeight="21" customHeight="1" x14ac:dyDescent="0.15"/>
  <cols>
    <col min="1" max="2" width="12.1640625" style="131" customWidth="1"/>
    <col min="3" max="3" width="48.83203125" style="132" customWidth="1"/>
    <col min="4" max="4" width="23.83203125" style="132" customWidth="1"/>
    <col min="5" max="5" width="10.5" style="132" customWidth="1"/>
    <col min="6" max="7" width="59.1640625" style="132" customWidth="1"/>
    <col min="8" max="8" width="6.83203125" style="131" bestFit="1" customWidth="1"/>
    <col min="9" max="9" width="20.33203125" style="131" customWidth="1"/>
    <col min="10" max="10" width="5" style="131" bestFit="1" customWidth="1"/>
    <col min="11" max="16384" width="13" style="131"/>
  </cols>
  <sheetData>
    <row r="1" spans="1:19" ht="21" customHeight="1" x14ac:dyDescent="0.15">
      <c r="A1" s="119" t="s">
        <v>182</v>
      </c>
      <c r="B1" s="120" t="s">
        <v>181</v>
      </c>
      <c r="C1" s="121" t="s">
        <v>180</v>
      </c>
      <c r="D1" s="122" t="s">
        <v>179</v>
      </c>
      <c r="E1" s="122" t="s">
        <v>178</v>
      </c>
      <c r="F1" s="123" t="s">
        <v>177</v>
      </c>
      <c r="G1" s="124" t="s">
        <v>184</v>
      </c>
      <c r="H1" s="123" t="s">
        <v>176</v>
      </c>
      <c r="I1" s="124" t="s">
        <v>175</v>
      </c>
      <c r="J1" s="128" t="s">
        <v>174</v>
      </c>
    </row>
    <row r="2" spans="1:19" ht="21" customHeight="1" x14ac:dyDescent="0.15">
      <c r="A2" s="12">
        <v>1041</v>
      </c>
      <c r="B2" s="134" t="s">
        <v>186</v>
      </c>
      <c r="C2" s="135" t="s">
        <v>262</v>
      </c>
      <c r="D2" s="135" t="s">
        <v>279</v>
      </c>
      <c r="E2" s="136">
        <f t="shared" ref="E2" si="0">LEN(D2)</f>
        <v>24</v>
      </c>
      <c r="F2" s="169" t="s">
        <v>286</v>
      </c>
      <c r="G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織姫</v>
      </c>
      <c r="H2" s="137">
        <v>3</v>
      </c>
      <c r="I2" s="137"/>
      <c r="J2" s="142"/>
      <c r="K2" s="138">
        <v>1</v>
      </c>
      <c r="L2" s="139"/>
      <c r="M2" s="140"/>
      <c r="N2" s="140"/>
      <c r="O2" s="140"/>
      <c r="P2" s="140"/>
      <c r="Q2" s="140"/>
      <c r="R2" s="135"/>
      <c r="S2" s="141"/>
    </row>
    <row r="3" spans="1:19" ht="21" customHeight="1" x14ac:dyDescent="0.15">
      <c r="A3" s="12">
        <v>1042</v>
      </c>
      <c r="B3" s="134" t="s">
        <v>185</v>
      </c>
      <c r="C3" s="135" t="s">
        <v>263</v>
      </c>
      <c r="D3" s="135" t="s">
        <v>280</v>
      </c>
      <c r="E3" s="136">
        <f t="shared" ref="E3:E5" si="1">LEN(D3)</f>
        <v>25</v>
      </c>
      <c r="F3" s="169" t="s">
        <v>287</v>
      </c>
      <c r="G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希紡の天帝姫 織姫</v>
      </c>
      <c r="H3" s="137">
        <v>3</v>
      </c>
      <c r="I3" s="137"/>
      <c r="J3" s="142"/>
      <c r="K3" s="138">
        <v>1</v>
      </c>
      <c r="L3" s="139"/>
      <c r="M3" s="140"/>
      <c r="N3" s="140"/>
      <c r="O3" s="140"/>
      <c r="P3" s="140"/>
      <c r="Q3" s="140"/>
      <c r="R3" s="135"/>
      <c r="S3" s="141"/>
    </row>
    <row r="4" spans="1:19" ht="21" customHeight="1" x14ac:dyDescent="0.15">
      <c r="A4" s="12">
        <v>1043</v>
      </c>
      <c r="B4" s="134" t="s">
        <v>185</v>
      </c>
      <c r="C4" s="135" t="s">
        <v>260</v>
      </c>
      <c r="D4" s="135" t="s">
        <v>281</v>
      </c>
      <c r="E4" s="136">
        <f t="shared" si="1"/>
        <v>25</v>
      </c>
      <c r="F4" s="169" t="s">
        <v>285</v>
      </c>
      <c r="G4" s="56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彦星</v>
      </c>
      <c r="H4" s="137">
        <v>3</v>
      </c>
      <c r="I4" s="137"/>
      <c r="J4" s="142"/>
      <c r="K4" s="138">
        <v>1</v>
      </c>
      <c r="L4" s="139"/>
      <c r="M4" s="140"/>
      <c r="N4" s="140"/>
      <c r="O4" s="140"/>
      <c r="P4" s="140"/>
      <c r="Q4" s="140"/>
      <c r="R4" s="135"/>
      <c r="S4" s="141"/>
    </row>
    <row r="5" spans="1:19" ht="21" customHeight="1" x14ac:dyDescent="0.15">
      <c r="A5" s="12">
        <v>1044</v>
      </c>
      <c r="B5" s="134" t="s">
        <v>185</v>
      </c>
      <c r="C5" s="135" t="s">
        <v>261</v>
      </c>
      <c r="D5" s="135" t="s">
        <v>282</v>
      </c>
      <c r="E5" s="136">
        <f t="shared" si="1"/>
        <v>25</v>
      </c>
      <c r="F5" s="169" t="s">
        <v>278</v>
      </c>
      <c r="G5" s="56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恋狩の色星主  彦星</v>
      </c>
      <c r="H5" s="137">
        <v>3</v>
      </c>
      <c r="I5" s="137"/>
      <c r="J5" s="142"/>
      <c r="K5" s="138">
        <v>1</v>
      </c>
      <c r="L5" s="139"/>
      <c r="M5" s="140"/>
      <c r="N5" s="140"/>
      <c r="O5" s="140"/>
      <c r="P5" s="140"/>
      <c r="Q5" s="140"/>
      <c r="R5" s="135"/>
      <c r="S5" s="141"/>
    </row>
  </sheetData>
  <sheetProtection selectLockedCells="1" selectUnlockedCells="1"/>
  <autoFilter ref="A1:J1"/>
  <phoneticPr fontId="22"/>
  <conditionalFormatting sqref="E2:E5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8"/>
  <sheetViews>
    <sheetView workbookViewId="0">
      <selection activeCell="J17" sqref="J17"/>
    </sheetView>
  </sheetViews>
  <sheetFormatPr baseColWidth="12" defaultRowHeight="15" outlineLevelCol="1" x14ac:dyDescent="0.15"/>
  <cols>
    <col min="2" max="2" width="12.83203125" style="144"/>
    <col min="4" max="4" width="12.83203125" style="144" customWidth="1" outlineLevel="1"/>
    <col min="5" max="5" width="12.83203125" style="144"/>
    <col min="8" max="8" width="25.83203125" customWidth="1"/>
  </cols>
  <sheetData>
    <row r="1" spans="1:8" x14ac:dyDescent="0.15">
      <c r="A1" s="115" t="s">
        <v>187</v>
      </c>
      <c r="B1" s="143" t="s">
        <v>188</v>
      </c>
      <c r="C1" s="115" t="s">
        <v>189</v>
      </c>
      <c r="D1" s="143" t="s">
        <v>191</v>
      </c>
      <c r="E1" s="143" t="s">
        <v>192</v>
      </c>
      <c r="F1" s="112" t="s">
        <v>193</v>
      </c>
      <c r="G1" s="115" t="s">
        <v>190</v>
      </c>
      <c r="H1" s="112" t="s">
        <v>194</v>
      </c>
    </row>
    <row r="2" spans="1:8" x14ac:dyDescent="0.15">
      <c r="A2" s="108">
        <v>1041</v>
      </c>
      <c r="B2" s="143" t="str">
        <f>VLOOKUP(A2,[1]characters!$A:$C,3,FALSE)</f>
        <v>織姫</v>
      </c>
      <c r="C2" s="108" t="s">
        <v>195</v>
      </c>
      <c r="D2" s="143"/>
      <c r="E2" s="143" t="str">
        <f>A2&amp;+(COUNTIF(A$2:A2,A2)-1)</f>
        <v>10410</v>
      </c>
      <c r="F2" s="108" t="s">
        <v>197</v>
      </c>
      <c r="G2" s="108" t="s">
        <v>196</v>
      </c>
      <c r="H2" s="168" t="s">
        <v>264</v>
      </c>
    </row>
    <row r="3" spans="1:8" x14ac:dyDescent="0.15">
      <c r="A3" s="108">
        <v>1041</v>
      </c>
      <c r="B3" s="143" t="str">
        <f>VLOOKUP(A3,[1]characters!$A:$C,3,FALSE)</f>
        <v>織姫</v>
      </c>
      <c r="C3" s="108" t="s">
        <v>198</v>
      </c>
      <c r="D3" s="143"/>
      <c r="E3" s="143" t="str">
        <f>A3&amp;+(COUNTIF(A$2:A3,A3)-1)</f>
        <v>10411</v>
      </c>
      <c r="F3" s="108" t="s">
        <v>197</v>
      </c>
      <c r="G3" s="108" t="s">
        <v>196</v>
      </c>
      <c r="H3" s="168" t="s">
        <v>265</v>
      </c>
    </row>
    <row r="4" spans="1:8" x14ac:dyDescent="0.15">
      <c r="A4" s="108">
        <v>1041</v>
      </c>
      <c r="B4" s="143" t="str">
        <f>VLOOKUP(A4,[1]characters!$A:$C,3,FALSE)</f>
        <v>織姫</v>
      </c>
      <c r="C4" s="108" t="s">
        <v>198</v>
      </c>
      <c r="D4" s="143"/>
      <c r="E4" s="143" t="str">
        <f>A4&amp;+(COUNTIF(A$2:A4,A4)-1)</f>
        <v>10412</v>
      </c>
      <c r="F4" s="108" t="s">
        <v>185</v>
      </c>
      <c r="G4" s="108" t="s">
        <v>196</v>
      </c>
      <c r="H4" s="168" t="s">
        <v>266</v>
      </c>
    </row>
    <row r="5" spans="1:8" x14ac:dyDescent="0.15">
      <c r="A5" s="108">
        <v>1041</v>
      </c>
      <c r="B5" s="143" t="str">
        <f>VLOOKUP(A5,[1]characters!$A:$C,3,FALSE)</f>
        <v>織姫</v>
      </c>
      <c r="C5" s="108" t="s">
        <v>198</v>
      </c>
      <c r="D5" s="143"/>
      <c r="E5" s="143" t="str">
        <f>A5&amp;+(COUNTIF(A$2:A5,A5)-1)</f>
        <v>10413</v>
      </c>
      <c r="F5" s="108" t="s">
        <v>185</v>
      </c>
      <c r="G5" s="108" t="s">
        <v>276</v>
      </c>
      <c r="H5" s="168" t="s">
        <v>267</v>
      </c>
    </row>
    <row r="6" spans="1:8" x14ac:dyDescent="0.15">
      <c r="A6" s="108">
        <v>1042</v>
      </c>
      <c r="B6" s="143" t="str">
        <f>VLOOKUP(A6,[1]characters!$A:$C,3,FALSE)</f>
        <v>希紡の天帝姫 織姫</v>
      </c>
      <c r="C6" s="108" t="s">
        <v>195</v>
      </c>
      <c r="D6" s="143"/>
      <c r="E6" s="143" t="str">
        <f>A6&amp;+(COUNTIF(A$2:A6,A6)-1)</f>
        <v>10420</v>
      </c>
      <c r="F6" s="108" t="s">
        <v>185</v>
      </c>
      <c r="G6" s="108" t="s">
        <v>196</v>
      </c>
      <c r="H6" s="168" t="s">
        <v>268</v>
      </c>
    </row>
    <row r="7" spans="1:8" x14ac:dyDescent="0.15">
      <c r="A7" s="108">
        <v>1042</v>
      </c>
      <c r="B7" s="143" t="str">
        <f>VLOOKUP(A7,[1]characters!$A:$C,3,FALSE)</f>
        <v>希紡の天帝姫 織姫</v>
      </c>
      <c r="C7" s="108" t="s">
        <v>198</v>
      </c>
      <c r="D7" s="143"/>
      <c r="E7" s="143" t="str">
        <f>A7&amp;+(COUNTIF(A$2:A7,A7)-1)</f>
        <v>10421</v>
      </c>
      <c r="F7" s="108" t="s">
        <v>185</v>
      </c>
      <c r="G7" s="108" t="s">
        <v>276</v>
      </c>
      <c r="H7" s="168" t="s">
        <v>269</v>
      </c>
    </row>
    <row r="8" spans="1:8" x14ac:dyDescent="0.15">
      <c r="A8" s="108">
        <v>1042</v>
      </c>
      <c r="B8" s="143" t="str">
        <f>VLOOKUP(A8,[1]characters!$A:$C,3,FALSE)</f>
        <v>希紡の天帝姫 織姫</v>
      </c>
      <c r="C8" s="108" t="s">
        <v>198</v>
      </c>
      <c r="D8" s="143"/>
      <c r="E8" s="143" t="str">
        <f>A8&amp;+(COUNTIF(A$2:A8,A8)-1)</f>
        <v>10422</v>
      </c>
      <c r="F8" s="108" t="s">
        <v>197</v>
      </c>
      <c r="G8" s="108" t="s">
        <v>196</v>
      </c>
      <c r="H8" s="168" t="s">
        <v>265</v>
      </c>
    </row>
    <row r="9" spans="1:8" x14ac:dyDescent="0.15">
      <c r="A9" s="108">
        <v>1042</v>
      </c>
      <c r="B9" s="143" t="str">
        <f>VLOOKUP(A9,[1]characters!$A:$C,3,FALSE)</f>
        <v>希紡の天帝姫 織姫</v>
      </c>
      <c r="C9" s="108" t="s">
        <v>198</v>
      </c>
      <c r="D9" s="143"/>
      <c r="E9" s="143" t="str">
        <f>A9&amp;+(COUNTIF(A$2:A9,A9)-1)</f>
        <v>10423</v>
      </c>
      <c r="F9" s="108" t="s">
        <v>185</v>
      </c>
      <c r="G9" s="108" t="s">
        <v>196</v>
      </c>
      <c r="H9" s="168" t="s">
        <v>266</v>
      </c>
    </row>
    <row r="10" spans="1:8" x14ac:dyDescent="0.15">
      <c r="A10" s="108">
        <v>1042</v>
      </c>
      <c r="B10" s="143" t="str">
        <f>VLOOKUP(A10,[1]characters!$A:$C,3,FALSE)</f>
        <v>希紡の天帝姫 織姫</v>
      </c>
      <c r="C10" s="108" t="s">
        <v>198</v>
      </c>
      <c r="D10" s="143"/>
      <c r="E10" s="143" t="str">
        <f>A10&amp;+(COUNTIF(A$2:A10,A10)-1)</f>
        <v>10424</v>
      </c>
      <c r="F10" s="108" t="s">
        <v>185</v>
      </c>
      <c r="G10" s="108" t="s">
        <v>196</v>
      </c>
      <c r="H10" s="168" t="s">
        <v>267</v>
      </c>
    </row>
    <row r="11" spans="1:8" x14ac:dyDescent="0.15">
      <c r="A11" s="108">
        <v>1043</v>
      </c>
      <c r="B11" s="143" t="str">
        <f>VLOOKUP(A11,[1]characters!$A:$C,3,FALSE)</f>
        <v>彦星</v>
      </c>
      <c r="C11" s="108" t="s">
        <v>195</v>
      </c>
      <c r="D11" s="143"/>
      <c r="E11" s="143" t="str">
        <f>A11&amp;+(COUNTIF(A$2:A11,A11)-1)</f>
        <v>10430</v>
      </c>
      <c r="F11" s="108" t="s">
        <v>185</v>
      </c>
      <c r="G11" s="108" t="s">
        <v>196</v>
      </c>
      <c r="H11" s="168" t="s">
        <v>270</v>
      </c>
    </row>
    <row r="12" spans="1:8" x14ac:dyDescent="0.15">
      <c r="A12" s="108">
        <v>1043</v>
      </c>
      <c r="B12" s="143" t="str">
        <f>VLOOKUP(A12,[1]characters!$A:$C,3,FALSE)</f>
        <v>彦星</v>
      </c>
      <c r="C12" s="108" t="s">
        <v>198</v>
      </c>
      <c r="D12" s="143"/>
      <c r="E12" s="143" t="str">
        <f>A12&amp;+(COUNTIF(A$2:A12,A12)-1)</f>
        <v>10431</v>
      </c>
      <c r="F12" s="108" t="s">
        <v>185</v>
      </c>
      <c r="G12" s="108" t="s">
        <v>196</v>
      </c>
      <c r="H12" s="168" t="s">
        <v>274</v>
      </c>
    </row>
    <row r="13" spans="1:8" x14ac:dyDescent="0.15">
      <c r="A13" s="108">
        <v>1043</v>
      </c>
      <c r="B13" s="143" t="str">
        <f>VLOOKUP(A13,[1]characters!$A:$C,3,FALSE)</f>
        <v>彦星</v>
      </c>
      <c r="C13" s="108" t="s">
        <v>198</v>
      </c>
      <c r="D13" s="143"/>
      <c r="E13" s="143" t="str">
        <f>A13&amp;+(COUNTIF(A$2:A13,A13)-1)</f>
        <v>10432</v>
      </c>
      <c r="F13" s="108" t="s">
        <v>185</v>
      </c>
      <c r="G13" s="108" t="s">
        <v>196</v>
      </c>
      <c r="H13" s="168" t="s">
        <v>273</v>
      </c>
    </row>
    <row r="14" spans="1:8" x14ac:dyDescent="0.15">
      <c r="A14" s="108">
        <v>1043</v>
      </c>
      <c r="B14" s="143" t="str">
        <f>VLOOKUP(A14,[1]characters!$A:$C,3,FALSE)</f>
        <v>彦星</v>
      </c>
      <c r="C14" s="108" t="s">
        <v>198</v>
      </c>
      <c r="D14" s="143"/>
      <c r="E14" s="143" t="str">
        <f>A14&amp;+(COUNTIF(A$2:A14,A14)-1)</f>
        <v>10433</v>
      </c>
      <c r="F14" s="108" t="s">
        <v>185</v>
      </c>
      <c r="G14" s="108" t="s">
        <v>196</v>
      </c>
      <c r="H14" s="168" t="s">
        <v>271</v>
      </c>
    </row>
    <row r="15" spans="1:8" x14ac:dyDescent="0.15">
      <c r="A15" s="108">
        <v>1044</v>
      </c>
      <c r="B15" s="143" t="str">
        <f>VLOOKUP(A15,[1]characters!$A:$C,3,FALSE)</f>
        <v>恋狩の色星主  彦星</v>
      </c>
      <c r="C15" s="108" t="s">
        <v>195</v>
      </c>
      <c r="D15" s="143"/>
      <c r="E15" s="143" t="str">
        <f>A15&amp;+(COUNTIF(A$2:A15,A15)-1)</f>
        <v>10440</v>
      </c>
      <c r="F15" s="108" t="s">
        <v>185</v>
      </c>
      <c r="G15" s="108" t="s">
        <v>196</v>
      </c>
      <c r="H15" s="168" t="s">
        <v>284</v>
      </c>
    </row>
    <row r="16" spans="1:8" x14ac:dyDescent="0.15">
      <c r="A16" s="108">
        <v>1044</v>
      </c>
      <c r="B16" s="143" t="str">
        <f>VLOOKUP(A16,[1]characters!$A:$C,3,FALSE)</f>
        <v>恋狩の色星主  彦星</v>
      </c>
      <c r="C16" s="108" t="s">
        <v>198</v>
      </c>
      <c r="D16" s="143"/>
      <c r="E16" s="143" t="str">
        <f>A16&amp;+(COUNTIF(A$2:A16,A16)-1)</f>
        <v>10441</v>
      </c>
      <c r="F16" s="108" t="s">
        <v>185</v>
      </c>
      <c r="G16" s="108" t="s">
        <v>275</v>
      </c>
      <c r="H16" s="168" t="s">
        <v>272</v>
      </c>
    </row>
    <row r="17" spans="1:8" x14ac:dyDescent="0.15">
      <c r="A17" s="108">
        <v>1044</v>
      </c>
      <c r="B17" s="143" t="str">
        <f>VLOOKUP(A17,[1]characters!$A:$C,3,FALSE)</f>
        <v>恋狩の色星主  彦星</v>
      </c>
      <c r="C17" s="108" t="s">
        <v>198</v>
      </c>
      <c r="D17" s="143"/>
      <c r="E17" s="143" t="str">
        <f>A17&amp;+(COUNTIF(A$2:A17,A17)-1)</f>
        <v>10442</v>
      </c>
      <c r="F17" s="108" t="s">
        <v>185</v>
      </c>
      <c r="G17" s="108" t="s">
        <v>196</v>
      </c>
      <c r="H17" s="168" t="s">
        <v>274</v>
      </c>
    </row>
    <row r="18" spans="1:8" x14ac:dyDescent="0.15">
      <c r="A18" s="108">
        <v>1044</v>
      </c>
      <c r="B18" s="143" t="str">
        <f>VLOOKUP(A18,[1]characters!$A:$C,3,FALSE)</f>
        <v>恋狩の色星主  彦星</v>
      </c>
      <c r="C18" s="108" t="s">
        <v>198</v>
      </c>
      <c r="D18" s="143"/>
      <c r="E18" s="143" t="str">
        <f>A18&amp;+(COUNTIF(A$2:A18,A18)-1)</f>
        <v>10443</v>
      </c>
      <c r="F18" s="108" t="s">
        <v>185</v>
      </c>
      <c r="G18" s="108" t="s">
        <v>196</v>
      </c>
      <c r="H18" s="168" t="s">
        <v>273</v>
      </c>
    </row>
    <row r="19" spans="1:8" x14ac:dyDescent="0.15">
      <c r="A19" s="108">
        <v>1044</v>
      </c>
      <c r="B19" s="143" t="str">
        <f>VLOOKUP(A19,[1]characters!$A:$C,3,FALSE)</f>
        <v>恋狩の色星主  彦星</v>
      </c>
      <c r="C19" s="108" t="s">
        <v>198</v>
      </c>
      <c r="D19" s="143"/>
      <c r="E19" s="143" t="str">
        <f>A19&amp;+(COUNTIF(A$2:A19,A19)-1)</f>
        <v>10444</v>
      </c>
      <c r="F19" s="108" t="s">
        <v>185</v>
      </c>
      <c r="G19" s="108" t="s">
        <v>196</v>
      </c>
      <c r="H19" s="168" t="s">
        <v>271</v>
      </c>
    </row>
    <row r="20" spans="1:8" x14ac:dyDescent="0.15">
      <c r="A20" s="108"/>
      <c r="B20" s="143"/>
      <c r="C20" s="108"/>
      <c r="D20" s="143"/>
      <c r="E20" s="143"/>
      <c r="F20" s="108"/>
      <c r="G20" s="108"/>
      <c r="H20" s="108"/>
    </row>
    <row r="21" spans="1:8" x14ac:dyDescent="0.15">
      <c r="A21" s="108"/>
      <c r="B21" s="143"/>
      <c r="C21" s="108"/>
      <c r="D21" s="143"/>
      <c r="E21" s="143"/>
      <c r="F21" s="108"/>
      <c r="G21" s="108"/>
      <c r="H21" s="108"/>
    </row>
    <row r="22" spans="1:8" x14ac:dyDescent="0.15">
      <c r="A22" s="108"/>
      <c r="B22" s="143"/>
      <c r="C22" s="108"/>
      <c r="D22" s="143"/>
      <c r="E22" s="143"/>
      <c r="F22" s="108"/>
      <c r="G22" s="108"/>
      <c r="H22" s="108"/>
    </row>
    <row r="23" spans="1:8" x14ac:dyDescent="0.15">
      <c r="A23" s="108"/>
      <c r="B23" s="143"/>
      <c r="C23" s="108"/>
      <c r="D23" s="143"/>
      <c r="E23" s="143"/>
      <c r="F23" s="108"/>
      <c r="G23" s="108"/>
      <c r="H23" s="108"/>
    </row>
    <row r="24" spans="1:8" x14ac:dyDescent="0.15">
      <c r="A24" s="108"/>
      <c r="B24" s="143"/>
      <c r="C24" s="108"/>
      <c r="D24" s="143"/>
      <c r="E24" s="143"/>
      <c r="F24" s="108"/>
      <c r="G24" s="108"/>
      <c r="H24" s="108"/>
    </row>
    <row r="25" spans="1:8" x14ac:dyDescent="0.15">
      <c r="A25" s="108"/>
      <c r="B25" s="143"/>
      <c r="C25" s="108"/>
      <c r="D25" s="143"/>
      <c r="E25" s="143"/>
      <c r="F25" s="108"/>
      <c r="G25" s="108"/>
      <c r="H25" s="108"/>
    </row>
    <row r="26" spans="1:8" x14ac:dyDescent="0.15">
      <c r="A26" s="108"/>
      <c r="B26" s="143"/>
      <c r="C26" s="108"/>
      <c r="D26" s="143"/>
      <c r="E26" s="143"/>
      <c r="F26" s="108"/>
      <c r="G26" s="108"/>
      <c r="H26" s="108"/>
    </row>
    <row r="27" spans="1:8" x14ac:dyDescent="0.15">
      <c r="A27" s="108"/>
      <c r="B27" s="143"/>
      <c r="C27" s="108"/>
      <c r="D27" s="143"/>
      <c r="E27" s="143"/>
      <c r="F27" s="108"/>
      <c r="G27" s="108"/>
      <c r="H27" s="108"/>
    </row>
    <row r="28" spans="1:8" x14ac:dyDescent="0.15">
      <c r="A28" s="108"/>
      <c r="B28" s="143"/>
      <c r="C28" s="108"/>
      <c r="D28" s="143"/>
      <c r="E28" s="143"/>
      <c r="F28" s="108"/>
      <c r="G28" s="108"/>
      <c r="H28" s="108"/>
    </row>
  </sheetData>
  <phoneticPr fontId="22"/>
  <dataValidations count="2">
    <dataValidation type="list" allowBlank="1" showInputMessage="1" showErrorMessage="1" sqref="G2:G19">
      <formula1>"maru,giza,kumo"</formula1>
    </dataValidation>
    <dataValidation type="list" allowBlank="1" showInputMessage="1" showErrorMessage="1" sqref="C2:C1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9"/>
  <sheetViews>
    <sheetView showGridLines="0" workbookViewId="0">
      <pane ySplit="1" topLeftCell="A2" activePane="bottomLeft" state="frozen"/>
      <selection pane="bottomLeft" activeCell="G15" sqref="G15"/>
    </sheetView>
  </sheetViews>
  <sheetFormatPr baseColWidth="12" defaultColWidth="13" defaultRowHeight="15" x14ac:dyDescent="0.15"/>
  <cols>
    <col min="1" max="1" width="11.5" style="64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4" t="s">
        <v>99</v>
      </c>
      <c r="B1" s="41" t="s">
        <v>38</v>
      </c>
      <c r="C1" s="20" t="s">
        <v>40</v>
      </c>
      <c r="D1" s="20" t="s">
        <v>42</v>
      </c>
      <c r="E1" s="20" t="s">
        <v>43</v>
      </c>
      <c r="F1" s="42" t="s">
        <v>36</v>
      </c>
      <c r="G1" s="20" t="s">
        <v>41</v>
      </c>
      <c r="H1" s="19" t="s">
        <v>37</v>
      </c>
      <c r="I1" s="113" t="s">
        <v>127</v>
      </c>
    </row>
    <row r="2" spans="1:9" ht="21" customHeight="1" x14ac:dyDescent="0.15">
      <c r="A2" s="64" t="str">
        <f>B2&amp;"_"&amp;F2</f>
        <v>1041_837</v>
      </c>
      <c r="B2" s="43">
        <v>1041</v>
      </c>
      <c r="C2" s="21" t="str">
        <f ca="1">VLOOKUP($B2,OFFSET(units!$A$1,0,0,COUNTA(units!$A:$A),MATCH(C$1,units!$1:$1,0)-COLUMN(INDIRECT("character_id"))+1),MATCH(C$1,units!$1:$1,0)-COLUMN(INDIRECT("character_id"))+1,FALSE)</f>
        <v>織姫</v>
      </c>
      <c r="D2" s="21">
        <f ca="1">VLOOKUP($B2,OFFSET(units!$A$1,0,0,COUNTA(units!$A:$A),MATCH(D$1,units!$1:$1,0)-COLUMN(INDIRECT("character_id"))+1),MATCH(D$1,units!$1:$1,0)-COLUMN(INDIRECT("character_id"))+1,FALSE)</f>
        <v>5</v>
      </c>
      <c r="E2" s="21" t="str">
        <f ca="1">VLOOKUP($B2,OFFSET(units!$A$1,0,0,COUNTA(units!$A:$A),MATCH(E$1,units!$1:$1,0)-COLUMN(INDIRECT("character_id"))+1),MATCH(E$1,units!$1:$1,0)-COLUMN(INDIRECT("character_id"))+1,FALSE)</f>
        <v>PremiumSS</v>
      </c>
      <c r="F2" s="43">
        <v>837</v>
      </c>
      <c r="G2" s="21" t="str">
        <f>VLOOKUP(F2,[1]characters!$A:$C,3,FALSE)</f>
        <v>リトルハンプティ</v>
      </c>
      <c r="H2" s="18">
        <v>1</v>
      </c>
      <c r="I2" s="114">
        <v>1</v>
      </c>
    </row>
    <row r="3" spans="1:9" x14ac:dyDescent="0.15">
      <c r="A3" s="64" t="str">
        <f>B3&amp;"_"&amp;F3</f>
        <v>1041_104</v>
      </c>
      <c r="B3" s="43">
        <v>1041</v>
      </c>
      <c r="C3" s="21" t="str">
        <f ca="1">VLOOKUP($B3,OFFSET(units!$A$1,0,0,COUNTA(units!$A:$A),MATCH(C$1,units!$1:$1,0)-COLUMN(INDIRECT("character_id"))+1),MATCH(C$1,units!$1:$1,0)-COLUMN(INDIRECT("character_id"))+1,FALSE)</f>
        <v>織姫</v>
      </c>
      <c r="D3" s="21">
        <f ca="1">VLOOKUP($B3,OFFSET(units!$A$1,0,0,COUNTA(units!$A:$A),MATCH(D$1,units!$1:$1,0)-COLUMN(INDIRECT("character_id"))+1),MATCH(D$1,units!$1:$1,0)-COLUMN(INDIRECT("character_id"))+1,FALSE)</f>
        <v>5</v>
      </c>
      <c r="E3" s="21" t="str">
        <f ca="1">VLOOKUP($B3,OFFSET(units!$A$1,0,0,COUNTA(units!$A:$A),MATCH(E$1,units!$1:$1,0)-COLUMN(INDIRECT("character_id"))+1),MATCH(E$1,units!$1:$1,0)-COLUMN(INDIRECT("character_id"))+1,FALSE)</f>
        <v>PremiumSS</v>
      </c>
      <c r="F3" s="43">
        <v>104</v>
      </c>
      <c r="G3" s="21" t="str">
        <f>VLOOKUP(F3,[1]characters!$A:$C,3,FALSE)</f>
        <v>炎のマッドハッター</v>
      </c>
      <c r="H3" s="18">
        <v>1</v>
      </c>
      <c r="I3" s="114">
        <v>1</v>
      </c>
    </row>
    <row r="4" spans="1:9" x14ac:dyDescent="0.15">
      <c r="A4" s="64" t="str">
        <f t="shared" ref="A4:A9" si="0">B4&amp;"_"&amp;F4</f>
        <v>1041_103</v>
      </c>
      <c r="B4" s="43">
        <v>1041</v>
      </c>
      <c r="C4" s="21" t="str">
        <f ca="1">VLOOKUP($B4,OFFSET(units!$A$1,0,0,COUNTA(units!$A:$A),MATCH(C$1,units!$1:$1,0)-COLUMN(INDIRECT("character_id"))+1),MATCH(C$1,units!$1:$1,0)-COLUMN(INDIRECT("character_id"))+1,FALSE)</f>
        <v>織姫</v>
      </c>
      <c r="D4" s="21">
        <f ca="1">VLOOKUP($B4,OFFSET(units!$A$1,0,0,COUNTA(units!$A:$A),MATCH(D$1,units!$1:$1,0)-COLUMN(INDIRECT("character_id"))+1),MATCH(D$1,units!$1:$1,0)-COLUMN(INDIRECT("character_id"))+1,FALSE)</f>
        <v>5</v>
      </c>
      <c r="E4" s="21" t="str">
        <f ca="1">VLOOKUP($B4,OFFSET(units!$A$1,0,0,COUNTA(units!$A:$A),MATCH(E$1,units!$1:$1,0)-COLUMN(INDIRECT("character_id"))+1),MATCH(E$1,units!$1:$1,0)-COLUMN(INDIRECT("character_id"))+1,FALSE)</f>
        <v>PremiumSS</v>
      </c>
      <c r="F4" s="43">
        <v>103</v>
      </c>
      <c r="G4" s="21" t="str">
        <f>VLOOKUP(F4,[1]characters!$A:$C,3,FALSE)</f>
        <v>レッドキャタップ</v>
      </c>
      <c r="H4" s="18">
        <v>1</v>
      </c>
      <c r="I4" s="114">
        <v>1</v>
      </c>
    </row>
    <row r="5" spans="1:9" x14ac:dyDescent="0.15">
      <c r="A5" s="64" t="str">
        <f t="shared" si="0"/>
        <v>1041_102</v>
      </c>
      <c r="B5" s="43">
        <v>1041</v>
      </c>
      <c r="C5" s="21" t="str">
        <f ca="1">VLOOKUP($B5,OFFSET(units!$A$1,0,0,COUNTA(units!$A:$A),MATCH(C$1,units!$1:$1,0)-COLUMN(INDIRECT("character_id"))+1),MATCH(C$1,units!$1:$1,0)-COLUMN(INDIRECT("character_id"))+1,FALSE)</f>
        <v>織姫</v>
      </c>
      <c r="D5" s="21">
        <f ca="1">VLOOKUP($B5,OFFSET(units!$A$1,0,0,COUNTA(units!$A:$A),MATCH(D$1,units!$1:$1,0)-COLUMN(INDIRECT("character_id"))+1),MATCH(D$1,units!$1:$1,0)-COLUMN(INDIRECT("character_id"))+1,FALSE)</f>
        <v>5</v>
      </c>
      <c r="E5" s="21" t="str">
        <f ca="1">VLOOKUP($B5,OFFSET(units!$A$1,0,0,COUNTA(units!$A:$A),MATCH(E$1,units!$1:$1,0)-COLUMN(INDIRECT("character_id"))+1),MATCH(E$1,units!$1:$1,0)-COLUMN(INDIRECT("character_id"))+1,FALSE)</f>
        <v>PremiumSS</v>
      </c>
      <c r="F5" s="43">
        <v>102</v>
      </c>
      <c r="G5" s="21" t="str">
        <f>VLOOKUP(F5,[1]characters!$A:$C,3,FALSE)</f>
        <v>レッドラビット</v>
      </c>
      <c r="H5" s="18">
        <v>1</v>
      </c>
      <c r="I5" s="114">
        <v>1</v>
      </c>
    </row>
    <row r="6" spans="1:9" x14ac:dyDescent="0.15">
      <c r="A6" s="64" t="str">
        <f t="shared" si="0"/>
        <v>1043_837</v>
      </c>
      <c r="B6" s="43">
        <v>1043</v>
      </c>
      <c r="C6" s="21" t="str">
        <f ca="1">VLOOKUP($B6,OFFSET(units!$A$1,0,0,COUNTA(units!$A:$A),MATCH(C$1,units!$1:$1,0)-COLUMN(INDIRECT("character_id"))+1),MATCH(C$1,units!$1:$1,0)-COLUMN(INDIRECT("character_id"))+1,FALSE)</f>
        <v>彦星</v>
      </c>
      <c r="D6" s="21">
        <f ca="1">VLOOKUP($B6,OFFSET(units!$A$1,0,0,COUNTA(units!$A:$A),MATCH(D$1,units!$1:$1,0)-COLUMN(INDIRECT("character_id"))+1),MATCH(D$1,units!$1:$1,0)-COLUMN(INDIRECT("character_id"))+1,FALSE)</f>
        <v>5</v>
      </c>
      <c r="E6" s="21" t="str">
        <f ca="1">VLOOKUP($B6,OFFSET(units!$A$1,0,0,COUNTA(units!$A:$A),MATCH(E$1,units!$1:$1,0)-COLUMN(INDIRECT("character_id"))+1),MATCH(E$1,units!$1:$1,0)-COLUMN(INDIRECT("character_id"))+1,FALSE)</f>
        <v>DropWizS</v>
      </c>
      <c r="F6" s="43">
        <v>837</v>
      </c>
      <c r="G6" s="21" t="str">
        <f>VLOOKUP(F6,[1]characters!$A:$C,3,FALSE)</f>
        <v>リトルハンプティ</v>
      </c>
      <c r="H6" s="18">
        <v>1</v>
      </c>
      <c r="I6" s="114">
        <v>1</v>
      </c>
    </row>
    <row r="7" spans="1:9" x14ac:dyDescent="0.15">
      <c r="A7" s="64" t="str">
        <f t="shared" si="0"/>
        <v>1043_288</v>
      </c>
      <c r="B7" s="43">
        <v>1043</v>
      </c>
      <c r="C7" s="21" t="str">
        <f ca="1">VLOOKUP($B7,OFFSET(units!$A$1,0,0,COUNTA(units!$A:$A),MATCH(C$1,units!$1:$1,0)-COLUMN(INDIRECT("character_id"))+1),MATCH(C$1,units!$1:$1,0)-COLUMN(INDIRECT("character_id"))+1,FALSE)</f>
        <v>彦星</v>
      </c>
      <c r="D7" s="21">
        <f ca="1">VLOOKUP($B7,OFFSET(units!$A$1,0,0,COUNTA(units!$A:$A),MATCH(D$1,units!$1:$1,0)-COLUMN(INDIRECT("character_id"))+1),MATCH(D$1,units!$1:$1,0)-COLUMN(INDIRECT("character_id"))+1,FALSE)</f>
        <v>5</v>
      </c>
      <c r="E7" s="21" t="str">
        <f ca="1">VLOOKUP($B7,OFFSET(units!$A$1,0,0,COUNTA(units!$A:$A),MATCH(E$1,units!$1:$1,0)-COLUMN(INDIRECT("character_id"))+1),MATCH(E$1,units!$1:$1,0)-COLUMN(INDIRECT("character_id"))+1,FALSE)</f>
        <v>DropWizS</v>
      </c>
      <c r="F7" s="43">
        <v>288</v>
      </c>
      <c r="G7" s="21" t="str">
        <f>VLOOKUP(F7,[1]characters!$A:$C,3,FALSE)</f>
        <v>ミカド</v>
      </c>
      <c r="H7" s="18">
        <v>1</v>
      </c>
      <c r="I7" s="114">
        <v>1</v>
      </c>
    </row>
    <row r="8" spans="1:9" x14ac:dyDescent="0.15">
      <c r="A8" s="64" t="str">
        <f t="shared" si="0"/>
        <v>1043_856</v>
      </c>
      <c r="B8" s="43">
        <v>1043</v>
      </c>
      <c r="C8" s="21" t="str">
        <f ca="1">VLOOKUP($B8,OFFSET(units!$A$1,0,0,COUNTA(units!$A:$A),MATCH(C$1,units!$1:$1,0)-COLUMN(INDIRECT("character_id"))+1),MATCH(C$1,units!$1:$1,0)-COLUMN(INDIRECT("character_id"))+1,FALSE)</f>
        <v>彦星</v>
      </c>
      <c r="D8" s="21">
        <f ca="1">VLOOKUP($B8,OFFSET(units!$A$1,0,0,COUNTA(units!$A:$A),MATCH(D$1,units!$1:$1,0)-COLUMN(INDIRECT("character_id"))+1),MATCH(D$1,units!$1:$1,0)-COLUMN(INDIRECT("character_id"))+1,FALSE)</f>
        <v>5</v>
      </c>
      <c r="E8" s="21" t="str">
        <f ca="1">VLOOKUP($B8,OFFSET(units!$A$1,0,0,COUNTA(units!$A:$A),MATCH(E$1,units!$1:$1,0)-COLUMN(INDIRECT("character_id"))+1),MATCH(E$1,units!$1:$1,0)-COLUMN(INDIRECT("character_id"))+1,FALSE)</f>
        <v>DropWizS</v>
      </c>
      <c r="F8" s="43">
        <v>856</v>
      </c>
      <c r="G8" s="21" t="str">
        <f>VLOOKUP(F8,[1]characters!$A:$C,3,FALSE)</f>
        <v>リフレクト＆M.I.R.R.O.R.</v>
      </c>
      <c r="H8" s="18">
        <v>1</v>
      </c>
      <c r="I8" s="114">
        <v>1</v>
      </c>
    </row>
    <row r="9" spans="1:9" x14ac:dyDescent="0.15">
      <c r="A9" s="64" t="str">
        <f t="shared" si="0"/>
        <v>1043_108</v>
      </c>
      <c r="B9" s="43">
        <v>1043</v>
      </c>
      <c r="C9" s="21" t="str">
        <f ca="1">VLOOKUP($B9,OFFSET(units!$A$1,0,0,COUNTA(units!$A:$A),MATCH(C$1,units!$1:$1,0)-COLUMN(INDIRECT("character_id"))+1),MATCH(C$1,units!$1:$1,0)-COLUMN(INDIRECT("character_id"))+1,FALSE)</f>
        <v>彦星</v>
      </c>
      <c r="D9" s="21">
        <f ca="1">VLOOKUP($B9,OFFSET(units!$A$1,0,0,COUNTA(units!$A:$A),MATCH(D$1,units!$1:$1,0)-COLUMN(INDIRECT("character_id"))+1),MATCH(D$1,units!$1:$1,0)-COLUMN(INDIRECT("character_id"))+1,FALSE)</f>
        <v>5</v>
      </c>
      <c r="E9" s="21" t="str">
        <f ca="1">VLOOKUP($B9,OFFSET(units!$A$1,0,0,COUNTA(units!$A:$A),MATCH(E$1,units!$1:$1,0)-COLUMN(INDIRECT("character_id"))+1),MATCH(E$1,units!$1:$1,0)-COLUMN(INDIRECT("character_id"))+1,FALSE)</f>
        <v>DropWizS</v>
      </c>
      <c r="F9" s="43">
        <v>108</v>
      </c>
      <c r="G9" s="21" t="str">
        <f>VLOOKUP(F9,[1]characters!$A:$C,3,FALSE)</f>
        <v>森のマッドハッター</v>
      </c>
      <c r="H9" s="18">
        <v>1</v>
      </c>
      <c r="I9" s="114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234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6" t="s">
        <v>235</v>
      </c>
      <c r="B2" s="147"/>
      <c r="C2" s="148"/>
      <c r="D2" s="149" t="s">
        <v>236</v>
      </c>
      <c r="E2" s="149">
        <v>30</v>
      </c>
      <c r="F2" s="149">
        <v>40</v>
      </c>
      <c r="G2" s="149">
        <f>15+F2</f>
        <v>55</v>
      </c>
      <c r="H2" s="148"/>
      <c r="I2" s="148"/>
    </row>
    <row r="3" spans="1:9" s="4" customFormat="1" ht="21" customHeight="1" x14ac:dyDescent="0.15">
      <c r="A3" s="146" t="s">
        <v>237</v>
      </c>
      <c r="B3" s="150"/>
      <c r="C3" s="151"/>
      <c r="D3" s="152" t="s">
        <v>236</v>
      </c>
      <c r="E3" s="152">
        <v>25</v>
      </c>
      <c r="F3" s="152">
        <v>35</v>
      </c>
      <c r="G3" s="149">
        <f t="shared" ref="G3:G4" si="0">15+F3</f>
        <v>50</v>
      </c>
      <c r="H3" s="151"/>
      <c r="I3" s="151"/>
    </row>
    <row r="4" spans="1:9" s="4" customFormat="1" ht="21" customHeight="1" x14ac:dyDescent="0.15">
      <c r="A4" s="146" t="s">
        <v>238</v>
      </c>
      <c r="B4" s="153"/>
      <c r="C4" s="154"/>
      <c r="D4" s="155">
        <v>10</v>
      </c>
      <c r="E4" s="155">
        <v>20</v>
      </c>
      <c r="F4" s="155">
        <v>30</v>
      </c>
      <c r="G4" s="155">
        <f t="shared" si="0"/>
        <v>45</v>
      </c>
      <c r="H4" s="154"/>
      <c r="I4" s="154"/>
    </row>
    <row r="5" spans="1:9" s="4" customFormat="1" ht="21" customHeight="1" x14ac:dyDescent="0.15">
      <c r="A5" s="165" t="s">
        <v>239</v>
      </c>
      <c r="B5" s="160"/>
      <c r="C5" s="161"/>
      <c r="D5" s="29">
        <v>9</v>
      </c>
      <c r="E5" s="29">
        <v>18</v>
      </c>
      <c r="F5" s="29">
        <v>28</v>
      </c>
      <c r="G5" s="39">
        <v>38</v>
      </c>
      <c r="H5" s="161"/>
      <c r="I5" s="161"/>
    </row>
    <row r="6" spans="1:9" s="4" customFormat="1" ht="21" customHeight="1" x14ac:dyDescent="0.15">
      <c r="A6" s="165" t="s">
        <v>240</v>
      </c>
      <c r="B6" s="160"/>
      <c r="C6" s="161"/>
      <c r="D6" s="29">
        <v>7</v>
      </c>
      <c r="E6" s="29">
        <v>16</v>
      </c>
      <c r="F6" s="68" t="s">
        <v>11</v>
      </c>
      <c r="G6" s="68" t="s">
        <v>11</v>
      </c>
      <c r="H6" s="161"/>
      <c r="I6" s="161"/>
    </row>
    <row r="7" spans="1:9" ht="21" customHeight="1" x14ac:dyDescent="0.15">
      <c r="A7" s="73" t="s">
        <v>241</v>
      </c>
      <c r="B7" s="46" t="s">
        <v>11</v>
      </c>
      <c r="C7" s="46" t="s">
        <v>11</v>
      </c>
      <c r="D7" s="39" t="s">
        <v>236</v>
      </c>
      <c r="E7" s="39" t="s">
        <v>236</v>
      </c>
      <c r="F7" s="39" t="s">
        <v>236</v>
      </c>
      <c r="G7" s="39" t="s">
        <v>236</v>
      </c>
      <c r="H7" s="39" t="s">
        <v>236</v>
      </c>
      <c r="I7" s="39" t="s">
        <v>236</v>
      </c>
    </row>
    <row r="8" spans="1:9" ht="21" customHeight="1" x14ac:dyDescent="0.15">
      <c r="A8" s="74" t="s">
        <v>242</v>
      </c>
      <c r="B8" s="46" t="s">
        <v>11</v>
      </c>
      <c r="C8" s="46" t="s">
        <v>11</v>
      </c>
      <c r="D8" s="39" t="s">
        <v>236</v>
      </c>
      <c r="E8" s="39">
        <v>30</v>
      </c>
      <c r="F8" s="39">
        <v>40</v>
      </c>
      <c r="G8" s="39">
        <f>15+F8</f>
        <v>55</v>
      </c>
      <c r="H8" s="39" t="s">
        <v>236</v>
      </c>
      <c r="I8" s="39" t="s">
        <v>236</v>
      </c>
    </row>
    <row r="9" spans="1:9" s="45" customFormat="1" ht="21" customHeight="1" x14ac:dyDescent="0.15">
      <c r="A9" s="75" t="s">
        <v>243</v>
      </c>
      <c r="B9" s="29" t="s">
        <v>11</v>
      </c>
      <c r="C9" s="29" t="s">
        <v>11</v>
      </c>
      <c r="D9" s="105" t="s">
        <v>236</v>
      </c>
      <c r="E9" s="105">
        <v>25</v>
      </c>
      <c r="F9" s="105">
        <v>35</v>
      </c>
      <c r="G9" s="39">
        <f t="shared" ref="G9:G10" si="1">15+F9</f>
        <v>50</v>
      </c>
      <c r="H9" s="105" t="s">
        <v>236</v>
      </c>
      <c r="I9" s="105" t="s">
        <v>236</v>
      </c>
    </row>
    <row r="10" spans="1:9" ht="21" customHeight="1" x14ac:dyDescent="0.15">
      <c r="A10" s="75" t="s">
        <v>9</v>
      </c>
      <c r="B10" s="68" t="s">
        <v>11</v>
      </c>
      <c r="C10" s="68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68" t="s">
        <v>11</v>
      </c>
      <c r="I10" s="68" t="s">
        <v>11</v>
      </c>
    </row>
    <row r="11" spans="1:9" ht="21" customHeight="1" x14ac:dyDescent="0.15">
      <c r="A11" s="75" t="s">
        <v>244</v>
      </c>
      <c r="B11" s="68" t="s">
        <v>11</v>
      </c>
      <c r="C11" s="68" t="s">
        <v>11</v>
      </c>
      <c r="D11" s="29">
        <v>9</v>
      </c>
      <c r="E11" s="29">
        <v>18</v>
      </c>
      <c r="F11" s="29">
        <v>28</v>
      </c>
      <c r="G11" s="39">
        <v>38</v>
      </c>
      <c r="H11" s="68" t="s">
        <v>11</v>
      </c>
      <c r="I11" s="68" t="s">
        <v>11</v>
      </c>
    </row>
    <row r="12" spans="1:9" ht="21" customHeight="1" x14ac:dyDescent="0.15">
      <c r="A12" s="75" t="s">
        <v>245</v>
      </c>
      <c r="B12" s="68" t="s">
        <v>11</v>
      </c>
      <c r="C12" s="68" t="s">
        <v>11</v>
      </c>
      <c r="D12" s="29">
        <v>7</v>
      </c>
      <c r="E12" s="29">
        <v>16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104" t="s">
        <v>246</v>
      </c>
      <c r="B13" s="68" t="s">
        <v>11</v>
      </c>
      <c r="C13" s="68" t="s">
        <v>11</v>
      </c>
      <c r="D13" s="29">
        <v>8</v>
      </c>
      <c r="E13" s="29">
        <v>17</v>
      </c>
      <c r="F13" s="29">
        <v>26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75" t="s">
        <v>247</v>
      </c>
      <c r="B14" s="68" t="s">
        <v>11</v>
      </c>
      <c r="C14" s="68" t="s">
        <v>11</v>
      </c>
      <c r="D14" s="29">
        <v>8</v>
      </c>
      <c r="E14" s="29">
        <v>17</v>
      </c>
      <c r="F14" s="29">
        <v>26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5" t="s">
        <v>248</v>
      </c>
      <c r="B15" s="68" t="s">
        <v>11</v>
      </c>
      <c r="C15" s="68" t="s">
        <v>11</v>
      </c>
      <c r="D15" s="29">
        <v>6</v>
      </c>
      <c r="E15" s="29">
        <v>14</v>
      </c>
      <c r="F15" s="68" t="s">
        <v>11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5" t="s">
        <v>249</v>
      </c>
      <c r="B16" s="68" t="s">
        <v>11</v>
      </c>
      <c r="C16" s="29">
        <v>4</v>
      </c>
      <c r="D16" s="29">
        <v>6</v>
      </c>
      <c r="E16" s="29">
        <v>14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5" t="s">
        <v>8</v>
      </c>
      <c r="B17" s="29">
        <v>2</v>
      </c>
      <c r="C17" s="29">
        <v>4</v>
      </c>
      <c r="D17" s="29">
        <v>6</v>
      </c>
      <c r="E17" s="68" t="s">
        <v>11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76" t="s">
        <v>7</v>
      </c>
      <c r="B18" s="32">
        <v>1</v>
      </c>
      <c r="C18" s="32">
        <v>2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250</v>
      </c>
      <c r="B19" s="27">
        <v>1</v>
      </c>
      <c r="C19" s="27">
        <v>1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8" t="s">
        <v>251</v>
      </c>
      <c r="B20" s="27">
        <v>99</v>
      </c>
      <c r="C20" s="27">
        <v>99</v>
      </c>
      <c r="D20" s="27">
        <v>99</v>
      </c>
      <c r="E20" s="27">
        <v>99</v>
      </c>
      <c r="F20" s="27">
        <v>99</v>
      </c>
      <c r="G20" s="27">
        <v>99</v>
      </c>
      <c r="H20" s="27">
        <v>99</v>
      </c>
      <c r="I20" s="2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6" t="s">
        <v>235</v>
      </c>
      <c r="B2" s="162"/>
      <c r="C2" s="148"/>
      <c r="D2" s="156" t="s">
        <v>109</v>
      </c>
      <c r="E2" s="156">
        <v>60</v>
      </c>
      <c r="F2" s="156">
        <v>80</v>
      </c>
      <c r="G2" s="156">
        <v>99</v>
      </c>
      <c r="H2" s="148"/>
      <c r="I2" s="148"/>
    </row>
    <row r="3" spans="1:9" s="4" customFormat="1" ht="21" customHeight="1" x14ac:dyDescent="0.15">
      <c r="A3" s="146" t="s">
        <v>237</v>
      </c>
      <c r="B3" s="163"/>
      <c r="C3" s="151"/>
      <c r="D3" s="156" t="s">
        <v>109</v>
      </c>
      <c r="E3" s="156">
        <v>60</v>
      </c>
      <c r="F3" s="156">
        <v>80</v>
      </c>
      <c r="G3" s="156">
        <v>99</v>
      </c>
      <c r="H3" s="151"/>
      <c r="I3" s="151"/>
    </row>
    <row r="4" spans="1:9" s="4" customFormat="1" ht="21" customHeight="1" x14ac:dyDescent="0.15">
      <c r="A4" s="146" t="s">
        <v>231</v>
      </c>
      <c r="B4" s="164"/>
      <c r="C4" s="154"/>
      <c r="D4" s="156">
        <v>40</v>
      </c>
      <c r="E4" s="156">
        <v>60</v>
      </c>
      <c r="F4" s="156">
        <v>80</v>
      </c>
      <c r="G4" s="156">
        <v>99</v>
      </c>
      <c r="H4" s="154"/>
      <c r="I4" s="154"/>
    </row>
    <row r="5" spans="1:9" s="4" customFormat="1" ht="21" customHeight="1" x14ac:dyDescent="0.15">
      <c r="A5" s="165" t="s">
        <v>239</v>
      </c>
      <c r="B5" s="160"/>
      <c r="C5" s="161"/>
      <c r="D5" s="156">
        <v>40</v>
      </c>
      <c r="E5" s="156">
        <v>60</v>
      </c>
      <c r="F5" s="156">
        <v>80</v>
      </c>
      <c r="G5" s="156">
        <v>99</v>
      </c>
      <c r="H5" s="161"/>
      <c r="I5" s="161"/>
    </row>
    <row r="6" spans="1:9" s="4" customFormat="1" ht="21" customHeight="1" x14ac:dyDescent="0.15">
      <c r="A6" s="165" t="s">
        <v>240</v>
      </c>
      <c r="B6" s="160"/>
      <c r="C6" s="161"/>
      <c r="D6" s="156">
        <v>40</v>
      </c>
      <c r="E6" s="156">
        <v>60</v>
      </c>
      <c r="F6" s="156" t="s">
        <v>109</v>
      </c>
      <c r="G6" s="156" t="s">
        <v>109</v>
      </c>
      <c r="H6" s="161"/>
      <c r="I6" s="161"/>
    </row>
    <row r="7" spans="1:9" ht="21" customHeight="1" x14ac:dyDescent="0.15">
      <c r="A7" s="73" t="s">
        <v>207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4" t="s">
        <v>242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5" customFormat="1" ht="21" customHeight="1" x14ac:dyDescent="0.15">
      <c r="A9" s="75" t="s">
        <v>243</v>
      </c>
      <c r="B9" s="65" t="s">
        <v>109</v>
      </c>
      <c r="C9" s="65" t="s">
        <v>109</v>
      </c>
      <c r="D9" s="65" t="s">
        <v>109</v>
      </c>
      <c r="E9" s="65">
        <v>60</v>
      </c>
      <c r="F9" s="65">
        <v>80</v>
      </c>
      <c r="G9" s="65">
        <v>99</v>
      </c>
      <c r="H9" s="65" t="s">
        <v>109</v>
      </c>
      <c r="I9" s="65" t="s">
        <v>109</v>
      </c>
    </row>
    <row r="10" spans="1:9" ht="21" customHeight="1" x14ac:dyDescent="0.15">
      <c r="A10" s="75" t="s">
        <v>9</v>
      </c>
      <c r="B10" s="70" t="s">
        <v>109</v>
      </c>
      <c r="C10" s="70" t="s">
        <v>109</v>
      </c>
      <c r="D10" s="37">
        <v>40</v>
      </c>
      <c r="E10" s="37">
        <v>60</v>
      </c>
      <c r="F10" s="37">
        <v>80</v>
      </c>
      <c r="G10" s="40">
        <v>99</v>
      </c>
      <c r="H10" s="70" t="s">
        <v>109</v>
      </c>
      <c r="I10" s="70" t="s">
        <v>109</v>
      </c>
    </row>
    <row r="11" spans="1:9" ht="21" customHeight="1" x14ac:dyDescent="0.15">
      <c r="A11" s="75" t="s">
        <v>210</v>
      </c>
      <c r="B11" s="70" t="s">
        <v>109</v>
      </c>
      <c r="C11" s="70" t="s">
        <v>109</v>
      </c>
      <c r="D11" s="37">
        <v>40</v>
      </c>
      <c r="E11" s="37">
        <v>60</v>
      </c>
      <c r="F11" s="37">
        <v>80</v>
      </c>
      <c r="G11" s="65">
        <v>99</v>
      </c>
      <c r="H11" s="70" t="s">
        <v>109</v>
      </c>
      <c r="I11" s="70" t="s">
        <v>109</v>
      </c>
    </row>
    <row r="12" spans="1:9" ht="21" customHeight="1" x14ac:dyDescent="0.15">
      <c r="A12" s="75" t="s">
        <v>206</v>
      </c>
      <c r="B12" s="70" t="s">
        <v>109</v>
      </c>
      <c r="C12" s="70" t="s">
        <v>109</v>
      </c>
      <c r="D12" s="37">
        <v>40</v>
      </c>
      <c r="E12" s="37">
        <v>60</v>
      </c>
      <c r="F12" s="70" t="s">
        <v>109</v>
      </c>
      <c r="G12" s="70" t="s">
        <v>109</v>
      </c>
      <c r="H12" s="70" t="s">
        <v>109</v>
      </c>
      <c r="I12" s="70" t="s">
        <v>109</v>
      </c>
    </row>
    <row r="13" spans="1:9" ht="21" customHeight="1" x14ac:dyDescent="0.15">
      <c r="A13" s="104" t="s">
        <v>246</v>
      </c>
      <c r="B13" s="70" t="s">
        <v>109</v>
      </c>
      <c r="C13" s="70" t="s">
        <v>109</v>
      </c>
      <c r="D13" s="37">
        <v>40</v>
      </c>
      <c r="E13" s="37">
        <v>60</v>
      </c>
      <c r="F13" s="37">
        <v>80</v>
      </c>
      <c r="G13" s="70" t="s">
        <v>109</v>
      </c>
      <c r="H13" s="70" t="s">
        <v>109</v>
      </c>
      <c r="I13" s="70" t="s">
        <v>109</v>
      </c>
    </row>
    <row r="14" spans="1:9" ht="21" customHeight="1" x14ac:dyDescent="0.15">
      <c r="A14" s="75" t="s">
        <v>247</v>
      </c>
      <c r="B14" s="70" t="s">
        <v>109</v>
      </c>
      <c r="C14" s="70" t="s">
        <v>109</v>
      </c>
      <c r="D14" s="37">
        <v>40</v>
      </c>
      <c r="E14" s="37">
        <v>60</v>
      </c>
      <c r="F14" s="37">
        <v>80</v>
      </c>
      <c r="G14" s="70" t="s">
        <v>109</v>
      </c>
      <c r="H14" s="70" t="s">
        <v>109</v>
      </c>
      <c r="I14" s="70" t="s">
        <v>109</v>
      </c>
    </row>
    <row r="15" spans="1:9" ht="21" customHeight="1" x14ac:dyDescent="0.15">
      <c r="A15" s="75" t="s">
        <v>105</v>
      </c>
      <c r="B15" s="70" t="s">
        <v>109</v>
      </c>
      <c r="C15" s="37">
        <v>30</v>
      </c>
      <c r="D15" s="37">
        <v>40</v>
      </c>
      <c r="E15" s="37">
        <v>60</v>
      </c>
      <c r="F15" s="70" t="s">
        <v>109</v>
      </c>
      <c r="G15" s="70" t="s">
        <v>109</v>
      </c>
      <c r="H15" s="70" t="s">
        <v>109</v>
      </c>
      <c r="I15" s="70" t="s">
        <v>109</v>
      </c>
    </row>
    <row r="16" spans="1:9" ht="21" customHeight="1" x14ac:dyDescent="0.15">
      <c r="A16" s="75" t="s">
        <v>249</v>
      </c>
      <c r="B16" s="70" t="s">
        <v>109</v>
      </c>
      <c r="C16" s="37">
        <v>30</v>
      </c>
      <c r="D16" s="37">
        <v>40</v>
      </c>
      <c r="E16" s="37">
        <v>60</v>
      </c>
      <c r="F16" s="70" t="s">
        <v>109</v>
      </c>
      <c r="G16" s="70" t="s">
        <v>109</v>
      </c>
      <c r="H16" s="70" t="s">
        <v>109</v>
      </c>
      <c r="I16" s="70" t="s">
        <v>109</v>
      </c>
    </row>
    <row r="17" spans="1:9" ht="21" customHeight="1" x14ac:dyDescent="0.15">
      <c r="A17" s="75" t="s">
        <v>8</v>
      </c>
      <c r="B17" s="37">
        <v>15</v>
      </c>
      <c r="C17" s="37">
        <v>30</v>
      </c>
      <c r="D17" s="37">
        <v>40</v>
      </c>
      <c r="E17" s="70" t="s">
        <v>109</v>
      </c>
      <c r="F17" s="70" t="s">
        <v>109</v>
      </c>
      <c r="G17" s="70" t="s">
        <v>109</v>
      </c>
      <c r="H17" s="70" t="s">
        <v>109</v>
      </c>
      <c r="I17" s="70" t="s">
        <v>109</v>
      </c>
    </row>
    <row r="18" spans="1:9" ht="21" customHeight="1" x14ac:dyDescent="0.15">
      <c r="A18" s="76" t="s">
        <v>7</v>
      </c>
      <c r="B18" s="37">
        <v>15</v>
      </c>
      <c r="C18" s="37">
        <v>30</v>
      </c>
      <c r="D18" s="37">
        <v>40</v>
      </c>
      <c r="E18" s="70" t="s">
        <v>216</v>
      </c>
      <c r="F18" s="70" t="s">
        <v>216</v>
      </c>
      <c r="G18" s="70" t="s">
        <v>216</v>
      </c>
      <c r="H18" s="70" t="s">
        <v>216</v>
      </c>
      <c r="I18" s="70" t="s">
        <v>216</v>
      </c>
    </row>
    <row r="19" spans="1:9" ht="21" customHeight="1" x14ac:dyDescent="0.15">
      <c r="A19" s="77" t="s">
        <v>250</v>
      </c>
      <c r="B19" s="37">
        <v>10</v>
      </c>
      <c r="C19" s="37">
        <v>20</v>
      </c>
      <c r="D19" s="70" t="s">
        <v>216</v>
      </c>
      <c r="E19" s="70" t="s">
        <v>216</v>
      </c>
      <c r="F19" s="70" t="s">
        <v>216</v>
      </c>
      <c r="G19" s="70" t="s">
        <v>216</v>
      </c>
      <c r="H19" s="70" t="s">
        <v>216</v>
      </c>
      <c r="I19" s="70" t="s">
        <v>216</v>
      </c>
    </row>
    <row r="20" spans="1:9" ht="21" customHeight="1" x14ac:dyDescent="0.15">
      <c r="A20" s="38" t="s">
        <v>251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8" t="s">
        <v>10</v>
      </c>
      <c r="B1" s="49">
        <v>1</v>
      </c>
      <c r="C1" s="49">
        <v>2</v>
      </c>
      <c r="D1" s="49">
        <v>3</v>
      </c>
      <c r="E1" s="49">
        <v>4</v>
      </c>
      <c r="F1" s="49">
        <v>5</v>
      </c>
      <c r="G1" s="49">
        <v>6</v>
      </c>
      <c r="H1" s="49">
        <v>7</v>
      </c>
      <c r="I1" s="49">
        <v>8</v>
      </c>
    </row>
    <row r="2" spans="1:11" s="4" customFormat="1" ht="21" customHeight="1" x14ac:dyDescent="0.15">
      <c r="A2" s="146" t="s">
        <v>235</v>
      </c>
      <c r="B2" s="147"/>
      <c r="C2" s="148"/>
      <c r="D2" s="156" t="s">
        <v>109</v>
      </c>
      <c r="E2" s="157" t="s">
        <v>59</v>
      </c>
      <c r="F2" s="157" t="s">
        <v>59</v>
      </c>
      <c r="G2" s="157" t="s">
        <v>252</v>
      </c>
      <c r="H2" s="148"/>
      <c r="I2" s="148"/>
    </row>
    <row r="3" spans="1:11" s="4" customFormat="1" ht="21" customHeight="1" x14ac:dyDescent="0.15">
      <c r="A3" s="146" t="s">
        <v>237</v>
      </c>
      <c r="B3" s="150"/>
      <c r="C3" s="151"/>
      <c r="D3" s="157" t="s">
        <v>59</v>
      </c>
      <c r="E3" s="157" t="s">
        <v>59</v>
      </c>
      <c r="F3" s="157" t="s">
        <v>59</v>
      </c>
      <c r="G3" s="157" t="s">
        <v>230</v>
      </c>
      <c r="H3" s="151"/>
      <c r="I3" s="151"/>
    </row>
    <row r="4" spans="1:11" s="4" customFormat="1" ht="21" customHeight="1" x14ac:dyDescent="0.15">
      <c r="A4" s="146" t="s">
        <v>231</v>
      </c>
      <c r="B4" s="153"/>
      <c r="C4" s="154"/>
      <c r="D4" s="158" t="s">
        <v>59</v>
      </c>
      <c r="E4" s="158" t="s">
        <v>59</v>
      </c>
      <c r="F4" s="158" t="s">
        <v>59</v>
      </c>
      <c r="G4" s="157" t="s">
        <v>230</v>
      </c>
      <c r="H4" s="154"/>
      <c r="I4" s="154"/>
    </row>
    <row r="5" spans="1:11" s="4" customFormat="1" ht="21" customHeight="1" x14ac:dyDescent="0.15">
      <c r="A5" s="165" t="s">
        <v>239</v>
      </c>
      <c r="B5" s="160"/>
      <c r="C5" s="161"/>
      <c r="D5" s="158" t="s">
        <v>59</v>
      </c>
      <c r="E5" s="158" t="s">
        <v>59</v>
      </c>
      <c r="F5" s="158" t="s">
        <v>59</v>
      </c>
      <c r="G5" s="157" t="s">
        <v>220</v>
      </c>
      <c r="H5" s="161"/>
      <c r="I5" s="161"/>
    </row>
    <row r="6" spans="1:11" s="4" customFormat="1" ht="21" customHeight="1" x14ac:dyDescent="0.15">
      <c r="A6" s="165" t="s">
        <v>240</v>
      </c>
      <c r="B6" s="160"/>
      <c r="C6" s="161"/>
      <c r="D6" s="166" t="s">
        <v>60</v>
      </c>
      <c r="E6" s="166" t="s">
        <v>60</v>
      </c>
      <c r="F6" s="156" t="s">
        <v>109</v>
      </c>
      <c r="G6" s="156" t="s">
        <v>109</v>
      </c>
      <c r="H6" s="161"/>
      <c r="I6" s="161"/>
    </row>
    <row r="7" spans="1:11" ht="21" customHeight="1" x14ac:dyDescent="0.15">
      <c r="A7" s="73" t="s">
        <v>207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4" t="s">
        <v>242</v>
      </c>
      <c r="B8" s="40" t="s">
        <v>109</v>
      </c>
      <c r="C8" s="40" t="s">
        <v>109</v>
      </c>
      <c r="D8" s="40" t="s">
        <v>217</v>
      </c>
      <c r="E8" s="51" t="s">
        <v>115</v>
      </c>
      <c r="F8" s="51" t="s">
        <v>115</v>
      </c>
      <c r="G8" s="51" t="s">
        <v>218</v>
      </c>
      <c r="H8" s="40" t="s">
        <v>217</v>
      </c>
      <c r="I8" s="40" t="s">
        <v>109</v>
      </c>
    </row>
    <row r="9" spans="1:11" s="45" customFormat="1" ht="21" customHeight="1" x14ac:dyDescent="0.15">
      <c r="A9" s="75" t="s">
        <v>243</v>
      </c>
      <c r="B9" s="65" t="s">
        <v>109</v>
      </c>
      <c r="C9" s="65" t="s">
        <v>109</v>
      </c>
      <c r="D9" s="65" t="s">
        <v>109</v>
      </c>
      <c r="E9" s="51" t="s">
        <v>59</v>
      </c>
      <c r="F9" s="51" t="s">
        <v>59</v>
      </c>
      <c r="G9" s="51" t="s">
        <v>115</v>
      </c>
      <c r="H9" s="65" t="s">
        <v>219</v>
      </c>
      <c r="I9" s="65" t="s">
        <v>219</v>
      </c>
    </row>
    <row r="10" spans="1:11" ht="21" customHeight="1" x14ac:dyDescent="0.15">
      <c r="A10" s="75" t="s">
        <v>9</v>
      </c>
      <c r="B10" s="70" t="s">
        <v>109</v>
      </c>
      <c r="C10" s="70" t="s">
        <v>109</v>
      </c>
      <c r="D10" s="51" t="s">
        <v>59</v>
      </c>
      <c r="E10" s="51" t="s">
        <v>59</v>
      </c>
      <c r="F10" s="51" t="s">
        <v>59</v>
      </c>
      <c r="G10" s="51" t="s">
        <v>220</v>
      </c>
      <c r="H10" s="70" t="s">
        <v>219</v>
      </c>
      <c r="I10" s="70" t="s">
        <v>219</v>
      </c>
      <c r="K10" s="28" t="s">
        <v>12</v>
      </c>
    </row>
    <row r="11" spans="1:11" ht="21" customHeight="1" x14ac:dyDescent="0.15">
      <c r="A11" s="75" t="s">
        <v>210</v>
      </c>
      <c r="B11" s="70" t="s">
        <v>109</v>
      </c>
      <c r="C11" s="70" t="s">
        <v>109</v>
      </c>
      <c r="D11" s="52" t="s">
        <v>59</v>
      </c>
      <c r="E11" s="52" t="s">
        <v>59</v>
      </c>
      <c r="F11" s="52" t="s">
        <v>59</v>
      </c>
      <c r="G11" s="51" t="s">
        <v>220</v>
      </c>
      <c r="H11" s="70" t="s">
        <v>219</v>
      </c>
      <c r="I11" s="70" t="s">
        <v>219</v>
      </c>
      <c r="K11" s="30" t="s">
        <v>13</v>
      </c>
    </row>
    <row r="12" spans="1:11" ht="21" customHeight="1" x14ac:dyDescent="0.15">
      <c r="A12" s="75" t="s">
        <v>206</v>
      </c>
      <c r="B12" s="70" t="s">
        <v>109</v>
      </c>
      <c r="C12" s="70" t="s">
        <v>109</v>
      </c>
      <c r="D12" s="53" t="s">
        <v>60</v>
      </c>
      <c r="E12" s="53" t="s">
        <v>60</v>
      </c>
      <c r="F12" s="70" t="s">
        <v>109</v>
      </c>
      <c r="G12" s="70" t="s">
        <v>109</v>
      </c>
      <c r="H12" s="70" t="s">
        <v>109</v>
      </c>
      <c r="I12" s="70" t="s">
        <v>109</v>
      </c>
      <c r="K12" s="71" t="s">
        <v>35</v>
      </c>
    </row>
    <row r="13" spans="1:11" ht="21" customHeight="1" x14ac:dyDescent="0.15">
      <c r="A13" s="104" t="s">
        <v>246</v>
      </c>
      <c r="B13" s="70" t="s">
        <v>109</v>
      </c>
      <c r="C13" s="70" t="s">
        <v>109</v>
      </c>
      <c r="D13" s="54" t="s">
        <v>59</v>
      </c>
      <c r="E13" s="54" t="s">
        <v>59</v>
      </c>
      <c r="F13" s="54" t="s">
        <v>59</v>
      </c>
      <c r="G13" s="70" t="s">
        <v>109</v>
      </c>
      <c r="H13" s="70" t="s">
        <v>109</v>
      </c>
      <c r="I13" s="70" t="s">
        <v>109</v>
      </c>
      <c r="K13" s="72"/>
    </row>
    <row r="14" spans="1:11" ht="21" customHeight="1" x14ac:dyDescent="0.15">
      <c r="A14" s="75" t="s">
        <v>247</v>
      </c>
      <c r="B14" s="70" t="s">
        <v>109</v>
      </c>
      <c r="C14" s="70" t="s">
        <v>109</v>
      </c>
      <c r="D14" s="54" t="s">
        <v>59</v>
      </c>
      <c r="E14" s="54" t="s">
        <v>59</v>
      </c>
      <c r="F14" s="54" t="s">
        <v>59</v>
      </c>
      <c r="G14" s="70" t="s">
        <v>109</v>
      </c>
      <c r="H14" s="70" t="s">
        <v>109</v>
      </c>
      <c r="I14" s="70" t="s">
        <v>109</v>
      </c>
    </row>
    <row r="15" spans="1:11" ht="21" customHeight="1" x14ac:dyDescent="0.15">
      <c r="A15" s="75" t="s">
        <v>105</v>
      </c>
      <c r="B15" s="70" t="s">
        <v>109</v>
      </c>
      <c r="C15" s="70" t="s">
        <v>109</v>
      </c>
      <c r="D15" s="54" t="s">
        <v>60</v>
      </c>
      <c r="E15" s="54" t="s">
        <v>60</v>
      </c>
      <c r="F15" s="70" t="s">
        <v>109</v>
      </c>
      <c r="G15" s="70" t="s">
        <v>109</v>
      </c>
      <c r="H15" s="70" t="s">
        <v>109</v>
      </c>
      <c r="I15" s="70" t="s">
        <v>109</v>
      </c>
    </row>
    <row r="16" spans="1:11" ht="21" customHeight="1" x14ac:dyDescent="0.15">
      <c r="A16" s="75" t="s">
        <v>249</v>
      </c>
      <c r="B16" s="70" t="s">
        <v>109</v>
      </c>
      <c r="C16" s="54" t="s">
        <v>60</v>
      </c>
      <c r="D16" s="54" t="s">
        <v>60</v>
      </c>
      <c r="E16" s="54" t="s">
        <v>60</v>
      </c>
      <c r="F16" s="70" t="s">
        <v>109</v>
      </c>
      <c r="G16" s="70" t="s">
        <v>109</v>
      </c>
      <c r="H16" s="70" t="s">
        <v>109</v>
      </c>
      <c r="I16" s="70" t="s">
        <v>109</v>
      </c>
    </row>
    <row r="17" spans="1:9" ht="21" customHeight="1" x14ac:dyDescent="0.15">
      <c r="A17" s="75" t="s">
        <v>8</v>
      </c>
      <c r="B17" s="55" t="s">
        <v>61</v>
      </c>
      <c r="C17" s="55" t="s">
        <v>61</v>
      </c>
      <c r="D17" s="55" t="s">
        <v>61</v>
      </c>
      <c r="E17" s="70" t="s">
        <v>109</v>
      </c>
      <c r="F17" s="70" t="s">
        <v>109</v>
      </c>
      <c r="G17" s="70" t="s">
        <v>109</v>
      </c>
      <c r="H17" s="70" t="s">
        <v>109</v>
      </c>
      <c r="I17" s="70" t="s">
        <v>109</v>
      </c>
    </row>
    <row r="18" spans="1:9" ht="21" customHeight="1" x14ac:dyDescent="0.15">
      <c r="A18" s="76" t="s">
        <v>7</v>
      </c>
      <c r="B18" s="50" t="s">
        <v>62</v>
      </c>
      <c r="C18" s="50" t="s">
        <v>62</v>
      </c>
      <c r="D18" s="70" t="s">
        <v>109</v>
      </c>
      <c r="E18" s="70" t="s">
        <v>109</v>
      </c>
      <c r="F18" s="70" t="s">
        <v>109</v>
      </c>
      <c r="G18" s="70" t="s">
        <v>109</v>
      </c>
      <c r="H18" s="70" t="s">
        <v>109</v>
      </c>
      <c r="I18" s="70" t="s">
        <v>109</v>
      </c>
    </row>
    <row r="19" spans="1:9" ht="21" customHeight="1" x14ac:dyDescent="0.15">
      <c r="A19" s="77" t="s">
        <v>250</v>
      </c>
      <c r="B19" s="52" t="s">
        <v>63</v>
      </c>
      <c r="C19" s="52" t="s">
        <v>63</v>
      </c>
      <c r="D19" s="70" t="s">
        <v>109</v>
      </c>
      <c r="E19" s="70" t="s">
        <v>109</v>
      </c>
      <c r="F19" s="70" t="s">
        <v>109</v>
      </c>
      <c r="G19" s="70" t="s">
        <v>109</v>
      </c>
      <c r="H19" s="70" t="s">
        <v>109</v>
      </c>
      <c r="I19" s="70" t="s">
        <v>109</v>
      </c>
    </row>
    <row r="20" spans="1:9" ht="21" customHeight="1" x14ac:dyDescent="0.15">
      <c r="A20" s="38" t="s">
        <v>251</v>
      </c>
      <c r="B20" s="78" t="s">
        <v>47</v>
      </c>
      <c r="C20" s="78" t="s">
        <v>47</v>
      </c>
      <c r="D20" s="78" t="s">
        <v>47</v>
      </c>
      <c r="E20" s="78" t="s">
        <v>47</v>
      </c>
      <c r="F20" s="78" t="s">
        <v>47</v>
      </c>
      <c r="G20" s="78" t="s">
        <v>47</v>
      </c>
      <c r="H20" s="78" t="s">
        <v>47</v>
      </c>
      <c r="I20" s="78" t="s">
        <v>47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64</v>
      </c>
      <c r="B26" s="22" t="s">
        <v>65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6" t="s">
        <v>228</v>
      </c>
      <c r="B2" s="147"/>
      <c r="C2" s="148"/>
      <c r="D2" s="159" t="s">
        <v>11</v>
      </c>
      <c r="E2" s="159">
        <v>8000</v>
      </c>
      <c r="F2" s="159">
        <v>10000</v>
      </c>
      <c r="G2" s="159">
        <v>14000</v>
      </c>
      <c r="H2" s="148"/>
      <c r="I2" s="148"/>
    </row>
    <row r="3" spans="1:9" s="4" customFormat="1" ht="21" customHeight="1" x14ac:dyDescent="0.15">
      <c r="A3" s="146" t="s">
        <v>229</v>
      </c>
      <c r="B3" s="150"/>
      <c r="C3" s="151"/>
      <c r="D3" s="159" t="s">
        <v>11</v>
      </c>
      <c r="E3" s="159">
        <v>7500</v>
      </c>
      <c r="F3" s="159">
        <v>9500</v>
      </c>
      <c r="G3" s="159">
        <v>13000</v>
      </c>
      <c r="H3" s="151"/>
      <c r="I3" s="151"/>
    </row>
    <row r="4" spans="1:9" s="4" customFormat="1" ht="21" customHeight="1" x14ac:dyDescent="0.15">
      <c r="A4" s="146" t="s">
        <v>231</v>
      </c>
      <c r="B4" s="153"/>
      <c r="C4" s="154"/>
      <c r="D4" s="159">
        <v>5000</v>
      </c>
      <c r="E4" s="159">
        <v>7000</v>
      </c>
      <c r="F4" s="159">
        <v>9000</v>
      </c>
      <c r="G4" s="159">
        <v>12000</v>
      </c>
      <c r="H4" s="154"/>
      <c r="I4" s="154"/>
    </row>
    <row r="5" spans="1:9" s="4" customFormat="1" ht="21" customHeight="1" x14ac:dyDescent="0.15">
      <c r="A5" s="165" t="s">
        <v>232</v>
      </c>
      <c r="B5" s="160"/>
      <c r="C5" s="161"/>
      <c r="D5" s="159">
        <v>4900</v>
      </c>
      <c r="E5" s="159">
        <v>6700</v>
      </c>
      <c r="F5" s="159">
        <v>8500</v>
      </c>
      <c r="G5" s="159">
        <v>11000</v>
      </c>
      <c r="H5" s="161"/>
      <c r="I5" s="161"/>
    </row>
    <row r="6" spans="1:9" s="4" customFormat="1" ht="21" customHeight="1" x14ac:dyDescent="0.15">
      <c r="A6" s="165" t="s">
        <v>233</v>
      </c>
      <c r="B6" s="160"/>
      <c r="C6" s="161"/>
      <c r="D6" s="159">
        <v>4800</v>
      </c>
      <c r="E6" s="159">
        <v>6600</v>
      </c>
      <c r="F6" s="159" t="s">
        <v>11</v>
      </c>
      <c r="G6" s="159" t="s">
        <v>11</v>
      </c>
      <c r="H6" s="161"/>
      <c r="I6" s="161"/>
    </row>
    <row r="7" spans="1:9" ht="21" customHeight="1" x14ac:dyDescent="0.15">
      <c r="A7" s="73" t="s">
        <v>207</v>
      </c>
      <c r="B7" s="46" t="s">
        <v>11</v>
      </c>
      <c r="C7" s="46" t="s">
        <v>11</v>
      </c>
      <c r="D7" s="46" t="s">
        <v>11</v>
      </c>
      <c r="E7" s="46" t="s">
        <v>11</v>
      </c>
      <c r="F7" s="46" t="s">
        <v>11</v>
      </c>
      <c r="G7" s="46" t="s">
        <v>11</v>
      </c>
      <c r="H7" s="46" t="s">
        <v>11</v>
      </c>
      <c r="I7" s="46" t="s">
        <v>11</v>
      </c>
    </row>
    <row r="8" spans="1:9" ht="21" customHeight="1" x14ac:dyDescent="0.15">
      <c r="A8" s="74" t="s">
        <v>208</v>
      </c>
      <c r="B8" s="46" t="s">
        <v>11</v>
      </c>
      <c r="C8" s="46" t="s">
        <v>11</v>
      </c>
      <c r="D8" s="46" t="s">
        <v>11</v>
      </c>
      <c r="E8" s="46">
        <v>8000</v>
      </c>
      <c r="F8" s="29">
        <v>10000</v>
      </c>
      <c r="G8" s="46">
        <v>14000</v>
      </c>
      <c r="H8" s="46" t="s">
        <v>11</v>
      </c>
      <c r="I8" s="46" t="s">
        <v>11</v>
      </c>
    </row>
    <row r="9" spans="1:9" s="45" customFormat="1" ht="21" customHeight="1" x14ac:dyDescent="0.15">
      <c r="A9" s="75" t="s">
        <v>209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6">
        <v>13000</v>
      </c>
      <c r="H9" s="29" t="s">
        <v>11</v>
      </c>
      <c r="I9" s="29" t="s">
        <v>11</v>
      </c>
    </row>
    <row r="10" spans="1:9" ht="21" customHeight="1" x14ac:dyDescent="0.15">
      <c r="A10" s="75" t="s">
        <v>9</v>
      </c>
      <c r="B10" s="68" t="s">
        <v>11</v>
      </c>
      <c r="C10" s="68" t="s">
        <v>11</v>
      </c>
      <c r="D10" s="29">
        <v>5000</v>
      </c>
      <c r="E10" s="29">
        <v>7000</v>
      </c>
      <c r="F10" s="29">
        <v>9000</v>
      </c>
      <c r="G10" s="46">
        <v>12000</v>
      </c>
      <c r="H10" s="68" t="s">
        <v>11</v>
      </c>
      <c r="I10" s="68" t="s">
        <v>11</v>
      </c>
    </row>
    <row r="11" spans="1:9" ht="21" customHeight="1" x14ac:dyDescent="0.15">
      <c r="A11" s="75" t="s">
        <v>210</v>
      </c>
      <c r="B11" s="68" t="s">
        <v>11</v>
      </c>
      <c r="C11" s="68" t="s">
        <v>11</v>
      </c>
      <c r="D11" s="29">
        <v>4900</v>
      </c>
      <c r="E11" s="29">
        <v>6700</v>
      </c>
      <c r="F11" s="29">
        <v>8500</v>
      </c>
      <c r="G11" s="46">
        <v>11000</v>
      </c>
      <c r="H11" s="68" t="s">
        <v>11</v>
      </c>
      <c r="I11" s="68" t="s">
        <v>11</v>
      </c>
    </row>
    <row r="12" spans="1:9" ht="21" customHeight="1" x14ac:dyDescent="0.15">
      <c r="A12" s="75" t="s">
        <v>106</v>
      </c>
      <c r="B12" s="68" t="s">
        <v>11</v>
      </c>
      <c r="C12" s="68" t="s">
        <v>11</v>
      </c>
      <c r="D12" s="29">
        <v>4800</v>
      </c>
      <c r="E12" s="29">
        <v>6600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75" t="s">
        <v>211</v>
      </c>
      <c r="B13" s="68" t="s">
        <v>11</v>
      </c>
      <c r="C13" s="68" t="s">
        <v>11</v>
      </c>
      <c r="D13" s="68" t="s">
        <v>11</v>
      </c>
      <c r="E13" s="29">
        <v>6300</v>
      </c>
      <c r="F13" s="68" t="s">
        <v>11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75" t="s">
        <v>212</v>
      </c>
      <c r="B14" s="68" t="s">
        <v>11</v>
      </c>
      <c r="C14" s="68" t="s">
        <v>11</v>
      </c>
      <c r="D14" s="29">
        <v>4600</v>
      </c>
      <c r="E14" s="29">
        <v>5800</v>
      </c>
      <c r="F14" s="29">
        <v>7600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5" t="s">
        <v>105</v>
      </c>
      <c r="B15" s="68" t="s">
        <v>11</v>
      </c>
      <c r="C15" s="68" t="s">
        <v>11</v>
      </c>
      <c r="D15" s="29">
        <v>4400</v>
      </c>
      <c r="E15" s="29">
        <v>5600</v>
      </c>
      <c r="F15" s="68" t="s">
        <v>11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5" t="s">
        <v>213</v>
      </c>
      <c r="B16" s="68" t="s">
        <v>11</v>
      </c>
      <c r="C16" s="29">
        <v>3000</v>
      </c>
      <c r="D16" s="29">
        <v>4200</v>
      </c>
      <c r="E16" s="29">
        <v>5400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5" t="s">
        <v>8</v>
      </c>
      <c r="B17" s="29">
        <v>2000</v>
      </c>
      <c r="C17" s="29">
        <v>2800</v>
      </c>
      <c r="D17" s="29">
        <v>4000</v>
      </c>
      <c r="E17" s="68" t="s">
        <v>11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76" t="s">
        <v>7</v>
      </c>
      <c r="B18" s="29">
        <v>1750</v>
      </c>
      <c r="C18" s="29">
        <v>2550</v>
      </c>
      <c r="D18" s="68" t="s">
        <v>11</v>
      </c>
      <c r="E18" s="68" t="s">
        <v>11</v>
      </c>
      <c r="F18" s="68" t="s">
        <v>11</v>
      </c>
      <c r="G18" s="68" t="s">
        <v>11</v>
      </c>
      <c r="H18" s="68" t="s">
        <v>11</v>
      </c>
      <c r="I18" s="68" t="s">
        <v>11</v>
      </c>
    </row>
    <row r="19" spans="1:9" ht="21" customHeight="1" x14ac:dyDescent="0.15">
      <c r="A19" s="76" t="s">
        <v>214</v>
      </c>
      <c r="B19" s="29">
        <v>1500</v>
      </c>
      <c r="C19" s="29">
        <v>2300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38" t="s">
        <v>215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111</v>
      </c>
      <c r="G1" s="24" t="s">
        <v>112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2">
        <v>591</v>
      </c>
    </row>
    <row r="3" spans="1:4" x14ac:dyDescent="0.15">
      <c r="A3" t="s">
        <v>200</v>
      </c>
      <c r="B3" s="133">
        <v>592</v>
      </c>
    </row>
    <row r="4" spans="1:4" x14ac:dyDescent="0.15">
      <c r="A4" t="s">
        <v>201</v>
      </c>
      <c r="B4" s="133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5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2017-06-06T09:58:31Z</dcterms:modified>
</cp:coreProperties>
</file>