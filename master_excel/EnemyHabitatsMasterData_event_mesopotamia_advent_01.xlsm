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640" yWindow="460" windowWidth="32900" windowHeight="210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enemy_habitat_S!$B$1:$AA$5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2" l="1"/>
  <c r="A3" i="18"/>
  <c r="C3" i="18"/>
  <c r="D3" i="18"/>
  <c r="A4" i="18"/>
  <c r="C4" i="18"/>
  <c r="D4" i="18"/>
  <c r="A5" i="18"/>
  <c r="C5" i="18"/>
  <c r="D5" i="18"/>
  <c r="A6" i="18"/>
  <c r="C6" i="18"/>
  <c r="D6" i="18"/>
  <c r="A7" i="18"/>
  <c r="C7" i="18"/>
  <c r="D7" i="18"/>
  <c r="A8" i="18"/>
  <c r="C8" i="18"/>
  <c r="D8" i="18"/>
  <c r="A9" i="18"/>
  <c r="C9" i="18"/>
  <c r="D9" i="18"/>
  <c r="A10" i="18"/>
  <c r="C10" i="18"/>
  <c r="D10" i="18"/>
  <c r="A11" i="18"/>
  <c r="C11" i="18"/>
  <c r="D11" i="18"/>
  <c r="A12" i="18"/>
  <c r="C12" i="18"/>
  <c r="D12" i="18"/>
  <c r="A13" i="18"/>
  <c r="C13" i="18"/>
  <c r="D13" i="18"/>
  <c r="A14" i="18"/>
  <c r="C14" i="18"/>
  <c r="D14" i="18"/>
  <c r="A15" i="18"/>
  <c r="C15" i="18"/>
  <c r="D15" i="18"/>
  <c r="A16" i="18"/>
  <c r="C16" i="18"/>
  <c r="D16" i="18"/>
  <c r="A17" i="18"/>
  <c r="C17" i="18"/>
  <c r="D17" i="18"/>
  <c r="A18" i="18"/>
  <c r="C18" i="18"/>
  <c r="D18" i="18"/>
  <c r="A2" i="18"/>
  <c r="C2" i="18"/>
  <c r="D2" i="18"/>
  <c r="M2" i="10"/>
  <c r="G2" i="10"/>
  <c r="I2" i="10"/>
  <c r="K2" i="10"/>
  <c r="C2" i="22"/>
  <c r="B23" i="2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J139" i="11"/>
  <c r="J138" i="11"/>
  <c r="J137" i="11"/>
  <c r="J136" i="11"/>
  <c r="J135" i="11"/>
  <c r="J134" i="11"/>
  <c r="J133" i="11"/>
  <c r="J132" i="11"/>
  <c r="J131" i="11"/>
  <c r="J130" i="11"/>
  <c r="J129" i="11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M121" i="10"/>
  <c r="T121" i="10"/>
  <c r="W121" i="10"/>
  <c r="V121" i="10"/>
  <c r="X121" i="10"/>
  <c r="U121" i="10"/>
  <c r="Y121" i="10"/>
  <c r="N121" i="10"/>
  <c r="Q121" i="10"/>
  <c r="P121" i="10"/>
  <c r="R121" i="10"/>
  <c r="O121" i="10"/>
  <c r="S121" i="10"/>
  <c r="G121" i="10"/>
  <c r="J121" i="10"/>
  <c r="I121" i="10"/>
  <c r="K121" i="10"/>
  <c r="H121" i="10"/>
  <c r="L121" i="10"/>
  <c r="M120" i="10"/>
  <c r="T120" i="10"/>
  <c r="W120" i="10"/>
  <c r="V120" i="10"/>
  <c r="X120" i="10"/>
  <c r="U120" i="10"/>
  <c r="Y120" i="10"/>
  <c r="N120" i="10"/>
  <c r="Q120" i="10"/>
  <c r="P120" i="10"/>
  <c r="R120" i="10"/>
  <c r="O120" i="10"/>
  <c r="S120" i="10"/>
  <c r="G120" i="10"/>
  <c r="J120" i="10"/>
  <c r="I120" i="10"/>
  <c r="K120" i="10"/>
  <c r="H120" i="10"/>
  <c r="L120" i="10"/>
  <c r="M119" i="10"/>
  <c r="T119" i="10"/>
  <c r="W119" i="10"/>
  <c r="V119" i="10"/>
  <c r="X119" i="10"/>
  <c r="U119" i="10"/>
  <c r="Y119" i="10"/>
  <c r="N119" i="10"/>
  <c r="Q119" i="10"/>
  <c r="P119" i="10"/>
  <c r="R119" i="10"/>
  <c r="O119" i="10"/>
  <c r="S119" i="10"/>
  <c r="G119" i="10"/>
  <c r="J119" i="10"/>
  <c r="I119" i="10"/>
  <c r="K119" i="10"/>
  <c r="H119" i="10"/>
  <c r="L119" i="10"/>
  <c r="M118" i="10"/>
  <c r="T118" i="10"/>
  <c r="W118" i="10"/>
  <c r="V118" i="10"/>
  <c r="X118" i="10"/>
  <c r="U118" i="10"/>
  <c r="Y118" i="10"/>
  <c r="N118" i="10"/>
  <c r="Q118" i="10"/>
  <c r="P118" i="10"/>
  <c r="R118" i="10"/>
  <c r="O118" i="10"/>
  <c r="S118" i="10"/>
  <c r="G118" i="10"/>
  <c r="J118" i="10"/>
  <c r="I118" i="10"/>
  <c r="K118" i="10"/>
  <c r="H118" i="10"/>
  <c r="L118" i="10"/>
  <c r="M117" i="10"/>
  <c r="T117" i="10"/>
  <c r="W117" i="10"/>
  <c r="V117" i="10"/>
  <c r="X117" i="10"/>
  <c r="U117" i="10"/>
  <c r="Y117" i="10"/>
  <c r="N117" i="10"/>
  <c r="Q117" i="10"/>
  <c r="P117" i="10"/>
  <c r="R117" i="10"/>
  <c r="O117" i="10"/>
  <c r="S117" i="10"/>
  <c r="G117" i="10"/>
  <c r="J117" i="10"/>
  <c r="I117" i="10"/>
  <c r="K117" i="10"/>
  <c r="H117" i="10"/>
  <c r="L117" i="10"/>
  <c r="M116" i="10"/>
  <c r="T116" i="10"/>
  <c r="W116" i="10"/>
  <c r="V116" i="10"/>
  <c r="X116" i="10"/>
  <c r="U116" i="10"/>
  <c r="Y116" i="10"/>
  <c r="N116" i="10"/>
  <c r="Q116" i="10"/>
  <c r="P116" i="10"/>
  <c r="R116" i="10"/>
  <c r="O116" i="10"/>
  <c r="S116" i="10"/>
  <c r="G116" i="10"/>
  <c r="J116" i="10"/>
  <c r="I116" i="10"/>
  <c r="K116" i="10"/>
  <c r="H116" i="10"/>
  <c r="L116" i="10"/>
  <c r="M115" i="10"/>
  <c r="T115" i="10"/>
  <c r="W115" i="10"/>
  <c r="V115" i="10"/>
  <c r="X115" i="10"/>
  <c r="U115" i="10"/>
  <c r="Y115" i="10"/>
  <c r="N115" i="10"/>
  <c r="Q115" i="10"/>
  <c r="P115" i="10"/>
  <c r="R115" i="10"/>
  <c r="O115" i="10"/>
  <c r="S115" i="10"/>
  <c r="G115" i="10"/>
  <c r="J115" i="10"/>
  <c r="I115" i="10"/>
  <c r="K115" i="10"/>
  <c r="H115" i="10"/>
  <c r="L115" i="10"/>
  <c r="M114" i="10"/>
  <c r="T114" i="10"/>
  <c r="W114" i="10"/>
  <c r="V114" i="10"/>
  <c r="X114" i="10"/>
  <c r="U114" i="10"/>
  <c r="Y114" i="10"/>
  <c r="N114" i="10"/>
  <c r="Q114" i="10"/>
  <c r="P114" i="10"/>
  <c r="R114" i="10"/>
  <c r="O114" i="10"/>
  <c r="S114" i="10"/>
  <c r="G114" i="10"/>
  <c r="J114" i="10"/>
  <c r="I114" i="10"/>
  <c r="K114" i="10"/>
  <c r="H114" i="10"/>
  <c r="L114" i="10"/>
  <c r="M113" i="10"/>
  <c r="T113" i="10"/>
  <c r="W113" i="10"/>
  <c r="V113" i="10"/>
  <c r="X113" i="10"/>
  <c r="U113" i="10"/>
  <c r="Y113" i="10"/>
  <c r="N113" i="10"/>
  <c r="Q113" i="10"/>
  <c r="P113" i="10"/>
  <c r="R113" i="10"/>
  <c r="O113" i="10"/>
  <c r="S113" i="10"/>
  <c r="G113" i="10"/>
  <c r="J113" i="10"/>
  <c r="I113" i="10"/>
  <c r="K113" i="10"/>
  <c r="H113" i="10"/>
  <c r="L113" i="10"/>
  <c r="M112" i="10"/>
  <c r="T112" i="10"/>
  <c r="W112" i="10"/>
  <c r="V112" i="10"/>
  <c r="X112" i="10"/>
  <c r="U112" i="10"/>
  <c r="Y112" i="10"/>
  <c r="N112" i="10"/>
  <c r="Q112" i="10"/>
  <c r="P112" i="10"/>
  <c r="R112" i="10"/>
  <c r="O112" i="10"/>
  <c r="S112" i="10"/>
  <c r="G112" i="10"/>
  <c r="J112" i="10"/>
  <c r="I112" i="10"/>
  <c r="K112" i="10"/>
  <c r="H112" i="10"/>
  <c r="L112" i="10"/>
  <c r="M111" i="10"/>
  <c r="T111" i="10"/>
  <c r="W111" i="10"/>
  <c r="V111" i="10"/>
  <c r="X111" i="10"/>
  <c r="U111" i="10"/>
  <c r="Y111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M110" i="10"/>
  <c r="T110" i="10"/>
  <c r="W110" i="10"/>
  <c r="V110" i="10"/>
  <c r="X110" i="10"/>
  <c r="U110" i="10"/>
  <c r="Y110" i="10"/>
  <c r="N110" i="10"/>
  <c r="Q110" i="10"/>
  <c r="P110" i="10"/>
  <c r="R110" i="10"/>
  <c r="O110" i="10"/>
  <c r="S110" i="10"/>
  <c r="G110" i="10"/>
  <c r="J110" i="10"/>
  <c r="I110" i="10"/>
  <c r="K110" i="10"/>
  <c r="H110" i="10"/>
  <c r="L110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M106" i="10"/>
  <c r="T106" i="10"/>
  <c r="W106" i="10"/>
  <c r="V106" i="10"/>
  <c r="X106" i="10"/>
  <c r="U106" i="10"/>
  <c r="Y106" i="10"/>
  <c r="N106" i="10"/>
  <c r="Q106" i="10"/>
  <c r="P106" i="10"/>
  <c r="R106" i="10"/>
  <c r="O106" i="10"/>
  <c r="S106" i="10"/>
  <c r="G106" i="10"/>
  <c r="J106" i="10"/>
  <c r="I106" i="10"/>
  <c r="K106" i="10"/>
  <c r="H106" i="10"/>
  <c r="L106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M104" i="10"/>
  <c r="T104" i="10"/>
  <c r="W104" i="10"/>
  <c r="V104" i="10"/>
  <c r="X104" i="10"/>
  <c r="U104" i="10"/>
  <c r="Y104" i="10"/>
  <c r="N104" i="10"/>
  <c r="Q104" i="10"/>
  <c r="P104" i="10"/>
  <c r="R104" i="10"/>
  <c r="O104" i="10"/>
  <c r="S104" i="10"/>
  <c r="G104" i="10"/>
  <c r="J104" i="10"/>
  <c r="I104" i="10"/>
  <c r="K104" i="10"/>
  <c r="H104" i="10"/>
  <c r="L104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E135" i="9"/>
  <c r="O139" i="9"/>
  <c r="N139" i="9"/>
  <c r="M139" i="9"/>
  <c r="L139" i="9"/>
  <c r="K139" i="9"/>
  <c r="J139" i="9"/>
  <c r="I139" i="9"/>
  <c r="H139" i="9"/>
  <c r="G139" i="9"/>
  <c r="E139" i="9"/>
  <c r="D139" i="9"/>
  <c r="A139" i="9"/>
  <c r="O138" i="9"/>
  <c r="N138" i="9"/>
  <c r="M138" i="9"/>
  <c r="L138" i="9"/>
  <c r="K138" i="9"/>
  <c r="J138" i="9"/>
  <c r="I138" i="9"/>
  <c r="H138" i="9"/>
  <c r="G138" i="9"/>
  <c r="E138" i="9"/>
  <c r="D138" i="9"/>
  <c r="A138" i="9"/>
  <c r="O137" i="9"/>
  <c r="N137" i="9"/>
  <c r="M137" i="9"/>
  <c r="L137" i="9"/>
  <c r="K137" i="9"/>
  <c r="J137" i="9"/>
  <c r="I137" i="9"/>
  <c r="H137" i="9"/>
  <c r="G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D135" i="9"/>
  <c r="A135" i="9"/>
  <c r="O134" i="9"/>
  <c r="N134" i="9"/>
  <c r="M134" i="9"/>
  <c r="L134" i="9"/>
  <c r="K134" i="9"/>
  <c r="J134" i="9"/>
  <c r="I134" i="9"/>
  <c r="H134" i="9"/>
  <c r="G134" i="9"/>
  <c r="E134" i="9"/>
  <c r="D134" i="9"/>
  <c r="A134" i="9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31" i="9"/>
  <c r="N131" i="9"/>
  <c r="M131" i="9"/>
  <c r="L131" i="9"/>
  <c r="K131" i="9"/>
  <c r="J131" i="9"/>
  <c r="I131" i="9"/>
  <c r="H131" i="9"/>
  <c r="G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O129" i="9"/>
  <c r="N129" i="9"/>
  <c r="M129" i="9"/>
  <c r="L129" i="9"/>
  <c r="K129" i="9"/>
  <c r="J129" i="9"/>
  <c r="I129" i="9"/>
  <c r="H129" i="9"/>
  <c r="G129" i="9"/>
  <c r="E129" i="9"/>
  <c r="D129" i="9"/>
  <c r="A129" i="9"/>
  <c r="O128" i="9"/>
  <c r="N128" i="9"/>
  <c r="M128" i="9"/>
  <c r="L128" i="9"/>
  <c r="K128" i="9"/>
  <c r="J128" i="9"/>
  <c r="I128" i="9"/>
  <c r="H128" i="9"/>
  <c r="G128" i="9"/>
  <c r="E128" i="9"/>
  <c r="D128" i="9"/>
  <c r="A128" i="9"/>
  <c r="O127" i="9"/>
  <c r="N127" i="9"/>
  <c r="M127" i="9"/>
  <c r="L127" i="9"/>
  <c r="K127" i="9"/>
  <c r="J127" i="9"/>
  <c r="I127" i="9"/>
  <c r="H127" i="9"/>
  <c r="G127" i="9"/>
  <c r="E127" i="9"/>
  <c r="D127" i="9"/>
  <c r="A127" i="9"/>
  <c r="O126" i="9"/>
  <c r="N126" i="9"/>
  <c r="M126" i="9"/>
  <c r="L126" i="9"/>
  <c r="K126" i="9"/>
  <c r="J126" i="9"/>
  <c r="I126" i="9"/>
  <c r="H126" i="9"/>
  <c r="G126" i="9"/>
  <c r="E126" i="9"/>
  <c r="D126" i="9"/>
  <c r="A126" i="9"/>
  <c r="O125" i="9"/>
  <c r="N125" i="9"/>
  <c r="M125" i="9"/>
  <c r="L125" i="9"/>
  <c r="K125" i="9"/>
  <c r="J125" i="9"/>
  <c r="I125" i="9"/>
  <c r="H125" i="9"/>
  <c r="G125" i="9"/>
  <c r="E125" i="9"/>
  <c r="D125" i="9"/>
  <c r="A125" i="9"/>
  <c r="O124" i="9"/>
  <c r="N124" i="9"/>
  <c r="M124" i="9"/>
  <c r="L124" i="9"/>
  <c r="K124" i="9"/>
  <c r="J124" i="9"/>
  <c r="I124" i="9"/>
  <c r="H124" i="9"/>
  <c r="G124" i="9"/>
  <c r="E124" i="9"/>
  <c r="D124" i="9"/>
  <c r="A124" i="9"/>
  <c r="O123" i="9"/>
  <c r="N123" i="9"/>
  <c r="M123" i="9"/>
  <c r="L123" i="9"/>
  <c r="K123" i="9"/>
  <c r="J123" i="9"/>
  <c r="I123" i="9"/>
  <c r="H123" i="9"/>
  <c r="G123" i="9"/>
  <c r="E123" i="9"/>
  <c r="D123" i="9"/>
  <c r="A123" i="9"/>
  <c r="O122" i="9"/>
  <c r="N122" i="9"/>
  <c r="M122" i="9"/>
  <c r="L122" i="9"/>
  <c r="K122" i="9"/>
  <c r="J122" i="9"/>
  <c r="I122" i="9"/>
  <c r="H122" i="9"/>
  <c r="G122" i="9"/>
  <c r="E122" i="9"/>
  <c r="D122" i="9"/>
  <c r="A122" i="9"/>
  <c r="O121" i="9"/>
  <c r="N121" i="9"/>
  <c r="M121" i="9"/>
  <c r="L121" i="9"/>
  <c r="K121" i="9"/>
  <c r="J121" i="9"/>
  <c r="I121" i="9"/>
  <c r="H121" i="9"/>
  <c r="G121" i="9"/>
  <c r="E121" i="9"/>
  <c r="D121" i="9"/>
  <c r="A121" i="9"/>
  <c r="O120" i="9"/>
  <c r="N120" i="9"/>
  <c r="M120" i="9"/>
  <c r="L120" i="9"/>
  <c r="K120" i="9"/>
  <c r="J120" i="9"/>
  <c r="I120" i="9"/>
  <c r="H120" i="9"/>
  <c r="G120" i="9"/>
  <c r="E120" i="9"/>
  <c r="D120" i="9"/>
  <c r="A120" i="9"/>
  <c r="O119" i="9"/>
  <c r="N119" i="9"/>
  <c r="M119" i="9"/>
  <c r="L119" i="9"/>
  <c r="K119" i="9"/>
  <c r="J119" i="9"/>
  <c r="I119" i="9"/>
  <c r="H119" i="9"/>
  <c r="G119" i="9"/>
  <c r="E119" i="9"/>
  <c r="D119" i="9"/>
  <c r="A119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O117" i="9"/>
  <c r="N117" i="9"/>
  <c r="M117" i="9"/>
  <c r="L117" i="9"/>
  <c r="K117" i="9"/>
  <c r="J117" i="9"/>
  <c r="I117" i="9"/>
  <c r="H117" i="9"/>
  <c r="G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E116" i="9"/>
  <c r="D116" i="9"/>
  <c r="A116" i="9"/>
  <c r="O115" i="9"/>
  <c r="N115" i="9"/>
  <c r="M115" i="9"/>
  <c r="L115" i="9"/>
  <c r="K115" i="9"/>
  <c r="J115" i="9"/>
  <c r="I115" i="9"/>
  <c r="H115" i="9"/>
  <c r="G115" i="9"/>
  <c r="E115" i="9"/>
  <c r="D115" i="9"/>
  <c r="A115" i="9"/>
  <c r="O114" i="9"/>
  <c r="N114" i="9"/>
  <c r="M114" i="9"/>
  <c r="L114" i="9"/>
  <c r="K114" i="9"/>
  <c r="J114" i="9"/>
  <c r="I114" i="9"/>
  <c r="H114" i="9"/>
  <c r="G114" i="9"/>
  <c r="E114" i="9"/>
  <c r="D114" i="9"/>
  <c r="A114" i="9"/>
  <c r="O113" i="9"/>
  <c r="N113" i="9"/>
  <c r="M113" i="9"/>
  <c r="L113" i="9"/>
  <c r="K113" i="9"/>
  <c r="J113" i="9"/>
  <c r="I113" i="9"/>
  <c r="H113" i="9"/>
  <c r="G113" i="9"/>
  <c r="E113" i="9"/>
  <c r="D113" i="9"/>
  <c r="A113" i="9"/>
  <c r="O112" i="9"/>
  <c r="N112" i="9"/>
  <c r="M112" i="9"/>
  <c r="L112" i="9"/>
  <c r="K112" i="9"/>
  <c r="J112" i="9"/>
  <c r="I112" i="9"/>
  <c r="H112" i="9"/>
  <c r="G112" i="9"/>
  <c r="E112" i="9"/>
  <c r="D112" i="9"/>
  <c r="A112" i="9"/>
  <c r="O111" i="9"/>
  <c r="N111" i="9"/>
  <c r="M111" i="9"/>
  <c r="L111" i="9"/>
  <c r="K111" i="9"/>
  <c r="J111" i="9"/>
  <c r="I111" i="9"/>
  <c r="H111" i="9"/>
  <c r="G111" i="9"/>
  <c r="E111" i="9"/>
  <c r="D111" i="9"/>
  <c r="A111" i="9"/>
  <c r="O110" i="9"/>
  <c r="N110" i="9"/>
  <c r="M110" i="9"/>
  <c r="L110" i="9"/>
  <c r="K110" i="9"/>
  <c r="J110" i="9"/>
  <c r="I110" i="9"/>
  <c r="H110" i="9"/>
  <c r="G110" i="9"/>
  <c r="E110" i="9"/>
  <c r="D110" i="9"/>
  <c r="A110" i="9"/>
  <c r="O109" i="9"/>
  <c r="N109" i="9"/>
  <c r="M109" i="9"/>
  <c r="L109" i="9"/>
  <c r="K109" i="9"/>
  <c r="J109" i="9"/>
  <c r="I109" i="9"/>
  <c r="H109" i="9"/>
  <c r="G109" i="9"/>
  <c r="E109" i="9"/>
  <c r="D109" i="9"/>
  <c r="A109" i="9"/>
  <c r="O108" i="9"/>
  <c r="N108" i="9"/>
  <c r="M108" i="9"/>
  <c r="L108" i="9"/>
  <c r="K108" i="9"/>
  <c r="J108" i="9"/>
  <c r="I108" i="9"/>
  <c r="H108" i="9"/>
  <c r="G108" i="9"/>
  <c r="E108" i="9"/>
  <c r="D108" i="9"/>
  <c r="A108" i="9"/>
  <c r="O107" i="9"/>
  <c r="N107" i="9"/>
  <c r="M107" i="9"/>
  <c r="L107" i="9"/>
  <c r="K107" i="9"/>
  <c r="J107" i="9"/>
  <c r="I107" i="9"/>
  <c r="H107" i="9"/>
  <c r="G107" i="9"/>
  <c r="E107" i="9"/>
  <c r="D107" i="9"/>
  <c r="A107" i="9"/>
  <c r="O106" i="9"/>
  <c r="N106" i="9"/>
  <c r="M106" i="9"/>
  <c r="L106" i="9"/>
  <c r="K106" i="9"/>
  <c r="J106" i="9"/>
  <c r="I106" i="9"/>
  <c r="H106" i="9"/>
  <c r="G106" i="9"/>
  <c r="E106" i="9"/>
  <c r="D106" i="9"/>
  <c r="A106" i="9"/>
  <c r="O105" i="9"/>
  <c r="N105" i="9"/>
  <c r="M105" i="9"/>
  <c r="L105" i="9"/>
  <c r="K105" i="9"/>
  <c r="J105" i="9"/>
  <c r="I105" i="9"/>
  <c r="H105" i="9"/>
  <c r="G105" i="9"/>
  <c r="E105" i="9"/>
  <c r="D105" i="9"/>
  <c r="A105" i="9"/>
  <c r="O104" i="9"/>
  <c r="N104" i="9"/>
  <c r="M104" i="9"/>
  <c r="L104" i="9"/>
  <c r="K104" i="9"/>
  <c r="J104" i="9"/>
  <c r="I104" i="9"/>
  <c r="H104" i="9"/>
  <c r="G104" i="9"/>
  <c r="E104" i="9"/>
  <c r="D104" i="9"/>
  <c r="A104" i="9"/>
  <c r="O103" i="9"/>
  <c r="N103" i="9"/>
  <c r="M103" i="9"/>
  <c r="L103" i="9"/>
  <c r="K103" i="9"/>
  <c r="J103" i="9"/>
  <c r="I103" i="9"/>
  <c r="H103" i="9"/>
  <c r="G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E97" i="9"/>
  <c r="D97" i="9"/>
  <c r="A97" i="9"/>
  <c r="O96" i="9"/>
  <c r="N96" i="9"/>
  <c r="M96" i="9"/>
  <c r="L96" i="9"/>
  <c r="K96" i="9"/>
  <c r="J96" i="9"/>
  <c r="I96" i="9"/>
  <c r="H96" i="9"/>
  <c r="G96" i="9"/>
  <c r="E96" i="9"/>
  <c r="D96" i="9"/>
  <c r="A96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76" i="9"/>
  <c r="N76" i="9"/>
  <c r="M76" i="9"/>
  <c r="L76" i="9"/>
  <c r="K76" i="9"/>
  <c r="J76" i="9"/>
  <c r="I76" i="9"/>
  <c r="H76" i="9"/>
  <c r="G76" i="9"/>
  <c r="E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72" i="9"/>
  <c r="N72" i="9"/>
  <c r="M72" i="9"/>
  <c r="L72" i="9"/>
  <c r="K72" i="9"/>
  <c r="J72" i="9"/>
  <c r="I72" i="9"/>
  <c r="H72" i="9"/>
  <c r="G72" i="9"/>
  <c r="E72" i="9"/>
  <c r="D72" i="9"/>
  <c r="A72" i="9"/>
  <c r="O71" i="9"/>
  <c r="N71" i="9"/>
  <c r="M71" i="9"/>
  <c r="L71" i="9"/>
  <c r="K71" i="9"/>
  <c r="J71" i="9"/>
  <c r="I71" i="9"/>
  <c r="H71" i="9"/>
  <c r="G71" i="9"/>
  <c r="E71" i="9"/>
  <c r="D71" i="9"/>
  <c r="A71" i="9"/>
  <c r="E57" i="9"/>
  <c r="Y4" i="7"/>
  <c r="W4" i="7"/>
  <c r="U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4" i="7"/>
  <c r="I4" i="7"/>
  <c r="D4" i="7"/>
  <c r="F4" i="7"/>
  <c r="E4" i="7"/>
  <c r="A4" i="7"/>
  <c r="E51" i="9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E34" i="9"/>
  <c r="Y2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AD9" i="1"/>
  <c r="AF9" i="1"/>
  <c r="AI9" i="1"/>
  <c r="AG9" i="1"/>
  <c r="AE9" i="1"/>
  <c r="E36" i="9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E31" i="9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E24" i="9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E20" i="9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E16" i="9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E12" i="9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E6" i="9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AD2" i="1"/>
  <c r="AF2" i="1"/>
  <c r="AI2" i="1"/>
  <c r="AG2" i="1"/>
  <c r="AE2" i="1"/>
  <c r="E2" i="9"/>
  <c r="X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2" i="1"/>
  <c r="J50" i="11"/>
  <c r="O50" i="9"/>
  <c r="N50" i="9"/>
  <c r="M50" i="9"/>
  <c r="L50" i="9"/>
  <c r="K50" i="9"/>
  <c r="J50" i="9"/>
  <c r="I50" i="9"/>
  <c r="H50" i="9"/>
  <c r="G50" i="9"/>
  <c r="E50" i="9"/>
  <c r="D50" i="9"/>
  <c r="A50" i="9"/>
  <c r="J49" i="11"/>
  <c r="O49" i="9"/>
  <c r="N49" i="9"/>
  <c r="M49" i="9"/>
  <c r="L49" i="9"/>
  <c r="K49" i="9"/>
  <c r="J49" i="9"/>
  <c r="I49" i="9"/>
  <c r="H49" i="9"/>
  <c r="G49" i="9"/>
  <c r="E49" i="9"/>
  <c r="D49" i="9"/>
  <c r="A49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J27" i="11"/>
  <c r="M28" i="10"/>
  <c r="T28" i="10"/>
  <c r="W28" i="10"/>
  <c r="V28" i="10"/>
  <c r="X28" i="10"/>
  <c r="U28" i="10"/>
  <c r="Y28" i="10"/>
  <c r="M42" i="10"/>
  <c r="N42" i="10"/>
  <c r="Q42" i="10"/>
  <c r="P42" i="10"/>
  <c r="R42" i="10"/>
  <c r="O42" i="10"/>
  <c r="S42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30" i="10"/>
  <c r="T30" i="10"/>
  <c r="W30" i="10"/>
  <c r="V30" i="10"/>
  <c r="X30" i="10"/>
  <c r="U30" i="10"/>
  <c r="Y30" i="10"/>
  <c r="M43" i="10"/>
  <c r="N43" i="10"/>
  <c r="Q43" i="10"/>
  <c r="P43" i="10"/>
  <c r="R43" i="10"/>
  <c r="O43" i="10"/>
  <c r="S43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J70" i="11"/>
  <c r="O70" i="9"/>
  <c r="N70" i="9"/>
  <c r="M70" i="9"/>
  <c r="L70" i="9"/>
  <c r="K70" i="9"/>
  <c r="J70" i="9"/>
  <c r="I70" i="9"/>
  <c r="H70" i="9"/>
  <c r="G70" i="9"/>
  <c r="E70" i="9"/>
  <c r="D70" i="9"/>
  <c r="A70" i="9"/>
  <c r="J69" i="11"/>
  <c r="O69" i="9"/>
  <c r="N69" i="9"/>
  <c r="M69" i="9"/>
  <c r="L69" i="9"/>
  <c r="K69" i="9"/>
  <c r="J69" i="9"/>
  <c r="I69" i="9"/>
  <c r="H69" i="9"/>
  <c r="G69" i="9"/>
  <c r="E69" i="9"/>
  <c r="D69" i="9"/>
  <c r="A69" i="9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J68" i="11"/>
  <c r="O68" i="9"/>
  <c r="N68" i="9"/>
  <c r="M68" i="9"/>
  <c r="L68" i="9"/>
  <c r="K68" i="9"/>
  <c r="J68" i="9"/>
  <c r="I68" i="9"/>
  <c r="H68" i="9"/>
  <c r="G68" i="9"/>
  <c r="E68" i="9"/>
  <c r="D68" i="9"/>
  <c r="A68" i="9"/>
  <c r="J67" i="11"/>
  <c r="O67" i="9"/>
  <c r="N67" i="9"/>
  <c r="M67" i="9"/>
  <c r="L67" i="9"/>
  <c r="K67" i="9"/>
  <c r="J67" i="9"/>
  <c r="I67" i="9"/>
  <c r="H67" i="9"/>
  <c r="G67" i="9"/>
  <c r="E67" i="9"/>
  <c r="D67" i="9"/>
  <c r="A67" i="9"/>
  <c r="J66" i="11"/>
  <c r="O66" i="9"/>
  <c r="N66" i="9"/>
  <c r="M66" i="9"/>
  <c r="L66" i="9"/>
  <c r="K66" i="9"/>
  <c r="J66" i="9"/>
  <c r="I66" i="9"/>
  <c r="H66" i="9"/>
  <c r="G66" i="9"/>
  <c r="E66" i="9"/>
  <c r="D66" i="9"/>
  <c r="A66" i="9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J47" i="11"/>
  <c r="O47" i="9"/>
  <c r="N47" i="9"/>
  <c r="M47" i="9"/>
  <c r="L47" i="9"/>
  <c r="K47" i="9"/>
  <c r="J47" i="9"/>
  <c r="I47" i="9"/>
  <c r="H47" i="9"/>
  <c r="G47" i="9"/>
  <c r="E47" i="9"/>
  <c r="D47" i="9"/>
  <c r="A47" i="9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A34" i="9"/>
  <c r="D34" i="9"/>
  <c r="G34" i="9"/>
  <c r="H34" i="9"/>
  <c r="I34" i="9"/>
  <c r="J34" i="9"/>
  <c r="K34" i="9"/>
  <c r="L34" i="9"/>
  <c r="M34" i="9"/>
  <c r="N34" i="9"/>
  <c r="J34" i="11"/>
  <c r="O34" i="9"/>
  <c r="J65" i="11"/>
  <c r="O65" i="9"/>
  <c r="N65" i="9"/>
  <c r="M65" i="9"/>
  <c r="L65" i="9"/>
  <c r="K65" i="9"/>
  <c r="J65" i="9"/>
  <c r="I65" i="9"/>
  <c r="H65" i="9"/>
  <c r="G65" i="9"/>
  <c r="E65" i="9"/>
  <c r="D65" i="9"/>
  <c r="A65" i="9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38" i="10"/>
  <c r="T38" i="10"/>
  <c r="W38" i="10"/>
  <c r="V38" i="10"/>
  <c r="X38" i="10"/>
  <c r="U38" i="10"/>
  <c r="Y38" i="10"/>
  <c r="M55" i="10"/>
  <c r="N55" i="10"/>
  <c r="Q55" i="10"/>
  <c r="P55" i="10"/>
  <c r="R55" i="10"/>
  <c r="O55" i="10"/>
  <c r="S55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18" i="10"/>
  <c r="T18" i="10"/>
  <c r="W18" i="10"/>
  <c r="V18" i="10"/>
  <c r="X18" i="10"/>
  <c r="U18" i="10"/>
  <c r="Y18" i="10"/>
  <c r="M32" i="10"/>
  <c r="M47" i="10"/>
  <c r="N47" i="10"/>
  <c r="Q47" i="10"/>
  <c r="P47" i="10"/>
  <c r="R47" i="10"/>
  <c r="O47" i="10"/>
  <c r="S47" i="10"/>
  <c r="N32" i="10"/>
  <c r="Q32" i="10"/>
  <c r="P32" i="10"/>
  <c r="R32" i="10"/>
  <c r="O32" i="10"/>
  <c r="S32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4" i="10"/>
  <c r="T14" i="10"/>
  <c r="W14" i="10"/>
  <c r="V14" i="10"/>
  <c r="X14" i="10"/>
  <c r="U14" i="10"/>
  <c r="Y14" i="10"/>
  <c r="M26" i="10"/>
  <c r="M40" i="10"/>
  <c r="M56" i="10"/>
  <c r="N56" i="10"/>
  <c r="Q56" i="10"/>
  <c r="P56" i="10"/>
  <c r="R56" i="10"/>
  <c r="O56" i="10"/>
  <c r="S56" i="10"/>
  <c r="N40" i="10"/>
  <c r="Q40" i="10"/>
  <c r="P40" i="10"/>
  <c r="R40" i="10"/>
  <c r="O40" i="10"/>
  <c r="S40" i="10"/>
  <c r="N26" i="10"/>
  <c r="Q26" i="10"/>
  <c r="P26" i="10"/>
  <c r="R26" i="10"/>
  <c r="O26" i="10"/>
  <c r="S26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J64" i="11"/>
  <c r="O64" i="9"/>
  <c r="N64" i="9"/>
  <c r="M64" i="9"/>
  <c r="L64" i="9"/>
  <c r="K64" i="9"/>
  <c r="J64" i="9"/>
  <c r="I64" i="9"/>
  <c r="H64" i="9"/>
  <c r="G64" i="9"/>
  <c r="E64" i="9"/>
  <c r="D64" i="9"/>
  <c r="A64" i="9"/>
  <c r="J63" i="11"/>
  <c r="O63" i="9"/>
  <c r="N63" i="9"/>
  <c r="M63" i="9"/>
  <c r="L63" i="9"/>
  <c r="K63" i="9"/>
  <c r="J63" i="9"/>
  <c r="I63" i="9"/>
  <c r="H63" i="9"/>
  <c r="G63" i="9"/>
  <c r="E63" i="9"/>
  <c r="D63" i="9"/>
  <c r="A63" i="9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45" i="11"/>
  <c r="O45" i="9"/>
  <c r="N45" i="9"/>
  <c r="M45" i="9"/>
  <c r="L45" i="9"/>
  <c r="K45" i="9"/>
  <c r="J45" i="9"/>
  <c r="I45" i="9"/>
  <c r="H45" i="9"/>
  <c r="G45" i="9"/>
  <c r="E45" i="9"/>
  <c r="D45" i="9"/>
  <c r="A45" i="9"/>
  <c r="J44" i="11"/>
  <c r="O44" i="9"/>
  <c r="N44" i="9"/>
  <c r="M44" i="9"/>
  <c r="L44" i="9"/>
  <c r="K44" i="9"/>
  <c r="J44" i="9"/>
  <c r="I44" i="9"/>
  <c r="H44" i="9"/>
  <c r="G44" i="9"/>
  <c r="E44" i="9"/>
  <c r="D44" i="9"/>
  <c r="A44" i="9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Y6" i="7"/>
  <c r="Y7" i="7"/>
  <c r="Y5" i="7"/>
  <c r="J62" i="11"/>
  <c r="O62" i="9"/>
  <c r="N62" i="9"/>
  <c r="M62" i="9"/>
  <c r="L62" i="9"/>
  <c r="K62" i="9"/>
  <c r="J62" i="9"/>
  <c r="I62" i="9"/>
  <c r="H62" i="9"/>
  <c r="G62" i="9"/>
  <c r="J61" i="11"/>
  <c r="O61" i="9"/>
  <c r="N61" i="9"/>
  <c r="M61" i="9"/>
  <c r="L61" i="9"/>
  <c r="K61" i="9"/>
  <c r="J61" i="9"/>
  <c r="I61" i="9"/>
  <c r="H61" i="9"/>
  <c r="G61" i="9"/>
  <c r="J60" i="11"/>
  <c r="O60" i="9"/>
  <c r="N60" i="9"/>
  <c r="M60" i="9"/>
  <c r="L60" i="9"/>
  <c r="K60" i="9"/>
  <c r="J60" i="9"/>
  <c r="I60" i="9"/>
  <c r="H60" i="9"/>
  <c r="G60" i="9"/>
  <c r="J59" i="11"/>
  <c r="O59" i="9"/>
  <c r="N59" i="9"/>
  <c r="M59" i="9"/>
  <c r="L59" i="9"/>
  <c r="K59" i="9"/>
  <c r="J59" i="9"/>
  <c r="I59" i="9"/>
  <c r="H59" i="9"/>
  <c r="G59" i="9"/>
  <c r="J58" i="11"/>
  <c r="O58" i="9"/>
  <c r="N58" i="9"/>
  <c r="M58" i="9"/>
  <c r="L58" i="9"/>
  <c r="K58" i="9"/>
  <c r="J58" i="9"/>
  <c r="I58" i="9"/>
  <c r="H58" i="9"/>
  <c r="G58" i="9"/>
  <c r="J57" i="11"/>
  <c r="O57" i="9"/>
  <c r="N57" i="9"/>
  <c r="M57" i="9"/>
  <c r="L57" i="9"/>
  <c r="K57" i="9"/>
  <c r="J57" i="9"/>
  <c r="I57" i="9"/>
  <c r="H57" i="9"/>
  <c r="G57" i="9"/>
  <c r="J54" i="11"/>
  <c r="O54" i="9"/>
  <c r="N54" i="9"/>
  <c r="M54" i="9"/>
  <c r="L54" i="9"/>
  <c r="K54" i="9"/>
  <c r="J54" i="9"/>
  <c r="I54" i="9"/>
  <c r="H54" i="9"/>
  <c r="G54" i="9"/>
  <c r="J53" i="11"/>
  <c r="O53" i="9"/>
  <c r="N53" i="9"/>
  <c r="M53" i="9"/>
  <c r="L53" i="9"/>
  <c r="K53" i="9"/>
  <c r="J53" i="9"/>
  <c r="I53" i="9"/>
  <c r="H53" i="9"/>
  <c r="G53" i="9"/>
  <c r="J52" i="11"/>
  <c r="O52" i="9"/>
  <c r="N52" i="9"/>
  <c r="M52" i="9"/>
  <c r="L52" i="9"/>
  <c r="K52" i="9"/>
  <c r="J52" i="9"/>
  <c r="I52" i="9"/>
  <c r="H52" i="9"/>
  <c r="G52" i="9"/>
  <c r="J51" i="11"/>
  <c r="O51" i="9"/>
  <c r="N51" i="9"/>
  <c r="M51" i="9"/>
  <c r="L51" i="9"/>
  <c r="K51" i="9"/>
  <c r="J51" i="9"/>
  <c r="I51" i="9"/>
  <c r="H51" i="9"/>
  <c r="G51" i="9"/>
  <c r="J43" i="11"/>
  <c r="O43" i="9"/>
  <c r="N43" i="9"/>
  <c r="M43" i="9"/>
  <c r="L43" i="9"/>
  <c r="K43" i="9"/>
  <c r="J43" i="9"/>
  <c r="I43" i="9"/>
  <c r="H43" i="9"/>
  <c r="G43" i="9"/>
  <c r="J42" i="11"/>
  <c r="O42" i="9"/>
  <c r="N42" i="9"/>
  <c r="M42" i="9"/>
  <c r="L42" i="9"/>
  <c r="K42" i="9"/>
  <c r="J42" i="9"/>
  <c r="I42" i="9"/>
  <c r="H42" i="9"/>
  <c r="G42" i="9"/>
  <c r="J41" i="11"/>
  <c r="O41" i="9"/>
  <c r="N41" i="9"/>
  <c r="M41" i="9"/>
  <c r="L41" i="9"/>
  <c r="K41" i="9"/>
  <c r="J41" i="9"/>
  <c r="I41" i="9"/>
  <c r="H41" i="9"/>
  <c r="G41" i="9"/>
  <c r="J40" i="11"/>
  <c r="O40" i="9"/>
  <c r="N40" i="9"/>
  <c r="M40" i="9"/>
  <c r="L40" i="9"/>
  <c r="K40" i="9"/>
  <c r="J40" i="9"/>
  <c r="I40" i="9"/>
  <c r="H40" i="9"/>
  <c r="G40" i="9"/>
  <c r="J39" i="11"/>
  <c r="O39" i="9"/>
  <c r="N39" i="9"/>
  <c r="M39" i="9"/>
  <c r="L39" i="9"/>
  <c r="K39" i="9"/>
  <c r="J39" i="9"/>
  <c r="I39" i="9"/>
  <c r="H39" i="9"/>
  <c r="G39" i="9"/>
  <c r="J38" i="11"/>
  <c r="O38" i="9"/>
  <c r="N38" i="9"/>
  <c r="M38" i="9"/>
  <c r="L38" i="9"/>
  <c r="K38" i="9"/>
  <c r="J38" i="9"/>
  <c r="I38" i="9"/>
  <c r="H38" i="9"/>
  <c r="G38" i="9"/>
  <c r="J37" i="11"/>
  <c r="O37" i="9"/>
  <c r="N37" i="9"/>
  <c r="M37" i="9"/>
  <c r="L37" i="9"/>
  <c r="K37" i="9"/>
  <c r="J37" i="9"/>
  <c r="I37" i="9"/>
  <c r="H37" i="9"/>
  <c r="G37" i="9"/>
  <c r="J36" i="11"/>
  <c r="O36" i="9"/>
  <c r="N36" i="9"/>
  <c r="M36" i="9"/>
  <c r="L36" i="9"/>
  <c r="K36" i="9"/>
  <c r="J36" i="9"/>
  <c r="I36" i="9"/>
  <c r="H36" i="9"/>
  <c r="G36" i="9"/>
  <c r="D36" i="9"/>
  <c r="D37" i="9"/>
  <c r="E37" i="9"/>
  <c r="D38" i="9"/>
  <c r="E38" i="9"/>
  <c r="D39" i="9"/>
  <c r="E39" i="9"/>
  <c r="D40" i="9"/>
  <c r="E40" i="9"/>
  <c r="D41" i="9"/>
  <c r="E41" i="9"/>
  <c r="D42" i="9"/>
  <c r="E42" i="9"/>
  <c r="D43" i="9"/>
  <c r="E43" i="9"/>
  <c r="D51" i="9"/>
  <c r="D52" i="9"/>
  <c r="E52" i="9"/>
  <c r="D53" i="9"/>
  <c r="E53" i="9"/>
  <c r="D54" i="9"/>
  <c r="E54" i="9"/>
  <c r="D57" i="9"/>
  <c r="D58" i="9"/>
  <c r="E58" i="9"/>
  <c r="D59" i="9"/>
  <c r="E59" i="9"/>
  <c r="D60" i="9"/>
  <c r="E60" i="9"/>
  <c r="D61" i="9"/>
  <c r="E61" i="9"/>
  <c r="D62" i="9"/>
  <c r="E62" i="9"/>
  <c r="A62" i="9"/>
  <c r="A61" i="9"/>
  <c r="A60" i="9"/>
  <c r="A59" i="9"/>
  <c r="A58" i="9"/>
  <c r="A57" i="9"/>
  <c r="A54" i="9"/>
  <c r="A53" i="9"/>
  <c r="A52" i="9"/>
  <c r="A51" i="9"/>
  <c r="A43" i="9"/>
  <c r="A42" i="9"/>
  <c r="A41" i="9"/>
  <c r="A40" i="9"/>
  <c r="A39" i="9"/>
  <c r="A38" i="9"/>
  <c r="A37" i="9"/>
  <c r="A36" i="9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T56" i="10"/>
  <c r="W56" i="10"/>
  <c r="V56" i="10"/>
  <c r="X56" i="10"/>
  <c r="U56" i="10"/>
  <c r="Y56" i="10"/>
  <c r="G56" i="10"/>
  <c r="J56" i="10"/>
  <c r="I56" i="10"/>
  <c r="K56" i="10"/>
  <c r="H56" i="10"/>
  <c r="L56" i="10"/>
  <c r="T55" i="10"/>
  <c r="W55" i="10"/>
  <c r="V55" i="10"/>
  <c r="X55" i="10"/>
  <c r="U55" i="10"/>
  <c r="Y55" i="10"/>
  <c r="G55" i="10"/>
  <c r="J55" i="10"/>
  <c r="I55" i="10"/>
  <c r="K55" i="10"/>
  <c r="H55" i="10"/>
  <c r="L55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T47" i="10"/>
  <c r="W47" i="10"/>
  <c r="V47" i="10"/>
  <c r="X47" i="10"/>
  <c r="U47" i="10"/>
  <c r="Y47" i="10"/>
  <c r="G47" i="10"/>
  <c r="J47" i="10"/>
  <c r="I47" i="10"/>
  <c r="K47" i="10"/>
  <c r="H47" i="10"/>
  <c r="L47" i="10"/>
  <c r="T43" i="10"/>
  <c r="W43" i="10"/>
  <c r="V43" i="10"/>
  <c r="X43" i="10"/>
  <c r="U43" i="10"/>
  <c r="Y43" i="10"/>
  <c r="G43" i="10"/>
  <c r="J43" i="10"/>
  <c r="I43" i="10"/>
  <c r="K43" i="10"/>
  <c r="H43" i="10"/>
  <c r="L43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T40" i="10"/>
  <c r="W40" i="10"/>
  <c r="V40" i="10"/>
  <c r="X40" i="10"/>
  <c r="U40" i="10"/>
  <c r="Y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J25" i="11"/>
  <c r="J26" i="11"/>
  <c r="J31" i="11"/>
  <c r="J32" i="11"/>
  <c r="J33" i="11"/>
  <c r="J35" i="11"/>
  <c r="J24" i="11"/>
  <c r="O35" i="9"/>
  <c r="N35" i="9"/>
  <c r="M35" i="9"/>
  <c r="L35" i="9"/>
  <c r="K35" i="9"/>
  <c r="J35" i="9"/>
  <c r="I35" i="9"/>
  <c r="H35" i="9"/>
  <c r="G35" i="9"/>
  <c r="E35" i="9"/>
  <c r="D35" i="9"/>
  <c r="O33" i="9"/>
  <c r="N33" i="9"/>
  <c r="M33" i="9"/>
  <c r="L33" i="9"/>
  <c r="K33" i="9"/>
  <c r="J33" i="9"/>
  <c r="I33" i="9"/>
  <c r="H33" i="9"/>
  <c r="G33" i="9"/>
  <c r="E33" i="9"/>
  <c r="D33" i="9"/>
  <c r="O32" i="9"/>
  <c r="N32" i="9"/>
  <c r="M32" i="9"/>
  <c r="L32" i="9"/>
  <c r="K32" i="9"/>
  <c r="J32" i="9"/>
  <c r="I32" i="9"/>
  <c r="H32" i="9"/>
  <c r="G32" i="9"/>
  <c r="E32" i="9"/>
  <c r="D32" i="9"/>
  <c r="O31" i="9"/>
  <c r="N31" i="9"/>
  <c r="M31" i="9"/>
  <c r="L31" i="9"/>
  <c r="K31" i="9"/>
  <c r="J31" i="9"/>
  <c r="I31" i="9"/>
  <c r="H31" i="9"/>
  <c r="G31" i="9"/>
  <c r="D31" i="9"/>
  <c r="O28" i="9"/>
  <c r="N28" i="9"/>
  <c r="M28" i="9"/>
  <c r="L28" i="9"/>
  <c r="K28" i="9"/>
  <c r="J28" i="9"/>
  <c r="I28" i="9"/>
  <c r="H28" i="9"/>
  <c r="G28" i="9"/>
  <c r="E28" i="9"/>
  <c r="D28" i="9"/>
  <c r="O27" i="9"/>
  <c r="N27" i="9"/>
  <c r="M27" i="9"/>
  <c r="L27" i="9"/>
  <c r="K27" i="9"/>
  <c r="J27" i="9"/>
  <c r="I27" i="9"/>
  <c r="H27" i="9"/>
  <c r="G27" i="9"/>
  <c r="E27" i="9"/>
  <c r="D27" i="9"/>
  <c r="O26" i="9"/>
  <c r="N26" i="9"/>
  <c r="M26" i="9"/>
  <c r="L26" i="9"/>
  <c r="K26" i="9"/>
  <c r="J26" i="9"/>
  <c r="I26" i="9"/>
  <c r="H26" i="9"/>
  <c r="G26" i="9"/>
  <c r="E26" i="9"/>
  <c r="D26" i="9"/>
  <c r="O25" i="9"/>
  <c r="N25" i="9"/>
  <c r="M25" i="9"/>
  <c r="L25" i="9"/>
  <c r="K25" i="9"/>
  <c r="J25" i="9"/>
  <c r="I25" i="9"/>
  <c r="H25" i="9"/>
  <c r="G25" i="9"/>
  <c r="E25" i="9"/>
  <c r="D25" i="9"/>
  <c r="O24" i="9"/>
  <c r="N24" i="9"/>
  <c r="M24" i="9"/>
  <c r="L24" i="9"/>
  <c r="K24" i="9"/>
  <c r="J24" i="9"/>
  <c r="I24" i="9"/>
  <c r="H24" i="9"/>
  <c r="G24" i="9"/>
  <c r="D24" i="9"/>
  <c r="A35" i="9"/>
  <c r="A33" i="9"/>
  <c r="A32" i="9"/>
  <c r="A31" i="9"/>
  <c r="A28" i="9"/>
  <c r="A27" i="9"/>
  <c r="A26" i="9"/>
  <c r="A25" i="9"/>
  <c r="A24" i="9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T32" i="10"/>
  <c r="W32" i="10"/>
  <c r="V32" i="10"/>
  <c r="X32" i="10"/>
  <c r="U32" i="10"/>
  <c r="Y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J23" i="11"/>
  <c r="J22" i="11"/>
  <c r="J21" i="11"/>
  <c r="J20" i="11"/>
  <c r="J19" i="11"/>
  <c r="J18" i="11"/>
  <c r="J17" i="11"/>
  <c r="J16" i="11"/>
  <c r="J15" i="11"/>
  <c r="J14" i="11"/>
  <c r="J13" i="11"/>
  <c r="J12" i="11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D12" i="9"/>
  <c r="A12" i="9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E7" i="9"/>
  <c r="D6" i="9"/>
  <c r="D7" i="9"/>
  <c r="J6" i="11"/>
  <c r="O6" i="9"/>
  <c r="N6" i="9"/>
  <c r="M6" i="9"/>
  <c r="L6" i="9"/>
  <c r="K6" i="9"/>
  <c r="J6" i="9"/>
  <c r="I6" i="9"/>
  <c r="H6" i="9"/>
  <c r="G6" i="9"/>
  <c r="A6" i="9"/>
  <c r="A7" i="9"/>
  <c r="G7" i="9"/>
  <c r="H7" i="9"/>
  <c r="I7" i="9"/>
  <c r="J7" i="9"/>
  <c r="K7" i="9"/>
  <c r="L7" i="9"/>
  <c r="M7" i="9"/>
  <c r="N7" i="9"/>
  <c r="J7" i="11"/>
  <c r="O7" i="9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D2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4" i="11"/>
  <c r="J5" i="11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H5" i="2"/>
  <c r="E5" i="2"/>
  <c r="D5" i="2"/>
  <c r="H10" i="1"/>
  <c r="H11" i="1"/>
  <c r="H12" i="1"/>
  <c r="H13" i="1"/>
  <c r="H14" i="1"/>
  <c r="H15" i="1"/>
  <c r="H16" i="1"/>
  <c r="H17" i="1"/>
  <c r="B5" i="2"/>
  <c r="H4" i="2"/>
  <c r="E4" i="2"/>
  <c r="D4" i="2"/>
  <c r="B4" i="2"/>
  <c r="H3" i="2"/>
  <c r="E3" i="2"/>
  <c r="D3" i="2"/>
  <c r="B3" i="2"/>
  <c r="H2" i="2"/>
  <c r="E2" i="2"/>
  <c r="D2" i="2"/>
  <c r="B2" i="2"/>
  <c r="B16" i="21"/>
  <c r="I16" i="21"/>
  <c r="J16" i="21"/>
  <c r="G16" i="21"/>
  <c r="F16" i="21"/>
  <c r="D16" i="21"/>
  <c r="C1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AD14" i="1"/>
  <c r="AD11" i="1"/>
  <c r="AD12" i="1"/>
  <c r="AD13" i="1"/>
  <c r="AD15" i="1"/>
  <c r="AD16" i="1"/>
  <c r="AD17" i="1"/>
  <c r="AD10" i="1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AF17" i="1"/>
  <c r="AI17" i="1"/>
  <c r="AG17" i="1"/>
  <c r="AE17" i="1"/>
  <c r="X17" i="1"/>
  <c r="V17" i="1"/>
  <c r="T17" i="1"/>
  <c r="Q17" i="1"/>
  <c r="P17" i="1"/>
  <c r="O17" i="1"/>
  <c r="N17" i="1"/>
  <c r="M17" i="1"/>
  <c r="J17" i="1"/>
  <c r="I17" i="1"/>
  <c r="D17" i="1"/>
  <c r="F17" i="1"/>
  <c r="E17" i="1"/>
  <c r="A17" i="1"/>
  <c r="AF16" i="1"/>
  <c r="AI16" i="1"/>
  <c r="AG16" i="1"/>
  <c r="AE16" i="1"/>
  <c r="X16" i="1"/>
  <c r="V16" i="1"/>
  <c r="T16" i="1"/>
  <c r="Q16" i="1"/>
  <c r="P16" i="1"/>
  <c r="O16" i="1"/>
  <c r="N16" i="1"/>
  <c r="M16" i="1"/>
  <c r="J16" i="1"/>
  <c r="I16" i="1"/>
  <c r="D16" i="1"/>
  <c r="F16" i="1"/>
  <c r="E16" i="1"/>
  <c r="A16" i="1"/>
  <c r="AF15" i="1"/>
  <c r="AI15" i="1"/>
  <c r="AG15" i="1"/>
  <c r="AE15" i="1"/>
  <c r="X15" i="1"/>
  <c r="V15" i="1"/>
  <c r="T15" i="1"/>
  <c r="Q15" i="1"/>
  <c r="P15" i="1"/>
  <c r="O15" i="1"/>
  <c r="N15" i="1"/>
  <c r="M15" i="1"/>
  <c r="J15" i="1"/>
  <c r="I15" i="1"/>
  <c r="D15" i="1"/>
  <c r="F15" i="1"/>
  <c r="E15" i="1"/>
  <c r="A15" i="1"/>
  <c r="AF14" i="1"/>
  <c r="AI14" i="1"/>
  <c r="AG14" i="1"/>
  <c r="AE14" i="1"/>
  <c r="X14" i="1"/>
  <c r="V14" i="1"/>
  <c r="T14" i="1"/>
  <c r="Q14" i="1"/>
  <c r="P14" i="1"/>
  <c r="O14" i="1"/>
  <c r="N14" i="1"/>
  <c r="M14" i="1"/>
  <c r="J14" i="1"/>
  <c r="I14" i="1"/>
  <c r="D14" i="1"/>
  <c r="F14" i="1"/>
  <c r="E14" i="1"/>
  <c r="A14" i="1"/>
  <c r="AF13" i="1"/>
  <c r="AI13" i="1"/>
  <c r="AG13" i="1"/>
  <c r="AE13" i="1"/>
  <c r="X13" i="1"/>
  <c r="V13" i="1"/>
  <c r="T13" i="1"/>
  <c r="Q13" i="1"/>
  <c r="P13" i="1"/>
  <c r="O13" i="1"/>
  <c r="N13" i="1"/>
  <c r="M13" i="1"/>
  <c r="J13" i="1"/>
  <c r="I13" i="1"/>
  <c r="D13" i="1"/>
  <c r="F13" i="1"/>
  <c r="E13" i="1"/>
  <c r="A13" i="1"/>
  <c r="AF12" i="1"/>
  <c r="AI12" i="1"/>
  <c r="AG12" i="1"/>
  <c r="AE12" i="1"/>
  <c r="X12" i="1"/>
  <c r="V12" i="1"/>
  <c r="T12" i="1"/>
  <c r="Q12" i="1"/>
  <c r="P12" i="1"/>
  <c r="O12" i="1"/>
  <c r="N12" i="1"/>
  <c r="M12" i="1"/>
  <c r="J12" i="1"/>
  <c r="I12" i="1"/>
  <c r="D12" i="1"/>
  <c r="F12" i="1"/>
  <c r="E12" i="1"/>
  <c r="A12" i="1"/>
  <c r="AF11" i="1"/>
  <c r="AI11" i="1"/>
  <c r="AG11" i="1"/>
  <c r="AE11" i="1"/>
  <c r="X11" i="1"/>
  <c r="V11" i="1"/>
  <c r="T11" i="1"/>
  <c r="Q11" i="1"/>
  <c r="P11" i="1"/>
  <c r="O11" i="1"/>
  <c r="N11" i="1"/>
  <c r="M11" i="1"/>
  <c r="J11" i="1"/>
  <c r="I11" i="1"/>
  <c r="D11" i="1"/>
  <c r="F11" i="1"/>
  <c r="E11" i="1"/>
  <c r="A11" i="1"/>
  <c r="H9" i="2"/>
  <c r="E9" i="2"/>
  <c r="D9" i="2"/>
  <c r="B9" i="2"/>
  <c r="H8" i="2"/>
  <c r="E8" i="2"/>
  <c r="D8" i="2"/>
  <c r="B8" i="2"/>
  <c r="H7" i="2"/>
  <c r="E7" i="2"/>
  <c r="D7" i="2"/>
  <c r="B7" i="2"/>
  <c r="W5" i="7"/>
  <c r="U5" i="7"/>
  <c r="V10" i="1"/>
  <c r="T10" i="1"/>
  <c r="N2" i="22"/>
  <c r="G2" i="22"/>
  <c r="F2" i="22"/>
  <c r="A2" i="22"/>
  <c r="C13" i="16"/>
  <c r="E13" i="16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C4" i="16"/>
  <c r="C5" i="16"/>
  <c r="C6" i="16"/>
  <c r="C7" i="16"/>
  <c r="C8" i="16"/>
  <c r="C9" i="16"/>
  <c r="C3" i="16"/>
  <c r="E9" i="16"/>
  <c r="R5" i="7"/>
  <c r="Q5" i="7"/>
  <c r="P5" i="7"/>
  <c r="O5" i="7"/>
  <c r="N5" i="7"/>
  <c r="AG10" i="1"/>
  <c r="AF10" i="1"/>
  <c r="AE10" i="1"/>
  <c r="X10" i="1"/>
  <c r="Q10" i="1"/>
  <c r="P10" i="1"/>
  <c r="O10" i="1"/>
  <c r="N10" i="1"/>
  <c r="M10" i="1"/>
  <c r="T2" i="10"/>
  <c r="V2" i="10"/>
  <c r="N2" i="10"/>
  <c r="P2" i="10"/>
  <c r="X2" i="10"/>
  <c r="W2" i="10"/>
  <c r="U2" i="10"/>
  <c r="Y2" i="10"/>
  <c r="R2" i="10"/>
  <c r="Q2" i="10"/>
  <c r="O2" i="10"/>
  <c r="S2" i="10"/>
  <c r="J2" i="10"/>
  <c r="H2" i="10"/>
  <c r="L2" i="10"/>
  <c r="H5" i="7"/>
  <c r="J5" i="7"/>
  <c r="E8" i="16"/>
  <c r="E7" i="16"/>
  <c r="E6" i="16"/>
  <c r="E5" i="16"/>
  <c r="E4" i="16"/>
  <c r="E3" i="16"/>
  <c r="E2" i="16"/>
  <c r="A10" i="1"/>
  <c r="AI10" i="1"/>
  <c r="A2" i="9"/>
  <c r="J10" i="1"/>
  <c r="I10" i="1"/>
  <c r="D10" i="1"/>
  <c r="F10" i="1"/>
  <c r="E10" i="1"/>
  <c r="A5" i="7"/>
  <c r="I5" i="7"/>
  <c r="D5" i="7"/>
  <c r="F5" i="7"/>
  <c r="E5" i="7"/>
  <c r="D6" i="2"/>
  <c r="E6" i="2"/>
  <c r="H6" i="2"/>
  <c r="B6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<sst xmlns="http://schemas.openxmlformats.org/spreadsheetml/2006/main" count="1512" uniqueCount="495">
  <si>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</si>
  <si>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</si>
  <si>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</si>
  <si>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</si>
  <si>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</si>
  <si>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</si>
  <si>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</si>
  <si>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</si>
  <si>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</si>
  <si>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</si>
  <si>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</si>
  <si>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</si>
  <si>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</si>
  <si>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</si>
  <si>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</si>
  <si>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</si>
  <si>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</si>
  <si>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</si>
  <si>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</si>
  <si>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</si>
  <si>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</si>
  <si>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</si>
  <si>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</si>
  <si>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</si>
  <si>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</si>
  <si>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</si>
  <si>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</si>
  <si>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</si>
  <si>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</si>
  <si>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</si>
  <si>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</si>
  <si>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</si>
  <si>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</si>
  <si>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</si>
  <si>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</si>
  <si>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</si>
  <si>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</si>
  <si>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</si>
  <si>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</si>
  <si>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</si>
  <si>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</si>
  <si>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</si>
  <si>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</si>
  <si>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</si>
  <si>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</si>
  <si>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</si>
  <si>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</si>
  <si>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</si>
  <si>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</si>
  <si>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</si>
  <si>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</si>
  <si>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</si>
  <si>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</si>
  <si>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</si>
  <si>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</si>
  <si>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</si>
  <si>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</si>
  <si>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</si>
  <si>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</si>
  <si>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</si>
  <si>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</si>
  <si>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</si>
  <si>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</si>
  <si>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</si>
  <si>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</si>
  <si>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</si>
  <si>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</si>
  <si>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</si>
  <si>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</si>
  <si>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</si>
  <si>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</si>
  <si>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</si>
  <si>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</si>
  <si>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</si>
  <si>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</si>
  <si>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</si>
  <si>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</si>
  <si>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</si>
  <si>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</si>
  <si>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</si>
  <si>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</si>
  <si>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</si>
  <si>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</si>
  <si>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</si>
  <si>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</si>
  <si>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</si>
  <si>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</si>
  <si>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</si>
  <si>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</si>
  <si>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</si>
  <si>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</si>
  <si>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</si>
  <si>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</si>
  <si>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</si>
  <si>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</si>
  <si>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</si>
  <si>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</si>
  <si>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</si>
  <si>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</si>
  <si>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</si>
  <si>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</si>
  <si>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</si>
  <si>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</si>
  <si>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</si>
  <si>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</si>
  <si>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</si>
  <si>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</si>
  <si>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</si>
  <si>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</si>
  <si>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</si>
  <si>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</si>
  <si>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</si>
  <si>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</si>
  <si>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</si>
  <si>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</si>
  <si>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</si>
  <si>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</si>
  <si>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</si>
  <si>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</si>
  <si>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</si>
  <si>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</si>
  <si>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</si>
  <si>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</si>
  <si>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</si>
  <si>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</si>
  <si>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</si>
  <si>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</si>
  <si>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</si>
  <si>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</si>
  <si>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</si>
  <si>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</si>
  <si>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</si>
  <si>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</si>
  <si>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</si>
  <si>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</si>
  <si>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</si>
  <si>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</si>
  <si>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</si>
  <si>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</si>
  <si>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</si>
  <si>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</si>
  <si>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</si>
  <si>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</si>
  <si>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</si>
  <si>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</si>
  <si>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</si>
  <si>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</si>
  <si>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</si>
  <si>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</si>
  <si>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</si>
  <si>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</si>
  <si>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</si>
  <si>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</si>
  <si>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</si>
  <si>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</si>
  <si>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</si>
  <si>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</si>
  <si>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</si>
  <si>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</si>
  <si>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</si>
  <si>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</si>
  <si>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</si>
  <si>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</si>
  <si>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</si>
  <si>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</si>
  <si>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</si>
  <si>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</si>
  <si>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</si>
  <si>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</si>
  <si>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</si>
  <si>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</si>
  <si>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</si>
  <si>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</si>
  <si>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</si>
  <si>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</si>
  <si>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</si>
  <si>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</si>
  <si>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</si>
  <si>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</si>
  <si>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</si>
  <si>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</si>
  <si>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</si>
  <si>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</si>
  <si>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</si>
  <si>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</si>
  <si>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</si>
  <si>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</si>
  <si>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</si>
  <si>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</si>
  <si>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</si>
  <si>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</si>
  <si>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</si>
  <si>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</si>
  <si>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</si>
  <si>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</si>
  <si>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</si>
  <si>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</si>
  <si>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</si>
  <si>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</si>
  <si>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</si>
  <si>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</si>
  <si>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</si>
  <si>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</si>
  <si>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</si>
  <si>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</si>
  <si>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</si>
  <si>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</si>
  <si>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</si>
  <si>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</si>
  <si>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</si>
  <si>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</si>
  <si>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</si>
  <si>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</si>
  <si>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</si>
  <si>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</si>
  <si>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</si>
  <si>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</si>
  <si>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</si>
  <si>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</si>
  <si>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</si>
  <si>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</si>
  <si>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</si>
  <si>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</si>
  <si>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</si>
  <si>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</si>
  <si>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</si>
  <si>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</si>
  <si>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</si>
  <si>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</si>
  <si>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</si>
  <si>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</si>
  <si>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</si>
  <si>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</si>
  <si>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</si>
  <si>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</si>
  <si>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</si>
  <si>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</si>
  <si>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</si>
  <si>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</si>
  <si>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</si>
  <si>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</si>
  <si>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</si>
  <si>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</si>
  <si>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</si>
  <si>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</si>
  <si>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</si>
  <si>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</si>
  <si>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</si>
  <si>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</si>
  <si>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</si>
  <si>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</si>
  <si>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</si>
  <si>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</si>
  <si>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</si>
  <si>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</si>
  <si>
    <t>null</t>
  </si>
  <si>
    <t>null</t>
    <phoneticPr fontId="5"/>
  </si>
  <si>
    <t>complete</t>
    <phoneticPr fontId="5"/>
  </si>
  <si>
    <t>link</t>
  </si>
  <si>
    <t>unit</t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</si>
  <si>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</si>
  <si>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</si>
  <si>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</si>
  <si>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</si>
  <si>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</si>
  <si>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[effect:damage_gravity, val:0.95, animation:fevergauge_down]</t>
    <phoneticPr fontId="5"/>
  </si>
  <si>
    <t>[effect:break_attack_fix, target:unit_one, val:0, lowest_val:2000, count:-1, color:yellow, block01:jammer]</t>
    <phoneticPr fontId="5"/>
  </si>
  <si>
    <t>[effect:enhance_enemy, target:myself, turn:-1, status:attack, val:0.5, calc:mul, animation:enemy_enhance_attack]</t>
    <phoneticPr fontId="5"/>
  </si>
  <si>
    <t>[effect:damage_anti_cost, target:unit_all, lower:50, val1:0.5, val2:0.2, cost_type:unit]</t>
    <phoneticPr fontId="5"/>
  </si>
  <si>
    <t>[effect:break_heal_ratio, target:enemy_one, val:0.03, lowest_val:0, count:-1, block01:jammer, animation:enemy_heal]</t>
    <phoneticPr fontId="5"/>
  </si>
  <si>
    <t>[effect:break_heal_ratio, target:enemy_one, val:0.04, lowest_val:0, count:-1, block01:jammer, animation:enemy_heal]</t>
    <phoneticPr fontId="5"/>
  </si>
  <si>
    <t>白虎奥義「邪覆」</t>
    <phoneticPr fontId="5"/>
  </si>
  <si>
    <t>ブレイブリーインパクト</t>
    <phoneticPr fontId="5"/>
  </si>
  <si>
    <t>なかなかやるようだな</t>
    <phoneticPr fontId="5"/>
  </si>
  <si>
    <t>玄武奥義「黄離」</t>
    <phoneticPr fontId="5"/>
  </si>
  <si>
    <t>玄武奥義「赤葬」</t>
    <phoneticPr fontId="5"/>
  </si>
  <si>
    <t>玄武奥義「青締」</t>
    <phoneticPr fontId="5"/>
  </si>
  <si>
    <t>ライフペネトレイター</t>
    <phoneticPr fontId="5"/>
  </si>
  <si>
    <t>ハードペネトレイター</t>
    <phoneticPr fontId="5"/>
  </si>
  <si>
    <t>カオスペネトレイター</t>
    <phoneticPr fontId="5"/>
  </si>
  <si>
    <t>永攻の回帰</t>
    <phoneticPr fontId="5"/>
  </si>
  <si>
    <t>消失に至る病</t>
    <phoneticPr fontId="5"/>
  </si>
  <si>
    <t>不可知の電脳</t>
    <phoneticPr fontId="5"/>
  </si>
  <si>
    <t>絵本の世界から迷い込んできたようだ</t>
    <phoneticPr fontId="5"/>
  </si>
  <si>
    <t>うわぁ〜ん！　痛いぉ〜！</t>
    <phoneticPr fontId="5"/>
  </si>
  <si>
    <t>攻撃の意思はないようだ</t>
    <phoneticPr fontId="5"/>
  </si>
  <si>
    <t>ほぇ〜〜♪</t>
    <phoneticPr fontId="5"/>
  </si>
  <si>
    <t>暴れながら絵本の世界に帰っていった</t>
    <phoneticPr fontId="5"/>
  </si>
  <si>
    <t>まさかこれ程とは…</t>
    <phoneticPr fontId="5"/>
  </si>
  <si>
    <t>消えゆけ…</t>
    <phoneticPr fontId="5"/>
  </si>
  <si>
    <t>この青は創造の青</t>
    <phoneticPr fontId="5"/>
  </si>
  <si>
    <t>この青は混沌の青</t>
    <phoneticPr fontId="5"/>
  </si>
  <si>
    <t>灰海嘯</t>
    <phoneticPr fontId="5"/>
  </si>
  <si>
    <t>へぇ…なかなかやるのね</t>
    <phoneticPr fontId="5"/>
  </si>
  <si>
    <t>そろそろ辛くなってくる頃かしら？</t>
    <phoneticPr fontId="5"/>
  </si>
  <si>
    <t>ヴィアベル・クーゲル</t>
    <phoneticPr fontId="5"/>
  </si>
  <si>
    <t>ヴァッサーファル・アクスト</t>
    <phoneticPr fontId="5"/>
  </si>
  <si>
    <t>水司の氷</t>
    <phoneticPr fontId="5"/>
  </si>
  <si>
    <t>プライマル・ヴォーテックス</t>
    <phoneticPr fontId="5"/>
  </si>
  <si>
    <t>あーもう！　あたしが悪かったわ！
悪かったってば！</t>
    <phoneticPr fontId="5"/>
  </si>
  <si>
    <t>この子はあたしのとっておきなんだから！</t>
    <phoneticPr fontId="5"/>
  </si>
  <si>
    <t>マルドゥク、そろそろ来る頃だと思っていたわ</t>
    <phoneticPr fontId="5"/>
  </si>
  <si>
    <t>冷怒の相</t>
    <phoneticPr fontId="5"/>
  </si>
  <si>
    <t>1ターンお邪魔パネルドロップ率UP+攻撃</t>
    <phoneticPr fontId="5"/>
  </si>
  <si>
    <t>お邪魔パネルを5個生成</t>
    <phoneticPr fontId="5"/>
  </si>
  <si>
    <t>黄色パネルを吸収し、攻撃</t>
    <phoneticPr fontId="5"/>
  </si>
  <si>
    <t>どうやらここまでか…</t>
    <phoneticPr fontId="5"/>
  </si>
  <si>
    <t>お邪魔パネルを吸収し、攻撃</t>
    <phoneticPr fontId="5"/>
  </si>
  <si>
    <t>2ターンハートパネルドロップ率UP</t>
    <phoneticPr fontId="5"/>
  </si>
  <si>
    <t>[effect:damage_anti_tribe, target:unit_all, tribe:human, val1:0.2, val2:0.1],[effect:damage_anti_tribe, target:unit_all, tribe:animal, val1:0.2, val2:0.1]</t>
    <phoneticPr fontId="5"/>
  </si>
  <si>
    <t>黄属性のユニットに大ダメージ</t>
    <phoneticPr fontId="5"/>
  </si>
  <si>
    <t>青属性のユニットに大ダメージ</t>
    <phoneticPr fontId="5"/>
  </si>
  <si>
    <t>赤属性のユニットに大ダメージ</t>
    <phoneticPr fontId="5"/>
  </si>
  <si>
    <t>コスト50以上のユニットに大ダメージ</t>
    <phoneticPr fontId="5"/>
  </si>
  <si>
    <t>水竜衝</t>
    <phoneticPr fontId="5"/>
  </si>
  <si>
    <t>残りHPの80%ダメージ！</t>
    <phoneticPr fontId="5"/>
  </si>
  <si>
    <t>残りHPの95%ダメージ！</t>
    <phoneticPr fontId="5"/>
  </si>
  <si>
    <t>全てのプラス効果を解除</t>
    <phoneticPr fontId="5"/>
  </si>
  <si>
    <t>青以外のパネルをお邪魔パネルに変換</t>
    <phoneticPr fontId="5"/>
  </si>
  <si>
    <t>お邪魔パネルを10個生成+攻撃</t>
    <phoneticPr fontId="5"/>
  </si>
  <si>
    <t>お邪魔パネルを吸収し、回復</t>
    <phoneticPr fontId="5"/>
  </si>
  <si>
    <t>ティアマトの攻撃力UP</t>
    <phoneticPr fontId="5"/>
  </si>
  <si>
    <t>生命の流動</t>
    <phoneticPr fontId="5"/>
  </si>
  <si>
    <t>ここを通せぬ
理由があるのじゃ</t>
    <phoneticPr fontId="5"/>
  </si>
  <si>
    <t>逆らうって言うなら
タダじゃすまさんぜ！</t>
    <phoneticPr fontId="5"/>
  </si>
  <si>
    <t>よくここまでたどり着いた…
だがこの先は通さぬ！</t>
    <phoneticPr fontId="5"/>
  </si>
  <si>
    <t>ほぇ〜なんか変なところに
来ちゃったぉ〜</t>
    <phoneticPr fontId="5"/>
  </si>
  <si>
    <t>これは…好機と見るべきか…</t>
    <phoneticPr fontId="5"/>
  </si>
  <si>
    <t>[effect:enemy_message, val1:2, val2:0],[effect:fix_speed, target:myself, turn:2]</t>
    <phoneticPr fontId="5"/>
  </si>
  <si>
    <t>(表示しない)</t>
    <phoneticPr fontId="5"/>
  </si>
  <si>
    <t>[effect:enemy_message, val1:1.5, val2:1.8],[effect:fix_speed, target:myself, turn:1]</t>
    <phoneticPr fontId="5"/>
  </si>
  <si>
    <t>ミズチはホエールの影から機を伺っている</t>
    <phoneticPr fontId="5"/>
  </si>
  <si>
    <t>[effect:enemy_message, val1:1.8, val2:1.8],[effect:damage_gravity, val:0.8, animation:fevergauge_down],[effect:suicide, val:1, dead_type:escape, target:myself]</t>
    <phoneticPr fontId="5"/>
  </si>
  <si>
    <t>[effect:enemy_message, val1:1, val2:2.0],[effect:force_change_block, new_block:jammer, target:block_all, ignore01:block_blue, count:0, val:0]</t>
    <phoneticPr fontId="5"/>
  </si>
  <si>
    <t>その程度で、あたしを捕まえようなんて思ってたの？</t>
    <phoneticPr fontId="5"/>
  </si>
  <si>
    <t>じゃあ…少しだけ本気を出してあげる</t>
    <phoneticPr fontId="5"/>
  </si>
  <si>
    <t>もっと深いところまで引きずり込んであげるわ</t>
    <phoneticPr fontId="5"/>
  </si>
  <si>
    <t>それでも彼女を
捕らえようと言うのか</t>
    <phoneticPr fontId="5"/>
  </si>
  <si>
    <t>[effect:damage_anti_color, target:unit_all, color:red, val1:0.35, val2:0.25]</t>
    <phoneticPr fontId="5"/>
  </si>
  <si>
    <t>お邪魔パネルを2個生成</t>
    <phoneticPr fontId="5"/>
  </si>
  <si>
    <t>[effect:damage_anti_tribe, target:unit_all, tribe:machine, val1:0.2, val2:0.1],[effect:damage_anti_tribe, target:unit_all, tribe:weapon, val1:0.2, val2:0.1]</t>
    <phoneticPr fontId="5"/>
  </si>
  <si>
    <t>[effect:damage_anti_tribe, target:unit_all, tribe:academia, val1:0.2, val2:0.1],[effect:damage_anti_tribe, target:unit_all, tribe:unknown, val1:0.2, val2:0.1]</t>
    <phoneticPr fontId="5"/>
  </si>
  <si>
    <t>[effect:damage_anti_type, target:unit_all, type:hp, val1:0.2, val2:0.1],[effect:damage_anti_type, target:unit_all, type:heal, val1:0.2, val2:0.1]</t>
    <phoneticPr fontId="5"/>
  </si>
  <si>
    <t>[effect:damage_anti_type, target:unit_all, type:balance, val1:0.2, val2:0.1],[effect:damage_anti_type, target:unit_all, type:technical, val1:0.2, val2:0.1]</t>
    <phoneticPr fontId="5"/>
  </si>
  <si>
    <t>もうこんなところ嫌だぉ〜！</t>
    <phoneticPr fontId="5"/>
  </si>
  <si>
    <t>ミズチの攻撃頻度UP</t>
    <phoneticPr fontId="5"/>
  </si>
  <si>
    <t>[effect:damage_anti_color, target:unit_all, color:yellow, val1:0.35, val2:0.25]</t>
    <phoneticPr fontId="5"/>
  </si>
  <si>
    <t>[effect:damage_anti_color, target:unit_all, color:blue, val1:0.35, val2:0.25]</t>
    <phoneticPr fontId="5"/>
  </si>
  <si>
    <t>[effect:damage_anti_type, target:unit_all, type:attack, val1:0.4, val2:0.2]</t>
    <phoneticPr fontId="5"/>
  </si>
  <si>
    <t>[effect:damage_anti_cost, target:unit_all, lower:50, val1:0.35, val2:0.15, cost_type:unit]</t>
    <phoneticPr fontId="5"/>
  </si>
  <si>
    <t>フンババ？　ギルのお仕置きだけじゃ
足りなかったみたいね</t>
    <phoneticPr fontId="5"/>
  </si>
  <si>
    <t>フィーバーゲージ減少+ハートパネルドロップ率UP+
お邪魔パネルを5個生成+状態異常耐性</t>
    <phoneticPr fontId="5"/>
  </si>
  <si>
    <t>フィーバーゲージ減少+ハートパネルドロップ率UP+
お邪魔パネルを5個生成+状態異常耐性</t>
    <phoneticPr fontId="5"/>
  </si>
  <si>
    <t>イシュタル、あたしとギルのこと
邪魔しにきたのね？</t>
    <phoneticPr fontId="5"/>
  </si>
  <si>
    <t>なんでも思い通りになると
思ったら大間違いなんだから！</t>
    <phoneticPr fontId="5"/>
  </si>
  <si>
    <t>ギルのことも捕まえるつもり？
…そう、止めても無駄みたいね</t>
    <phoneticPr fontId="5"/>
  </si>
  <si>
    <t>あなたがギルと戦う事ができるの…？</t>
    <phoneticPr fontId="5"/>
  </si>
  <si>
    <t>もう、あなたの言いなりになんかならないわ！</t>
    <phoneticPr fontId="5"/>
  </si>
  <si>
    <t>あたしの負けね。先へ行きなさいよ。でも…</t>
    <phoneticPr fontId="5"/>
  </si>
  <si>
    <t>周囲にぶつかりながら
絵本の世界に帰っていった</t>
    <phoneticPr fontId="5"/>
  </si>
  <si>
    <t>こんな狭いところには
いられないぉ〜</t>
    <phoneticPr fontId="5"/>
  </si>
  <si>
    <t>ミズチはホエールに弾き飛ばされて、致命的なダメージ</t>
    <phoneticPr fontId="5"/>
  </si>
  <si>
    <t>バースト・ロアリング</t>
    <phoneticPr fontId="5"/>
  </si>
  <si>
    <t>[effect:enhance_enemy, target:myself, turn:-1, status:attack, val:0.2, calc:mul, animation:enemy_enhance_attack],[effect:fix_speed, target:myself, turn:1]</t>
    <phoneticPr fontId="5"/>
  </si>
  <si>
    <t>ほぇほぇ〜♪</t>
    <phoneticPr fontId="5"/>
  </si>
  <si>
    <t>ほぇほぇ〜っ！！</t>
    <phoneticPr fontId="5"/>
  </si>
  <si>
    <t>くっ…なんという不覚</t>
    <phoneticPr fontId="5"/>
  </si>
  <si>
    <t>全パネルを青パネルに変換+全てのプラス効果を解除+
パネル変換禁止</t>
    <phoneticPr fontId="5"/>
  </si>
  <si>
    <t>あたしの自由は誰にも
奪わせたりしない！</t>
    <phoneticPr fontId="5"/>
  </si>
  <si>
    <t>ハートパネルドロップ率UP+お邪魔パネルを5個生成+
状態異常耐性</t>
    <phoneticPr fontId="5"/>
  </si>
  <si>
    <t>フィーバーゲージ減少+全パネルを青パネルに変換+
全てのプラス効果を解除+パネル変換禁止</t>
    <phoneticPr fontId="5"/>
  </si>
  <si>
    <t>ハートパネルドロップ率UP+状態異常耐性+
全てのプラス効果を解除</t>
    <phoneticPr fontId="5"/>
  </si>
  <si>
    <t>フィーバーゲージ減少+ハートパネルドロップ率UP+
状態異常耐性+全てのプラス効果を解除</t>
    <phoneticPr fontId="5"/>
  </si>
  <si>
    <t>[effect:enemy_message, val1:1, val2:1.2]</t>
    <phoneticPr fontId="5"/>
  </si>
  <si>
    <t>ブラウ・シュトゥルム</t>
    <phoneticPr fontId="5"/>
  </si>
  <si>
    <t>[effect:enemy_message, val1:1.2, val2:0],[effect:fix_speed, target:myself, turn:1]</t>
    <phoneticPr fontId="5"/>
  </si>
  <si>
    <t>[effect:enemy_message, val1:1.5, val2:1.8],[effect:fix_speed, target:myself, turn:2]</t>
    <phoneticPr fontId="5"/>
  </si>
  <si>
    <t>[effect:enemy_message, val1:1.5, val2:1.2]</t>
    <phoneticPr fontId="5"/>
  </si>
  <si>
    <t>攻撃の意思はないようだ</t>
    <phoneticPr fontId="5"/>
  </si>
  <si>
    <t>[effect:enemy_message, val1:1.5, val:2.5],[effect:suicide, val:0.95, dead_type:escape, target:myself]</t>
    <phoneticPr fontId="5"/>
  </si>
  <si>
    <t>[effect:enemy_message, val1:2.5, val2:3.5]</t>
    <phoneticPr fontId="5"/>
  </si>
  <si>
    <t>[effect:enemy_message, val1:2.5, val2:3.5]</t>
    <phoneticPr fontId="5"/>
  </si>
  <si>
    <t>我々を創り出したる主、
それを護るは当然至極…</t>
    <phoneticPr fontId="5"/>
  </si>
  <si>
    <t>ブレイブリー・ライオンの攻撃力UP</t>
    <phoneticPr fontId="5"/>
  </si>
  <si>
    <t>[effect:enemy_message, val1:0, val2:0],[effect:critical, val:1],[effect:fix_speed, target:myself, turn:1]</t>
    <phoneticPr fontId="5"/>
  </si>
  <si>
    <t xml:space="preserve">[effect:enemy_message, val1:1.2, val2:1.8],[effect:remove_enhancement, target:unit_all, target_effect:all, animation:frozen_wave],[effect:fix_speed, target:myself, turn:1]  </t>
    <phoneticPr fontId="5"/>
  </si>
  <si>
    <t>[effect:enemy_message, val1:2, val2:0],[effect:fix_speed, target:myself, turn:2]</t>
    <phoneticPr fontId="5"/>
  </si>
  <si>
    <t>[effect:break_attack_fix, target:unit_one, val:0, lowest_val:1500, count:-1, color:yellow, block01:jammer]</t>
    <phoneticPr fontId="5"/>
  </si>
  <si>
    <t>[effect:break_attack_fix, target:unit_one, val:0, lowest_val:1500, count:-1, color:yellow, block01:jammer]</t>
    <phoneticPr fontId="5"/>
  </si>
  <si>
    <t>[effect:break_attack_fix, target:unit_all, val:125, lowest_val:0, count:-1, color:yellow, block01:block_yellow],[effect:fix_speed, target:myself, turn:2]</t>
    <phoneticPr fontId="5"/>
  </si>
  <si>
    <t>[effect:break_attack_fix, target:unit_all, val:105, lowest_val:0, count:-1, color:yellow, block01:block_yellow],[effect:fix_speed, target:myself, turn:2]</t>
    <phoneticPr fontId="5"/>
  </si>
  <si>
    <t>[effect:drop_block, block_type:jammer, color:block_all, val:0, rate:0.4, turn:1, animation:jammer_influence04],[effect:critical, val:0.57],[effect:fix_speed, target:myself, turn:1]</t>
    <phoneticPr fontId="5"/>
  </si>
  <si>
    <t>[effect:enemy_message, val1:0, val2:0],[effect:critical, val:1],[effect:fix_speed, target:myself, turn:2]</t>
    <phoneticPr fontId="5"/>
  </si>
  <si>
    <t>[effect:enemy_message, val1:2.5, val:1.8],[effect:fix_speed, target:myself, turn:1]</t>
    <phoneticPr fontId="5"/>
  </si>
  <si>
    <t>[effect:enemy_message, val1:2.5, val:1.8],[effect:fix_speed, target:myself, turn:1]</t>
    <phoneticPr fontId="5"/>
  </si>
  <si>
    <t>な、なんでもないわ！
…どうやら、あたしの負けみたいね。好きにしなさいよ</t>
    <phoneticPr fontId="5"/>
  </si>
  <si>
    <t>な、なんでもないわ！
…どうやら、あたしの負けみたいね。好きにしなさいよ</t>
    <phoneticPr fontId="5"/>
  </si>
  <si>
    <t xml:space="preserve">[effect:enemy_message, val1:1.2, val2:1.8],[effect:remove_enhancement, target:unit_all, target_effect:all, animation:frozen_wave],[effect:fix_speed, target:myself, turn:1]  </t>
    <phoneticPr fontId="5"/>
  </si>
  <si>
    <t>[effect:enemy_message, val1:1.8, val2:3.0],[effect:degrade_fever, val:300, animation:fevergauge_down],[effect:force_change_block, new_block:block_blue, target:block_all, count:0, val:0],[effect:fix_speed, target:myself, turn:2],[effect:remove_enhancement, target:unit_all, target_effect:all, animation:frozen_wave],[effect:invalidate_change_block, target:unit_all, block_type01:block_all, turn:-1, animation:panel_conversion_off]</t>
    <phoneticPr fontId="5"/>
  </si>
  <si>
    <t>[effect:enemy_message, val1:1.8, val2:3.0],[effect:force_change_block, new_block:block_blue, target:block_all, count:0, val:0],[effect:remove_enhancement, target:unit_all, target_effect:all, animation:frozen_wave],[effect:invalidate_change_block, target:unit_all, block_type01:block_all, turn:-1, animation:panel_conversion_off],[effect:fix_speed, target:myself, turn:2]</t>
    <phoneticPr fontId="5"/>
  </si>
  <si>
    <t>[effect:drop_block, block_type:jammer, color:block_all, val:0, rate:0.2, turn:1, animation:jammer_influence04],[effect:critical, val:0.78],[effect:fix_speed, target:myself, turn:1]</t>
    <phoneticPr fontId="5"/>
  </si>
  <si>
    <t>フィーバーゲージ減少+ハートパネルドロップ率UP+
お邪魔パネルを3個生成+状態異常耐性</t>
    <phoneticPr fontId="5"/>
  </si>
  <si>
    <t>ハートパネルドロップ率UP+お邪魔パネルを3個生成+
状態異常耐性</t>
    <phoneticPr fontId="5"/>
  </si>
  <si>
    <t>フィーバーゲージ減少+ハートパネルドロップ率UP+
お邪魔パネルを3個生成+状態異常耐性</t>
    <phoneticPr fontId="5"/>
  </si>
  <si>
    <t>[effect:damage_anti_cost, target:unit_all, lower:35, val1:0.5, val2:0.2, cost_type:unit]</t>
    <phoneticPr fontId="5"/>
  </si>
  <si>
    <t>[effect:damage_anti_cost, target:unit_all, lower:35, val1:0.35, val2:0.15, cost_type:unit]</t>
    <phoneticPr fontId="5"/>
  </si>
  <si>
    <t>コスト35以上のユニットに大ダメージ</t>
    <phoneticPr fontId="5"/>
  </si>
  <si>
    <t>コスト35以上のユニットに大ダメージ</t>
    <phoneticPr fontId="5"/>
  </si>
  <si>
    <t>[effect:break_heal_ratio, target:enemy_one, val:0.02, lowest_val:0, count:-1, block01:jammer, animation:enemy_heal]</t>
    <phoneticPr fontId="5"/>
  </si>
  <si>
    <t>[effect:break_heal_ratio, target:enemy_one, val:0.01, lowest_val:0, count:-1, block01:jammer, animation:enemy_heal]</t>
    <phoneticPr fontId="5"/>
  </si>
  <si>
    <t>2回連続全体攻撃
（種族マシン・ウエポンのユニットに大ダメージ)</t>
    <phoneticPr fontId="5"/>
  </si>
  <si>
    <t>2回連続全体攻撃
（種族ヒューマン・アニマルのユニットに大ダメージ)</t>
    <phoneticPr fontId="5"/>
  </si>
  <si>
    <t>2回連続全体攻撃
（種族アカデミア・Unknownのユニットに大ダメージ)</t>
    <phoneticPr fontId="5"/>
  </si>
  <si>
    <t>攻撃タイプのユニットに大ダメージ</t>
    <phoneticPr fontId="5"/>
  </si>
  <si>
    <t>2回連続全体攻撃
（体力・回復タイプのユニットに大ダメージ)</t>
    <phoneticPr fontId="5"/>
  </si>
  <si>
    <t>2回連続全体攻撃
（バランス・テクニカルタイプのユニットに大ダメージ)</t>
    <phoneticPr fontId="5"/>
  </si>
  <si>
    <t>2回連続全体攻撃
（バランス・テクニカルタイプのユニットに大ダメージ)</t>
    <phoneticPr fontId="5"/>
  </si>
  <si>
    <t>[effect:damage_gravity, val:0.80, animation:fevergauge_down]</t>
    <phoneticPr fontId="5"/>
  </si>
  <si>
    <t>残りHPの80%ダメージ！</t>
    <phoneticPr fontId="5"/>
  </si>
  <si>
    <t>お邪魔パネルを5個生成+攻撃</t>
    <phoneticPr fontId="5"/>
  </si>
  <si>
    <t>奔放な創造…その抑制</t>
    <phoneticPr fontId="5"/>
  </si>
  <si>
    <t>ギルガメッシュとの出会い</t>
    <phoneticPr fontId="5"/>
  </si>
  <si>
    <t>バビロニア・タワー</t>
    <phoneticPr fontId="5"/>
  </si>
  <si>
    <t>ティアマトの脅威</t>
    <phoneticPr fontId="5"/>
  </si>
  <si>
    <t>ブレイブリー・ライオンはHPが一定以下に
なると 低威力のお邪魔パネル破壊攻撃を
行います</t>
    <phoneticPr fontId="5"/>
  </si>
  <si>
    <t>ティアマトの1ゲージ目は HP10%以下で
強力な割合攻撃を使用します</t>
    <phoneticPr fontId="5"/>
  </si>
  <si>
    <t>ティアマトの2ゲージ目は 全パネルを
青に変換した後のターンで青以外のパネルを
全てお邪魔パネルに変換します</t>
    <phoneticPr fontId="5"/>
  </si>
  <si>
    <t>ティアマトの3ゲージ目は HP50%以下で
攻撃力とお邪魔パネル吸収時の回復量が
UPします</t>
    <phoneticPr fontId="5"/>
  </si>
  <si>
    <t>ティアマトの3ゲージ目は 割合攻撃の後
回復だけではなく 攻撃を行う事もあります
常に一定のHPを保つよう気をつけましょう</t>
    <phoneticPr fontId="5"/>
  </si>
  <si>
    <t>[effect:enhance_enemy, target:myself, turn:-1, status:attack, val:0.3, calc:mul, animation:enemy_enhance_attack]</t>
    <phoneticPr fontId="5"/>
  </si>
  <si>
    <t>Mr.ホエールは攻撃を受けると撤退するまで
お邪魔パネルを生成し続けます</t>
    <phoneticPr fontId="5"/>
  </si>
  <si>
    <t>Mr.ホエールは攻撃を受けると撤退するまで
お邪魔パネルを生成し続けます</t>
    <phoneticPr fontId="5"/>
  </si>
  <si>
    <t>マルドゥクがパーティー内にいると
ティアマトは各ゲージの開幕時に
フィーバーゲージ減少スキルを使用しません</t>
    <phoneticPr fontId="5"/>
  </si>
  <si>
    <t>ティアマトは 感情に任せて不必要なAIを
大量に作り出したため バビロニア・タワー
から権限を制限されていました</t>
    <phoneticPr fontId="5"/>
  </si>
  <si>
    <t>バビロニア・タワーの管理下から抜け出した
ティアマトはギルガメッシュの自由な
振る舞いに興味を抱き共に行動する事を
選びました</t>
    <phoneticPr fontId="5"/>
  </si>
  <si>
    <t>AIがより人間的な感情を持つように研究する
実験施設です
自己学習型AIに欲求を持たせる実験の中で
ティアマトは生まれました</t>
    <phoneticPr fontId="5"/>
  </si>
  <si>
    <t>ティアマトの力がこのまま濫用され続けると
ALICEの深刻な危機に繋がりかねません
至急 彼女を確保をする必要があります</t>
    <phoneticPr fontId="5"/>
  </si>
  <si>
    <t>自由を求めて何が悪いんダ？</t>
    <phoneticPr fontId="5"/>
  </si>
  <si>
    <t>（何よ…ちょっと遊んでただけじゃない…）</t>
    <phoneticPr fontId="5"/>
  </si>
  <si>
    <t>（何よ…ちょっと遊んでただけじゃない…）</t>
    <phoneticPr fontId="5"/>
  </si>
  <si>
    <t>3回連続全体攻撃（赤属性・回復タイプ・種族アニマルの
ユニットに大ダメージ)+お邪魔パネルを8個生成</t>
    <phoneticPr fontId="5"/>
  </si>
  <si>
    <t>3回連続全体攻撃（黄属性・攻撃タイプ・種族ヒューマンの
ユニットに大ダメージ)+お邪魔パネルを8個生成</t>
    <phoneticPr fontId="5"/>
  </si>
  <si>
    <t>3回連続全体攻撃（緑属性・体力タイプ・種族マシンの
ユニットに大ダメージ)+お邪魔パネルを8個生成</t>
    <phoneticPr fontId="5"/>
  </si>
  <si>
    <t>お邪魔パネルを吸収し、攻撃</t>
    <phoneticPr fontId="5"/>
  </si>
  <si>
    <t>お邪魔パネルを吸収し、攻撃</t>
    <phoneticPr fontId="5"/>
  </si>
  <si>
    <t>お邪魔パネルを6個生成+攻撃</t>
    <phoneticPr fontId="5"/>
  </si>
  <si>
    <t>[effect:enemy_message, val1:0, val2:0],[effect:critical, val:0.68],[effect:fix_speed, target:myself, turn:2]</t>
    <phoneticPr fontId="5"/>
  </si>
  <si>
    <t>青パネルを吸収し、攻撃</t>
    <phoneticPr fontId="5"/>
  </si>
  <si>
    <t>[effect:enemy_message, val1:1.8, val2:3.0],[effect:force_change_block, new_block:block_blue, target:block_all, count:0, val:0],[effect:remove_enhancement, target:unit_all, target_effect:all, animation:frozen_wave],[effect:invalidate_change_block, target:unit_all, block_type01:block_all, turn:-1, animation:panel_conversion_off],[effect:fix_speed, target:myself, turn:2]</t>
    <phoneticPr fontId="5"/>
  </si>
  <si>
    <t>全パネルを青パネルに変換+回復</t>
    <phoneticPr fontId="5"/>
  </si>
  <si>
    <t>[effect:enemy_message, val1:1, val2:3.0],[effect:damage_anti_color, target:unit_all, color:red, val1:0.14, val2:0.1],[effect:damage_anti_tribe, target:unit_all, tribe:animal, val1:0.14, val2:0.1],[effect:damage_anti_type, target:unit_all, type:heal, val1:0.14, val2:0.1],[effect:force_change_block, new_block:jammer, target:block_all, ignore01:crash, ignore02:crack_bomb, ignore03:time_bomb, ignore04:jammer, count:5, val:0]</t>
    <phoneticPr fontId="5"/>
  </si>
  <si>
    <t>[effect:enemy_message, val1:1, val2:3.0],[effect:damage_anti_color, target:unit_all, color:yellow, val1:0.14, val2:0.1],[effect:damage_anti_tribe, target:unit_all, tribe:human, val1:0.14, val2:0.1],[effect:damage_anti_type, target:unit_all, type:attack, val1:0.14, val2:0.1],[effect:force_change_block, new_block:jammer, target:block_all, ignore01:crash, ignore02:crack_bomb, ignore03:time_bomb, ignore04:jammer, count:5, val:0]</t>
    <phoneticPr fontId="5"/>
  </si>
  <si>
    <t>[effect:enemy_message, val1:1, val2:3.0],[effect:damage_anti_color, target:unit_all, color:green, val1:0.14, val2:0.1],[effect:damage_anti_tribe, target:unit_all, tribe:machine, val1:0.14, val2:0.1],[effect:damage_anti_type, target:unit_all, type:hp, val1:0.14, val2:0.1],[effect:force_change_block, new_block:jammer, target:block_all, ignore01:crash, ignore02:crack_bomb, ignore03:time_bomb, ignore04:jammer, count:5, val:0]</t>
    <phoneticPr fontId="5"/>
  </si>
  <si>
    <t>3回連続全体攻撃（赤属性・回復タイプ・種族アニマルの
ユニットに大ダメージ)+お邪魔パネルを5個生成</t>
    <phoneticPr fontId="5"/>
  </si>
  <si>
    <t>3回連続全体攻撃（黄属性・攻撃タイプ・種族ヒューマンの
ユニットに大ダメージ)+お邪魔パネルを5個生成</t>
    <phoneticPr fontId="5"/>
  </si>
  <si>
    <t>3回連続全体攻撃（緑属性・体力タイプ・種族マシンの
ユニットに大ダメージ)+お邪魔パネルを5個生成</t>
    <phoneticPr fontId="5"/>
  </si>
  <si>
    <t>お邪魔パネルを吸収し、攻撃</t>
    <phoneticPr fontId="5"/>
  </si>
  <si>
    <t>お邪魔パネルを吸収し、攻撃</t>
    <phoneticPr fontId="5"/>
  </si>
  <si>
    <t>お邪魔パネルを3個生成+攻撃</t>
    <phoneticPr fontId="5"/>
  </si>
  <si>
    <t>[effect:enemy_message, val1:1, val2:2.3],[effect:force_change_block, new_block:block_blue, target:block_all, count:0, val:0],[effect:heal, target:myself, val:0.3, animation:enemy_heal]</t>
    <phoneticPr fontId="5"/>
  </si>
  <si>
    <t>[effect:enemy_message, val1:1, val2:2.3],[effect:force_change_block, new_block:block_blue, target:block_all, count:0, val:0],[effect:heal, target:myself, val:0.6, animation:enemy_heal]</t>
    <phoneticPr fontId="5"/>
  </si>
  <si>
    <t>[effect:enemy_message, val1:1.8, val2:3.0],[effect:degrade_fever, val:300, animation:fevergauge_down],[effect:force_change_block, new_block:block_blue, target:block_all, count:0, val:0],[effect:fix_speed, target:myself, turn:2],[effect:remove_enhancement, target:unit_all, target_effect:all, animation:frozen_wave],[effect:invalidate_change_block, target:unit_all, block_type01:block_all, turn:-1, animation:panel_conversion_off]</t>
    <phoneticPr fontId="5"/>
  </si>
  <si>
    <t>[effect:enemy_message, val1:2.3, val2:3.0],[effect:degrade_fever, val:500, animation:fevergauge_down],[effect:remove_enhancement, target:unit_all, target_effect:all, target_type:buff, animation:frozen_wave],[effect:change_panel_ratio, turn:-1, block_type:heal, val:0.36, animation:block_incidence04],[effect:tolerance, target:myself, turn:-1, tolerance_effect:all, count:-1, animation:enemy_tolerance],[effect:fix_speed, target:myself, turn:1]</t>
    <phoneticPr fontId="5"/>
  </si>
  <si>
    <t>[effect:enemy_message, val1:2.0, val2:3.0],[effect:remove_enhancement, target:unit_all, target_effect:all, target_type:buff, animation:frozen_wave],[effect:change_panel_ratio, turn:-1, block_type:heal, val:0.36, animation:block_incidence04],[effect:tolerance, target:myself, turn:-1, tolerance_effect:all, count:-1, animation:enemy_tolerance],[effect:fix_speed, target:myself, turn:1]</t>
    <phoneticPr fontId="5"/>
  </si>
  <si>
    <t>[effect:enemy_message, val1:1.2, val2:2.2],[effect:change_panel_ratio, turn:2, block_type:heal, val:0.5, animation:block_incidence04],[effect:fix_speed, target:myself, turn:1]</t>
    <phoneticPr fontId="5"/>
  </si>
  <si>
    <t>[effect:enemy_message, val1:1.8, val2:3.0],[effect:degrade_fever, val:300, animation:fevergauge_down],[effect:change_panel_ratio, turn:-1, block_type:heal, val:0.5, animation:block_incidence04],[effect:force_change_block, new_block:jammer, target:block_all, ignore01:crash, ignore02:crack_bomb, ignore03:time_bomb, ignore04:jammer, count:3, val:0],[effect:tolerance, target:myself, turn:-1, tolerance_effect:all, count:-1, animation:enemy_tolerance],[effect:fix_speed, target:myself, turn:2]</t>
    <phoneticPr fontId="5"/>
  </si>
  <si>
    <t>[effect:enemy_message, val1:2.0, val2:3.0],[effect:remove_enhancement, target:unit_all, target_effect:all, target_type:buff, animation:frozen_wave],[effect:change_panel_ratio, turn:-1, block_type:heal, val:0.36, animation:block_incidence04],[effect:tolerance, target:myself, turn:-1, tolerance_effect:all, count:-1, animation:enemy_tolerance],[effect:fix_speed, target:myself, turn:1]</t>
    <phoneticPr fontId="5"/>
  </si>
  <si>
    <t>[effect:enemy_message, val1:2.3, val2:3.0],[effect:degrade_fever, val:500, animation:fevergauge_down],[effect:remove_enhancement, target:unit_all, target_effect:all, target_type:buff, animation:frozen_wave],[effect:change_panel_ratio, turn:-1, block_type:heal, val:0.36, animation:block_incidence04],[effect:tolerance, target:myself, turn:-1, tolerance_effect:all, count:-1, animation:enemy_tolerance],[effect:fix_speed, target:myself, turn:1]</t>
    <phoneticPr fontId="5"/>
  </si>
  <si>
    <t>[effect:enemy_message, val1:1, val2:2.3],[effect:break_attack_fix, target:unit_one, val:715, lowest_val:8570, count:-1, color:blue, block01:block_blue]</t>
    <phoneticPr fontId="5"/>
  </si>
  <si>
    <t>[effect:enemy_message, val1:2.2, val2:1.8],[effect:break_attack_fix, target:unit_one, val:1430, lowest_val:5715, count:-1, color:blue, block01:jammer]</t>
    <phoneticPr fontId="5"/>
  </si>
  <si>
    <t>[effect:enemy_message, val1:1.8, val2:1.8],[effect:break_attack_fix, target:unit_one, val:1430, lowest_val:8570, count:-1, color:blue, block01:jammer]</t>
    <phoneticPr fontId="5"/>
  </si>
  <si>
    <t>[effect:enemy_message, val1:1, val2:2.3],[effect:break_attack_fix, target:unit_one, val:570, lowest_val:7145, count:-1, color:blue, block01:block_blue]</t>
    <phoneticPr fontId="5"/>
  </si>
  <si>
    <t>[effect:enemy_message, val1:2.2, val2:1.8],[effect:break_attack_fix, target:unit_one, val:1430, lowest_val:7145, count:-1, color:blue, block01:jammer]</t>
    <phoneticPr fontId="5"/>
  </si>
  <si>
    <t>[effect:enemy_message, val1:1.8, val2:1.8],[effect:break_attack_fix, target:unit_one, val:1430, lowest_val:10000, count:-1, color:blue, block01:jammer]</t>
    <phoneticPr fontId="5"/>
  </si>
  <si>
    <t>[effect:force_change_block, new_block:jammer, target:block_all, ignore01:block_positive, ignore02:block_negative, count:2, val:0]</t>
    <phoneticPr fontId="5"/>
  </si>
  <si>
    <t>[effect:force_change_block, new_block:block_heart, target:block_all, ignore01:block_positive, ignore02:block_negative, count:5, val:0],[effect:force_change_block, new_block:jammer, target:block_all, ignore01:block_positive, ignore02:block_negative, count:5, val:0],[effect:spread, val:0.3],[effect:suicide, val:1, dead_type:escape, target:myself]</t>
    <phoneticPr fontId="5"/>
  </si>
  <si>
    <t>[effect:force_change_block, new_block:jammer, target:block_all, ignore01:block_positive, ignore02:block_negative, count:10, val:0],[effect:spread, val:0.35],[effect:suicide, val:1, dead_type:escape, target:myself]</t>
    <phoneticPr fontId="5"/>
  </si>
  <si>
    <t>[effect:enemy_message, val1:1.8, val2:3.0],[effect:degrade_fever, val:300, animation:fevergauge_down],[effect:change_panel_ratio, turn:-1, block_type:heal, val:0.5, animation:block_incidence04],[effect:force_change_block, new_block:jammer, target:block_all, ignore01:block_positive, ignore02:block_negative, count:5, val:0],[effect:tolerance, target:myself, turn:-1, tolerance_effect:all, count:-1, animation:enemy_tolerance],[effect:fix_speed, target:myself, turn:2]</t>
    <phoneticPr fontId="5"/>
  </si>
  <si>
    <t>[effect:enemy_message, val1:1, val2:3.0],[effect:damage_anti_color, target:unit_all, color:red, val1:0.14, val2:0.1],[effect:damage_anti_tribe, target:unit_all, tribe:animal, val1:0.14, val2:0.1],[effect:damage_anti_type, target:unit_all, type:heal, val1:0.14, val2:0.1],[effect:force_change_block, new_block:jammer, target:block_all, ignore01:block_positive, ignore02:block_negative, count:8, val:0]</t>
    <phoneticPr fontId="5"/>
  </si>
  <si>
    <t>[effect:enemy_message, val1:1, val2:3.0],[effect:damage_anti_color, target:unit_all, color:yellow, val1:0.14, val2:0.1],[effect:damage_anti_tribe, target:unit_all, tribe:human, val1:0.14, val2:0.1],[effect:damage_anti_type, target:unit_all, type:attack, val1:0.14, val2:0.1],[effect:force_change_block, new_block:jammer, target:block_all, ignore01:block_positive, ignore02:block_negative, count:8, val:0]</t>
    <phoneticPr fontId="5"/>
  </si>
  <si>
    <t>[effect:enemy_message, val1:1, val2:3.0],[effect:damage_anti_color, target:unit_all, color:green, val1:0.14, val2:0.1],[effect:damage_anti_tribe, target:unit_all, tribe:machine, val1:0.14, val2:0.1],[effect:damage_anti_type, target:unit_all, type:hp, val1:0.14, val2:0.1],[effect:force_change_block, new_block:jammer, target:block_all, ignore01:block_positive, ignore02:block_negative, count:8, val:0]</t>
    <phoneticPr fontId="5"/>
  </si>
  <si>
    <t>[effect:enemy_message, val1:1.8, val2:1.8],[effect:force_change_block, new_block:jammer, target:block_all, ignore01:block_positive, ignore02:block_negative, count:6, val:0],[effect:critical, val:1.2]</t>
    <phoneticPr fontId="5"/>
  </si>
  <si>
    <t>[effect:enemy_message, val1:1.8, val2:3.0],[effect:change_panel_ratio, turn:-1, block_type:heal, val:0.5, animation:block_incidence04],[effect:force_change_block, new_block:jammer, target:block_all, ignore01:block_positive, ignore02:block_negative, count:5, val:0],[effect:tolerance, target:myself, turn:-1, tolerance_effect:all, count:-1, animation:enemy_tolerance],[effect:fix_speed, target:myself, turn:2]</t>
    <phoneticPr fontId="5"/>
  </si>
  <si>
    <t>[effect:force_change_block, new_block:jammer, target:block_all, ignore01:block_positive, ignore02:block_negative, count:10, val:0],[effect:critical, val:1]</t>
    <phoneticPr fontId="5"/>
  </si>
  <si>
    <t>[effect:force_change_block, new_block:jammer, target:block_all, ignore01:block_positive, ignore02:block_negative, count:5, val:0],[effect:suicide, val:1, dead_type:suicide, target:myself, animation:enemy_suicide]</t>
    <phoneticPr fontId="5"/>
  </si>
  <si>
    <t>[effect:force_change_block, new_block:jammer, target:block_all, ignore01:block_positive, ignore02:block_negative, count:5, val:0],[effect:suicide, val:1, dead_type:suicide, target:myself, animation:enemy_suicide]</t>
    <phoneticPr fontId="5"/>
  </si>
  <si>
    <t>[effect:enemy_message, val1:1.8, val2:1.8],[effect:force_change_block, new_block:jammer, target:block_all, ignore01:block_positive, ignore02:block_negative, count:3, val:0],[effect:critical, val:1.2]</t>
    <phoneticPr fontId="5"/>
  </si>
  <si>
    <t>[effect:enemy_message, val1:1.8, val2:3.0],[effect:change_panel_ratio, turn:-1, block_type:heal, val:0.5, animation:block_incidence04],[effect:force_change_block, new_block:jammer, target:block_all, ignore01:block_positive, ignore02:block_negative, count:3, val:0],[effect:tolerance, target:myself, turn:-1, tolerance_effect:all, count:-1, animation:enemy_tolerance],[effect:fix_speed, target:myself, turn:2]</t>
    <phoneticPr fontId="5"/>
  </si>
  <si>
    <t>[effect:enemy_message, val1:1.8, val2:3.0],[effect:degrade_fever, val:300, animation:fevergauge_down],[effect:change_panel_ratio, turn:-1, block_type:heal, val:0.5, animation:block_incidence04],[effect:force_change_block, new_block:jammer, target:block_all, ignore01:block_positive, ignore02:block_negative, count:3, val:0],[effect:tolerance, target:myself, turn:-1, tolerance_effect:all, count:-1, animation:enemy_tolerance],[effect:fix_speed, target:myself, turn:2]</t>
    <phoneticPr fontId="5"/>
  </si>
  <si>
    <t>[effect:enemy_message, val1:1.8, val2:3.0],[effect:degrade_fever, val:300, animation:fevergauge_down],[effect:change_panel_ratio, turn:-1, block_type:heal, val:0.5, animation:block_incidence04],[effect:force_change_block, new_block:jammer, target:block_all, ignore01:block_positive, ignore02:block_negative, count:3, val:0],[effect:tolerance, target:myself, turn:-1, tolerance_effect:all, count:-1, animation:enemy_tolerance],[effect:fix_speed, target:myself, turn:2]</t>
    <phoneticPr fontId="5"/>
  </si>
  <si>
    <t>[effect:enemy_message, val1:1, val2:2.0],[effect:force_change_block, new_block:jammer, target:block_all, ignore01:block_blue, count:0, val:0]</t>
    <phoneticPr fontId="5"/>
  </si>
  <si>
    <t>[effect:force_change_block, new_block:jammer, target:block_all, ignore01:block_positive, ignore02:block_negative, count:5, val:0],[effect:critical, val:1]</t>
    <phoneticPr fontId="5"/>
  </si>
  <si>
    <t>[effect:force_change_block, new_block:jammer, target:block_all, ignore01:block_positive, ignore02:block_negative, count:2, val:0]</t>
    <phoneticPr fontId="5"/>
  </si>
  <si>
    <t>[effect:force_change_block, new_block:block_heart, target:block_all, ignore01:block_positive, ignore02:block_negative, count:5, val:0],[effect:force_change_block, new_block:jammer, target:block_all, ignore01:block_positive, ignore02:block_negative, count:5, val:0],[effect:spread, val:0.3],[effect:suicide, val:1, dead_type:escape, target:myself]</t>
    <phoneticPr fontId="5"/>
  </si>
  <si>
    <t>[effect:force_change_block, new_block:jammer, target:block_all, ignore01:block_positive, ignore02:block_negative, count:10, val:0],[effect:spread, val:0.35],[effect:suicide, val:1, dead_type:escape, target:myself]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</si>
</sst>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2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6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0" fillId="0" borderId="12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27" fillId="13" borderId="12" xfId="0" applyFont="1" applyFill="1" applyBorder="1"/>
    <xf numFmtId="0" fontId="0" fillId="0" borderId="23" xfId="0" applyBorder="1"/>
    <xf numFmtId="0" fontId="0" fillId="3" borderId="24" xfId="0" applyFill="1" applyBorder="1"/>
    <xf numFmtId="0" fontId="27" fillId="13" borderId="7" xfId="0" applyFont="1" applyFill="1" applyBorder="1"/>
    <xf numFmtId="0" fontId="0" fillId="0" borderId="25" xfId="0" applyBorder="1"/>
    <xf numFmtId="0" fontId="0" fillId="0" borderId="26" xfId="0" applyBorder="1"/>
    <xf numFmtId="0" fontId="0" fillId="3" borderId="26" xfId="0" applyFill="1" applyBorder="1"/>
    <xf numFmtId="0" fontId="27" fillId="13" borderId="26" xfId="0" applyFont="1" applyFill="1" applyBorder="1"/>
    <xf numFmtId="0" fontId="0" fillId="0" borderId="27" xfId="0" applyBorder="1"/>
    <xf numFmtId="0" fontId="0" fillId="0" borderId="7" xfId="0" applyFill="1" applyBorder="1"/>
    <xf numFmtId="0" fontId="27" fillId="32" borderId="7" xfId="0" applyFont="1" applyFill="1" applyBorder="1"/>
    <xf numFmtId="0" fontId="0" fillId="32" borderId="7" xfId="0" applyFill="1" applyBorder="1"/>
    <xf numFmtId="0" fontId="30" fillId="6" borderId="7" xfId="0" applyFont="1" applyFill="1" applyBorder="1"/>
    <xf numFmtId="0" fontId="31" fillId="6" borderId="7" xfId="0" applyFont="1" applyFill="1" applyBorder="1"/>
    <xf numFmtId="0" fontId="27" fillId="6" borderId="7" xfId="0" applyFont="1" applyFill="1" applyBorder="1"/>
    <xf numFmtId="0" fontId="28" fillId="6" borderId="7" xfId="0" applyFont="1" applyFill="1" applyBorder="1"/>
    <xf numFmtId="0" fontId="29" fillId="6" borderId="12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16" fillId="1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horizontal="left" vertical="center" wrapText="1"/>
    </xf>
    <xf numFmtId="0" fontId="16" fillId="35" borderId="2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4" fillId="7" borderId="28" xfId="0" applyFont="1" applyFill="1" applyBorder="1" applyAlignment="1">
      <alignment vertical="center"/>
    </xf>
    <xf numFmtId="0" fontId="16" fillId="35" borderId="29" xfId="0" applyFont="1" applyFill="1" applyBorder="1" applyAlignment="1">
      <alignment vertical="center"/>
    </xf>
    <xf numFmtId="0" fontId="16" fillId="0" borderId="29" xfId="0" applyFont="1" applyFill="1" applyBorder="1" applyAlignment="1">
      <alignment vertical="center"/>
    </xf>
    <xf numFmtId="0" fontId="16" fillId="3" borderId="29" xfId="0" applyFont="1" applyFill="1" applyBorder="1" applyAlignment="1">
      <alignment horizontal="left" vertical="center"/>
    </xf>
    <xf numFmtId="0" fontId="16" fillId="3" borderId="29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 wrapText="1"/>
    </xf>
    <xf numFmtId="14" fontId="16" fillId="0" borderId="12" xfId="0" applyNumberFormat="1" applyFont="1" applyFill="1" applyBorder="1" applyAlignment="1">
      <alignment horizontal="left" vertical="center"/>
    </xf>
    <xf numFmtId="0" fontId="16" fillId="13" borderId="29" xfId="0" applyFont="1" applyFill="1" applyBorder="1" applyAlignment="1">
      <alignment vertical="center"/>
    </xf>
    <xf numFmtId="0" fontId="16" fillId="13" borderId="29" xfId="0" applyFont="1" applyFill="1" applyBorder="1" applyAlignment="1">
      <alignment horizontal="left" vertical="center"/>
    </xf>
    <xf numFmtId="0" fontId="16" fillId="13" borderId="29" xfId="0" applyFont="1" applyFill="1" applyBorder="1" applyAlignment="1">
      <alignment horizontal="left" vertical="center" wrapText="1"/>
    </xf>
    <xf numFmtId="0" fontId="16" fillId="3" borderId="29" xfId="0" applyFont="1" applyFill="1" applyBorder="1" applyAlignment="1">
      <alignment horizontal="left" vertical="center" wrapText="1"/>
    </xf>
    <xf numFmtId="0" fontId="16" fillId="0" borderId="29" xfId="0" applyFont="1" applyFill="1" applyBorder="1" applyAlignment="1">
      <alignment horizontal="left" vertical="center"/>
    </xf>
    <xf numFmtId="14" fontId="16" fillId="0" borderId="29" xfId="0" applyNumberFormat="1" applyFont="1" applyFill="1" applyBorder="1" applyAlignment="1">
      <alignment horizontal="left" vertical="center"/>
    </xf>
    <xf numFmtId="0" fontId="16" fillId="13" borderId="2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4" fillId="13" borderId="1" xfId="0" applyFont="1" applyFill="1" applyBorder="1" applyAlignment="1">
      <alignment horizontal="center" vertical="center"/>
    </xf>
    <xf numFmtId="177" fontId="8" fillId="13" borderId="4" xfId="0" applyNumberFormat="1" applyFont="1" applyFill="1" applyBorder="1" applyAlignment="1">
      <alignment vertical="center"/>
    </xf>
    <xf numFmtId="0" fontId="6" fillId="36" borderId="3" xfId="0" applyFont="1" applyFill="1" applyBorder="1" applyAlignment="1">
      <alignment vertical="center"/>
    </xf>
    <xf numFmtId="177" fontId="8" fillId="0" borderId="4" xfId="0" applyNumberFormat="1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38" fontId="16" fillId="6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49001</v>
          </cell>
        </row>
        <row r="282">
          <cell r="A282">
            <v>49002</v>
          </cell>
        </row>
        <row r="283">
          <cell r="A283">
            <v>49003</v>
          </cell>
        </row>
        <row r="284">
          <cell r="A284">
            <v>49004</v>
          </cell>
        </row>
        <row r="285">
          <cell r="A285">
            <v>49005</v>
          </cell>
        </row>
        <row r="286">
          <cell r="A286">
            <v>49006</v>
          </cell>
        </row>
        <row r="287">
          <cell r="A287">
            <v>49007</v>
          </cell>
        </row>
        <row r="288">
          <cell r="A288">
            <v>49008</v>
          </cell>
        </row>
        <row r="289">
          <cell r="A289">
            <v>49009</v>
          </cell>
        </row>
        <row r="290">
          <cell r="A290">
            <v>49010</v>
          </cell>
        </row>
        <row r="291">
          <cell r="A291">
            <v>49011</v>
          </cell>
        </row>
        <row r="292">
          <cell r="A292">
            <v>49012</v>
          </cell>
        </row>
        <row r="293">
          <cell r="A293">
            <v>49013</v>
          </cell>
        </row>
        <row r="294">
          <cell r="A294">
            <v>49014</v>
          </cell>
        </row>
        <row r="295">
          <cell r="A295">
            <v>49015</v>
          </cell>
        </row>
        <row r="296">
          <cell r="A296">
            <v>50001</v>
          </cell>
        </row>
        <row r="297">
          <cell r="A297">
            <v>50002</v>
          </cell>
        </row>
        <row r="298">
          <cell r="A298">
            <v>50003</v>
          </cell>
        </row>
        <row r="299">
          <cell r="A299">
            <v>50004</v>
          </cell>
        </row>
        <row r="300">
          <cell r="A300">
            <v>50005</v>
          </cell>
        </row>
        <row r="301">
          <cell r="A301">
            <v>50006</v>
          </cell>
        </row>
        <row r="302">
          <cell r="A302">
            <v>50007</v>
          </cell>
        </row>
        <row r="303">
          <cell r="A303">
            <v>50008</v>
          </cell>
        </row>
        <row r="304">
          <cell r="A304">
            <v>50009</v>
          </cell>
        </row>
        <row r="305">
          <cell r="A305">
            <v>50010</v>
          </cell>
        </row>
        <row r="306">
          <cell r="A306">
            <v>50011</v>
          </cell>
        </row>
        <row r="307">
          <cell r="A307">
            <v>50012</v>
          </cell>
        </row>
        <row r="308">
          <cell r="A308">
            <v>50013</v>
          </cell>
        </row>
        <row r="309">
          <cell r="A309">
            <v>50014</v>
          </cell>
        </row>
        <row r="310">
          <cell r="A310">
            <v>50015</v>
          </cell>
        </row>
        <row r="311">
          <cell r="A311">
            <v>51001</v>
          </cell>
        </row>
        <row r="312">
          <cell r="A312">
            <v>51002</v>
          </cell>
        </row>
        <row r="313">
          <cell r="A313">
            <v>58001</v>
          </cell>
        </row>
        <row r="314">
          <cell r="A314">
            <v>59001</v>
          </cell>
        </row>
        <row r="315">
          <cell r="A315">
            <v>59002</v>
          </cell>
        </row>
        <row r="316">
          <cell r="A316">
            <v>60001</v>
          </cell>
        </row>
        <row r="317">
          <cell r="A317">
            <v>60002</v>
          </cell>
        </row>
        <row r="318">
          <cell r="A318">
            <v>60003</v>
          </cell>
        </row>
        <row r="319">
          <cell r="A319">
            <v>60004</v>
          </cell>
        </row>
        <row r="320">
          <cell r="A320">
            <v>60005</v>
          </cell>
        </row>
        <row r="321">
          <cell r="A321">
            <v>60006</v>
          </cell>
        </row>
        <row r="322">
          <cell r="A322">
            <v>60007</v>
          </cell>
        </row>
        <row r="323">
          <cell r="A323">
            <v>60010</v>
          </cell>
        </row>
        <row r="324">
          <cell r="A324">
            <v>60011</v>
          </cell>
        </row>
        <row r="325">
          <cell r="A325">
            <v>61011</v>
          </cell>
        </row>
        <row r="326">
          <cell r="A326">
            <v>60012</v>
          </cell>
        </row>
        <row r="327">
          <cell r="A327">
            <v>60013</v>
          </cell>
        </row>
        <row r="328">
          <cell r="A328">
            <v>60014</v>
          </cell>
        </row>
        <row r="329">
          <cell r="A329">
            <v>60015</v>
          </cell>
        </row>
        <row r="330">
          <cell r="A330">
            <v>60016</v>
          </cell>
        </row>
        <row r="331">
          <cell r="A331">
            <v>60017</v>
          </cell>
        </row>
        <row r="332">
          <cell r="A332">
            <v>60018</v>
          </cell>
        </row>
        <row r="333">
          <cell r="A333">
            <v>60019</v>
          </cell>
        </row>
        <row r="334">
          <cell r="A334">
            <v>60020</v>
          </cell>
        </row>
        <row r="335">
          <cell r="A335">
            <v>60025</v>
          </cell>
        </row>
        <row r="336">
          <cell r="A336">
            <v>60026</v>
          </cell>
        </row>
        <row r="337">
          <cell r="A337">
            <v>60027</v>
          </cell>
        </row>
        <row r="338">
          <cell r="A338">
            <v>60028</v>
          </cell>
        </row>
        <row r="339">
          <cell r="A339">
            <v>60029</v>
          </cell>
        </row>
        <row r="340">
          <cell r="A340">
            <v>65523</v>
          </cell>
        </row>
        <row r="341">
          <cell r="A341">
            <v>65524</v>
          </cell>
        </row>
        <row r="342">
          <cell r="A342">
            <v>65525</v>
          </cell>
        </row>
        <row r="343">
          <cell r="A343">
            <v>65526</v>
          </cell>
        </row>
        <row r="344">
          <cell r="A344">
            <v>65527</v>
          </cell>
        </row>
        <row r="345">
          <cell r="A345">
            <v>65528</v>
          </cell>
        </row>
        <row r="346">
          <cell r="A346">
            <v>65529</v>
          </cell>
        </row>
        <row r="347">
          <cell r="A347">
            <v>65530</v>
          </cell>
        </row>
        <row r="348">
          <cell r="A348">
            <v>65531</v>
          </cell>
        </row>
        <row r="349">
          <cell r="A349">
            <v>65532</v>
          </cell>
        </row>
        <row r="350">
          <cell r="A350">
            <v>65533</v>
          </cell>
        </row>
        <row r="351">
          <cell r="A351">
            <v>65534</v>
          </cell>
        </row>
        <row r="352">
          <cell r="A352">
            <v>65535</v>
          </cell>
        </row>
        <row r="353">
          <cell r="A353">
            <v>60021</v>
          </cell>
        </row>
        <row r="354">
          <cell r="A354">
            <v>60022</v>
          </cell>
        </row>
        <row r="355">
          <cell r="A355">
            <v>60023</v>
          </cell>
        </row>
        <row r="356">
          <cell r="A35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48702_1</v>
          </cell>
        </row>
        <row r="891">
          <cell r="A891" t="str">
            <v>48702_2</v>
          </cell>
        </row>
        <row r="892">
          <cell r="A892" t="str">
            <v>49001_1</v>
          </cell>
        </row>
        <row r="893">
          <cell r="A893" t="str">
            <v>49002_1</v>
          </cell>
        </row>
        <row r="894">
          <cell r="A894" t="str">
            <v>49002_2</v>
          </cell>
        </row>
        <row r="895">
          <cell r="A895" t="str">
            <v>49003_1</v>
          </cell>
        </row>
        <row r="896">
          <cell r="A896" t="str">
            <v>49003_2</v>
          </cell>
        </row>
        <row r="897">
          <cell r="A897" t="str">
            <v>49004_1</v>
          </cell>
        </row>
        <row r="898">
          <cell r="A898" t="str">
            <v>49004_2</v>
          </cell>
        </row>
        <row r="899">
          <cell r="A899" t="str">
            <v>49004_3</v>
          </cell>
        </row>
        <row r="900">
          <cell r="A900" t="str">
            <v>49005_1</v>
          </cell>
        </row>
        <row r="901">
          <cell r="A901" t="str">
            <v>49006_1</v>
          </cell>
        </row>
        <row r="902">
          <cell r="A902" t="str">
            <v>49006_2</v>
          </cell>
        </row>
        <row r="903">
          <cell r="A903" t="str">
            <v>49007_1</v>
          </cell>
        </row>
        <row r="904">
          <cell r="A904" t="str">
            <v>49007_2</v>
          </cell>
        </row>
        <row r="905">
          <cell r="A905" t="str">
            <v>49007_3</v>
          </cell>
        </row>
        <row r="906">
          <cell r="A906" t="str">
            <v>49008_1</v>
          </cell>
        </row>
        <row r="907">
          <cell r="A907" t="str">
            <v>49009_1</v>
          </cell>
        </row>
        <row r="908">
          <cell r="A908" t="str">
            <v>49010_1</v>
          </cell>
        </row>
        <row r="909">
          <cell r="A909" t="str">
            <v>49011_1</v>
          </cell>
        </row>
        <row r="910">
          <cell r="A910" t="str">
            <v>49012_1</v>
          </cell>
        </row>
        <row r="911">
          <cell r="A911" t="str">
            <v>49013_1</v>
          </cell>
        </row>
        <row r="912">
          <cell r="A912" t="str">
            <v>49014_1</v>
          </cell>
        </row>
        <row r="913">
          <cell r="A913" t="str">
            <v>49014_2</v>
          </cell>
        </row>
        <row r="914">
          <cell r="A914" t="str">
            <v>49015_1</v>
          </cell>
        </row>
        <row r="915">
          <cell r="A915" t="str">
            <v>49015_2</v>
          </cell>
        </row>
        <row r="916">
          <cell r="A916" t="str">
            <v>49015_3</v>
          </cell>
        </row>
        <row r="917">
          <cell r="A917" t="str">
            <v>50001_1</v>
          </cell>
        </row>
        <row r="918">
          <cell r="A918" t="str">
            <v>50002_1</v>
          </cell>
        </row>
        <row r="919">
          <cell r="A919" t="str">
            <v>50003_1</v>
          </cell>
        </row>
        <row r="920">
          <cell r="A920" t="str">
            <v>50004_1</v>
          </cell>
        </row>
        <row r="921">
          <cell r="A921" t="str">
            <v>50005_1</v>
          </cell>
        </row>
        <row r="922">
          <cell r="A922" t="str">
            <v>50006_1</v>
          </cell>
        </row>
        <row r="923">
          <cell r="A923" t="str">
            <v>50007_1</v>
          </cell>
        </row>
        <row r="924">
          <cell r="A924" t="str">
            <v>50008_1</v>
          </cell>
        </row>
        <row r="925">
          <cell r="A925" t="str">
            <v>50009_1</v>
          </cell>
        </row>
        <row r="926">
          <cell r="A926" t="str">
            <v>50010_1</v>
          </cell>
        </row>
        <row r="927">
          <cell r="A927" t="str">
            <v>50011_1</v>
          </cell>
        </row>
        <row r="928">
          <cell r="A928" t="str">
            <v>50012_1</v>
          </cell>
        </row>
        <row r="929">
          <cell r="A929" t="str">
            <v>50013_1</v>
          </cell>
        </row>
        <row r="930">
          <cell r="A930" t="str">
            <v>50014_1</v>
          </cell>
        </row>
        <row r="931">
          <cell r="A931" t="str">
            <v>50015_1</v>
          </cell>
        </row>
        <row r="932">
          <cell r="A932" t="str">
            <v>51001_1</v>
          </cell>
        </row>
        <row r="933">
          <cell r="A933" t="str">
            <v>51002_1</v>
          </cell>
        </row>
        <row r="934">
          <cell r="A934" t="str">
            <v>58001_1</v>
          </cell>
        </row>
        <row r="935">
          <cell r="A935" t="str">
            <v>59001_1</v>
          </cell>
        </row>
        <row r="936">
          <cell r="A936" t="str">
            <v>59002_1</v>
          </cell>
        </row>
        <row r="937">
          <cell r="A937" t="str">
            <v>60001_1</v>
          </cell>
        </row>
        <row r="938">
          <cell r="A938" t="str">
            <v>60002_1</v>
          </cell>
        </row>
        <row r="939">
          <cell r="A939" t="str">
            <v>60002_2</v>
          </cell>
        </row>
        <row r="940">
          <cell r="A940" t="str">
            <v>60003_1</v>
          </cell>
        </row>
        <row r="941">
          <cell r="A941" t="str">
            <v>60003_2</v>
          </cell>
        </row>
        <row r="942">
          <cell r="A942" t="str">
            <v>60003_3</v>
          </cell>
        </row>
        <row r="943">
          <cell r="A943" t="str">
            <v>60004_1</v>
          </cell>
        </row>
        <row r="944">
          <cell r="A944" t="str">
            <v>60005_1</v>
          </cell>
        </row>
        <row r="945">
          <cell r="A945" t="str">
            <v>60006_1</v>
          </cell>
        </row>
        <row r="946">
          <cell r="A946" t="str">
            <v>60006_2</v>
          </cell>
        </row>
        <row r="947">
          <cell r="A947" t="str">
            <v>60006_3</v>
          </cell>
        </row>
        <row r="948">
          <cell r="A948" t="str">
            <v>60007_1</v>
          </cell>
        </row>
        <row r="949">
          <cell r="A949" t="str">
            <v>60007_2</v>
          </cell>
        </row>
        <row r="950">
          <cell r="A950" t="str">
            <v>60007_3</v>
          </cell>
        </row>
        <row r="951">
          <cell r="A951" t="str">
            <v>60010_1</v>
          </cell>
        </row>
        <row r="952">
          <cell r="A952" t="str">
            <v>60011_1</v>
          </cell>
        </row>
        <row r="953">
          <cell r="A953" t="str">
            <v>60011_2</v>
          </cell>
        </row>
        <row r="954">
          <cell r="A954" t="str">
            <v>60012_1</v>
          </cell>
        </row>
        <row r="955">
          <cell r="A955" t="str">
            <v>60013_1</v>
          </cell>
        </row>
        <row r="956">
          <cell r="A956" t="str">
            <v>60013_2</v>
          </cell>
        </row>
        <row r="957">
          <cell r="A957" t="str">
            <v>60013_3</v>
          </cell>
        </row>
        <row r="958">
          <cell r="A958" t="str">
            <v>60014_1</v>
          </cell>
        </row>
        <row r="959">
          <cell r="A959" t="str">
            <v>60015_1</v>
          </cell>
        </row>
        <row r="960">
          <cell r="A960" t="str">
            <v>60016_1</v>
          </cell>
        </row>
        <row r="961">
          <cell r="A961" t="str">
            <v>60017_1</v>
          </cell>
        </row>
        <row r="962">
          <cell r="A962" t="str">
            <v>60018_1</v>
          </cell>
        </row>
        <row r="963">
          <cell r="A963" t="str">
            <v>60019_1</v>
          </cell>
        </row>
        <row r="964">
          <cell r="A964" t="str">
            <v>60020_1</v>
          </cell>
        </row>
        <row r="965">
          <cell r="A965" t="str">
            <v>60021_3</v>
          </cell>
        </row>
        <row r="966">
          <cell r="A966" t="str">
            <v>60022_3</v>
          </cell>
        </row>
        <row r="967">
          <cell r="A967" t="str">
            <v>60023_3</v>
          </cell>
        </row>
        <row r="968">
          <cell r="A968" t="str">
            <v>60024_3</v>
          </cell>
        </row>
        <row r="969">
          <cell r="A969" t="str">
            <v>60025_1</v>
          </cell>
        </row>
        <row r="970">
          <cell r="A970" t="str">
            <v>60026_1</v>
          </cell>
        </row>
        <row r="971">
          <cell r="A971" t="str">
            <v>61011_1</v>
          </cell>
        </row>
        <row r="972">
          <cell r="A972" t="str">
            <v>60027_1</v>
          </cell>
        </row>
        <row r="973">
          <cell r="A973" t="str">
            <v>60028_1</v>
          </cell>
        </row>
        <row r="974">
          <cell r="A974" t="str">
            <v>60029_1</v>
          </cell>
        </row>
        <row r="975">
          <cell r="A975" t="str">
            <v>65523_1</v>
          </cell>
        </row>
        <row r="976">
          <cell r="A976" t="str">
            <v>65524_1</v>
          </cell>
        </row>
        <row r="977">
          <cell r="A977" t="str">
            <v>65525_1</v>
          </cell>
        </row>
        <row r="978">
          <cell r="A978" t="str">
            <v>65526_1</v>
          </cell>
        </row>
        <row r="979">
          <cell r="A979" t="str">
            <v>65526_2</v>
          </cell>
        </row>
        <row r="980">
          <cell r="A980" t="str">
            <v>65527_1</v>
          </cell>
        </row>
        <row r="981">
          <cell r="A981" t="str">
            <v>65528_1</v>
          </cell>
        </row>
        <row r="982">
          <cell r="A982" t="str">
            <v>65529_1</v>
          </cell>
        </row>
        <row r="983">
          <cell r="A983" t="str">
            <v>65530_1</v>
          </cell>
        </row>
        <row r="984">
          <cell r="A984" t="str">
            <v>65531_1</v>
          </cell>
        </row>
        <row r="985">
          <cell r="A985" t="str">
            <v>65531_2</v>
          </cell>
        </row>
        <row r="986">
          <cell r="A986" t="str">
            <v>65532_1</v>
          </cell>
        </row>
        <row r="987">
          <cell r="A987" t="str">
            <v>65532_2</v>
          </cell>
        </row>
        <row r="988">
          <cell r="A988" t="str">
            <v>65533_1</v>
          </cell>
        </row>
        <row r="989">
          <cell r="A989" t="str">
            <v>65533_2</v>
          </cell>
        </row>
        <row r="990">
          <cell r="A990" t="str">
            <v>65534_1</v>
          </cell>
        </row>
        <row r="991">
          <cell r="A991" t="str">
            <v>65534_2</v>
          </cell>
        </row>
        <row r="992">
          <cell r="A992" t="str">
            <v>65535_1</v>
          </cell>
        </row>
        <row r="993">
          <cell r="A993" t="str">
            <v>65535_2</v>
          </cell>
        </row>
        <row r="994">
          <cell r="A994" t="str">
            <v>65535_3</v>
          </cell>
        </row>
        <row r="995">
          <cell r="A995" t="str">
            <v>65535_4</v>
          </cell>
        </row>
        <row r="996">
          <cell r="A996" t="str">
            <v>65535_5</v>
          </cell>
        </row>
        <row r="997">
          <cell r="A997" t="str">
            <v>65535_6</v>
          </cell>
        </row>
        <row r="998">
          <cell r="A998" t="str">
            <v>65535_7</v>
          </cell>
        </row>
        <row r="999">
          <cell r="A999" t="str">
            <v>65535_8</v>
          </cell>
        </row>
        <row r="1000">
          <cell r="A1000" t="str">
            <v>65535_9</v>
          </cell>
        </row>
        <row r="1001">
          <cell r="A100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1551</v>
          </cell>
        </row>
        <row r="1502">
          <cell r="A1502">
            <v>1552</v>
          </cell>
        </row>
        <row r="1503">
          <cell r="A1503">
            <v>1553</v>
          </cell>
        </row>
        <row r="1504">
          <cell r="A1504">
            <v>1554</v>
          </cell>
        </row>
        <row r="1505">
          <cell r="A1505">
            <v>1555</v>
          </cell>
        </row>
        <row r="1506">
          <cell r="A1506">
            <v>1556</v>
          </cell>
        </row>
        <row r="1507">
          <cell r="A1507">
            <v>1557</v>
          </cell>
        </row>
        <row r="1508">
          <cell r="A1508">
            <v>1558</v>
          </cell>
        </row>
        <row r="1509">
          <cell r="A1509">
            <v>1559</v>
          </cell>
        </row>
        <row r="1510">
          <cell r="A1510">
            <v>1560</v>
          </cell>
        </row>
        <row r="1511">
          <cell r="A1511">
            <v>1561</v>
          </cell>
        </row>
        <row r="1512">
          <cell r="A1512">
            <v>1562</v>
          </cell>
        </row>
        <row r="1513">
          <cell r="A1513">
            <v>1563</v>
          </cell>
        </row>
        <row r="1514">
          <cell r="A1514">
            <v>1564</v>
          </cell>
        </row>
        <row r="1515">
          <cell r="A1515">
            <v>1565</v>
          </cell>
        </row>
        <row r="1516">
          <cell r="A1516">
            <v>1566</v>
          </cell>
        </row>
        <row r="1517">
          <cell r="A1517">
            <v>1567</v>
          </cell>
        </row>
        <row r="1518">
          <cell r="A1518">
            <v>1568</v>
          </cell>
        </row>
        <row r="1519">
          <cell r="A1519">
            <v>1569</v>
          </cell>
        </row>
        <row r="1520">
          <cell r="A1520">
            <v>1570</v>
          </cell>
        </row>
        <row r="1521">
          <cell r="A1521">
            <v>1571</v>
          </cell>
        </row>
        <row r="1522">
          <cell r="A1522">
            <v>1572</v>
          </cell>
        </row>
        <row r="1523">
          <cell r="A1523">
            <v>1573</v>
          </cell>
        </row>
        <row r="1524">
          <cell r="A1524">
            <v>1574</v>
          </cell>
        </row>
        <row r="1525">
          <cell r="A1525">
            <v>1575</v>
          </cell>
        </row>
        <row r="1526">
          <cell r="A1526">
            <v>1576</v>
          </cell>
        </row>
        <row r="1527">
          <cell r="A1527">
            <v>1577</v>
          </cell>
        </row>
        <row r="1528">
          <cell r="A1528">
            <v>1578</v>
          </cell>
        </row>
        <row r="1529">
          <cell r="A1529">
            <v>1579</v>
          </cell>
        </row>
        <row r="1530">
          <cell r="A1530">
            <v>1580</v>
          </cell>
        </row>
        <row r="1531">
          <cell r="A1531">
            <v>1581</v>
          </cell>
        </row>
        <row r="1532">
          <cell r="A1532">
            <v>1582</v>
          </cell>
        </row>
        <row r="1533">
          <cell r="A1533">
            <v>1583</v>
          </cell>
        </row>
        <row r="1534">
          <cell r="A1534">
            <v>1584</v>
          </cell>
        </row>
        <row r="1535">
          <cell r="A1535">
            <v>1585</v>
          </cell>
        </row>
        <row r="1536">
          <cell r="A1536">
            <v>1586</v>
          </cell>
        </row>
        <row r="1537">
          <cell r="A1537">
            <v>1587</v>
          </cell>
        </row>
        <row r="1538">
          <cell r="A1538">
            <v>1588</v>
          </cell>
        </row>
        <row r="1539">
          <cell r="A1539">
            <v>5001</v>
          </cell>
        </row>
        <row r="1540">
          <cell r="A1540">
            <v>5002</v>
          </cell>
        </row>
        <row r="1541">
          <cell r="A1541">
            <v>5003</v>
          </cell>
        </row>
        <row r="1542">
          <cell r="A1542">
            <v>5004</v>
          </cell>
        </row>
        <row r="1543">
          <cell r="A1543">
            <v>5005</v>
          </cell>
        </row>
        <row r="1544">
          <cell r="A1544">
            <v>5006</v>
          </cell>
        </row>
        <row r="1545">
          <cell r="A1545">
            <v>5007</v>
          </cell>
        </row>
        <row r="1546">
          <cell r="A1546">
            <v>5008</v>
          </cell>
        </row>
        <row r="1547">
          <cell r="A1547">
            <v>6001</v>
          </cell>
        </row>
        <row r="1548">
          <cell r="A1548">
            <v>6002</v>
          </cell>
        </row>
        <row r="1549">
          <cell r="A1549">
            <v>6003</v>
          </cell>
        </row>
        <row r="1550">
          <cell r="A1550">
            <v>6004</v>
          </cell>
        </row>
        <row r="1551">
          <cell r="A1551">
            <v>6005</v>
          </cell>
        </row>
        <row r="1552">
          <cell r="A1552">
            <v>6006</v>
          </cell>
        </row>
        <row r="1553">
          <cell r="A1553">
            <v>6007</v>
          </cell>
        </row>
        <row r="1554">
          <cell r="A1554">
            <v>6008</v>
          </cell>
        </row>
        <row r="1555">
          <cell r="A1555">
            <v>6009</v>
          </cell>
        </row>
        <row r="1556">
          <cell r="A1556">
            <v>6010</v>
          </cell>
        </row>
        <row r="1557">
          <cell r="A1557">
            <v>6011</v>
          </cell>
        </row>
        <row r="1558">
          <cell r="A1558">
            <v>6012</v>
          </cell>
        </row>
        <row r="1559">
          <cell r="A1559">
            <v>6013</v>
          </cell>
        </row>
        <row r="1560">
          <cell r="A1560">
            <v>6014</v>
          </cell>
        </row>
        <row r="1561">
          <cell r="A1561">
            <v>6015</v>
          </cell>
        </row>
        <row r="1562">
          <cell r="A1562">
            <v>6016</v>
          </cell>
        </row>
        <row r="1563">
          <cell r="A1563">
            <v>6017</v>
          </cell>
        </row>
        <row r="1564">
          <cell r="A1564">
            <v>6018</v>
          </cell>
        </row>
        <row r="1565">
          <cell r="A1565">
            <v>6019</v>
          </cell>
        </row>
        <row r="1566">
          <cell r="A1566">
            <v>6020</v>
          </cell>
        </row>
        <row r="1567">
          <cell r="A1567">
            <v>8001</v>
          </cell>
        </row>
        <row r="1568">
          <cell r="A1568">
            <v>8002</v>
          </cell>
        </row>
        <row r="1569">
          <cell r="A1569">
            <v>8003</v>
          </cell>
        </row>
        <row r="1570">
          <cell r="A1570">
            <v>8004</v>
          </cell>
        </row>
        <row r="1571">
          <cell r="A1571">
            <v>8005</v>
          </cell>
        </row>
        <row r="1572">
          <cell r="A1572">
            <v>8006</v>
          </cell>
        </row>
        <row r="1573">
          <cell r="A1573">
            <v>8007</v>
          </cell>
        </row>
        <row r="1574">
          <cell r="A1574">
            <v>8008</v>
          </cell>
        </row>
        <row r="1575">
          <cell r="A1575">
            <v>8009</v>
          </cell>
        </row>
        <row r="1576">
          <cell r="A1576">
            <v>8010</v>
          </cell>
        </row>
        <row r="1577">
          <cell r="A1577">
            <v>8011</v>
          </cell>
        </row>
        <row r="1578">
          <cell r="A1578">
            <v>8012</v>
          </cell>
        </row>
        <row r="1579">
          <cell r="A1579">
            <v>8013</v>
          </cell>
        </row>
        <row r="1580">
          <cell r="A1580">
            <v>8014</v>
          </cell>
        </row>
        <row r="1581">
          <cell r="A1581">
            <v>8015</v>
          </cell>
        </row>
        <row r="1582">
          <cell r="A1582">
            <v>8016</v>
          </cell>
        </row>
        <row r="1583">
          <cell r="A1583">
            <v>8017</v>
          </cell>
        </row>
        <row r="1584">
          <cell r="A1584">
            <v>8018</v>
          </cell>
        </row>
        <row r="1585">
          <cell r="A1585">
            <v>8019</v>
          </cell>
        </row>
        <row r="1586">
          <cell r="A1586">
            <v>8020</v>
          </cell>
        </row>
        <row r="1587">
          <cell r="A1587">
            <v>8021</v>
          </cell>
        </row>
        <row r="1588">
          <cell r="A1588">
            <v>8022</v>
          </cell>
        </row>
        <row r="1589">
          <cell r="A1589">
            <v>8023</v>
          </cell>
        </row>
        <row r="1590">
          <cell r="A1590">
            <v>8024</v>
          </cell>
        </row>
        <row r="1591">
          <cell r="A1591">
            <v>8025</v>
          </cell>
        </row>
        <row r="1592">
          <cell r="A1592">
            <v>8026</v>
          </cell>
        </row>
        <row r="1593">
          <cell r="A1593">
            <v>8027</v>
          </cell>
        </row>
        <row r="1594">
          <cell r="A1594">
            <v>8028</v>
          </cell>
        </row>
        <row r="1595">
          <cell r="A1595">
            <v>8029</v>
          </cell>
        </row>
        <row r="1596">
          <cell r="A1596">
            <v>8030</v>
          </cell>
        </row>
        <row r="1597">
          <cell r="A1597">
            <v>8031</v>
          </cell>
        </row>
        <row r="1598">
          <cell r="A1598">
            <v>8032</v>
          </cell>
        </row>
        <row r="1599">
          <cell r="A1599">
            <v>8033</v>
          </cell>
        </row>
        <row r="1600">
          <cell r="A1600">
            <v>8034</v>
          </cell>
        </row>
        <row r="1601">
          <cell r="A1601">
            <v>8035</v>
          </cell>
        </row>
        <row r="1602">
          <cell r="A1602">
            <v>8036</v>
          </cell>
        </row>
        <row r="1603">
          <cell r="A1603">
            <v>8037</v>
          </cell>
        </row>
        <row r="1604">
          <cell r="A1604">
            <v>8038</v>
          </cell>
        </row>
        <row r="1605">
          <cell r="A1605">
            <v>8039</v>
          </cell>
        </row>
        <row r="1606">
          <cell r="A1606">
            <v>8040</v>
          </cell>
        </row>
        <row r="1607">
          <cell r="A1607">
            <v>8041</v>
          </cell>
        </row>
        <row r="1608">
          <cell r="A1608">
            <v>8042</v>
          </cell>
        </row>
        <row r="1609">
          <cell r="A1609">
            <v>8043</v>
          </cell>
        </row>
        <row r="1610">
          <cell r="A1610">
            <v>8044</v>
          </cell>
        </row>
        <row r="1611">
          <cell r="A1611">
            <v>8045</v>
          </cell>
        </row>
        <row r="1612">
          <cell r="A1612">
            <v>8046</v>
          </cell>
        </row>
        <row r="1613">
          <cell r="A1613">
            <v>8047</v>
          </cell>
        </row>
        <row r="1614">
          <cell r="A1614">
            <v>8048</v>
          </cell>
        </row>
        <row r="1615">
          <cell r="A1615">
            <v>8049</v>
          </cell>
        </row>
        <row r="1616">
          <cell r="A1616">
            <v>8050</v>
          </cell>
        </row>
        <row r="1617">
          <cell r="A1617">
            <v>8051</v>
          </cell>
        </row>
        <row r="1618">
          <cell r="A1618">
            <v>8052</v>
          </cell>
        </row>
        <row r="1619">
          <cell r="A1619">
            <v>8053</v>
          </cell>
        </row>
        <row r="1620">
          <cell r="A1620">
            <v>8054</v>
          </cell>
        </row>
        <row r="1621">
          <cell r="A1621">
            <v>8055</v>
          </cell>
        </row>
        <row r="1622">
          <cell r="A1622">
            <v>8056</v>
          </cell>
        </row>
        <row r="1623">
          <cell r="A1623">
            <v>8057</v>
          </cell>
        </row>
        <row r="1624">
          <cell r="A1624">
            <v>8058</v>
          </cell>
        </row>
        <row r="1625">
          <cell r="A1625">
            <v>8059</v>
          </cell>
        </row>
        <row r="1626">
          <cell r="A1626">
            <v>8060</v>
          </cell>
        </row>
        <row r="1627">
          <cell r="A1627">
            <v>8061</v>
          </cell>
        </row>
        <row r="1628">
          <cell r="A1628">
            <v>8062</v>
          </cell>
        </row>
        <row r="1629">
          <cell r="A1629">
            <v>8063</v>
          </cell>
        </row>
        <row r="1630">
          <cell r="A1630">
            <v>8064</v>
          </cell>
        </row>
        <row r="1631">
          <cell r="A1631">
            <v>8065</v>
          </cell>
        </row>
        <row r="1632">
          <cell r="A1632">
            <v>8066</v>
          </cell>
        </row>
        <row r="1633">
          <cell r="A1633">
            <v>8067</v>
          </cell>
        </row>
        <row r="1634">
          <cell r="A1634">
            <v>8068</v>
          </cell>
        </row>
        <row r="1635">
          <cell r="A1635">
            <v>8069</v>
          </cell>
        </row>
        <row r="1636">
          <cell r="A1636">
            <v>8070</v>
          </cell>
        </row>
        <row r="1637">
          <cell r="A1637">
            <v>8071</v>
          </cell>
        </row>
        <row r="1638">
          <cell r="A1638">
            <v>8072</v>
          </cell>
        </row>
        <row r="1639">
          <cell r="A1639">
            <v>8073</v>
          </cell>
        </row>
        <row r="1640">
          <cell r="A1640">
            <v>8074</v>
          </cell>
        </row>
        <row r="1641">
          <cell r="A1641">
            <v>8075</v>
          </cell>
        </row>
        <row r="1642">
          <cell r="A1642">
            <v>8076</v>
          </cell>
        </row>
        <row r="1643">
          <cell r="A1643">
            <v>8077</v>
          </cell>
        </row>
        <row r="1644">
          <cell r="A1644">
            <v>8078</v>
          </cell>
        </row>
        <row r="1645">
          <cell r="A1645">
            <v>8079</v>
          </cell>
        </row>
        <row r="1646">
          <cell r="A1646">
            <v>8080</v>
          </cell>
        </row>
        <row r="1647">
          <cell r="A1647">
            <v>8081</v>
          </cell>
        </row>
        <row r="1648">
          <cell r="A1648">
            <v>8082</v>
          </cell>
        </row>
        <row r="1649">
          <cell r="A1649">
            <v>8083</v>
          </cell>
        </row>
        <row r="1650">
          <cell r="A1650">
            <v>8084</v>
          </cell>
        </row>
        <row r="1651">
          <cell r="A1651">
            <v>8085</v>
          </cell>
        </row>
        <row r="1652">
          <cell r="A1652">
            <v>8086</v>
          </cell>
        </row>
        <row r="1653">
          <cell r="A1653">
            <v>8087</v>
          </cell>
        </row>
        <row r="1654">
          <cell r="A1654">
            <v>8088</v>
          </cell>
        </row>
        <row r="1655">
          <cell r="A1655">
            <v>8089</v>
          </cell>
        </row>
        <row r="1656">
          <cell r="A1656">
            <v>8090</v>
          </cell>
        </row>
        <row r="1657">
          <cell r="A1657">
            <v>8095</v>
          </cell>
        </row>
        <row r="1658">
          <cell r="A1658">
            <v>8096</v>
          </cell>
        </row>
        <row r="1659">
          <cell r="A1659">
            <v>8097</v>
          </cell>
        </row>
        <row r="1660">
          <cell r="A1660">
            <v>8098</v>
          </cell>
        </row>
        <row r="1661">
          <cell r="A1661">
            <v>8099</v>
          </cell>
        </row>
        <row r="1662">
          <cell r="A1662">
            <v>8100</v>
          </cell>
        </row>
        <row r="1663">
          <cell r="A1663">
            <v>8101</v>
          </cell>
        </row>
        <row r="1664">
          <cell r="A1664">
            <v>8102</v>
          </cell>
        </row>
        <row r="1665">
          <cell r="A1665">
            <v>8103</v>
          </cell>
        </row>
        <row r="1666">
          <cell r="A1666">
            <v>8104</v>
          </cell>
        </row>
        <row r="1667">
          <cell r="A1667">
            <v>8105</v>
          </cell>
        </row>
        <row r="1668">
          <cell r="A1668">
            <v>8106</v>
          </cell>
        </row>
        <row r="1669">
          <cell r="A1669">
            <v>9001</v>
          </cell>
        </row>
        <row r="1670">
          <cell r="A1670">
            <v>9002</v>
          </cell>
        </row>
        <row r="1671">
          <cell r="A1671">
            <v>9003</v>
          </cell>
        </row>
        <row r="1672">
          <cell r="A1672">
            <v>9004</v>
          </cell>
        </row>
        <row r="1673">
          <cell r="A1673">
            <v>9005</v>
          </cell>
        </row>
        <row r="1674">
          <cell r="A1674">
            <v>9006</v>
          </cell>
        </row>
        <row r="1675">
          <cell r="A1675">
            <v>9007</v>
          </cell>
        </row>
        <row r="1676">
          <cell r="A1676">
            <v>9008</v>
          </cell>
        </row>
        <row r="1677">
          <cell r="A1677">
            <v>10001</v>
          </cell>
        </row>
        <row r="1678">
          <cell r="A1678">
            <v>10002</v>
          </cell>
        </row>
        <row r="1679">
          <cell r="A1679">
            <v>10003</v>
          </cell>
        </row>
        <row r="1680">
          <cell r="A1680">
            <v>10004</v>
          </cell>
        </row>
        <row r="1681">
          <cell r="A1681">
            <v>10005</v>
          </cell>
        </row>
        <row r="1682">
          <cell r="A1682">
            <v>10006</v>
          </cell>
        </row>
        <row r="1683">
          <cell r="A1683">
            <v>10007</v>
          </cell>
        </row>
        <row r="1684">
          <cell r="A1684">
            <v>10008</v>
          </cell>
        </row>
        <row r="1685">
          <cell r="A1685">
            <v>10009</v>
          </cell>
        </row>
        <row r="1686">
          <cell r="A1686">
            <v>10010</v>
          </cell>
        </row>
        <row r="1687">
          <cell r="A1687">
            <v>10011</v>
          </cell>
        </row>
        <row r="1688">
          <cell r="A1688">
            <v>10012</v>
          </cell>
        </row>
        <row r="1689">
          <cell r="A1689">
            <v>10013</v>
          </cell>
        </row>
        <row r="1690">
          <cell r="A1690">
            <v>10014</v>
          </cell>
        </row>
        <row r="1691">
          <cell r="A1691">
            <v>10015</v>
          </cell>
        </row>
        <row r="1692">
          <cell r="A1692">
            <v>10016</v>
          </cell>
        </row>
        <row r="1693">
          <cell r="A1693">
            <v>10017</v>
          </cell>
        </row>
        <row r="1694">
          <cell r="A1694">
            <v>10018</v>
          </cell>
        </row>
        <row r="1695">
          <cell r="A1695">
            <v>10019</v>
          </cell>
        </row>
        <row r="1696">
          <cell r="A1696">
            <v>10020</v>
          </cell>
        </row>
        <row r="1697">
          <cell r="A1697">
            <v>10021</v>
          </cell>
        </row>
        <row r="1698">
          <cell r="A1698">
            <v>10022</v>
          </cell>
        </row>
        <row r="1699">
          <cell r="A1699">
            <v>10023</v>
          </cell>
        </row>
        <row r="1700">
          <cell r="A1700">
            <v>10024</v>
          </cell>
        </row>
        <row r="1701">
          <cell r="A1701">
            <v>10025</v>
          </cell>
        </row>
        <row r="1702">
          <cell r="A1702">
            <v>10026</v>
          </cell>
        </row>
        <row r="1703">
          <cell r="A1703">
            <v>10027</v>
          </cell>
        </row>
        <row r="1704">
          <cell r="A1704">
            <v>10028</v>
          </cell>
        </row>
        <row r="1705">
          <cell r="A1705">
            <v>10029</v>
          </cell>
        </row>
        <row r="1706">
          <cell r="A1706">
            <v>10030</v>
          </cell>
        </row>
        <row r="1707">
          <cell r="A1707">
            <v>10031</v>
          </cell>
        </row>
        <row r="1708">
          <cell r="A1708">
            <v>10032</v>
          </cell>
        </row>
        <row r="1709">
          <cell r="A1709">
            <v>10033</v>
          </cell>
        </row>
        <row r="1710">
          <cell r="A1710">
            <v>10034</v>
          </cell>
        </row>
        <row r="1711">
          <cell r="A1711">
            <v>10035</v>
          </cell>
        </row>
        <row r="1712">
          <cell r="A1712">
            <v>10036</v>
          </cell>
        </row>
        <row r="1713">
          <cell r="A1713">
            <v>10037</v>
          </cell>
        </row>
        <row r="1714">
          <cell r="A1714">
            <v>10038</v>
          </cell>
        </row>
        <row r="1715">
          <cell r="A1715">
            <v>10039</v>
          </cell>
        </row>
        <row r="1716">
          <cell r="A1716">
            <v>10040</v>
          </cell>
        </row>
        <row r="1717">
          <cell r="A1717">
            <v>10041</v>
          </cell>
        </row>
        <row r="1718">
          <cell r="A1718">
            <v>10042</v>
          </cell>
        </row>
        <row r="1719">
          <cell r="A1719">
            <v>10043</v>
          </cell>
        </row>
        <row r="1720">
          <cell r="A1720">
            <v>10044</v>
          </cell>
        </row>
        <row r="1721">
          <cell r="A1721">
            <v>10045</v>
          </cell>
        </row>
        <row r="1722">
          <cell r="A1722">
            <v>10046</v>
          </cell>
        </row>
        <row r="1723">
          <cell r="A1723">
            <v>10047</v>
          </cell>
        </row>
        <row r="1724">
          <cell r="A1724">
            <v>10048</v>
          </cell>
        </row>
        <row r="1725">
          <cell r="A1725">
            <v>10049</v>
          </cell>
        </row>
        <row r="1726">
          <cell r="A1726">
            <v>10050</v>
          </cell>
        </row>
        <row r="1727">
          <cell r="A1727">
            <v>10051</v>
          </cell>
        </row>
        <row r="1728">
          <cell r="A1728">
            <v>10052</v>
          </cell>
        </row>
        <row r="1729">
          <cell r="A1729">
            <v>10053</v>
          </cell>
        </row>
        <row r="1730">
          <cell r="A1730">
            <v>10054</v>
          </cell>
        </row>
        <row r="1731">
          <cell r="A1731">
            <v>10055</v>
          </cell>
        </row>
        <row r="1732">
          <cell r="A1732">
            <v>10056</v>
          </cell>
        </row>
        <row r="1733">
          <cell r="A1733">
            <v>10057</v>
          </cell>
        </row>
        <row r="1734">
          <cell r="A1734">
            <v>10058</v>
          </cell>
        </row>
        <row r="1735">
          <cell r="A1735">
            <v>10059</v>
          </cell>
        </row>
        <row r="1736">
          <cell r="A1736">
            <v>10060</v>
          </cell>
        </row>
        <row r="1737">
          <cell r="A1737">
            <v>10061</v>
          </cell>
        </row>
        <row r="1738">
          <cell r="A1738">
            <v>10062</v>
          </cell>
        </row>
        <row r="1739">
          <cell r="A1739">
            <v>10063</v>
          </cell>
        </row>
        <row r="1740">
          <cell r="A1740">
            <v>10064</v>
          </cell>
        </row>
        <row r="1741">
          <cell r="A1741">
            <v>10065</v>
          </cell>
        </row>
        <row r="1742">
          <cell r="A1742">
            <v>10066</v>
          </cell>
        </row>
        <row r="1743">
          <cell r="A1743">
            <v>10067</v>
          </cell>
        </row>
        <row r="1744">
          <cell r="A1744">
            <v>10068</v>
          </cell>
        </row>
        <row r="1745">
          <cell r="A1745">
            <v>10069</v>
          </cell>
        </row>
        <row r="1746">
          <cell r="A1746">
            <v>10070</v>
          </cell>
        </row>
        <row r="1747">
          <cell r="A1747">
            <v>10071</v>
          </cell>
        </row>
        <row r="1748">
          <cell r="A1748">
            <v>10072</v>
          </cell>
        </row>
        <row r="1749">
          <cell r="A1749">
            <v>10073</v>
          </cell>
        </row>
        <row r="1750">
          <cell r="A1750">
            <v>10074</v>
          </cell>
        </row>
        <row r="1751">
          <cell r="A1751">
            <v>10075</v>
          </cell>
        </row>
        <row r="1752">
          <cell r="A1752">
            <v>10076</v>
          </cell>
        </row>
        <row r="1753">
          <cell r="A1753">
            <v>10077</v>
          </cell>
        </row>
        <row r="1754">
          <cell r="A1754">
            <v>10078</v>
          </cell>
        </row>
        <row r="1755">
          <cell r="A1755">
            <v>10079</v>
          </cell>
        </row>
        <row r="1756">
          <cell r="A1756">
            <v>10080</v>
          </cell>
        </row>
        <row r="1757">
          <cell r="A1757">
            <v>10081</v>
          </cell>
        </row>
        <row r="1758">
          <cell r="A1758">
            <v>10082</v>
          </cell>
        </row>
        <row r="1759">
          <cell r="A1759">
            <v>10083</v>
          </cell>
        </row>
        <row r="1760">
          <cell r="A1760">
            <v>10084</v>
          </cell>
        </row>
        <row r="1761">
          <cell r="A1761">
            <v>10085</v>
          </cell>
        </row>
        <row r="1762">
          <cell r="A1762">
            <v>10086</v>
          </cell>
        </row>
        <row r="1763">
          <cell r="A1763">
            <v>10087</v>
          </cell>
        </row>
        <row r="1764">
          <cell r="A1764">
            <v>10088</v>
          </cell>
        </row>
        <row r="1765">
          <cell r="A1765">
            <v>10089</v>
          </cell>
        </row>
        <row r="1766">
          <cell r="A1766">
            <v>10090</v>
          </cell>
        </row>
        <row r="1767">
          <cell r="A1767">
            <v>10101</v>
          </cell>
        </row>
        <row r="1768">
          <cell r="A1768">
            <v>10102</v>
          </cell>
        </row>
        <row r="1769">
          <cell r="A1769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D13"/>
  <sheetViews>
    <sheetView workbookViewId="0">
      <selection activeCell="A9" sqref="A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254</v>
      </c>
      <c r="B2" s="57" t="s">
        <v>107</v>
      </c>
      <c r="C2" s="63">
        <v>40025</v>
      </c>
      <c r="D2" s="57" t="s">
        <v>108</v>
      </c>
      <c r="E2" s="56" t="str">
        <f>B2&amp;C2&amp;D2</f>
        <v>floors_40025.tmp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254</v>
      </c>
      <c r="B3" s="57" t="s">
        <v>110</v>
      </c>
      <c r="C3" s="63">
        <f>C$2</f>
        <v>40025</v>
      </c>
      <c r="D3" s="57" t="s">
        <v>108</v>
      </c>
      <c r="E3" s="56" t="str">
        <f>B3&amp;C3&amp;D3</f>
        <v>enemy_habitats_40025.tmp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254</v>
      </c>
      <c r="B4" s="57" t="s">
        <v>112</v>
      </c>
      <c r="C4" s="63">
        <f t="shared" ref="C4:C13" si="0">C$2</f>
        <v>40025</v>
      </c>
      <c r="D4" s="57" t="s">
        <v>108</v>
      </c>
      <c r="E4" s="56" t="str">
        <f>B4&amp;C4&amp;D4</f>
        <v>enemy_habitat_S_40025.tmp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254</v>
      </c>
      <c r="B5" s="57" t="s">
        <v>114</v>
      </c>
      <c r="C5" s="63">
        <f t="shared" si="0"/>
        <v>40025</v>
      </c>
      <c r="D5" s="57" t="s">
        <v>108</v>
      </c>
      <c r="E5" s="56" t="str">
        <f>B5&amp;C5&amp;D5</f>
        <v>enemy_skill_sets_40025.tmp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254</v>
      </c>
      <c r="B6" s="57" t="s">
        <v>116</v>
      </c>
      <c r="C6" s="63">
        <f t="shared" si="0"/>
        <v>40025</v>
      </c>
      <c r="D6" s="57" t="s">
        <v>117</v>
      </c>
      <c r="E6" s="56" t="str">
        <f t="shared" ref="E6:E10" si="1">B6&amp;C6&amp;D6</f>
        <v>enemy_skills_tmp_40025.tmp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254</v>
      </c>
      <c r="B7" s="57" t="s">
        <v>118</v>
      </c>
      <c r="C7" s="63">
        <f t="shared" si="0"/>
        <v>40025</v>
      </c>
      <c r="D7" s="57" t="s">
        <v>108</v>
      </c>
      <c r="E7" s="56" t="str">
        <f>B7&amp;C7&amp;D7</f>
        <v>enemy_skills_i18n_40025.tmp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254</v>
      </c>
      <c r="B8" s="57" t="s">
        <v>120</v>
      </c>
      <c r="C8" s="63">
        <f t="shared" si="0"/>
        <v>40025</v>
      </c>
      <c r="D8" s="57" t="s">
        <v>121</v>
      </c>
      <c r="E8" s="56" t="str">
        <f t="shared" si="1"/>
        <v>enemy_skill_triggers_40025.tmp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254</v>
      </c>
      <c r="B9" s="68" t="s">
        <v>178</v>
      </c>
      <c r="C9" s="63">
        <f t="shared" si="0"/>
        <v>40025</v>
      </c>
      <c r="D9" s="68" t="s">
        <v>172</v>
      </c>
      <c r="E9" s="69" t="str">
        <f t="shared" si="1"/>
        <v>stage_bug_bonuses_40025.tmp</v>
      </c>
      <c r="F9" s="68" t="s">
        <v>173</v>
      </c>
      <c r="G9" s="65" t="s">
        <v>151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254</v>
      </c>
      <c r="B10" s="68" t="s">
        <v>201</v>
      </c>
      <c r="C10" s="63">
        <f>C$2</f>
        <v>40025</v>
      </c>
      <c r="D10" s="68" t="s">
        <v>181</v>
      </c>
      <c r="E10" s="69" t="str">
        <f t="shared" si="1"/>
        <v>stage_hints_data_c_40025.tmp</v>
      </c>
      <c r="F10" s="68" t="s">
        <v>209</v>
      </c>
      <c r="G10" s="74" t="s">
        <v>182</v>
      </c>
      <c r="H10" s="74" t="s">
        <v>174</v>
      </c>
      <c r="I10" s="75" t="s">
        <v>183</v>
      </c>
      <c r="J10" s="67" t="s">
        <v>184</v>
      </c>
      <c r="K10" s="67" t="s">
        <v>185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</row>
    <row r="11" spans="1:30" s="76" customFormat="1" x14ac:dyDescent="0.15">
      <c r="A11" s="61" t="s">
        <v>254</v>
      </c>
      <c r="B11" s="68" t="s">
        <v>202</v>
      </c>
      <c r="C11" s="63">
        <f t="shared" si="0"/>
        <v>40025</v>
      </c>
      <c r="D11" s="68" t="s">
        <v>172</v>
      </c>
      <c r="E11" s="69" t="str">
        <f t="shared" ref="E11:E13" si="2">B11&amp;C11&amp;D11</f>
        <v>stage_hints_data_f_40025.tmp</v>
      </c>
      <c r="F11" s="68" t="s">
        <v>210</v>
      </c>
      <c r="G11" s="74" t="s">
        <v>182</v>
      </c>
      <c r="H11" s="74" t="s">
        <v>174</v>
      </c>
      <c r="I11" s="75" t="s">
        <v>183</v>
      </c>
      <c r="J11" s="67" t="s">
        <v>184</v>
      </c>
      <c r="K11" s="67" t="s">
        <v>185</v>
      </c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</row>
    <row r="12" spans="1:30" s="76" customFormat="1" x14ac:dyDescent="0.15">
      <c r="A12" s="61" t="s">
        <v>254</v>
      </c>
      <c r="B12" s="68" t="s">
        <v>203</v>
      </c>
      <c r="C12" s="63">
        <f t="shared" si="0"/>
        <v>40025</v>
      </c>
      <c r="D12" s="68" t="s">
        <v>172</v>
      </c>
      <c r="E12" s="69" t="str">
        <f t="shared" si="2"/>
        <v>stage_hints_i18n_40025.tmp</v>
      </c>
      <c r="F12" s="68" t="s">
        <v>211</v>
      </c>
      <c r="G12" s="75" t="s">
        <v>204</v>
      </c>
      <c r="H12" s="94" t="s">
        <v>205</v>
      </c>
      <c r="I12" s="74" t="s">
        <v>206</v>
      </c>
      <c r="J12" s="102" t="s">
        <v>207</v>
      </c>
      <c r="K12" s="67" t="s">
        <v>208</v>
      </c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</row>
    <row r="13" spans="1:30" s="76" customFormat="1" x14ac:dyDescent="0.15">
      <c r="A13" s="61" t="s">
        <v>254</v>
      </c>
      <c r="B13" s="68" t="s">
        <v>251</v>
      </c>
      <c r="C13" s="63">
        <f t="shared" si="0"/>
        <v>40025</v>
      </c>
      <c r="D13" s="68" t="s">
        <v>232</v>
      </c>
      <c r="E13" s="69" t="str">
        <f t="shared" si="2"/>
        <v>stage_bonuses_40025.tmp</v>
      </c>
      <c r="F13" s="68" t="s">
        <v>231</v>
      </c>
      <c r="G13" s="74" t="s">
        <v>233</v>
      </c>
      <c r="H13" s="74" t="s">
        <v>234</v>
      </c>
      <c r="I13" s="74" t="s">
        <v>235</v>
      </c>
      <c r="J13" s="74" t="s">
        <v>236</v>
      </c>
      <c r="K13" s="74" t="s">
        <v>237</v>
      </c>
      <c r="L13" s="74" t="s">
        <v>238</v>
      </c>
      <c r="M13" s="74" t="s">
        <v>239</v>
      </c>
      <c r="N13" s="74" t="s">
        <v>240</v>
      </c>
      <c r="O13" s="74" t="s">
        <v>241</v>
      </c>
      <c r="P13" s="74" t="s">
        <v>242</v>
      </c>
      <c r="Q13" s="74" t="s">
        <v>243</v>
      </c>
      <c r="R13" s="74" t="s">
        <v>244</v>
      </c>
      <c r="S13" s="74" t="s">
        <v>245</v>
      </c>
      <c r="T13" s="74" t="s">
        <v>246</v>
      </c>
      <c r="U13" s="74" t="s">
        <v>247</v>
      </c>
      <c r="V13" s="74" t="s">
        <v>248</v>
      </c>
      <c r="W13" s="74" t="s">
        <v>249</v>
      </c>
      <c r="X13" s="74" t="s">
        <v>250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D7" sqref="D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40025_1-1</v>
      </c>
      <c r="B2" s="16" t="str">
        <f>IF(COUNTIF(enemy_habitats!$H:$H,A2),"OK","NG")</f>
        <v>OK</v>
      </c>
      <c r="C2" s="7">
        <v>40025</v>
      </c>
      <c r="D2" s="11" t="str">
        <f ca="1">VLOOKUP($C2,OFFSET([2]quests!$A$1,0,0,COUNTA([2]quests!$A:$A),MATCH(D$1,[2]quests!$1:$1,0)-MATCH($C$1,[2]quests!$1:$1,0)+1),MATCH(D$1,[2]quests!$1:$1,0)-MATCH($C$1,[2]quests!$1:$1,0)+1,FALSE)</f>
        <v>ティアマト襲来！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降臨25</v>
      </c>
      <c r="F2" s="21">
        <v>1</v>
      </c>
      <c r="G2" s="23" t="str">
        <f t="shared" ref="G2:G9" si="1">C2&amp;"_"&amp;F2</f>
        <v>40025_1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【超絶級】ティアマト襲来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40025_1-2</v>
      </c>
      <c r="B3" s="16" t="str">
        <f>IF(COUNTIF(enemy_habitats!$H:$H,A3),"OK","NG")</f>
        <v>OK</v>
      </c>
      <c r="C3" s="7">
        <v>40025</v>
      </c>
      <c r="D3" s="11" t="str">
        <f ca="1">VLOOKUP($C3,OFFSET([2]quests!$A$1,0,0,COUNTA([2]quests!$A:$A),MATCH(D$1,[2]quests!$1:$1,0)-MATCH($C$1,[2]quests!$1:$1,0)+1),MATCH(D$1,[2]quests!$1:$1,0)-MATCH($C$1,[2]quests!$1:$1,0)+1,FALSE)</f>
        <v>ティアマト襲来！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降臨25</v>
      </c>
      <c r="F3" s="21">
        <v>1</v>
      </c>
      <c r="G3" s="23" t="str">
        <f t="shared" si="1"/>
        <v>40025_1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【超絶級】ティアマト襲来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40025_1-3</v>
      </c>
      <c r="B4" s="16" t="str">
        <f>IF(COUNTIF(enemy_habitats!$H:$H,A4),"OK","NG")</f>
        <v>OK</v>
      </c>
      <c r="C4" s="7">
        <v>40025</v>
      </c>
      <c r="D4" s="11" t="str">
        <f ca="1">VLOOKUP($C4,OFFSET([2]quests!$A$1,0,0,COUNTA([2]quests!$A:$A),MATCH(D$1,[2]quests!$1:$1,0)-MATCH($C$1,[2]quests!$1:$1,0)+1),MATCH(D$1,[2]quests!$1:$1,0)-MATCH($C$1,[2]quests!$1:$1,0)+1,FALSE)</f>
        <v>ティアマト襲来！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降臨25</v>
      </c>
      <c r="F4" s="21">
        <v>1</v>
      </c>
      <c r="G4" s="23" t="str">
        <f t="shared" si="1"/>
        <v>40025_1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【超絶級】ティアマト襲来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40025_1-4</v>
      </c>
      <c r="B5" s="16" t="str">
        <f>IF(COUNTIF(enemy_habitats!$H:$H,A5),"OK","NG")</f>
        <v>OK</v>
      </c>
      <c r="C5" s="7">
        <v>40025</v>
      </c>
      <c r="D5" s="11" t="str">
        <f ca="1">VLOOKUP($C5,OFFSET([2]quests!$A$1,0,0,COUNTA([2]quests!$A:$A),MATCH(D$1,[2]quests!$1:$1,0)-MATCH($C$1,[2]quests!$1:$1,0)+1),MATCH(D$1,[2]quests!$1:$1,0)-MATCH($C$1,[2]quests!$1:$1,0)+1,FALSE)</f>
        <v>ティアマト襲来！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降臨25</v>
      </c>
      <c r="F5" s="21">
        <v>1</v>
      </c>
      <c r="G5" s="23" t="str">
        <f t="shared" si="1"/>
        <v>40025_1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【超絶級】ティアマト襲来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40025_2-1</v>
      </c>
      <c r="B6" s="16" t="str">
        <f>IF(COUNTIF(enemy_habitats!$H:$H,A6),"OK","NG")</f>
        <v>OK</v>
      </c>
      <c r="C6" s="7">
        <v>40025</v>
      </c>
      <c r="D6" s="11" t="str">
        <f ca="1">VLOOKUP($C6,OFFSET([2]quests!$A$1,0,0,COUNTA([2]quests!$A:$A),MATCH(D$1,[2]quests!$1:$1,0)-MATCH($C$1,[2]quests!$1:$1,0)+1),MATCH(D$1,[2]quests!$1:$1,0)-MATCH($C$1,[2]quests!$1:$1,0)+1,FALSE)</f>
        <v>ティアマト襲来！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降臨25</v>
      </c>
      <c r="F6" s="21">
        <v>2</v>
      </c>
      <c r="G6" s="23" t="str">
        <f t="shared" si="1"/>
        <v>40025_2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【ウィザード級】ティアマト襲来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40025_2-2</v>
      </c>
      <c r="B7" s="16" t="str">
        <f>IF(COUNTIF(enemy_habitats!$H:$H,A7),"OK","NG")</f>
        <v>OK</v>
      </c>
      <c r="C7" s="7">
        <v>40025</v>
      </c>
      <c r="D7" s="11" t="str">
        <f ca="1">VLOOKUP($C7,OFFSET([2]quests!$A$1,0,0,COUNTA([2]quests!$A:$A),MATCH(D$1,[2]quests!$1:$1,0)-MATCH($C$1,[2]quests!$1:$1,0)+1),MATCH(D$1,[2]quests!$1:$1,0)-MATCH($C$1,[2]quests!$1:$1,0)+1,FALSE)</f>
        <v>ティアマト襲来！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降臨25</v>
      </c>
      <c r="F7" s="21">
        <v>2</v>
      </c>
      <c r="G7" s="23" t="str">
        <f t="shared" si="1"/>
        <v>40025_2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【ウィザード級】ティアマト襲来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40025_2-3</v>
      </c>
      <c r="B8" s="16" t="str">
        <f>IF(COUNTIF(enemy_habitats!$H:$H,A8),"OK","NG")</f>
        <v>OK</v>
      </c>
      <c r="C8" s="7">
        <v>40025</v>
      </c>
      <c r="D8" s="11" t="str">
        <f ca="1">VLOOKUP($C8,OFFSET([2]quests!$A$1,0,0,COUNTA([2]quests!$A:$A),MATCH(D$1,[2]quests!$1:$1,0)-MATCH($C$1,[2]quests!$1:$1,0)+1),MATCH(D$1,[2]quests!$1:$1,0)-MATCH($C$1,[2]quests!$1:$1,0)+1,FALSE)</f>
        <v>ティアマト襲来！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降臨25</v>
      </c>
      <c r="F8" s="21">
        <v>2</v>
      </c>
      <c r="G8" s="23" t="str">
        <f t="shared" si="1"/>
        <v>40025_2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【ウィザード級】ティアマト襲来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40025_2-4</v>
      </c>
      <c r="B9" s="16" t="str">
        <f>IF(COUNTIF(enemy_habitats!$H:$H,A9),"OK","NG")</f>
        <v>OK</v>
      </c>
      <c r="C9" s="7">
        <v>40025</v>
      </c>
      <c r="D9" s="11" t="str">
        <f ca="1">VLOOKUP($C9,OFFSET([2]quests!$A$1,0,0,COUNTA([2]quests!$A:$A),MATCH(D$1,[2]quests!$1:$1,0)-MATCH($C$1,[2]quests!$1:$1,0)+1),MATCH(D$1,[2]quests!$1:$1,0)-MATCH($C$1,[2]quests!$1:$1,0)+1,FALSE)</f>
        <v>ティアマト襲来！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降臨25</v>
      </c>
      <c r="F9" s="21">
        <v>2</v>
      </c>
      <c r="G9" s="23" t="str">
        <f t="shared" si="1"/>
        <v>40025_2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【ウィザード級】ティアマト襲来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P17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W18" sqref="W1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3" t="s">
        <v>252</v>
      </c>
      <c r="U1" s="26" t="s">
        <v>50</v>
      </c>
      <c r="V1" s="103" t="s">
        <v>253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9" si="0">B2&amp;"_"&amp;C2&amp;"-"&amp;G2&amp;"/"&amp;L2&amp;"&lt;lv"&amp;R2&amp;"&gt;s"&amp;AC2</f>
        <v>40025_1-1/95&lt;lv80&gt;s1</v>
      </c>
      <c r="B2" s="22">
        <v>40025</v>
      </c>
      <c r="C2" s="21">
        <v>1</v>
      </c>
      <c r="D2" s="2" t="str">
        <f t="shared" ref="D2:D9" si="1">B2&amp;"_"&amp;C2</f>
        <v>40025_1</v>
      </c>
      <c r="E2" s="4" t="str">
        <f ca="1">VLOOKUP($B2,OFFSET([2]quests!$A$1,0,0,COUNTA([2]quests!$A:$A),MATCH(E$1,[2]quests!$1:$1,0)-MATCH($B$1,[2]quests!$1:$1,0)+1),MATCH(E$1,[2]quests!$1:$1,0)-MATCH($B$1,[2]quests!$1:$1,0)+1,FALSE)</f>
        <v>ティアマト襲来！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【超絶級】ティアマト襲来</v>
      </c>
      <c r="G2" s="21">
        <v>1</v>
      </c>
      <c r="H2" s="15" t="str">
        <f t="shared" ref="H2:H9" si="2">B2&amp;"_"&amp;C2&amp;"-"&amp;G2</f>
        <v>40025_1-1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95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守護者 白虎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80</v>
      </c>
      <c r="S2" s="25">
        <v>1.1000000000000001</v>
      </c>
      <c r="T2" s="10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114214.1</v>
      </c>
      <c r="U2" s="25">
        <v>0.1</v>
      </c>
      <c r="V2" s="10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1221.1000000000001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2" s="62">
        <v>40025110</v>
      </c>
      <c r="Z2" s="6">
        <v>1</v>
      </c>
      <c r="AA2" s="6">
        <v>100</v>
      </c>
      <c r="AB2" s="6">
        <v>0</v>
      </c>
      <c r="AC2" s="17">
        <v>1</v>
      </c>
      <c r="AD2" s="24">
        <f t="shared" ref="AD2:AD9" si="3">L2</f>
        <v>95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守護者 白虎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4">
        <f t="shared" ref="AI2:AI9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40025_1-1/442&lt;lv80&gt;s1</v>
      </c>
      <c r="B3" s="22">
        <v>40025</v>
      </c>
      <c r="C3" s="21">
        <v>1</v>
      </c>
      <c r="D3" s="2" t="str">
        <f t="shared" si="1"/>
        <v>40025_1</v>
      </c>
      <c r="E3" s="4" t="str">
        <f ca="1">VLOOKUP($B3,OFFSET([2]quests!$A$1,0,0,COUNTA([2]quests!$A:$A),MATCH(E$1,[2]quests!$1:$1,0)-MATCH($B$1,[2]quests!$1:$1,0)+1),MATCH(E$1,[2]quests!$1:$1,0)-MATCH($B$1,[2]quests!$1:$1,0)+1,FALSE)</f>
        <v>ティアマト襲来！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【超絶級】ティアマト襲来</v>
      </c>
      <c r="G3" s="21">
        <v>1</v>
      </c>
      <c r="H3" s="15" t="str">
        <f t="shared" si="2"/>
        <v>40025_1-1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442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ブレイブリー・ライオン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80</v>
      </c>
      <c r="S3" s="25">
        <v>0.8</v>
      </c>
      <c r="T3" s="10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120444</v>
      </c>
      <c r="U3" s="25">
        <v>0.6</v>
      </c>
      <c r="V3" s="10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4682.3999999999996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3" s="62">
        <v>40025130</v>
      </c>
      <c r="Z3" s="6">
        <v>1</v>
      </c>
      <c r="AA3" s="6">
        <v>100</v>
      </c>
      <c r="AB3" s="6">
        <v>0</v>
      </c>
      <c r="AC3" s="17">
        <v>1</v>
      </c>
      <c r="AD3" s="24">
        <f t="shared" si="3"/>
        <v>442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ブレイブリー・ライオン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3" s="7">
        <v>1</v>
      </c>
      <c r="AI3" s="24">
        <f t="shared" ca="1" si="4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40025_1-2/88&lt;lv80&gt;s1</v>
      </c>
      <c r="B4" s="22">
        <v>40025</v>
      </c>
      <c r="C4" s="21">
        <v>1</v>
      </c>
      <c r="D4" s="2" t="str">
        <f t="shared" si="1"/>
        <v>40025_1</v>
      </c>
      <c r="E4" s="4" t="str">
        <f ca="1">VLOOKUP($B4,OFFSET([2]quests!$A$1,0,0,COUNTA([2]quests!$A:$A),MATCH(E$1,[2]quests!$1:$1,0)-MATCH($B$1,[2]quests!$1:$1,0)+1),MATCH(E$1,[2]quests!$1:$1,0)-MATCH($B$1,[2]quests!$1:$1,0)+1,FALSE)</f>
        <v>ティアマト襲来！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【超絶級】ティアマト襲来</v>
      </c>
      <c r="G4" s="21">
        <v>2</v>
      </c>
      <c r="H4" s="15" t="str">
        <f t="shared" si="2"/>
        <v>40025_1-2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88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玄武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80</v>
      </c>
      <c r="S4" s="25">
        <v>0.8</v>
      </c>
      <c r="T4" s="10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75715.199999999997</v>
      </c>
      <c r="U4" s="162">
        <v>0.3</v>
      </c>
      <c r="V4" s="10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2220.2999999999997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全てのプラス効果を解除</v>
      </c>
      <c r="Y4" s="62">
        <v>40025210</v>
      </c>
      <c r="Z4" s="6">
        <v>1</v>
      </c>
      <c r="AA4" s="6">
        <v>100</v>
      </c>
      <c r="AB4" s="6">
        <v>0</v>
      </c>
      <c r="AC4" s="17">
        <v>1</v>
      </c>
      <c r="AD4" s="24">
        <f t="shared" si="3"/>
        <v>88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玄武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4">
        <f t="shared" ca="1" si="4"/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40025_1-2/264&lt;lv80&gt;s1</v>
      </c>
      <c r="B5" s="22">
        <v>40025</v>
      </c>
      <c r="C5" s="21">
        <v>1</v>
      </c>
      <c r="D5" s="2" t="str">
        <f t="shared" si="1"/>
        <v>40025_1</v>
      </c>
      <c r="E5" s="4" t="str">
        <f ca="1">VLOOKUP($B5,OFFSET([2]quests!$A$1,0,0,COUNTA([2]quests!$A:$A),MATCH(E$1,[2]quests!$1:$1,0)-MATCH($B$1,[2]quests!$1:$1,0)+1),MATCH(E$1,[2]quests!$1:$1,0)-MATCH($B$1,[2]quests!$1:$1,0)+1,FALSE)</f>
        <v>ティアマト襲来！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【超絶級】ティアマト襲来</v>
      </c>
      <c r="G5" s="21">
        <v>2</v>
      </c>
      <c r="H5" s="15" t="str">
        <f t="shared" si="2"/>
        <v>40025_1-2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264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ユニコーン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80</v>
      </c>
      <c r="S5" s="25">
        <v>0.6</v>
      </c>
      <c r="T5" s="104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79555.199999999997</v>
      </c>
      <c r="U5" s="162">
        <v>0.4</v>
      </c>
      <c r="V5" s="104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2796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5" s="62">
        <v>40025230</v>
      </c>
      <c r="Z5" s="6">
        <v>1</v>
      </c>
      <c r="AA5" s="6">
        <v>100</v>
      </c>
      <c r="AB5" s="6">
        <v>0</v>
      </c>
      <c r="AC5" s="17">
        <v>1</v>
      </c>
      <c r="AD5" s="24">
        <f t="shared" si="3"/>
        <v>264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ユニコーン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Drop2W</v>
      </c>
      <c r="AH5" s="7">
        <v>1</v>
      </c>
      <c r="AI5" s="24">
        <f t="shared" ca="1" si="4"/>
        <v>3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40025_1-2/69&lt;lv80&gt;s1</v>
      </c>
      <c r="B6" s="22">
        <v>40025</v>
      </c>
      <c r="C6" s="21">
        <v>1</v>
      </c>
      <c r="D6" s="2" t="str">
        <f t="shared" si="1"/>
        <v>40025_1</v>
      </c>
      <c r="E6" s="4" t="str">
        <f ca="1">VLOOKUP($B6,OFFSET([2]quests!$A$1,0,0,COUNTA([2]quests!$A:$A),MATCH(E$1,[2]quests!$1:$1,0)-MATCH($B$1,[2]quests!$1:$1,0)+1),MATCH(E$1,[2]quests!$1:$1,0)-MATCH($B$1,[2]quests!$1:$1,0)+1,FALSE)</f>
        <v>ティアマト襲来！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【超絶級】ティアマト襲来</v>
      </c>
      <c r="G6" s="21">
        <v>2</v>
      </c>
      <c r="H6" s="15" t="str">
        <f t="shared" si="2"/>
        <v>40025_1-2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69</v>
      </c>
      <c r="M6" s="17" t="str">
        <f ca="1">VLOOKUP($L6,OFFSET([3]enemies!$A$1,0,0,COUNTA([3]enemies!$A:$A),MATCH(M$1,[3]enemies!$1:$1,0)-MATCH($L$1,[3]enemies!$1:$1,0)+1),MATCH(M$1,[3]enemies!$1:$1,0)-MATCH($L$1,[3]enemies!$1:$1,0)+1,FALSE)</f>
        <v>思想家 ストール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80</v>
      </c>
      <c r="S6" s="25">
        <v>0.9</v>
      </c>
      <c r="T6" s="104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71599.5</v>
      </c>
      <c r="U6" s="162">
        <v>0.3</v>
      </c>
      <c r="V6" s="104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2258.4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2ターンハートパネルドロップ率UP</v>
      </c>
      <c r="Y6" s="62">
        <v>40025250</v>
      </c>
      <c r="Z6" s="6">
        <v>1</v>
      </c>
      <c r="AA6" s="6">
        <v>100</v>
      </c>
      <c r="AB6" s="6">
        <v>0</v>
      </c>
      <c r="AC6" s="17">
        <v>1</v>
      </c>
      <c r="AD6" s="24">
        <f t="shared" si="3"/>
        <v>69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思想家 ストール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Drop1S</v>
      </c>
      <c r="AH6" s="7">
        <v>1</v>
      </c>
      <c r="AI6" s="24">
        <f t="shared" ca="1" si="4"/>
        <v>3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40025_1-3/858&lt;lv80&gt;s1</v>
      </c>
      <c r="B7" s="22">
        <v>40025</v>
      </c>
      <c r="C7" s="21">
        <v>1</v>
      </c>
      <c r="D7" s="2" t="str">
        <f t="shared" si="1"/>
        <v>40025_1</v>
      </c>
      <c r="E7" s="4" t="str">
        <f ca="1">VLOOKUP($B7,OFFSET([2]quests!$A$1,0,0,COUNTA([2]quests!$A:$A),MATCH(E$1,[2]quests!$1:$1,0)-MATCH($B$1,[2]quests!$1:$1,0)+1),MATCH(E$1,[2]quests!$1:$1,0)-MATCH($B$1,[2]quests!$1:$1,0)+1,FALSE)</f>
        <v>ティアマト襲来！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【超絶級】ティアマト襲来</v>
      </c>
      <c r="G7" s="21">
        <v>3</v>
      </c>
      <c r="H7" s="15" t="str">
        <f t="shared" si="2"/>
        <v>40025_1-3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858</v>
      </c>
      <c r="M7" s="17" t="str">
        <f ca="1">VLOOKUP($L7,OFFSET([3]enemies!$A$1,0,0,COUNTA([3]enemies!$A:$A),MATCH(M$1,[3]enemies!$1:$1,0)-MATCH($L$1,[3]enemies!$1:$1,0)+1),MATCH(M$1,[3]enemies!$1:$1,0)-MATCH($L$1,[3]enemies!$1:$1,0)+1,FALSE)</f>
        <v>Mr.ホエール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5">
        <v>1</v>
      </c>
      <c r="T7" s="104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150555</v>
      </c>
      <c r="U7" s="25">
        <v>0.6</v>
      </c>
      <c r="V7" s="104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4257</v>
      </c>
      <c r="W7" s="5">
        <v>100000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絵本の世界から迷い込んできたようだ</v>
      </c>
      <c r="Y7" s="62">
        <v>40025310</v>
      </c>
      <c r="Z7" s="6">
        <v>1</v>
      </c>
      <c r="AA7" s="6">
        <v>100</v>
      </c>
      <c r="AB7" s="6">
        <v>0</v>
      </c>
      <c r="AC7" s="17">
        <v>1</v>
      </c>
      <c r="AD7" s="24">
        <f t="shared" si="3"/>
        <v>858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Mr.ホエール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4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40025_1-3/774&lt;lv80&gt;s2</v>
      </c>
      <c r="B8" s="22">
        <v>40025</v>
      </c>
      <c r="C8" s="21">
        <v>1</v>
      </c>
      <c r="D8" s="2" t="str">
        <f t="shared" si="1"/>
        <v>40025_1</v>
      </c>
      <c r="E8" s="4" t="str">
        <f ca="1">VLOOKUP($B8,OFFSET([2]quests!$A$1,0,0,COUNTA([2]quests!$A:$A),MATCH(E$1,[2]quests!$1:$1,0)-MATCH($B$1,[2]quests!$1:$1,0)+1),MATCH(E$1,[2]quests!$1:$1,0)-MATCH($B$1,[2]quests!$1:$1,0)+1,FALSE)</f>
        <v>ティアマト襲来！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【超絶級】ティアマト襲来</v>
      </c>
      <c r="G8" s="21">
        <v>3</v>
      </c>
      <c r="H8" s="15" t="str">
        <f t="shared" si="2"/>
        <v>40025_1-3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774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ミズチ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7">
        <f ca="1">VLOOKUP($L8,OFFSET([3]enemies!$A$1,0,0,COUNTA([3]enemies!$A:$A),MATCH(Q$1,[3]enemies!$1:$1,0)-MATCH($L$1,[3]enemies!$1:$1,0)+1),MATCH(Q$1,[3]enemies!$1:$1,0)-MATCH($L$1,[3]enemies!$1:$1,0)+1,FALSE)</f>
        <v>25</v>
      </c>
      <c r="R8" s="5">
        <v>80</v>
      </c>
      <c r="S8" s="25">
        <v>2.4</v>
      </c>
      <c r="T8" s="104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215942.39999999999</v>
      </c>
      <c r="U8" s="25">
        <v>0.7</v>
      </c>
      <c r="V8" s="104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4677.3999999999996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ミズチはホエールの影から機を伺っている</v>
      </c>
      <c r="Y8" s="62">
        <v>40025330</v>
      </c>
      <c r="Z8" s="6">
        <v>1</v>
      </c>
      <c r="AA8" s="6">
        <v>100</v>
      </c>
      <c r="AB8" s="6">
        <v>0</v>
      </c>
      <c r="AC8" s="17">
        <v>2</v>
      </c>
      <c r="AD8" s="24">
        <f t="shared" si="3"/>
        <v>774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ミズチ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7">
        <v>1</v>
      </c>
      <c r="AI8" s="24">
        <f t="shared" ca="1" si="4"/>
        <v>3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0"/>
        <v>40025_1-4/1063&lt;lv80&gt;s2</v>
      </c>
      <c r="B9" s="22">
        <v>40025</v>
      </c>
      <c r="C9" s="21">
        <v>1</v>
      </c>
      <c r="D9" s="2" t="str">
        <f t="shared" si="1"/>
        <v>40025_1</v>
      </c>
      <c r="E9" s="4" t="str">
        <f ca="1">VLOOKUP($B9,OFFSET([2]quests!$A$1,0,0,COUNTA([2]quests!$A:$A),MATCH(E$1,[2]quests!$1:$1,0)-MATCH($B$1,[2]quests!$1:$1,0)+1),MATCH(E$1,[2]quests!$1:$1,0)-MATCH($B$1,[2]quests!$1:$1,0)+1,FALSE)</f>
        <v>ティアマト襲来！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【超絶級】ティアマト襲来</v>
      </c>
      <c r="G9" s="21">
        <v>4</v>
      </c>
      <c r="H9" s="15" t="str">
        <f t="shared" si="2"/>
        <v>40025_1-4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20">
        <v>1063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ティアマト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80</v>
      </c>
      <c r="S9" s="25">
        <v>3.5</v>
      </c>
      <c r="T9" s="104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418974.5</v>
      </c>
      <c r="U9" s="25">
        <v>0.9</v>
      </c>
      <c r="V9" s="104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7206.3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フィーバーゲージ減少+ハートパネルドロップ率UP+_x000D_お邪魔パネルを3個生成+状態異常耐性</v>
      </c>
      <c r="Y9" s="62">
        <v>40025410</v>
      </c>
      <c r="Z9" s="6">
        <v>1</v>
      </c>
      <c r="AA9" s="6">
        <v>100</v>
      </c>
      <c r="AB9" s="6">
        <v>1</v>
      </c>
      <c r="AC9" s="17">
        <v>2</v>
      </c>
      <c r="AD9" s="24">
        <f t="shared" si="3"/>
        <v>1063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ティアマト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7">
        <v>1</v>
      </c>
      <c r="AI9" s="24">
        <f t="shared" ca="1" si="4"/>
        <v>5</v>
      </c>
      <c r="AJ9" s="8">
        <v>15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ref="A10:A17" si="5">B10&amp;"_"&amp;C10&amp;"-"&amp;G10&amp;"/"&amp;L10&amp;"&lt;lv"&amp;R10&amp;"&gt;s"&amp;AC10</f>
        <v>40025_2-1/95&lt;lv80&gt;s1</v>
      </c>
      <c r="B10" s="22">
        <v>40025</v>
      </c>
      <c r="C10" s="159">
        <v>2</v>
      </c>
      <c r="D10" s="2" t="str">
        <f t="shared" ref="D10:D17" si="6">B10&amp;"_"&amp;C10</f>
        <v>40025_2</v>
      </c>
      <c r="E10" s="4" t="str">
        <f ca="1">VLOOKUP($B10,OFFSET([2]quests!$A$1,0,0,COUNTA([2]quests!$A:$A),MATCH(E$1,[2]quests!$1:$1,0)-MATCH($B$1,[2]quests!$1:$1,0)+1),MATCH(E$1,[2]quests!$1:$1,0)-MATCH($B$1,[2]quests!$1:$1,0)+1,FALSE)</f>
        <v>ティアマト襲来！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【ウィザード級】ティアマト襲来</v>
      </c>
      <c r="G10" s="21">
        <v>1</v>
      </c>
      <c r="H10" s="15" t="str">
        <f t="shared" ref="H10:H17" si="7">B10&amp;"_"&amp;C10&amp;"-"&amp;G10</f>
        <v>40025_2-1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256</v>
      </c>
      <c r="L10" s="20">
        <v>95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守護者 白虎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80</v>
      </c>
      <c r="S10" s="160">
        <v>1.5</v>
      </c>
      <c r="T10" s="104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155746.5</v>
      </c>
      <c r="U10" s="160">
        <v>0.2</v>
      </c>
      <c r="V10" s="104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2442.2000000000003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10" s="158">
        <v>40025610</v>
      </c>
      <c r="Z10" s="6">
        <v>1</v>
      </c>
      <c r="AA10" s="6">
        <v>100</v>
      </c>
      <c r="AB10" s="6">
        <v>0</v>
      </c>
      <c r="AC10" s="17">
        <v>1</v>
      </c>
      <c r="AD10" s="24">
        <f t="shared" ref="AD10:AD17" si="8">L10</f>
        <v>95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守護者 白虎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7">
        <v>1</v>
      </c>
      <c r="AI10" s="24">
        <f t="shared" ref="AI10:AI17" ca="1" si="9">AF10</f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5"/>
        <v>40025_2-1/442&lt;lv80&gt;s1</v>
      </c>
      <c r="B11" s="22">
        <v>40025</v>
      </c>
      <c r="C11" s="159">
        <v>2</v>
      </c>
      <c r="D11" s="2" t="str">
        <f t="shared" si="6"/>
        <v>40025_2</v>
      </c>
      <c r="E11" s="4" t="str">
        <f ca="1">VLOOKUP($B11,OFFSET([2]quests!$A$1,0,0,COUNTA([2]quests!$A:$A),MATCH(E$1,[2]quests!$1:$1,0)-MATCH($B$1,[2]quests!$1:$1,0)+1),MATCH(E$1,[2]quests!$1:$1,0)-MATCH($B$1,[2]quests!$1:$1,0)+1,FALSE)</f>
        <v>ティアマト襲来！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【ウィザード級】ティアマト襲来</v>
      </c>
      <c r="G11" s="21">
        <v>1</v>
      </c>
      <c r="H11" s="15" t="str">
        <f t="shared" si="7"/>
        <v>40025_2-1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256</v>
      </c>
      <c r="L11" s="20">
        <v>442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ブレイブリー・ライオン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80</v>
      </c>
      <c r="S11" s="160">
        <v>1.2</v>
      </c>
      <c r="T11" s="104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180666</v>
      </c>
      <c r="U11" s="160">
        <v>0.8</v>
      </c>
      <c r="V11" s="104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6243.2000000000007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11" s="158">
        <v>40025630</v>
      </c>
      <c r="Z11" s="6">
        <v>1</v>
      </c>
      <c r="AA11" s="6">
        <v>100</v>
      </c>
      <c r="AB11" s="6">
        <v>0</v>
      </c>
      <c r="AC11" s="17">
        <v>1</v>
      </c>
      <c r="AD11" s="24">
        <f t="shared" si="8"/>
        <v>442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ブレイブリー・ライオン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1" s="7">
        <v>1</v>
      </c>
      <c r="AI11" s="24">
        <f t="shared" ca="1" si="9"/>
        <v>4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si="5"/>
        <v>40025_2-2/88&lt;lv80&gt;s1</v>
      </c>
      <c r="B12" s="22">
        <v>40025</v>
      </c>
      <c r="C12" s="159">
        <v>2</v>
      </c>
      <c r="D12" s="2" t="str">
        <f t="shared" si="6"/>
        <v>40025_2</v>
      </c>
      <c r="E12" s="4" t="str">
        <f ca="1">VLOOKUP($B12,OFFSET([2]quests!$A$1,0,0,COUNTA([2]quests!$A:$A),MATCH(E$1,[2]quests!$1:$1,0)-MATCH($B$1,[2]quests!$1:$1,0)+1),MATCH(E$1,[2]quests!$1:$1,0)-MATCH($B$1,[2]quests!$1:$1,0)+1,FALSE)</f>
        <v>ティアマト襲来！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【ウィザード級】ティアマト襲来</v>
      </c>
      <c r="G12" s="21">
        <v>2</v>
      </c>
      <c r="H12" s="15" t="str">
        <f t="shared" si="7"/>
        <v>40025_2-2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256</v>
      </c>
      <c r="L12" s="20">
        <v>88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玄武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Drop2N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dragon</v>
      </c>
      <c r="Q12" s="17">
        <f ca="1">VLOOKUP($L12,OFFSET([3]enemies!$A$1,0,0,COUNTA([3]enemies!$A:$A),MATCH(Q$1,[3]enemies!$1:$1,0)-MATCH($L$1,[3]enemies!$1:$1,0)+1),MATCH(Q$1,[3]enemies!$1:$1,0)-MATCH($L$1,[3]enemies!$1:$1,0)+1,FALSE)</f>
        <v>20</v>
      </c>
      <c r="R12" s="5">
        <v>80</v>
      </c>
      <c r="S12" s="160">
        <v>1.1000000000000001</v>
      </c>
      <c r="T12" s="104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104108.40000000001</v>
      </c>
      <c r="U12" s="160">
        <v>0.4</v>
      </c>
      <c r="V12" s="104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2960.4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全てのプラス効果を解除</v>
      </c>
      <c r="Y12" s="158">
        <v>40025710</v>
      </c>
      <c r="Z12" s="6">
        <v>1</v>
      </c>
      <c r="AA12" s="6">
        <v>100</v>
      </c>
      <c r="AB12" s="6">
        <v>0</v>
      </c>
      <c r="AC12" s="17">
        <v>1</v>
      </c>
      <c r="AD12" s="24">
        <f t="shared" si="8"/>
        <v>88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玄武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3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Drop2N</v>
      </c>
      <c r="AH12" s="7">
        <v>1</v>
      </c>
      <c r="AI12" s="24">
        <f t="shared" ca="1" si="9"/>
        <v>3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si="5"/>
        <v>40025_2-2/264&lt;lv80&gt;s1</v>
      </c>
      <c r="B13" s="22">
        <v>40025</v>
      </c>
      <c r="C13" s="159">
        <v>2</v>
      </c>
      <c r="D13" s="2" t="str">
        <f t="shared" si="6"/>
        <v>40025_2</v>
      </c>
      <c r="E13" s="4" t="str">
        <f ca="1">VLOOKUP($B13,OFFSET([2]quests!$A$1,0,0,COUNTA([2]quests!$A:$A),MATCH(E$1,[2]quests!$1:$1,0)-MATCH($B$1,[2]quests!$1:$1,0)+1),MATCH(E$1,[2]quests!$1:$1,0)-MATCH($B$1,[2]quests!$1:$1,0)+1,FALSE)</f>
        <v>ティアマト襲来！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【ウィザード級】ティアマト襲来</v>
      </c>
      <c r="G13" s="21">
        <v>2</v>
      </c>
      <c r="H13" s="15" t="str">
        <f t="shared" si="7"/>
        <v>40025_2-2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256</v>
      </c>
      <c r="L13" s="20">
        <v>264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ユニコーン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Drop2W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20</v>
      </c>
      <c r="R13" s="5">
        <v>80</v>
      </c>
      <c r="S13" s="160">
        <v>0.9</v>
      </c>
      <c r="T13" s="104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119332.8</v>
      </c>
      <c r="U13" s="160">
        <v>0.5</v>
      </c>
      <c r="V13" s="104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3495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13" s="158">
        <v>40025730</v>
      </c>
      <c r="Z13" s="6">
        <v>1</v>
      </c>
      <c r="AA13" s="6">
        <v>100</v>
      </c>
      <c r="AB13" s="6">
        <v>0</v>
      </c>
      <c r="AC13" s="17">
        <v>1</v>
      </c>
      <c r="AD13" s="24">
        <f t="shared" si="8"/>
        <v>264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ユニコーン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3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Drop2W</v>
      </c>
      <c r="AH13" s="7">
        <v>1</v>
      </c>
      <c r="AI13" s="24">
        <f t="shared" ca="1" si="9"/>
        <v>3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  <row r="14" spans="1:42" ht="21" customHeight="1" x14ac:dyDescent="0.15">
      <c r="A14" s="16" t="str">
        <f t="shared" si="5"/>
        <v>40025_2-2/69&lt;lv80&gt;s1</v>
      </c>
      <c r="B14" s="22">
        <v>40025</v>
      </c>
      <c r="C14" s="159">
        <v>2</v>
      </c>
      <c r="D14" s="2" t="str">
        <f t="shared" si="6"/>
        <v>40025_2</v>
      </c>
      <c r="E14" s="4" t="str">
        <f ca="1">VLOOKUP($B14,OFFSET([2]quests!$A$1,0,0,COUNTA([2]quests!$A:$A),MATCH(E$1,[2]quests!$1:$1,0)-MATCH($B$1,[2]quests!$1:$1,0)+1),MATCH(E$1,[2]quests!$1:$1,0)-MATCH($B$1,[2]quests!$1:$1,0)+1,FALSE)</f>
        <v>ティアマト襲来！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【ウィザード級】ティアマト襲来</v>
      </c>
      <c r="G14" s="21">
        <v>2</v>
      </c>
      <c r="H14" s="15" t="str">
        <f t="shared" si="7"/>
        <v>40025_2-2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256</v>
      </c>
      <c r="L14" s="20">
        <v>69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思想家 ストール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20</v>
      </c>
      <c r="R14" s="5">
        <v>80</v>
      </c>
      <c r="S14" s="160">
        <v>1.3</v>
      </c>
      <c r="T14" s="104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103421.5</v>
      </c>
      <c r="U14" s="160">
        <v>0.4</v>
      </c>
      <c r="V14" s="104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3011.2000000000003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2ターンハートパネルドロップ率UP</v>
      </c>
      <c r="Y14" s="158">
        <v>40025750</v>
      </c>
      <c r="Z14" s="6">
        <v>1</v>
      </c>
      <c r="AA14" s="6">
        <v>100</v>
      </c>
      <c r="AB14" s="6">
        <v>0</v>
      </c>
      <c r="AC14" s="17">
        <v>1</v>
      </c>
      <c r="AD14" s="24">
        <f t="shared" si="8"/>
        <v>69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思想家 ストール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3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Drop1S</v>
      </c>
      <c r="AH14" s="7">
        <v>1</v>
      </c>
      <c r="AI14" s="24">
        <f t="shared" ca="1" si="9"/>
        <v>3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70">
        <v>1</v>
      </c>
    </row>
    <row r="15" spans="1:42" ht="21" customHeight="1" x14ac:dyDescent="0.15">
      <c r="A15" s="16" t="str">
        <f t="shared" si="5"/>
        <v>40025_2-3/858&lt;lv80&gt;s1</v>
      </c>
      <c r="B15" s="22">
        <v>40025</v>
      </c>
      <c r="C15" s="159">
        <v>2</v>
      </c>
      <c r="D15" s="2" t="str">
        <f t="shared" si="6"/>
        <v>40025_2</v>
      </c>
      <c r="E15" s="4" t="str">
        <f ca="1">VLOOKUP($B15,OFFSET([2]quests!$A$1,0,0,COUNTA([2]quests!$A:$A),MATCH(E$1,[2]quests!$1:$1,0)-MATCH($B$1,[2]quests!$1:$1,0)+1),MATCH(E$1,[2]quests!$1:$1,0)-MATCH($B$1,[2]quests!$1:$1,0)+1,FALSE)</f>
        <v>ティアマト襲来！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【ウィザード級】ティアマト襲来</v>
      </c>
      <c r="G15" s="21">
        <v>3</v>
      </c>
      <c r="H15" s="15" t="str">
        <f t="shared" si="7"/>
        <v>40025_2-3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256</v>
      </c>
      <c r="L15" s="20">
        <v>858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Mr.ホエール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Drop2N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machine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80</v>
      </c>
      <c r="S15" s="160">
        <v>1</v>
      </c>
      <c r="T15" s="104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150555</v>
      </c>
      <c r="U15" s="160">
        <v>0.9</v>
      </c>
      <c r="V15" s="104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6385.5</v>
      </c>
      <c r="W15" s="5">
        <v>100000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絵本の世界から迷い込んできたようだ</v>
      </c>
      <c r="Y15" s="158">
        <v>40025810</v>
      </c>
      <c r="Z15" s="6">
        <v>1</v>
      </c>
      <c r="AA15" s="6">
        <v>100</v>
      </c>
      <c r="AB15" s="6">
        <v>0</v>
      </c>
      <c r="AC15" s="17">
        <v>1</v>
      </c>
      <c r="AD15" s="24">
        <f t="shared" si="8"/>
        <v>858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Mr.ホエール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Drop2N</v>
      </c>
      <c r="AH15" s="7">
        <v>1</v>
      </c>
      <c r="AI15" s="24">
        <f t="shared" ca="1" si="9"/>
        <v>4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70">
        <v>1</v>
      </c>
    </row>
    <row r="16" spans="1:42" ht="21" customHeight="1" x14ac:dyDescent="0.15">
      <c r="A16" s="16" t="str">
        <f t="shared" si="5"/>
        <v>40025_2-3/774&lt;lv80&gt;s2</v>
      </c>
      <c r="B16" s="22">
        <v>40025</v>
      </c>
      <c r="C16" s="159">
        <v>2</v>
      </c>
      <c r="D16" s="2" t="str">
        <f t="shared" si="6"/>
        <v>40025_2</v>
      </c>
      <c r="E16" s="4" t="str">
        <f ca="1">VLOOKUP($B16,OFFSET([2]quests!$A$1,0,0,COUNTA([2]quests!$A:$A),MATCH(E$1,[2]quests!$1:$1,0)-MATCH($B$1,[2]quests!$1:$1,0)+1),MATCH(E$1,[2]quests!$1:$1,0)-MATCH($B$1,[2]quests!$1:$1,0)+1,FALSE)</f>
        <v>ティアマト襲来！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【ウィザード級】ティアマト襲来</v>
      </c>
      <c r="G16" s="21">
        <v>3</v>
      </c>
      <c r="H16" s="15" t="str">
        <f t="shared" si="7"/>
        <v>40025_2-3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>
        <v>1</v>
      </c>
      <c r="L16" s="20">
        <v>774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ミズチ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PremiumS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dragon</v>
      </c>
      <c r="Q16" s="17">
        <f ca="1">VLOOKUP($L16,OFFSET([3]enemies!$A$1,0,0,COUNTA([3]enemies!$A:$A),MATCH(Q$1,[3]enemies!$1:$1,0)-MATCH($L$1,[3]enemies!$1:$1,0)+1),MATCH(Q$1,[3]enemies!$1:$1,0)-MATCH($L$1,[3]enemies!$1:$1,0)+1,FALSE)</f>
        <v>25</v>
      </c>
      <c r="R16" s="5">
        <v>80</v>
      </c>
      <c r="S16" s="160">
        <v>3.5</v>
      </c>
      <c r="T16" s="104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314916</v>
      </c>
      <c r="U16" s="160">
        <v>0.9</v>
      </c>
      <c r="V16" s="104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6013.8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ミズチはホエールの影から機を伺っている</v>
      </c>
      <c r="Y16" s="158">
        <v>40025830</v>
      </c>
      <c r="Z16" s="6">
        <v>1</v>
      </c>
      <c r="AA16" s="6">
        <v>100</v>
      </c>
      <c r="AB16" s="6">
        <v>0</v>
      </c>
      <c r="AC16" s="17">
        <v>2</v>
      </c>
      <c r="AD16" s="24">
        <f t="shared" si="8"/>
        <v>774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ミズチ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3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6" s="7">
        <v>1</v>
      </c>
      <c r="AI16" s="24">
        <f t="shared" ca="1" si="9"/>
        <v>3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70">
        <v>1</v>
      </c>
    </row>
    <row r="17" spans="1:42" ht="21" customHeight="1" x14ac:dyDescent="0.15">
      <c r="A17" s="16" t="str">
        <f t="shared" si="5"/>
        <v>40025_2-4/1063&lt;lv80&gt;s2</v>
      </c>
      <c r="B17" s="22">
        <v>40025</v>
      </c>
      <c r="C17" s="159">
        <v>2</v>
      </c>
      <c r="D17" s="2" t="str">
        <f t="shared" si="6"/>
        <v>40025_2</v>
      </c>
      <c r="E17" s="4" t="str">
        <f ca="1">VLOOKUP($B17,OFFSET([2]quests!$A$1,0,0,COUNTA([2]quests!$A:$A),MATCH(E$1,[2]quests!$1:$1,0)-MATCH($B$1,[2]quests!$1:$1,0)+1),MATCH(E$1,[2]quests!$1:$1,0)-MATCH($B$1,[2]quests!$1:$1,0)+1,FALSE)</f>
        <v>ティアマト襲来！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【ウィザード級】ティアマト襲来</v>
      </c>
      <c r="G17" s="21">
        <v>4</v>
      </c>
      <c r="H17" s="15" t="str">
        <f t="shared" si="7"/>
        <v>40025_2-4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>
        <v>1</v>
      </c>
      <c r="L17" s="20">
        <v>1063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ティアマト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DropWizS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god</v>
      </c>
      <c r="Q17" s="17">
        <f ca="1">VLOOKUP($L17,OFFSET([3]enemies!$A$1,0,0,COUNTA([3]enemies!$A:$A),MATCH(Q$1,[3]enemies!$1:$1,0)-MATCH($L$1,[3]enemies!$1:$1,0)+1),MATCH(Q$1,[3]enemies!$1:$1,0)-MATCH($L$1,[3]enemies!$1:$1,0)+1,FALSE)</f>
        <v>60</v>
      </c>
      <c r="R17" s="5">
        <v>80</v>
      </c>
      <c r="S17" s="160">
        <v>4.5</v>
      </c>
      <c r="T17" s="104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538681.5</v>
      </c>
      <c r="U17" s="160">
        <v>1.2</v>
      </c>
      <c r="V17" s="104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9608.4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フィーバーゲージ減少+ハートパネルドロップ率UP+_x000D_お邪魔パネルを5個生成+状態異常耐性</v>
      </c>
      <c r="Y17" s="158">
        <v>40025910</v>
      </c>
      <c r="Z17" s="6">
        <v>1</v>
      </c>
      <c r="AA17" s="6">
        <v>100</v>
      </c>
      <c r="AB17" s="6">
        <v>1</v>
      </c>
      <c r="AC17" s="17">
        <v>2</v>
      </c>
      <c r="AD17" s="24">
        <f t="shared" si="8"/>
        <v>1063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ティアマト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5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7" s="7">
        <v>1</v>
      </c>
      <c r="AI17" s="24">
        <f t="shared" ca="1" si="9"/>
        <v>5</v>
      </c>
      <c r="AJ17" s="8">
        <v>30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70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AA7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19" sqref="U19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3" t="s">
        <v>252</v>
      </c>
      <c r="V1" s="26" t="s">
        <v>50</v>
      </c>
      <c r="W1" s="103" t="s">
        <v>253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 t="shared" ref="A2:A7" si="0">B2&amp;"_"&amp;C2&amp;"-"&amp;G2&amp;"/"&amp;M2&amp;"&lt;lv"&amp;S2&amp;"&gt;sq"&amp;K2&amp;"st"&amp;L2</f>
        <v>40025_1-3/775&lt;lv80&gt;sq1st2</v>
      </c>
      <c r="B2" s="22">
        <v>40025</v>
      </c>
      <c r="C2" s="21">
        <v>1</v>
      </c>
      <c r="D2" s="2" t="str">
        <f t="shared" ref="D2:D7" si="1">B2&amp;"_"&amp;C2</f>
        <v>40025_1</v>
      </c>
      <c r="E2" s="4" t="str">
        <f ca="1">VLOOKUP($B2,OFFSET([2]quests!$A$1,0,0,COUNTA([2]quests!$A:$A),MATCH(E$1,[2]quests!$1:$1,0)-MATCH($B$1,[2]quests!$1:$1,0)+1),MATCH(E$1,[2]quests!$1:$1,0)-MATCH($B$1,[2]quests!$1:$1,0)+1,FALSE)</f>
        <v>ティアマト襲来！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【超絶級】ティアマト襲来</v>
      </c>
      <c r="G2" s="21">
        <v>3</v>
      </c>
      <c r="H2" s="15" t="str">
        <f t="shared" ref="H2:H7" si="2">B2&amp;"_"&amp;C2&amp;"-"&amp;G2</f>
        <v>40025_1-3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775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水底霊竜 ミズチ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80</v>
      </c>
      <c r="T2" s="25">
        <v>2.1</v>
      </c>
      <c r="U2" s="104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204695.4</v>
      </c>
      <c r="V2" s="25">
        <v>0.9</v>
      </c>
      <c r="W2" s="104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6254.1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ミズチの攻撃頻度UP</v>
      </c>
      <c r="Z2" s="4">
        <v>40025350</v>
      </c>
      <c r="AA2" s="71">
        <v>1</v>
      </c>
    </row>
    <row r="3" spans="1:27" ht="21" customHeight="1" x14ac:dyDescent="0.15">
      <c r="A3" s="16" t="str">
        <f t="shared" si="0"/>
        <v>40025_1-4/1063&lt;lv80&gt;sq1st2</v>
      </c>
      <c r="B3" s="22">
        <v>40025</v>
      </c>
      <c r="C3" s="21">
        <v>1</v>
      </c>
      <c r="D3" s="2" t="str">
        <f t="shared" si="1"/>
        <v>40025_1</v>
      </c>
      <c r="E3" s="4" t="str">
        <f ca="1">VLOOKUP($B3,OFFSET([2]quests!$A$1,0,0,COUNTA([2]quests!$A:$A),MATCH(E$1,[2]quests!$1:$1,0)-MATCH($B$1,[2]quests!$1:$1,0)+1),MATCH(E$1,[2]quests!$1:$1,0)-MATCH($B$1,[2]quests!$1:$1,0)+1,FALSE)</f>
        <v>ティアマト襲来！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【超絶級】ティアマト襲来</v>
      </c>
      <c r="G3" s="21">
        <v>4</v>
      </c>
      <c r="H3" s="15" t="str">
        <f t="shared" si="2"/>
        <v>40025_1-4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1063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ティアマト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4</v>
      </c>
      <c r="U3" s="104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478828</v>
      </c>
      <c r="V3" s="25">
        <v>0.8</v>
      </c>
      <c r="W3" s="104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6405.6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フィーバーゲージ減少+全パネルを青パネルに変換+_x000D_全てのプラス効果を解除+パネル変換禁止</v>
      </c>
      <c r="Z3" s="4">
        <v>40025430</v>
      </c>
      <c r="AA3" s="71">
        <v>1</v>
      </c>
    </row>
    <row r="4" spans="1:27" ht="21" customHeight="1" x14ac:dyDescent="0.15">
      <c r="A4" s="16" t="str">
        <f t="shared" si="0"/>
        <v>40025_1-4/1064&lt;lv80&gt;sq1st3</v>
      </c>
      <c r="B4" s="22">
        <v>40025</v>
      </c>
      <c r="C4" s="21">
        <v>1</v>
      </c>
      <c r="D4" s="2" t="str">
        <f t="shared" si="1"/>
        <v>40025_1</v>
      </c>
      <c r="E4" s="4" t="str">
        <f ca="1">VLOOKUP($B4,OFFSET([2]quests!$A$1,0,0,COUNTA([2]quests!$A:$A),MATCH(E$1,[2]quests!$1:$1,0)-MATCH($B$1,[2]quests!$1:$1,0)+1),MATCH(E$1,[2]quests!$1:$1,0)-MATCH($B$1,[2]quests!$1:$1,0)+1,FALSE)</f>
        <v>ティアマト襲来！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【超絶級】ティアマト襲来</v>
      </c>
      <c r="G4" s="21">
        <v>4</v>
      </c>
      <c r="H4" s="15" t="str">
        <f t="shared" si="2"/>
        <v>40025_1-4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3</v>
      </c>
      <c r="M4" s="20">
        <v>1064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混沌の猛飛沫 ティアマト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4.8</v>
      </c>
      <c r="U4" s="104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574593.6</v>
      </c>
      <c r="V4" s="25">
        <v>1</v>
      </c>
      <c r="W4" s="104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8007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フィーバーゲージ減少+ハートパネルドロップ率UP+_x000D_状態異常耐性+全てのプラス効果を解除</v>
      </c>
      <c r="Z4" s="4">
        <v>40025450</v>
      </c>
      <c r="AA4" s="71">
        <v>1</v>
      </c>
    </row>
    <row r="5" spans="1:27" ht="21" customHeight="1" x14ac:dyDescent="0.15">
      <c r="A5" s="16" t="str">
        <f t="shared" si="0"/>
        <v>40025_2-3/775&lt;lv80&gt;sq1st2</v>
      </c>
      <c r="B5" s="22">
        <v>40025</v>
      </c>
      <c r="C5" s="159">
        <v>2</v>
      </c>
      <c r="D5" s="2" t="str">
        <f t="shared" si="1"/>
        <v>40025_2</v>
      </c>
      <c r="E5" s="4" t="str">
        <f ca="1">VLOOKUP($B5,OFFSET([2]quests!$A$1,0,0,COUNTA([2]quests!$A:$A),MATCH(E$1,[2]quests!$1:$1,0)-MATCH($B$1,[2]quests!$1:$1,0)+1),MATCH(E$1,[2]quests!$1:$1,0)-MATCH($B$1,[2]quests!$1:$1,0)+1,FALSE)</f>
        <v>ティアマト襲来！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【ウィザード級】ティアマト襲来</v>
      </c>
      <c r="G5" s="21">
        <v>3</v>
      </c>
      <c r="H5" s="15" t="str">
        <f t="shared" si="2"/>
        <v>40025_2-3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38">
        <v>2</v>
      </c>
      <c r="M5" s="20">
        <v>775</v>
      </c>
      <c r="N5" s="17" t="str">
        <f ca="1">VLOOKUP($M5,OFFSET([3]enemies!$A$1,0,0,COUNTA([3]enemies!$A:$A),MATCH(N$1,[3]enemies!$1:$1,0)-MATCH($M$1,[3]enemies!$1:$1,0)+1),MATCH(N$1,[3]enemies!$1:$1,0)-MATCH($M$1,[3]enemies!$1:$1,0)+1,FALSE)</f>
        <v>水底霊竜 ミズチ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dragon</v>
      </c>
      <c r="R5" s="17">
        <f ca="1">VLOOKUP($M5,OFFSET([3]enemies!$A$1,0,0,COUNTA([3]enemies!$A:$A),MATCH(R$1,[3]enemies!$1:$1,0)-MATCH($M$1,[3]enemies!$1:$1,0)+1),MATCH(R$1,[3]enemies!$1:$1,0)-MATCH($M$1,[3]enemies!$1:$1,0)+1,FALSE)</f>
        <v>30</v>
      </c>
      <c r="S5" s="5">
        <v>80</v>
      </c>
      <c r="T5" s="160">
        <v>3</v>
      </c>
      <c r="U5" s="104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292422</v>
      </c>
      <c r="V5" s="160">
        <v>1</v>
      </c>
      <c r="W5" s="104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6949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ミズチの攻撃頻度UP</v>
      </c>
      <c r="Z5" s="161">
        <v>40025850</v>
      </c>
      <c r="AA5" s="71">
        <v>1</v>
      </c>
    </row>
    <row r="6" spans="1:27" ht="21" customHeight="1" x14ac:dyDescent="0.15">
      <c r="A6" s="16" t="str">
        <f t="shared" si="0"/>
        <v>40025_2-4/1063&lt;lv80&gt;sq1st2</v>
      </c>
      <c r="B6" s="22">
        <v>40025</v>
      </c>
      <c r="C6" s="159">
        <v>2</v>
      </c>
      <c r="D6" s="2" t="str">
        <f t="shared" si="1"/>
        <v>40025_2</v>
      </c>
      <c r="E6" s="4" t="str">
        <f ca="1">VLOOKUP($B6,OFFSET([2]quests!$A$1,0,0,COUNTA([2]quests!$A:$A),MATCH(E$1,[2]quests!$1:$1,0)-MATCH($B$1,[2]quests!$1:$1,0)+1),MATCH(E$1,[2]quests!$1:$1,0)-MATCH($B$1,[2]quests!$1:$1,0)+1,FALSE)</f>
        <v>ティアマト襲来！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【ウィザード級】ティアマト襲来</v>
      </c>
      <c r="G6" s="21">
        <v>4</v>
      </c>
      <c r="H6" s="15" t="str">
        <f t="shared" si="2"/>
        <v>40025_2-4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38">
        <v>2</v>
      </c>
      <c r="M6" s="20">
        <v>1063</v>
      </c>
      <c r="N6" s="17" t="str">
        <f ca="1">VLOOKUP($M6,OFFSET([3]enemies!$A$1,0,0,COUNTA([3]enemies!$A:$A),MATCH(N$1,[3]enemies!$1:$1,0)-MATCH($M$1,[3]enemies!$1:$1,0)+1),MATCH(N$1,[3]enemies!$1:$1,0)-MATCH($M$1,[3]enemies!$1:$1,0)+1,FALSE)</f>
        <v>ティアマト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80</v>
      </c>
      <c r="T6" s="160">
        <v>5</v>
      </c>
      <c r="U6" s="104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598535</v>
      </c>
      <c r="V6" s="160">
        <v>1</v>
      </c>
      <c r="W6" s="104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8007</v>
      </c>
      <c r="X6" s="5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フィーバーゲージ減少+全パネルを青パネルに変換+_x000D_全てのプラス効果を解除+パネル変換禁止</v>
      </c>
      <c r="Z6" s="161">
        <v>40025930</v>
      </c>
      <c r="AA6" s="71">
        <v>1</v>
      </c>
    </row>
    <row r="7" spans="1:27" ht="21" customHeight="1" x14ac:dyDescent="0.15">
      <c r="A7" s="16" t="str">
        <f t="shared" si="0"/>
        <v>40025_2-4/1064&lt;lv80&gt;sq1st3</v>
      </c>
      <c r="B7" s="22">
        <v>40025</v>
      </c>
      <c r="C7" s="159">
        <v>2</v>
      </c>
      <c r="D7" s="2" t="str">
        <f t="shared" si="1"/>
        <v>40025_2</v>
      </c>
      <c r="E7" s="4" t="str">
        <f ca="1">VLOOKUP($B7,OFFSET([2]quests!$A$1,0,0,COUNTA([2]quests!$A:$A),MATCH(E$1,[2]quests!$1:$1,0)-MATCH($B$1,[2]quests!$1:$1,0)+1),MATCH(E$1,[2]quests!$1:$1,0)-MATCH($B$1,[2]quests!$1:$1,0)+1,FALSE)</f>
        <v>ティアマト襲来！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【ウィザード級】ティアマト襲来</v>
      </c>
      <c r="G7" s="21">
        <v>4</v>
      </c>
      <c r="H7" s="15" t="str">
        <f t="shared" si="2"/>
        <v>40025_2-4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38">
        <v>3</v>
      </c>
      <c r="M7" s="20">
        <v>1064</v>
      </c>
      <c r="N7" s="17" t="str">
        <f ca="1">VLOOKUP($M7,OFFSET([3]enemies!$A$1,0,0,COUNTA([3]enemies!$A:$A),MATCH(N$1,[3]enemies!$1:$1,0)-MATCH($M$1,[3]enemies!$1:$1,0)+1),MATCH(N$1,[3]enemies!$1:$1,0)-MATCH($M$1,[3]enemies!$1:$1,0)+1,FALSE)</f>
        <v>混沌の猛飛沫 ティアマト</v>
      </c>
      <c r="O7" s="17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80</v>
      </c>
      <c r="T7" s="160">
        <v>6</v>
      </c>
      <c r="U7" s="104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718242</v>
      </c>
      <c r="V7" s="160">
        <v>1.4</v>
      </c>
      <c r="W7" s="104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11209.8</v>
      </c>
      <c r="X7" s="5">
        <v>0</v>
      </c>
      <c r="Y7" s="4" t="str">
        <f ca="1">VLOOKUP($Z7,OFFSET(enemy_skill_sets!$B$1,0,0,COUNTA(enemy_skill_sets!$B:$B),MATCH(N$1,enemy_skill_sets!$1:$1,0)-MATCH($Z$1,enemy_skill_sets!$1:$1,0)+2),MATCH(N$1,enemy_skill_sets!$1:$1,0)-MATCH($Z$1,enemy_skill_sets!$1:$1,0)+2,FALSE)</f>
        <v>フィーバーゲージ減少+ハートパネルドロップ率UP+_x000D_状態異常耐性+全てのプラス効果を解除</v>
      </c>
      <c r="Z7" s="161">
        <v>40025950</v>
      </c>
      <c r="AA7" s="71">
        <v>1</v>
      </c>
    </row>
  </sheetData>
  <sheetProtection selectLockedCells="1" selectUnlockedCells="1"/>
  <autoFilter ref="B1:AA5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R139"/>
  <sheetViews>
    <sheetView showGridLines="0" zoomScale="97" zoomScaleNormal="97" zoomScalePageLayoutView="97" workbookViewId="0">
      <pane xSplit="5" ySplit="1" topLeftCell="F122" activePane="bottomRight" state="frozen"/>
      <selection pane="topRight"/>
      <selection pane="bottomLeft"/>
      <selection pane="bottomRight" activeCell="B138" sqref="B138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3" si="0">B2&amp;"_"&amp;C2</f>
        <v>40025110_40025111</v>
      </c>
      <c r="B2" s="47">
        <v>40025110</v>
      </c>
      <c r="C2" s="47">
        <v>40025111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逆らうって言うなら_x000D_タダじゃすまさんぜ！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" s="47">
        <v>40025111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40025110_40025112</v>
      </c>
      <c r="B3" s="47">
        <v>40025110</v>
      </c>
      <c r="C3" s="47">
        <v>40025112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白虎奥義「邪覆」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1ターンお邪魔パネルドロップ率UP+攻撃</v>
      </c>
      <c r="F3" s="47">
        <v>40025112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:A11" si="1">B4&amp;"_"&amp;C4</f>
        <v>40025110_40025113</v>
      </c>
      <c r="B4" s="47">
        <v>40025110</v>
      </c>
      <c r="C4" s="47">
        <v>40025113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(表示しない)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4" s="47">
        <v>40025113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40025110_40025114</v>
      </c>
      <c r="B5" s="47">
        <v>40025110</v>
      </c>
      <c r="C5" s="47">
        <v>40025114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どうやらここまでか…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お邪魔パネルを5個生成</v>
      </c>
      <c r="F5" s="47">
        <v>40025114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" si="2">B6&amp;"_"&amp;C6</f>
        <v>40025130_40025131</v>
      </c>
      <c r="B6" s="47">
        <v>40025130</v>
      </c>
      <c r="C6" s="126">
        <v>40025131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よくここまでたどり着いた…_x000D_だがこの先は通さぬ！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6" s="126">
        <v>40025131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40025130_40025132</v>
      </c>
      <c r="B7" s="47">
        <v>40025130</v>
      </c>
      <c r="C7" s="126">
        <v>40025132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(表示しない)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7" s="126">
        <v>40025132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40025130_40025133</v>
      </c>
      <c r="B8" s="47">
        <v>40025130</v>
      </c>
      <c r="C8" s="126">
        <v>40025133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ブレイブリーインパクト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黄色パネルを吸収し、攻撃</v>
      </c>
      <c r="F8" s="126">
        <v>40025133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40025130_40025134</v>
      </c>
      <c r="B9" s="47">
        <v>40025130</v>
      </c>
      <c r="C9" s="126">
        <v>40025134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バースト・ロアリング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ブレイブリー・ライオンの攻撃力UP</v>
      </c>
      <c r="F9" s="126">
        <v>40025134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40025130_40025135</v>
      </c>
      <c r="B10" s="47">
        <v>40025130</v>
      </c>
      <c r="C10" s="126">
        <v>40025135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なかなかやるようだな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お邪魔パネルを吸収し、攻撃</v>
      </c>
      <c r="F10" s="126">
        <v>40025135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0" s="48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40025130_40025136</v>
      </c>
      <c r="B11" s="47">
        <v>40025130</v>
      </c>
      <c r="C11" s="126">
        <v>40025136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まさかこれ程とは…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お邪魔パネルを吸収し、攻撃</v>
      </c>
      <c r="F11" s="126">
        <v>40025136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:A35" si="3">B12&amp;"_"&amp;C12</f>
        <v>40025210_40025211</v>
      </c>
      <c r="B12" s="129">
        <v>40025210</v>
      </c>
      <c r="C12" s="47">
        <v>40025211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ここを通せぬ_x000D_理由があるのじゃ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全てのプラス効果を解除</v>
      </c>
      <c r="F12" s="47">
        <v>40025211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3"/>
        <v>40025210_40025212</v>
      </c>
      <c r="B13" s="129">
        <v>40025210</v>
      </c>
      <c r="C13" s="47">
        <v>40025212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玄武奥義「赤葬」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13" s="47">
        <v>40025212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3"/>
        <v>40025210_40025213</v>
      </c>
      <c r="B14" s="129">
        <v>40025210</v>
      </c>
      <c r="C14" s="47">
        <v>40025213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玄武奥義「黄離」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</v>
      </c>
      <c r="F14" s="47">
        <v>40025213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3"/>
        <v>40025210_40025214</v>
      </c>
      <c r="B15" s="129">
        <v>40025210</v>
      </c>
      <c r="C15" s="47">
        <v>40025214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玄武奥義「青締」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15" s="47">
        <v>40025214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3"/>
        <v>40025230_40025231</v>
      </c>
      <c r="B16" s="129">
        <v>40025230</v>
      </c>
      <c r="C16" s="126">
        <v>40025231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それでも彼女を_x000D_捕らえようと言うのか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6" s="126">
        <v>40025231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3"/>
        <v>40025230_40025232</v>
      </c>
      <c r="B17" s="129">
        <v>40025230</v>
      </c>
      <c r="C17" s="126">
        <v>40025232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ハードペネトレイター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2回連続全体攻撃_x000D_（種族マシン・ウエポンのユニットに大ダメージ)</v>
      </c>
      <c r="F17" s="126">
        <v>40025232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3"/>
        <v>40025230_40025233</v>
      </c>
      <c r="B18" s="129">
        <v>40025230</v>
      </c>
      <c r="C18" s="126">
        <v>40025233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ライフペネトレイター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2回連続全体攻撃_x000D_（種族ヒューマン・アニマルのユニットに大ダメージ)</v>
      </c>
      <c r="F18" s="126">
        <v>40025233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3"/>
        <v>40025230_40025234</v>
      </c>
      <c r="B19" s="129">
        <v>40025230</v>
      </c>
      <c r="C19" s="126">
        <v>40025234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カオスペネトレイター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2回連続全体攻撃_x000D_（種族アカデミア・Unknownのユニットに大ダメージ)</v>
      </c>
      <c r="F19" s="126">
        <v>40025234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3"/>
        <v>40025250_40025251</v>
      </c>
      <c r="B20" s="129">
        <v>40025250</v>
      </c>
      <c r="C20" s="47">
        <v>40025251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自由を求めて何が悪いんダ？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2ターンハートパネルドロップ率UP</v>
      </c>
      <c r="F20" s="47">
        <v>40025251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3"/>
        <v>40025250_40025252</v>
      </c>
      <c r="B21" s="129">
        <v>40025250</v>
      </c>
      <c r="C21" s="47">
        <v>40025252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永攻の回帰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攻撃タイプのユニットに大ダメージ</v>
      </c>
      <c r="F21" s="47">
        <v>40025252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3"/>
        <v>40025250_40025253</v>
      </c>
      <c r="B22" s="129">
        <v>40025250</v>
      </c>
      <c r="C22" s="47">
        <v>40025253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消失に至る病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2回連続全体攻撃_x000D_（体力・回復タイプのユニットに大ダメージ)</v>
      </c>
      <c r="F22" s="47">
        <v>40025253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3"/>
        <v>40025250_40025254</v>
      </c>
      <c r="B23" s="129">
        <v>40025250</v>
      </c>
      <c r="C23" s="47">
        <v>40025254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不可知の電脳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2回連続全体攻撃_x000D_（バランス・テクニカルタイプのユニットに大ダメージ)</v>
      </c>
      <c r="F23" s="47">
        <v>40025254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3"/>
        <v>40025310_40025311</v>
      </c>
      <c r="B24" s="130">
        <v>40025310</v>
      </c>
      <c r="C24" s="126">
        <v>40025311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ほぇ〜なんか変なところに_x000D_来ちゃったぉ〜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絵本の世界から迷い込んできたようだ</v>
      </c>
      <c r="F24" s="126">
        <v>40025311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3"/>
        <v>40025310_40025312</v>
      </c>
      <c r="B25" s="130">
        <v>40025310</v>
      </c>
      <c r="C25" s="126">
        <v>40025312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ほぇ〜〜♪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攻撃の意思はないようだ</v>
      </c>
      <c r="F25" s="126">
        <v>40025312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3"/>
        <v>40025310_40025313</v>
      </c>
      <c r="B26" s="130">
        <v>40025310</v>
      </c>
      <c r="C26" s="126">
        <v>40025313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うわぁ〜ん！　痛いぉ〜！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お邪魔パネルを2個生成</v>
      </c>
      <c r="F26" s="126">
        <v>40025313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3"/>
        <v>40025310_40025314</v>
      </c>
      <c r="B27" s="130">
        <v>40025310</v>
      </c>
      <c r="C27" s="126">
        <v>40025314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こんな狭いところには_x000D_いられないぉ〜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攻撃の意思はないようだ</v>
      </c>
      <c r="F27" s="126">
        <v>40025314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3"/>
        <v>40025310_40025315</v>
      </c>
      <c r="B28" s="130">
        <v>40025310</v>
      </c>
      <c r="C28" s="126">
        <v>40025315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もうこんなところ嫌だぉ〜！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お邪魔パネルを2個生成</v>
      </c>
      <c r="F28" s="126">
        <v>40025315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ref="A29:A30" si="4">B29&amp;"_"&amp;C29</f>
        <v>40025310_40025316</v>
      </c>
      <c r="B29" s="130">
        <v>40025310</v>
      </c>
      <c r="C29" s="126">
        <v>40025316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ほぇほぇ〜♪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周囲にぶつかりながら_x000D_絵本の世界に帰っていった</v>
      </c>
      <c r="F29" s="126">
        <v>40025316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4"/>
        <v>40025310_40025317</v>
      </c>
      <c r="B30" s="130">
        <v>40025310</v>
      </c>
      <c r="C30" s="126">
        <v>40025317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ほぇほぇ〜っ！！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暴れながら絵本の世界に帰っていった</v>
      </c>
      <c r="F30" s="126">
        <v>40025317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3"/>
        <v>40025330_40025331</v>
      </c>
      <c r="B31" s="130">
        <v>40025330</v>
      </c>
      <c r="C31" s="47">
        <v>40025331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これは…好機と見るべきか…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ミズチはホエールの影から機を伺っている</v>
      </c>
      <c r="F31" s="47">
        <v>40025331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3"/>
        <v>40025330_40025332</v>
      </c>
      <c r="B32" s="130">
        <v>40025330</v>
      </c>
      <c r="C32" s="47">
        <v>40025332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水竜衝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コスト35以上のユニットに大ダメージ</v>
      </c>
      <c r="F32" s="47">
        <v>40025332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3"/>
        <v>40025330_40025333</v>
      </c>
      <c r="B33" s="130">
        <v>40025330</v>
      </c>
      <c r="C33" s="47">
        <v>40025333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くっ…なんという不覚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ミズチはホエールに弾き飛ばされて、致命的なダメージ</v>
      </c>
      <c r="F33" s="47">
        <v>40025333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858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3"/>
        <v>40025350_40025351</v>
      </c>
      <c r="B34" s="130">
        <v>40025350</v>
      </c>
      <c r="C34" s="126">
        <v>40025351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我々を創り出したる主、_x000D_それを護るは当然至極…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ミズチの攻撃頻度UP</v>
      </c>
      <c r="F34" s="126">
        <v>40025351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3"/>
        <v>40025350_40025352</v>
      </c>
      <c r="B35" s="130">
        <v>40025350</v>
      </c>
      <c r="C35" s="126">
        <v>40025352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消えゆけ…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コスト35以上のユニットに大ダメージ</v>
      </c>
      <c r="F35" s="126">
        <v>40025352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ref="A36:A62" si="5">B36&amp;"_"&amp;C36</f>
        <v>40025410_40025411</v>
      </c>
      <c r="B36" s="131">
        <v>40025410</v>
      </c>
      <c r="C36" s="47">
        <v>40025411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この子はあたしのとっておきなんだから！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フィーバーゲージ減少+ハートパネルドロップ率UP+_x000D_お邪魔パネルを3個生成+状態異常耐性</v>
      </c>
      <c r="F36" s="47">
        <v>40025411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5"/>
        <v>40025410_40025412</v>
      </c>
      <c r="B37" s="131">
        <v>40025410</v>
      </c>
      <c r="C37" s="47">
        <v>40025412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ヴィアベル・クーゲル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3回連続全体攻撃（赤属性・回復タイプ・種族アニマルの_x000D_ユニットに大ダメージ)+お邪魔パネルを5個生成</v>
      </c>
      <c r="F37" s="47">
        <v>40025412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5"/>
        <v>40025410_40025413</v>
      </c>
      <c r="B38" s="131">
        <v>40025410</v>
      </c>
      <c r="C38" s="47">
        <v>40025413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ヴァッサーファル・アクスト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3回連続全体攻撃（黄属性・攻撃タイプ・種族ヒューマンの_x000D_ユニットに大ダメージ)+お邪魔パネルを5個生成</v>
      </c>
      <c r="F38" s="47">
        <v>40025413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5"/>
        <v>40025410_40025414</v>
      </c>
      <c r="B39" s="131">
        <v>40025410</v>
      </c>
      <c r="C39" s="47">
        <v>40025414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ブラウ・シュトゥルム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3回連続全体攻撃（緑属性・体力タイプ・種族マシンの_x000D_ユニットに大ダメージ)+お邪魔パネルを5個生成</v>
      </c>
      <c r="F39" s="47">
        <v>40025414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5"/>
        <v>40025410_40025415</v>
      </c>
      <c r="B40" s="131">
        <v>40025410</v>
      </c>
      <c r="C40" s="47">
        <v>40025415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その程度で、あたしを捕まえようなんて思ってたの？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お邪魔パネルを吸収し、攻撃</v>
      </c>
      <c r="F40" s="47">
        <v>40025415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40" s="48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55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5"/>
        <v>40025410_40025416</v>
      </c>
      <c r="B41" s="131">
        <v>40025410</v>
      </c>
      <c r="C41" s="47">
        <v>40025416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そろそろ辛くなってくる頃かしら？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お邪魔パネルを3個生成+攻撃</v>
      </c>
      <c r="F41" s="47">
        <v>40025416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55</v>
      </c>
      <c r="K41" s="48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5"/>
        <v>40025410_40025417</v>
      </c>
      <c r="B42" s="131">
        <v>40025410</v>
      </c>
      <c r="C42" s="47">
        <v>40025417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へぇ…なかなかやるのね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お邪魔パネルを吸収し、攻撃</v>
      </c>
      <c r="F42" s="47">
        <v>40025417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2" s="48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10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5"/>
        <v>40025410_40025418</v>
      </c>
      <c r="B43" s="131">
        <v>40025410</v>
      </c>
      <c r="C43" s="47">
        <v>40025418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じゃあ…少しだけ本気を出してあげる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残りHPの80%ダメージ！</v>
      </c>
      <c r="F43" s="47">
        <v>40025418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ref="A44:A45" si="6">B44&amp;"_"&amp;C44</f>
        <v>40025410_40025419</v>
      </c>
      <c r="B44" s="131">
        <v>40025410</v>
      </c>
      <c r="C44" s="47">
        <v>40025419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マルドゥク、そろそろ来る頃だと思っていたわ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ハートパネルドロップ率UP+お邪魔パネルを3個生成+_x000D_状態異常耐性</v>
      </c>
      <c r="F44" s="47">
        <v>40025419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1074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6"/>
        <v>40025410_40025419</v>
      </c>
      <c r="B45" s="131">
        <v>40025410</v>
      </c>
      <c r="C45" s="47">
        <v>40025419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マルドゥク、そろそろ来る頃だと思っていたわ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ハートパネルドロップ率UP+お邪魔パネルを3個生成+_x000D_状態異常耐性</v>
      </c>
      <c r="F45" s="47">
        <v>40025420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169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1075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ref="A46:A48" si="7">B46&amp;"_"&amp;C46</f>
        <v>40025410_40025421</v>
      </c>
      <c r="B46" s="131">
        <v>40025410</v>
      </c>
      <c r="C46" s="47">
        <v>40025421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イシュタル、あたしとギルのこと_x000D_邪魔しにきたのね？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フィーバーゲージ減少+ハートパネルドロップ率UP+_x000D_お邪魔パネルを3個生成+状態異常耐性</v>
      </c>
      <c r="F46" s="47">
        <v>40025421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168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1069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7"/>
        <v>40025410_40025421</v>
      </c>
      <c r="B47" s="131">
        <v>40025410</v>
      </c>
      <c r="C47" s="47">
        <v>40025421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イシュタル、あたしとギルのこと_x000D_邪魔しにきたのね？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フィーバーゲージ減少+ハートパネルドロップ率UP+_x000D_お邪魔パネルを3個生成+状態異常耐性</v>
      </c>
      <c r="F47" s="47">
        <v>40025422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167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1070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7"/>
        <v>40025410_40025421</v>
      </c>
      <c r="B48" s="131">
        <v>40025410</v>
      </c>
      <c r="C48" s="47">
        <v>40025421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イシュタル、あたしとギルのこと_x000D_邪魔しにきたのね？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フィーバーゲージ減少+ハートパネルドロップ率UP+_x000D_お邪魔パネルを3個生成+状態異常耐性</v>
      </c>
      <c r="F48" s="47">
        <v>40025423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166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1071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ref="A49:A50" si="8">B49&amp;"_"&amp;C49</f>
        <v>40025410_40025424</v>
      </c>
      <c r="B49" s="131">
        <v>40025410</v>
      </c>
      <c r="C49" s="47">
        <v>40025424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フンババ？　ギルのお仕置きだけじゃ_x000D_足りなかったみたいね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フィーバーゲージ減少+ハートパネルドロップ率UP+_x000D_お邪魔パネルを3個生成+状態異常耐性</v>
      </c>
      <c r="F49" s="47">
        <v>40025424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165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1061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8"/>
        <v>40025410_40025424</v>
      </c>
      <c r="B50" s="131">
        <v>40025410</v>
      </c>
      <c r="C50" s="47">
        <v>40025424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フンババ？　ギルのお仕置きだけじゃ_x000D_足りなかったみたいね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フィーバーゲージ減少+ハートパネルドロップ率UP+_x000D_お邪魔パネルを3個生成+状態異常耐性</v>
      </c>
      <c r="F50" s="47">
        <v>40025425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164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1062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5"/>
        <v>40025430_40025431</v>
      </c>
      <c r="B51" s="131">
        <v>40025430</v>
      </c>
      <c r="C51" s="126">
        <v>40025431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もっと深いところまで引きずり込んであげるわ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フィーバーゲージ減少+全パネルを青パネルに変換+_x000D_全てのプラス効果を解除+パネル変換禁止</v>
      </c>
      <c r="F51" s="126">
        <v>40025431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5"/>
        <v>40025430_40025432</v>
      </c>
      <c r="B52" s="131">
        <v>40025430</v>
      </c>
      <c r="C52" s="126">
        <v>40025432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灰海嘯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青以外のパネルをお邪魔パネルに変換</v>
      </c>
      <c r="F52" s="126">
        <v>40025432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5"/>
        <v>40025430_40025433</v>
      </c>
      <c r="B53" s="131">
        <v>40025430</v>
      </c>
      <c r="C53" s="126">
        <v>40025433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この青は混沌の青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青パネルを吸収し、攻撃</v>
      </c>
      <c r="F53" s="126">
        <v>40025433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5"/>
        <v>40025430_40025434</v>
      </c>
      <c r="B54" s="131">
        <v>40025430</v>
      </c>
      <c r="C54" s="126">
        <v>40025434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この青は創造の青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全パネルを青パネルに変換+回復</v>
      </c>
      <c r="F54" s="126">
        <v>40025434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ref="A55:A56" si="9">B55&amp;"_"&amp;C55</f>
        <v>40025430_40025435</v>
      </c>
      <c r="B55" s="131">
        <v>40025430</v>
      </c>
      <c r="C55" s="126">
        <v>40025435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もう、あなたの言いなりになんかならないわ！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全パネルを青パネルに変換+全てのプラス効果を解除+_x000D_パネル変換禁止</v>
      </c>
      <c r="F55" s="126">
        <v>40025435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129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1074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9"/>
        <v>40025430_40025435</v>
      </c>
      <c r="B56" s="131">
        <v>40025430</v>
      </c>
      <c r="C56" s="126">
        <v>40025435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もう、あなたの言いなりになんかならないわ！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全パネルを青パネルに変換+全てのプラス効果を解除+_x000D_パネル変換禁止</v>
      </c>
      <c r="F56" s="126">
        <v>40025436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1075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5"/>
        <v>40025450_40025451</v>
      </c>
      <c r="B57" s="131">
        <v>40025450</v>
      </c>
      <c r="C57" s="47">
        <v>40025451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あたしの自由は誰にも_x000D_奪わせたりしない！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フィーバーゲージ減少+ハートパネルドロップ率UP+_x000D_状態異常耐性+全てのプラス効果を解除</v>
      </c>
      <c r="F57" s="47">
        <v>40025451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5"/>
        <v>40025450_40025452</v>
      </c>
      <c r="B58" s="131">
        <v>40025450</v>
      </c>
      <c r="C58" s="47">
        <v>40025452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水司の氷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お邪魔パネルを5個生成+攻撃</v>
      </c>
      <c r="F58" s="47">
        <v>40025452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5"/>
        <v>40025450_40025453</v>
      </c>
      <c r="B59" s="131">
        <v>40025450</v>
      </c>
      <c r="C59" s="47">
        <v>40025453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プライマル・ヴォーテックス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残りHPの80%ダメージ！</v>
      </c>
      <c r="F59" s="47">
        <v>40025453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5"/>
        <v>40025450_40025454</v>
      </c>
      <c r="B60" s="131">
        <v>40025450</v>
      </c>
      <c r="C60" s="47">
        <v>40025454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生命の流動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お邪魔パネルを吸収し、回復</v>
      </c>
      <c r="F60" s="47">
        <v>40025454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5"/>
        <v>40025450_40025455</v>
      </c>
      <c r="B61" s="131">
        <v>40025450</v>
      </c>
      <c r="C61" s="47">
        <v>40025455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冷怒の相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ティアマトの攻撃力UP</v>
      </c>
      <c r="F61" s="47">
        <v>40025455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5"/>
        <v>40025450_40025456</v>
      </c>
      <c r="B62" s="131">
        <v>40025450</v>
      </c>
      <c r="C62" s="47">
        <v>40025456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生命の流動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お邪魔パネルを吸収し、回復</v>
      </c>
      <c r="F62" s="47">
        <v>40025456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ref="A63:A65" si="10">B63&amp;"_"&amp;C63</f>
        <v>40025450_40025457</v>
      </c>
      <c r="B63" s="131">
        <v>40025450</v>
      </c>
      <c r="C63" s="47">
        <v>40025457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なんでも思い通りになると_x000D_思ったら大間違いなんだから！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ハートパネルドロップ率UP+状態異常耐性+_x000D_全てのプラス効果を解除</v>
      </c>
      <c r="F63" s="47">
        <v>40025457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164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1074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10"/>
        <v>40025450_40025457</v>
      </c>
      <c r="B64" s="131">
        <v>40025450</v>
      </c>
      <c r="C64" s="47">
        <v>40025457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なんでも思い通りになると_x000D_思ったら大間違いなんだから！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ハートパネルドロップ率UP+状態異常耐性+_x000D_全てのプラス効果を解除</v>
      </c>
      <c r="F64" s="47">
        <v>40025458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165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1075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0"/>
        <v>40025450_40025459</v>
      </c>
      <c r="B65" s="131">
        <v>40025450</v>
      </c>
      <c r="C65" s="47">
        <v>40025459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あーもう！　あたしが悪かったわ！_x000D_悪かったってば！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ギルのことも捕まえるつもり？_x000D_…そう、止めても無駄みたいね</v>
      </c>
      <c r="F65" s="47">
        <v>40025459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 t="str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ref="A66" si="11">B66&amp;"_"&amp;C66</f>
        <v>40025450_40025460</v>
      </c>
      <c r="B66" s="131">
        <v>40025450</v>
      </c>
      <c r="C66" s="47">
        <v>40025460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あたしの負けね。先へ行きなさいよ。でも…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あなたがギルと戦う事ができるの…？</v>
      </c>
      <c r="F66" s="47">
        <v>40025460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166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1069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ref="A67:A68" si="12">B67&amp;"_"&amp;C67</f>
        <v>40025450_40025460</v>
      </c>
      <c r="B67" s="131">
        <v>40025450</v>
      </c>
      <c r="C67" s="47">
        <v>40025460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あたしの負けね。先へ行きなさいよ。でも…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あなたがギルと戦う事ができるの…？</v>
      </c>
      <c r="F67" s="47">
        <v>40025461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167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1070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2"/>
        <v>40025450_40025460</v>
      </c>
      <c r="B68" s="131">
        <v>40025450</v>
      </c>
      <c r="C68" s="47">
        <v>40025460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あたしの負けね。先へ行きなさいよ。でも…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あなたがギルと戦う事ができるの…？</v>
      </c>
      <c r="F68" s="47">
        <v>40025462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168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1071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ref="A69:A132" si="13">B69&amp;"_"&amp;C69</f>
        <v>40025450_40025463</v>
      </c>
      <c r="B69" s="135">
        <v>40025450</v>
      </c>
      <c r="C69" s="136">
        <v>40025463</v>
      </c>
      <c r="D69" s="137" t="str">
        <f ca="1">VLOOKUP($C69,OFFSET(enemy_skills!$A$1,0,0,COUNTA(enemy_skills!$A:$A),MATCH(D$1,enemy_skills!$1:$1,0)-MATCH("enemy_skill_id",enemy_skills!$1:$1,0)+1),MATCH(D$1,enemy_skills!$1:$1,0)-MATCH("enemy_skill_id",enemy_skills!$1:$1,0)+1,FALSE)</f>
        <v>（何よ…ちょっと遊んでただけじゃない…）</v>
      </c>
      <c r="E69" s="137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な、なんでもないわ！_x000D_…どうやら、あたしの負けみたいね。好きにしなさいよ</v>
      </c>
      <c r="F69" s="136">
        <v>40025463</v>
      </c>
      <c r="G69" s="13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13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169</v>
      </c>
      <c r="I69" s="13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13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13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13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13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13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1074</v>
      </c>
      <c r="O69" s="13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136"/>
      <c r="Q69" s="136"/>
      <c r="R69" s="136"/>
    </row>
    <row r="70" spans="1:18" ht="21" customHeight="1" thickBot="1" x14ac:dyDescent="0.2">
      <c r="A70" s="142" t="str">
        <f t="shared" si="13"/>
        <v>40025450_40025463</v>
      </c>
      <c r="B70" s="143">
        <v>40025450</v>
      </c>
      <c r="C70" s="144">
        <v>40025463</v>
      </c>
      <c r="D70" s="145" t="str">
        <f ca="1">VLOOKUP($C70,OFFSET(enemy_skills!$A$1,0,0,COUNTA(enemy_skills!$A:$A),MATCH(D$1,enemy_skills!$1:$1,0)-MATCH("enemy_skill_id",enemy_skills!$1:$1,0)+1),MATCH(D$1,enemy_skills!$1:$1,0)-MATCH("enemy_skill_id",enemy_skills!$1:$1,0)+1,FALSE)</f>
        <v>（何よ…ちょっと遊んでただけじゃない…）</v>
      </c>
      <c r="E70" s="145" t="str">
        <f ca="1">VLOOKUP($C70,OFFSET(enemy_skills!$A$1,0,0,COUNTA(enemy_skills!$A:$A),MATCH(E$1,enemy_skills!$1:$1,0)-MATCH("enemy_skill_id",enemy_skills!$1:$1,0)+1),MATCH(E$1,enemy_skills!$1:$1,0)-MATCH("enemy_skill_id",enemy_skills!$1:$1,0)+1,FALSE)</f>
        <v>な、なんでもないわ！_x000D_…どうやら、あたしの負けみたいね。好きにしなさいよ</v>
      </c>
      <c r="F70" s="144">
        <v>40025464</v>
      </c>
      <c r="G70" s="146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146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70" s="146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146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146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146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0" s="146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146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1075</v>
      </c>
      <c r="O70" s="146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144"/>
      <c r="Q70" s="144"/>
      <c r="R70" s="144"/>
    </row>
    <row r="71" spans="1:18" ht="21" customHeight="1" thickTop="1" x14ac:dyDescent="0.15">
      <c r="A71" s="39" t="str">
        <f t="shared" si="13"/>
        <v>40025610_40025611</v>
      </c>
      <c r="B71" s="139">
        <v>40025610</v>
      </c>
      <c r="C71" s="139">
        <v>40025611</v>
      </c>
      <c r="D71" s="140" t="str">
        <f ca="1">VLOOKUP($C71,OFFSET(enemy_skills!$A$1,0,0,COUNTA(enemy_skills!$A:$A),MATCH(D$1,enemy_skills!$1:$1,0)-MATCH("enemy_skill_id",enemy_skills!$1:$1,0)+1),MATCH(D$1,enemy_skills!$1:$1,0)-MATCH("enemy_skill_id",enemy_skills!$1:$1,0)+1,FALSE)</f>
        <v>逆らうって言うなら_x000D_タダじゃすまさんぜ！</v>
      </c>
      <c r="E71" s="140" t="str">
        <f ca="1">VLOOKUP($C71,OFFSET(enemy_skills!$A$1,0,0,COUNTA(enemy_skills!$A:$A),MATCH(E$1,enemy_skills!$1:$1,0)-MATCH("enemy_skill_id",enemy_skills!$1:$1,0)+1),MATCH(E$1,enemy_skills!$1:$1,0)-MATCH("enemy_skill_id",enemy_skills!$1:$1,0)+1,FALSE)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71" s="139">
        <v>40025611</v>
      </c>
      <c r="G71" s="141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141" t="str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1" s="141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141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141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141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141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141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141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139"/>
      <c r="Q71" s="139"/>
      <c r="R71" s="139"/>
    </row>
    <row r="72" spans="1:18" ht="21" customHeight="1" x14ac:dyDescent="0.15">
      <c r="A72" s="39" t="str">
        <f t="shared" si="13"/>
        <v>40025610_40025612</v>
      </c>
      <c r="B72" s="139">
        <v>40025610</v>
      </c>
      <c r="C72" s="139">
        <v>40025612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白虎奥義「邪覆」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1ターンお邪魔パネルドロップ率UP+攻撃</v>
      </c>
      <c r="F72" s="139">
        <v>40025612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3"/>
        <v>40025610_40025613</v>
      </c>
      <c r="B73" s="139">
        <v>40025610</v>
      </c>
      <c r="C73" s="139">
        <v>40025613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(表示しない)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73" s="139">
        <v>40025613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13"/>
        <v>40025610_40025614</v>
      </c>
      <c r="B74" s="139">
        <v>40025610</v>
      </c>
      <c r="C74" s="139">
        <v>40025614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どうやらここまでか…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お邪魔パネルを5個生成</v>
      </c>
      <c r="F74" s="139">
        <v>40025614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13"/>
        <v>40025630_40025631</v>
      </c>
      <c r="B75" s="139">
        <v>40025630</v>
      </c>
      <c r="C75" s="126">
        <v>40025631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よくここまでたどり着いた…_x000D_だがこの先は通さぬ！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75" s="126">
        <v>40025631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13"/>
        <v>40025630_40025632</v>
      </c>
      <c r="B76" s="139">
        <v>40025630</v>
      </c>
      <c r="C76" s="126">
        <v>40025632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(表示しない)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76" s="126">
        <v>40025632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13"/>
        <v>40025630_40025633</v>
      </c>
      <c r="B77" s="139">
        <v>40025630</v>
      </c>
      <c r="C77" s="126">
        <v>40025633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ブレイブリーインパクト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黄色パネルを吸収し、攻撃</v>
      </c>
      <c r="F77" s="126">
        <v>40025633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48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3"/>
        <v>40025630_40025634</v>
      </c>
      <c r="B78" s="139">
        <v>40025630</v>
      </c>
      <c r="C78" s="126">
        <v>40025634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バースト・ロアリング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ブレイブリー・ライオンの攻撃力UP</v>
      </c>
      <c r="F78" s="126">
        <v>40025634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13"/>
        <v>40025630_40025635</v>
      </c>
      <c r="B79" s="139">
        <v>40025630</v>
      </c>
      <c r="C79" s="126">
        <v>40025635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なかなかやるようだな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お邪魔パネルを吸収し、攻撃</v>
      </c>
      <c r="F79" s="126">
        <v>40025635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79" s="48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3"/>
        <v>40025630_40025636</v>
      </c>
      <c r="B80" s="139">
        <v>40025630</v>
      </c>
      <c r="C80" s="126">
        <v>40025636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まさかこれ程とは…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お邪魔パネルを吸収し、攻撃</v>
      </c>
      <c r="F80" s="126">
        <v>40025636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13"/>
        <v>40025710_40025711</v>
      </c>
      <c r="B81" s="129">
        <v>40025710</v>
      </c>
      <c r="C81" s="47">
        <v>40025711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ここを通せぬ_x000D_理由があるのじゃ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全てのプラス効果を解除</v>
      </c>
      <c r="F81" s="47">
        <v>40025711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 t="str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13"/>
        <v>40025710_40025712</v>
      </c>
      <c r="B82" s="129">
        <v>40025710</v>
      </c>
      <c r="C82" s="47">
        <v>40025712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玄武奥義「赤葬」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82" s="47">
        <v>40025712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 t="str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13"/>
        <v>40025710_40025713</v>
      </c>
      <c r="B83" s="129">
        <v>40025710</v>
      </c>
      <c r="C83" s="47">
        <v>40025713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玄武奥義「黄離」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</v>
      </c>
      <c r="F83" s="47">
        <v>40025713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 t="str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3" s="48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13"/>
        <v>40025710_40025714</v>
      </c>
      <c r="B84" s="129">
        <v>40025710</v>
      </c>
      <c r="C84" s="47">
        <v>40025714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玄武奥義「青締」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84" s="47">
        <v>40025714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 t="str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4" s="48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13"/>
        <v>40025730_40025731</v>
      </c>
      <c r="B85" s="129">
        <v>40025730</v>
      </c>
      <c r="C85" s="126">
        <v>40025731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それでも彼女を_x000D_捕らえようと言うのか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85" s="126">
        <v>40025731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 t="str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13"/>
        <v>40025730_40025732</v>
      </c>
      <c r="B86" s="129">
        <v>40025730</v>
      </c>
      <c r="C86" s="126">
        <v>40025732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ハードペネトレイター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2回連続全体攻撃_x000D_（種族マシン・ウエポンのユニットに大ダメージ)</v>
      </c>
      <c r="F86" s="126">
        <v>40025732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8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13"/>
        <v>40025730_40025733</v>
      </c>
      <c r="B87" s="129">
        <v>40025730</v>
      </c>
      <c r="C87" s="126">
        <v>40025733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ライフペネトレイター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2回連続全体攻撃_x000D_（種族ヒューマン・アニマルのユニットに大ダメージ)</v>
      </c>
      <c r="F87" s="126">
        <v>40025733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 t="str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7" s="48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13"/>
        <v>40025730_40025734</v>
      </c>
      <c r="B88" s="129">
        <v>40025730</v>
      </c>
      <c r="C88" s="126">
        <v>40025734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カオスペネトレイター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2回連続全体攻撃_x000D_（種族アカデミア・Unknownのユニットに大ダメージ)</v>
      </c>
      <c r="F88" s="126">
        <v>40025734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 t="str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8" s="48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13"/>
        <v>40025750_40025751</v>
      </c>
      <c r="B89" s="129">
        <v>40025750</v>
      </c>
      <c r="C89" s="47">
        <v>40025751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自由を求めて何が悪いんダ？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2ターンハートパネルドロップ率UP</v>
      </c>
      <c r="F89" s="47">
        <v>40025751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 t="str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13"/>
        <v>40025750_40025752</v>
      </c>
      <c r="B90" s="129">
        <v>40025750</v>
      </c>
      <c r="C90" s="47">
        <v>40025752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永攻の回帰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攻撃タイプのユニットに大ダメージ</v>
      </c>
      <c r="F90" s="47">
        <v>40025752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 t="str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0" s="48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0" s="48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13"/>
        <v>40025750_40025753</v>
      </c>
      <c r="B91" s="129">
        <v>40025750</v>
      </c>
      <c r="C91" s="47">
        <v>40025753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消失に至る病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2回連続全体攻撃_x000D_（体力・回復タイプのユニットに大ダメージ)</v>
      </c>
      <c r="F91" s="47">
        <v>40025753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 t="str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1" s="48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1" s="48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13"/>
        <v>40025750_40025754</v>
      </c>
      <c r="B92" s="129">
        <v>40025750</v>
      </c>
      <c r="C92" s="47">
        <v>40025754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不可知の電脳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2回連続全体攻撃_x000D_（バランス・テクニカルタイプのユニットに大ダメージ)</v>
      </c>
      <c r="F92" s="47">
        <v>40025754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 t="str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2" s="48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2" s="48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13"/>
        <v>40025810_40025811</v>
      </c>
      <c r="B93" s="130">
        <v>40025810</v>
      </c>
      <c r="C93" s="126">
        <v>40025811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ほぇ〜なんか変なところに_x000D_来ちゃったぉ〜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絵本の世界から迷い込んできたようだ</v>
      </c>
      <c r="F93" s="126">
        <v>40025811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 t="str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13"/>
        <v>40025810_40025812</v>
      </c>
      <c r="B94" s="130">
        <v>40025810</v>
      </c>
      <c r="C94" s="126">
        <v>40025812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ほぇ〜〜♪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攻撃の意思はないようだ</v>
      </c>
      <c r="F94" s="126">
        <v>40025812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94" s="48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13"/>
        <v>40025810_40025813</v>
      </c>
      <c r="B95" s="130">
        <v>40025810</v>
      </c>
      <c r="C95" s="126">
        <v>40025813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うわぁ〜ん！　痛いぉ〜！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お邪魔パネルを2個生成</v>
      </c>
      <c r="F95" s="126">
        <v>40025813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95" s="48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5" s="48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13"/>
        <v>40025810_40025814</v>
      </c>
      <c r="B96" s="130">
        <v>40025810</v>
      </c>
      <c r="C96" s="126">
        <v>40025814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こんな狭いところには_x000D_いられないぉ〜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攻撃の意思はないようだ</v>
      </c>
      <c r="F96" s="126">
        <v>40025814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8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96" s="48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13"/>
        <v>40025810_40025815</v>
      </c>
      <c r="B97" s="130">
        <v>40025810</v>
      </c>
      <c r="C97" s="126">
        <v>40025815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もうこんなところ嫌だぉ〜！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お邪魔パネルを2個生成</v>
      </c>
      <c r="F97" s="126">
        <v>40025815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8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97" s="48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13"/>
        <v>40025810_40025816</v>
      </c>
      <c r="B98" s="130">
        <v>40025810</v>
      </c>
      <c r="C98" s="126">
        <v>40025816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ほぇほぇ〜♪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周囲にぶつかりながら_x000D_絵本の世界に帰っていった</v>
      </c>
      <c r="F98" s="126">
        <v>40025816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98" s="48" t="str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8" s="48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98" s="48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13"/>
        <v>40025810_40025817</v>
      </c>
      <c r="B99" s="130">
        <v>40025810</v>
      </c>
      <c r="C99" s="126">
        <v>40025817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ほぇほぇ〜っ！！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暴れながら絵本の世界に帰っていった</v>
      </c>
      <c r="F99" s="126">
        <v>40025817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 t="str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9" s="48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99" s="48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13"/>
        <v>40025830_40025831</v>
      </c>
      <c r="B100" s="130">
        <v>40025830</v>
      </c>
      <c r="C100" s="47">
        <v>40025831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これは…好機と見るべきか…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ミズチはホエールの影から機を伺っている</v>
      </c>
      <c r="F100" s="47">
        <v>40025831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13"/>
        <v>40025830_40025832</v>
      </c>
      <c r="B101" s="130">
        <v>40025830</v>
      </c>
      <c r="C101" s="47">
        <v>40025832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水竜衝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コスト50以上のユニットに大ダメージ</v>
      </c>
      <c r="F101" s="47">
        <v>40025832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 t="str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1" s="48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1" s="48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13"/>
        <v>40025830_40025833</v>
      </c>
      <c r="B102" s="130">
        <v>40025830</v>
      </c>
      <c r="C102" s="47">
        <v>40025833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くっ…なんという不覚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ミズチはホエールに弾き飛ばされて、致命的なダメージ</v>
      </c>
      <c r="F102" s="47">
        <v>40025833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8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2" s="48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858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13"/>
        <v>40025850_40025851</v>
      </c>
      <c r="B103" s="130">
        <v>40025850</v>
      </c>
      <c r="C103" s="126">
        <v>40025851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我々を創り出したる主、_x000D_それを護るは当然至極…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ミズチの攻撃頻度UP</v>
      </c>
      <c r="F103" s="126">
        <v>40025851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 t="str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13"/>
        <v>40025850_40025852</v>
      </c>
      <c r="B104" s="130">
        <v>40025850</v>
      </c>
      <c r="C104" s="126">
        <v>40025852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消えゆけ…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コスト50以上のユニットに大ダメージ</v>
      </c>
      <c r="F104" s="126">
        <v>40025852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 t="str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4" s="48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4" s="48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13"/>
        <v>40025910_40025911</v>
      </c>
      <c r="B105" s="131">
        <v>40025910</v>
      </c>
      <c r="C105" s="47">
        <v>40025911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この子はあたしのとっておきなんだから！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フィーバーゲージ減少+ハートパネルドロップ率UP+_x000D_お邪魔パネルを5個生成+状態異常耐性</v>
      </c>
      <c r="F105" s="47">
        <v>40025911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 t="str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5" s="48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8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13"/>
        <v>40025910_40025912</v>
      </c>
      <c r="B106" s="131">
        <v>40025910</v>
      </c>
      <c r="C106" s="47">
        <v>40025912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ヴィアベル・クーゲル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3回連続全体攻撃（赤属性・回復タイプ・種族アニマルの_x000D_ユニットに大ダメージ)+お邪魔パネルを8個生成</v>
      </c>
      <c r="F106" s="47">
        <v>40025912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 t="str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6" s="48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6" s="48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13"/>
        <v>40025910_40025913</v>
      </c>
      <c r="B107" s="131">
        <v>40025910</v>
      </c>
      <c r="C107" s="47">
        <v>40025913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ヴァッサーファル・アクスト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3回連続全体攻撃（黄属性・攻撃タイプ・種族ヒューマンの_x000D_ユニットに大ダメージ)+お邪魔パネルを8個生成</v>
      </c>
      <c r="F107" s="47">
        <v>40025913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 t="str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7" s="48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7" s="48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13"/>
        <v>40025910_40025914</v>
      </c>
      <c r="B108" s="131">
        <v>40025910</v>
      </c>
      <c r="C108" s="47">
        <v>40025914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ブラウ・シュトゥルム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3回連続全体攻撃（緑属性・体力タイプ・種族マシンの_x000D_ユニットに大ダメージ)+お邪魔パネルを8個生成</v>
      </c>
      <c r="F108" s="47">
        <v>40025914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 t="str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8" s="48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8" s="48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13"/>
        <v>40025910_40025915</v>
      </c>
      <c r="B109" s="131">
        <v>40025910</v>
      </c>
      <c r="C109" s="47">
        <v>40025915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その程度で、あたしを捕まえようなんて思ってたの？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お邪魔パネルを吸収し、攻撃</v>
      </c>
      <c r="F109" s="47">
        <v>40025915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09" s="48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55</v>
      </c>
      <c r="L109" s="48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8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9" s="48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13"/>
        <v>40025910_40025916</v>
      </c>
      <c r="B110" s="131">
        <v>40025910</v>
      </c>
      <c r="C110" s="47">
        <v>40025916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そろそろ辛くなってくる頃かしら？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お邪魔パネルを6個生成+攻撃</v>
      </c>
      <c r="F110" s="47">
        <v>40025916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55</v>
      </c>
      <c r="K110" s="48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110" s="48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8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0" s="48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/>
    </row>
    <row r="111" spans="1:18" ht="21" customHeight="1" x14ac:dyDescent="0.15">
      <c r="A111" s="39" t="str">
        <f t="shared" si="13"/>
        <v>40025910_40025917</v>
      </c>
      <c r="B111" s="131">
        <v>40025910</v>
      </c>
      <c r="C111" s="47">
        <v>40025917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へぇ…なかなかやるのね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お邪魔パネルを吸収し、攻撃</v>
      </c>
      <c r="F111" s="47">
        <v>40025917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11" s="48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10</v>
      </c>
      <c r="L111" s="48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48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1" s="48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/>
    </row>
    <row r="112" spans="1:18" ht="21" customHeight="1" x14ac:dyDescent="0.15">
      <c r="A112" s="39" t="str">
        <f t="shared" si="13"/>
        <v>40025910_40025918</v>
      </c>
      <c r="B112" s="131">
        <v>40025910</v>
      </c>
      <c r="C112" s="47">
        <v>40025918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じゃあ…少しだけ本気を出してあげる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残りHPの80%ダメージ！</v>
      </c>
      <c r="F112" s="47">
        <v>40025918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8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 t="str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2" s="48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2" s="48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7"/>
      <c r="Q112" s="47"/>
      <c r="R112" s="47"/>
    </row>
    <row r="113" spans="1:18" ht="21" customHeight="1" x14ac:dyDescent="0.15">
      <c r="A113" s="39" t="str">
        <f t="shared" si="13"/>
        <v>40025910_40025919</v>
      </c>
      <c r="B113" s="131">
        <v>40025910</v>
      </c>
      <c r="C113" s="47">
        <v>40025919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マルドゥク、そろそろ来る頃だと思っていたわ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ハートパネルドロップ率UP+お邪魔パネルを5個生成+_x000D_状態異常耐性</v>
      </c>
      <c r="F113" s="47">
        <v>40025919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8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8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1074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13"/>
        <v>40025910_40025919</v>
      </c>
      <c r="B114" s="131">
        <v>40025910</v>
      </c>
      <c r="C114" s="47">
        <v>40025919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マルドゥク、そろそろ来る頃だと思っていたわ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ハートパネルドロップ率UP+お邪魔パネルを5個生成+_x000D_状態異常耐性</v>
      </c>
      <c r="F114" s="47">
        <v>40025920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169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8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8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1075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si="13"/>
        <v>40025910_40025921</v>
      </c>
      <c r="B115" s="131">
        <v>40025910</v>
      </c>
      <c r="C115" s="47">
        <v>40025921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イシュタル、あたしとギルのこと_x000D_邪魔しにきたのね？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フィーバーゲージ減少+ハートパネルドロップ率UP+_x000D_お邪魔パネルを5個生成+状態異常耐性</v>
      </c>
      <c r="F115" s="47">
        <v>40025921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168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48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8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1069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/>
    </row>
    <row r="116" spans="1:18" ht="21" customHeight="1" x14ac:dyDescent="0.15">
      <c r="A116" s="39" t="str">
        <f t="shared" si="13"/>
        <v>40025910_40025921</v>
      </c>
      <c r="B116" s="131">
        <v>40025910</v>
      </c>
      <c r="C116" s="47">
        <v>40025921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イシュタル、あたしとギルのこと_x000D_邪魔しにきたのね？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フィーバーゲージ減少+ハートパネルドロップ率UP+_x000D_お邪魔パネルを5個生成+状態異常耐性</v>
      </c>
      <c r="F116" s="47">
        <v>40025922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167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8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8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1070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7"/>
      <c r="Q116" s="47"/>
      <c r="R116" s="47"/>
    </row>
    <row r="117" spans="1:18" ht="21" customHeight="1" x14ac:dyDescent="0.15">
      <c r="A117" s="39" t="str">
        <f t="shared" si="13"/>
        <v>40025910_40025921</v>
      </c>
      <c r="B117" s="131">
        <v>40025910</v>
      </c>
      <c r="C117" s="47">
        <v>40025921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イシュタル、あたしとギルのこと_x000D_邪魔しにきたのね？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フィーバーゲージ減少+ハートパネルドロップ率UP+_x000D_お邪魔パネルを5個生成+状態異常耐性</v>
      </c>
      <c r="F117" s="47">
        <v>40025923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7" s="48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166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8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8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1071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  <row r="118" spans="1:18" ht="21" customHeight="1" x14ac:dyDescent="0.15">
      <c r="A118" s="39" t="str">
        <f t="shared" si="13"/>
        <v>40025910_40025924</v>
      </c>
      <c r="B118" s="131">
        <v>40025910</v>
      </c>
      <c r="C118" s="47">
        <v>40025924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フンババ？　ギルのお仕置きだけじゃ_x000D_足りなかったみたいね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フィーバーゲージ減少+ハートパネルドロップ率UP+_x000D_お邪魔パネルを5個生成+状態異常耐性</v>
      </c>
      <c r="F118" s="47">
        <v>40025924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165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8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8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1061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x14ac:dyDescent="0.15">
      <c r="A119" s="39" t="str">
        <f t="shared" si="13"/>
        <v>40025910_40025924</v>
      </c>
      <c r="B119" s="131">
        <v>40025910</v>
      </c>
      <c r="C119" s="47">
        <v>40025924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フンババ？　ギルのお仕置きだけじゃ_x000D_足りなかったみたいね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フィーバーゲージ減少+ハートパネルドロップ率UP+_x000D_お邪魔パネルを5個生成+状態異常耐性</v>
      </c>
      <c r="F119" s="47">
        <v>40025925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164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48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8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1062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/>
    </row>
    <row r="120" spans="1:18" ht="21" customHeight="1" x14ac:dyDescent="0.15">
      <c r="A120" s="39" t="str">
        <f t="shared" si="13"/>
        <v>40025930_40025931</v>
      </c>
      <c r="B120" s="131">
        <v>40025930</v>
      </c>
      <c r="C120" s="126">
        <v>40025931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もっと深いところまで引きずり込んであげるわ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フィーバーゲージ減少+全パネルを青パネルに変換+_x000D_全てのプラス効果を解除+パネル変換禁止</v>
      </c>
      <c r="F120" s="126">
        <v>40025931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 t="str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0" s="48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8" t="str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/>
    </row>
    <row r="121" spans="1:18" ht="21" customHeight="1" x14ac:dyDescent="0.15">
      <c r="A121" s="39" t="str">
        <f t="shared" si="13"/>
        <v>40025930_40025932</v>
      </c>
      <c r="B121" s="131">
        <v>40025930</v>
      </c>
      <c r="C121" s="126">
        <v>40025932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灰海嘯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青以外のパネルをお邪魔パネルに変換</v>
      </c>
      <c r="F121" s="126">
        <v>40025932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 t="str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1" s="48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1" s="48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/>
    </row>
    <row r="122" spans="1:18" ht="21" customHeight="1" x14ac:dyDescent="0.15">
      <c r="A122" s="39" t="str">
        <f t="shared" si="13"/>
        <v>40025930_40025933</v>
      </c>
      <c r="B122" s="131">
        <v>40025930</v>
      </c>
      <c r="C122" s="126">
        <v>40025933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この青は混沌の青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青パネルを吸収し、攻撃</v>
      </c>
      <c r="F122" s="126">
        <v>40025933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 t="str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2" s="48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2" s="48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/>
    </row>
    <row r="123" spans="1:18" ht="21" customHeight="1" x14ac:dyDescent="0.15">
      <c r="A123" s="39" t="str">
        <f t="shared" si="13"/>
        <v>40025930_40025934</v>
      </c>
      <c r="B123" s="131">
        <v>40025930</v>
      </c>
      <c r="C123" s="126">
        <v>40025934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この青は創造の青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全パネルを青パネルに変換+回復</v>
      </c>
      <c r="F123" s="126">
        <v>40025934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 t="str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3" s="48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23" s="48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/>
    </row>
    <row r="124" spans="1:18" ht="21" customHeight="1" x14ac:dyDescent="0.15">
      <c r="A124" s="39" t="str">
        <f t="shared" si="13"/>
        <v>40025930_40025935</v>
      </c>
      <c r="B124" s="131">
        <v>40025930</v>
      </c>
      <c r="C124" s="126">
        <v>40025935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もう、あなたの言いなりになんかならないわ！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全パネルを青パネルに変換+全てのプラス効果を解除+_x000D_パネル変換禁止</v>
      </c>
      <c r="F124" s="126">
        <v>40025935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129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4" s="48" t="str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4" s="48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1074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/>
    </row>
    <row r="125" spans="1:18" ht="21" customHeight="1" x14ac:dyDescent="0.15">
      <c r="A125" s="39" t="str">
        <f t="shared" si="13"/>
        <v>40025930_40025935</v>
      </c>
      <c r="B125" s="131">
        <v>40025930</v>
      </c>
      <c r="C125" s="126">
        <v>40025935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もう、あなたの言いなりになんかならないわ！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全パネルを青パネルに変換+全てのプラス効果を解除+_x000D_パネル変換禁止</v>
      </c>
      <c r="F125" s="126">
        <v>40025936</v>
      </c>
      <c r="G125" s="48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5" s="48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25" s="48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8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8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8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5" s="48" t="str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5" s="48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1075</v>
      </c>
      <c r="O125" s="48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7"/>
      <c r="Q125" s="47"/>
      <c r="R125" s="47"/>
    </row>
    <row r="126" spans="1:18" ht="21" customHeight="1" x14ac:dyDescent="0.15">
      <c r="A126" s="39" t="str">
        <f t="shared" si="13"/>
        <v>40025950_40025951</v>
      </c>
      <c r="B126" s="131">
        <v>40025950</v>
      </c>
      <c r="C126" s="47">
        <v>40025951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あたしの自由は誰にも_x000D_奪わせたりしない！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フィーバーゲージ減少+ハートパネルドロップ率UP+_x000D_状態異常耐性+全てのプラス効果を解除</v>
      </c>
      <c r="F126" s="47">
        <v>40025951</v>
      </c>
      <c r="G126" s="48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6" s="48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6" s="48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8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8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8" t="str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6" s="48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48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48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7"/>
      <c r="Q126" s="47"/>
      <c r="R126" s="47"/>
    </row>
    <row r="127" spans="1:18" ht="21" customHeight="1" x14ac:dyDescent="0.15">
      <c r="A127" s="39" t="str">
        <f t="shared" si="13"/>
        <v>40025950_40025952</v>
      </c>
      <c r="B127" s="131">
        <v>40025950</v>
      </c>
      <c r="C127" s="47">
        <v>40025952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水司の氷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お邪魔パネルを10個生成+攻撃</v>
      </c>
      <c r="F127" s="47">
        <v>40025952</v>
      </c>
      <c r="G127" s="48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8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7" s="48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8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8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8" t="str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7" s="48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7" s="48" t="str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7" s="48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7"/>
      <c r="Q127" s="47"/>
      <c r="R127" s="47"/>
    </row>
    <row r="128" spans="1:18" ht="21" customHeight="1" x14ac:dyDescent="0.15">
      <c r="A128" s="39" t="str">
        <f t="shared" si="13"/>
        <v>40025950_40025953</v>
      </c>
      <c r="B128" s="131">
        <v>40025950</v>
      </c>
      <c r="C128" s="47">
        <v>40025953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プライマル・ヴォーテックス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残りHPの95%ダメージ！</v>
      </c>
      <c r="F128" s="47">
        <v>40025953</v>
      </c>
      <c r="G128" s="48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8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28" s="48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8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8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8" t="str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8" s="48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8" s="48" t="str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8" s="48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7"/>
      <c r="Q128" s="47"/>
      <c r="R128" s="47"/>
    </row>
    <row r="129" spans="1:18" ht="21" customHeight="1" x14ac:dyDescent="0.15">
      <c r="A129" s="39" t="str">
        <f t="shared" si="13"/>
        <v>40025950_40025954</v>
      </c>
      <c r="B129" s="131">
        <v>40025950</v>
      </c>
      <c r="C129" s="47">
        <v>40025954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生命の流動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お邪魔パネルを吸収し、回復</v>
      </c>
      <c r="F129" s="47">
        <v>40025954</v>
      </c>
      <c r="G129" s="48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8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29" s="48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8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8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8" t="str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9" s="48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9" s="48" t="str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9" s="48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7"/>
      <c r="Q129" s="47"/>
      <c r="R129" s="47"/>
    </row>
    <row r="130" spans="1:18" ht="21" customHeight="1" x14ac:dyDescent="0.15">
      <c r="A130" s="39" t="str">
        <f t="shared" si="13"/>
        <v>40025950_40025955</v>
      </c>
      <c r="B130" s="131">
        <v>40025950</v>
      </c>
      <c r="C130" s="47">
        <v>40025955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冷怒の相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ティアマトの攻撃力UP</v>
      </c>
      <c r="F130" s="47">
        <v>40025955</v>
      </c>
      <c r="G130" s="48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8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30" s="48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8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0" s="48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8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0" s="48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0" s="48" t="str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0" s="48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7"/>
      <c r="Q130" s="47"/>
      <c r="R130" s="47"/>
    </row>
    <row r="131" spans="1:18" ht="21" customHeight="1" x14ac:dyDescent="0.15">
      <c r="A131" s="39" t="str">
        <f t="shared" si="13"/>
        <v>40025950_40025956</v>
      </c>
      <c r="B131" s="131">
        <v>40025950</v>
      </c>
      <c r="C131" s="47">
        <v>40025956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生命の流動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お邪魔パネルを吸収し、回復</v>
      </c>
      <c r="F131" s="47">
        <v>40025956</v>
      </c>
      <c r="G131" s="4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31" s="4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8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1" s="4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8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1" s="48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31" s="48" t="str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1" s="4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7"/>
      <c r="Q131" s="47"/>
      <c r="R131" s="47"/>
    </row>
    <row r="132" spans="1:18" ht="21" customHeight="1" x14ac:dyDescent="0.15">
      <c r="A132" s="39" t="str">
        <f t="shared" si="13"/>
        <v>40025950_40025957</v>
      </c>
      <c r="B132" s="131">
        <v>40025950</v>
      </c>
      <c r="C132" s="47">
        <v>40025957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なんでも思い通りになると_x000D_思ったら大間違いなんだから！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ハートパネルドロップ率UP+状態異常耐性+_x000D_全てのプラス効果を解除</v>
      </c>
      <c r="F132" s="47">
        <v>40025957</v>
      </c>
      <c r="G132" s="48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2" s="48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164</v>
      </c>
      <c r="I132" s="48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8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8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8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2" s="48" t="str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2" s="48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1074</v>
      </c>
      <c r="O132" s="48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7"/>
      <c r="Q132" s="47"/>
      <c r="R132" s="47"/>
    </row>
    <row r="133" spans="1:18" ht="21" customHeight="1" x14ac:dyDescent="0.15">
      <c r="A133" s="39" t="str">
        <f t="shared" ref="A133:A139" si="14">B133&amp;"_"&amp;C133</f>
        <v>40025950_40025957</v>
      </c>
      <c r="B133" s="131">
        <v>40025950</v>
      </c>
      <c r="C133" s="47">
        <v>40025957</v>
      </c>
      <c r="D133" s="46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なんでも思い通りになると_x000D_思ったら大間違いなんだから！</v>
      </c>
      <c r="E133" s="46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ハートパネルドロップ率UP+状態異常耐性+_x000D_全てのプラス効果を解除</v>
      </c>
      <c r="F133" s="47">
        <v>40025958</v>
      </c>
      <c r="G133" s="48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3" s="48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165</v>
      </c>
      <c r="I133" s="48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8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8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8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3" s="48" t="str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3" s="48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1075</v>
      </c>
      <c r="O133" s="48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7"/>
      <c r="Q133" s="47"/>
      <c r="R133" s="47"/>
    </row>
    <row r="134" spans="1:18" ht="21" customHeight="1" x14ac:dyDescent="0.15">
      <c r="A134" s="39" t="str">
        <f t="shared" si="14"/>
        <v>40025950_40025959</v>
      </c>
      <c r="B134" s="131">
        <v>40025950</v>
      </c>
      <c r="C134" s="47">
        <v>40025959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あーもう！　あたしが悪かったわ！_x000D_悪かったってば！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ギルのことも捕まえるつもり？_x000D_…そう、止めても無駄みたいね</v>
      </c>
      <c r="F134" s="47">
        <v>40025959</v>
      </c>
      <c r="G134" s="48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4" s="48" t="str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4" s="48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8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8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8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4" s="48" t="str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4" s="48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34" s="48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7"/>
      <c r="Q134" s="47"/>
      <c r="R134" s="47"/>
    </row>
    <row r="135" spans="1:18" ht="21" customHeight="1" x14ac:dyDescent="0.15">
      <c r="A135" s="39" t="str">
        <f t="shared" si="14"/>
        <v>40025950_40025960</v>
      </c>
      <c r="B135" s="131">
        <v>40025950</v>
      </c>
      <c r="C135" s="47">
        <v>40025960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あたしの負けね。先へ行きなさいよ。でも…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あなたがギルと戦う事ができるの…？</v>
      </c>
      <c r="F135" s="47">
        <v>40025960</v>
      </c>
      <c r="G135" s="48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5" s="48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166</v>
      </c>
      <c r="I135" s="48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8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8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8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5" s="48" t="str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5" s="48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1069</v>
      </c>
      <c r="O135" s="48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7"/>
      <c r="Q135" s="47"/>
      <c r="R135" s="47"/>
    </row>
    <row r="136" spans="1:18" ht="21" customHeight="1" x14ac:dyDescent="0.15">
      <c r="A136" s="39" t="str">
        <f t="shared" si="14"/>
        <v>40025950_40025960</v>
      </c>
      <c r="B136" s="131">
        <v>40025950</v>
      </c>
      <c r="C136" s="47">
        <v>40025960</v>
      </c>
      <c r="D136" s="46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あたしの負けね。先へ行きなさいよ。でも…</v>
      </c>
      <c r="E136" s="46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あなたがギルと戦う事ができるの…？</v>
      </c>
      <c r="F136" s="47">
        <v>40025961</v>
      </c>
      <c r="G136" s="48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6" s="48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167</v>
      </c>
      <c r="I136" s="48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8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8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8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6" s="48" t="str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6" s="48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1070</v>
      </c>
      <c r="O136" s="48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7"/>
      <c r="Q136" s="47"/>
      <c r="R136" s="47"/>
    </row>
    <row r="137" spans="1:18" ht="21" customHeight="1" x14ac:dyDescent="0.15">
      <c r="A137" s="39" t="str">
        <f t="shared" si="14"/>
        <v>40025950_40025960</v>
      </c>
      <c r="B137" s="131">
        <v>40025950</v>
      </c>
      <c r="C137" s="47">
        <v>40025960</v>
      </c>
      <c r="D137" s="4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あたしの負けね。先へ行きなさいよ。でも…</v>
      </c>
      <c r="E137" s="4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あなたがギルと戦う事ができるの…？</v>
      </c>
      <c r="F137" s="47">
        <v>40025962</v>
      </c>
      <c r="G137" s="48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48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168</v>
      </c>
      <c r="I137" s="48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8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8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8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7" s="48" t="str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7" s="48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1071</v>
      </c>
      <c r="O137" s="48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7"/>
      <c r="Q137" s="47"/>
      <c r="R137" s="47"/>
    </row>
    <row r="138" spans="1:18" ht="21" customHeight="1" x14ac:dyDescent="0.15">
      <c r="A138" s="39" t="str">
        <f t="shared" si="14"/>
        <v>40025950_40025963</v>
      </c>
      <c r="B138" s="131">
        <v>40025950</v>
      </c>
      <c r="C138" s="47">
        <v>40025963</v>
      </c>
      <c r="D138" s="46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（何よ…ちょっと遊んでただけじゃない…）</v>
      </c>
      <c r="E138" s="46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な、なんでもないわ！_x000D_…どうやら、あたしの負けみたいね。好きにしなさいよ</v>
      </c>
      <c r="F138" s="47">
        <v>40025963</v>
      </c>
      <c r="G138" s="48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48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169</v>
      </c>
      <c r="I138" s="48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8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8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8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8" s="48" t="str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8" s="48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1074</v>
      </c>
      <c r="O138" s="48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7"/>
      <c r="Q138" s="47"/>
      <c r="R138" s="47"/>
    </row>
    <row r="139" spans="1:18" ht="21" customHeight="1" x14ac:dyDescent="0.15">
      <c r="A139" s="39" t="str">
        <f t="shared" si="14"/>
        <v>40025950_40025963</v>
      </c>
      <c r="B139" s="131">
        <v>40025950</v>
      </c>
      <c r="C139" s="47">
        <v>40025963</v>
      </c>
      <c r="D139" s="46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（何よ…ちょっと遊んでただけじゃない…）</v>
      </c>
      <c r="E139" s="46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な、なんでもないわ！_x000D_…どうやら、あたしの負けみたいね。好きにしなさいよ</v>
      </c>
      <c r="F139" s="47">
        <v>40025964</v>
      </c>
      <c r="G139" s="48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48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139" s="48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8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8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8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9" s="48" t="str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9" s="48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1075</v>
      </c>
      <c r="O139" s="48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7"/>
      <c r="Q139" s="47"/>
      <c r="R13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AB121"/>
  <sheetViews>
    <sheetView showGridLines="0" tabSelected="1" workbookViewId="0">
      <pane ySplit="1" topLeftCell="A21" activePane="bottomLeft" state="frozenSplit"/>
      <selection pane="bottomLeft" activeCell="F33" sqref="F33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33" customHeight="1" x14ac:dyDescent="0.15">
      <c r="A2" s="47">
        <v>40025111</v>
      </c>
      <c r="B2" s="47" t="s">
        <v>328</v>
      </c>
      <c r="C2" s="50">
        <v>3</v>
      </c>
      <c r="D2" s="50" t="s">
        <v>128</v>
      </c>
      <c r="E2" s="51" t="s">
        <v>324</v>
      </c>
      <c r="F2" s="51" t="s">
        <v>329</v>
      </c>
      <c r="G2" s="64" t="str">
        <f t="shared" ref="G2:G11" si="0">IFERROR(LEFT(B2,FIND("],",B2)),B2)</f>
        <v>[effect:enemy_message, val1:2, val2:0]</v>
      </c>
      <c r="H2" s="64">
        <f t="shared" ref="H2:H11" si="1">FIND("effect:",G2)+7</f>
        <v>9</v>
      </c>
      <c r="I2" s="64">
        <f t="shared" ref="I2:I11" si="2">IFERROR(FIND(",",G2),LEN(G2))</f>
        <v>22</v>
      </c>
      <c r="J2" s="64" t="e">
        <f t="shared" ref="J2:J11" si="3">FIND("target:",G2)+7</f>
        <v>#VALUE!</v>
      </c>
      <c r="K2" s="64">
        <f t="shared" ref="K2:K11" si="4">FIND(",",G2,I2+1)</f>
        <v>30</v>
      </c>
      <c r="L2" s="64" t="str">
        <f>IFERROR(VLOOKUP(MID(G2,J2,K2-J2),[5]skilldef!$C:$D,2,FALSE),"-") &amp; " / " &amp; IFERROR(VLOOKUP(MID(G2,H2,I2-H2),[5]skilldef!$A:$B,2,FALSE),"-")</f>
        <v>- / -</v>
      </c>
      <c r="M2" s="64" t="str">
        <f t="shared" ref="M2:M11" si="5">IFERROR(RIGHT(B2,LEN(B2)-FIND("],",B2)-1),"none")</f>
        <v>[effect:fix_speed, target:myself, turn:2]</v>
      </c>
      <c r="N2" s="48" t="str">
        <f>IFERROR(LEFT(M2,FIND("],",M2)+S13),M2)</f>
        <v>[effect:fix_speed, target:myself, turn:2]</v>
      </c>
      <c r="O2" s="64">
        <f t="shared" ref="O2:O11" si="6">FIND("effect:",N2)+7</f>
        <v>9</v>
      </c>
      <c r="P2" s="64">
        <f t="shared" ref="P2:P11" si="7">IFERROR(FIND(",",N2),LEN(N2))</f>
        <v>18</v>
      </c>
      <c r="Q2" s="64">
        <f t="shared" ref="Q2:Q11" si="8">FIND("target:",N2)+7</f>
        <v>27</v>
      </c>
      <c r="R2" s="64">
        <f t="shared" ref="R2:R11" si="9">FIND(",",N2,P2+1)</f>
        <v>33</v>
      </c>
      <c r="S2" s="64" t="str">
        <f>IFERROR(VLOOKUP(MID(N2,Q2,R2-Q2),[5]skilldef!$C:$D,2,FALSE),"-") &amp; " / " &amp; IFERROR(VLOOKUP(MID(N2,O2,P2-O2),[5]skilldef!$A:$B,2,FALSE),"-")</f>
        <v>自分自身に / 行動値設定</v>
      </c>
      <c r="T2" s="48" t="str">
        <f t="shared" ref="T2:T11" si="10">IFERROR(RIGHT(M2,LEN(M2)-FIND("],",M2)-1),"none")</f>
        <v>none</v>
      </c>
      <c r="U2" s="64" t="e">
        <f t="shared" ref="U2:U11" si="11">FIND("effect:",T2)+7</f>
        <v>#VALUE!</v>
      </c>
      <c r="V2" s="64">
        <f t="shared" ref="V2:V11" si="12">IFERROR(FIND(",",T2),LEN(T2))</f>
        <v>4</v>
      </c>
      <c r="W2" s="64" t="e">
        <f t="shared" ref="W2:W11" si="13">FIND("target:",T2)+7</f>
        <v>#VALUE!</v>
      </c>
      <c r="X2" s="64" t="e">
        <f t="shared" ref="X2:X11" si="14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40025112</v>
      </c>
      <c r="B3" s="47" t="s">
        <v>400</v>
      </c>
      <c r="C3" s="50">
        <v>3</v>
      </c>
      <c r="D3" s="50" t="s">
        <v>128</v>
      </c>
      <c r="E3" s="51" t="s">
        <v>271</v>
      </c>
      <c r="F3" s="51" t="s">
        <v>303</v>
      </c>
      <c r="G3" s="64" t="str">
        <f t="shared" si="0"/>
        <v>[effect:drop_block, block_type:jammer, color:block_all, val:0, rate:0.2, turn:1, animation:jammer_influence04]</v>
      </c>
      <c r="H3" s="64">
        <f t="shared" si="1"/>
        <v>9</v>
      </c>
      <c r="I3" s="64">
        <f t="shared" si="2"/>
        <v>19</v>
      </c>
      <c r="J3" s="64" t="e">
        <f t="shared" si="3"/>
        <v>#VALUE!</v>
      </c>
      <c r="K3" s="64">
        <f t="shared" si="4"/>
        <v>38</v>
      </c>
      <c r="L3" s="64" t="str">
        <f>IFERROR(VLOOKUP(MID(G3,J3,K3-J3),[5]skilldef!$C:$D,2,FALSE),"-") &amp; " / " &amp; IFERROR(VLOOKUP(MID(G3,H3,I3-H3),[5]skilldef!$A:$B,2,FALSE),"-")</f>
        <v>- / 特定ブロックの割合ドロップ</v>
      </c>
      <c r="M3" s="64" t="str">
        <f t="shared" si="5"/>
        <v>[effect:critical, val:0.78],[effect:fix_speed, target:myself, turn:1]</v>
      </c>
      <c r="N3" s="48" t="str">
        <f>IFERROR(LEFT(M3,FIND("],",M3)+S13),M3)</f>
        <v>[effect:critical, val:0.78],[effect:fix_speed, target:myself, turn:1]</v>
      </c>
      <c r="O3" s="64">
        <f t="shared" si="6"/>
        <v>9</v>
      </c>
      <c r="P3" s="64">
        <f t="shared" si="7"/>
        <v>17</v>
      </c>
      <c r="Q3" s="64">
        <f t="shared" si="8"/>
        <v>55</v>
      </c>
      <c r="R3" s="64">
        <f t="shared" si="9"/>
        <v>28</v>
      </c>
      <c r="S3" s="64" t="str">
        <f>IFERROR(VLOOKUP(MID(N3,Q3,R3-Q3),[5]skilldef!$C:$D,2,FALSE),"-") &amp; " / " &amp; IFERROR(VLOOKUP(MID(N3,O3,P3-O3),[5]skilldef!$A:$B,2,FALSE),"-")</f>
        <v>- / 大攻撃</v>
      </c>
      <c r="T3" s="48" t="str">
        <f t="shared" si="10"/>
        <v>[effect:fix_speed, target:myself, turn:1]</v>
      </c>
      <c r="U3" s="64">
        <f t="shared" si="11"/>
        <v>9</v>
      </c>
      <c r="V3" s="64">
        <f t="shared" si="12"/>
        <v>18</v>
      </c>
      <c r="W3" s="64">
        <f t="shared" si="13"/>
        <v>27</v>
      </c>
      <c r="X3" s="64">
        <f t="shared" si="14"/>
        <v>33</v>
      </c>
      <c r="Y3" s="64" t="str">
        <f>IFERROR(VLOOKUP(MID(T3,W3,X3-W3),[5]skilldef!$C:$D,2,FALSE),"-") &amp; " / " &amp; IFERROR(VLOOKUP(MID(T3,U3,V3-U3),[5]skilldef!$A:$B,2,FALSE),"-")</f>
        <v>自分自身に / 行動値設定</v>
      </c>
      <c r="Z3" s="50"/>
      <c r="AA3" s="52"/>
      <c r="AB3" s="50"/>
    </row>
    <row r="4" spans="1:28" ht="21" customHeight="1" x14ac:dyDescent="0.15">
      <c r="A4" s="47">
        <v>40025113</v>
      </c>
      <c r="B4" s="47" t="s">
        <v>392</v>
      </c>
      <c r="C4" s="50">
        <v>3</v>
      </c>
      <c r="D4" s="50" t="s">
        <v>128</v>
      </c>
      <c r="E4" s="51" t="s">
        <v>329</v>
      </c>
      <c r="F4" s="51" t="s">
        <v>329</v>
      </c>
      <c r="G4" s="64" t="str">
        <f t="shared" si="0"/>
        <v>[effect:enemy_message, val1:0, val2:0]</v>
      </c>
      <c r="H4" s="64">
        <f t="shared" si="1"/>
        <v>9</v>
      </c>
      <c r="I4" s="64">
        <f t="shared" si="2"/>
        <v>22</v>
      </c>
      <c r="J4" s="64" t="e">
        <f t="shared" si="3"/>
        <v>#VALUE!</v>
      </c>
      <c r="K4" s="64">
        <f t="shared" si="4"/>
        <v>30</v>
      </c>
      <c r="L4" s="64" t="str">
        <f>IFERROR(VLOOKUP(MID(G4,J4,K4-J4),[5]skilldef!$C:$D,2,FALSE),"-") &amp; " / " &amp; IFERROR(VLOOKUP(MID(G4,H4,I4-H4),[5]skilldef!$A:$B,2,FALSE),"-")</f>
        <v>- / -</v>
      </c>
      <c r="M4" s="64" t="str">
        <f t="shared" si="5"/>
        <v>[effect:critical, val:1],[effect:fix_speed, target:myself, turn:2]</v>
      </c>
      <c r="N4" s="48" t="str">
        <f>IFERROR(LEFT(M4,FIND("],",M4)+S15),M4)</f>
        <v>[effect:critical, val:1],[effect:fix_speed, target:myself, turn:2]</v>
      </c>
      <c r="O4" s="64">
        <f t="shared" si="6"/>
        <v>9</v>
      </c>
      <c r="P4" s="64">
        <f t="shared" si="7"/>
        <v>17</v>
      </c>
      <c r="Q4" s="64">
        <f t="shared" si="8"/>
        <v>52</v>
      </c>
      <c r="R4" s="64">
        <f t="shared" si="9"/>
        <v>25</v>
      </c>
      <c r="S4" s="64" t="str">
        <f>IFERROR(VLOOKUP(MID(N4,Q4,R4-Q4),[5]skilldef!$C:$D,2,FALSE),"-") &amp; " / " &amp; IFERROR(VLOOKUP(MID(N4,O4,P4-O4),[5]skilldef!$A:$B,2,FALSE),"-")</f>
        <v>- / 大攻撃</v>
      </c>
      <c r="T4" s="48" t="str">
        <f t="shared" si="10"/>
        <v>[effect:fix_speed, target:myself, turn:2]</v>
      </c>
      <c r="U4" s="64">
        <f t="shared" si="11"/>
        <v>9</v>
      </c>
      <c r="V4" s="64">
        <f t="shared" si="12"/>
        <v>18</v>
      </c>
      <c r="W4" s="64">
        <f t="shared" si="13"/>
        <v>27</v>
      </c>
      <c r="X4" s="64">
        <f t="shared" si="14"/>
        <v>33</v>
      </c>
      <c r="Y4" s="64" t="str">
        <f>IFERROR(VLOOKUP(MID(T4,W4,X4-W4),[5]skilldef!$C:$D,2,FALSE),"-") &amp; " / " &amp; IFERROR(VLOOKUP(MID(T4,U4,V4-U4),[5]skilldef!$A:$B,2,FALSE),"-")</f>
        <v>自分自身に / 行動値設定</v>
      </c>
      <c r="Z4" s="50"/>
      <c r="AA4" s="52"/>
      <c r="AB4" s="50"/>
    </row>
    <row r="5" spans="1:28" ht="21" customHeight="1" x14ac:dyDescent="0.15">
      <c r="A5" s="47">
        <v>40025114</v>
      </c>
      <c r="B5" s="47" t="s">
        <v>484</v>
      </c>
      <c r="C5" s="50">
        <v>3</v>
      </c>
      <c r="D5" s="50" t="s">
        <v>128</v>
      </c>
      <c r="E5" s="51" t="s">
        <v>306</v>
      </c>
      <c r="F5" s="51" t="s">
        <v>304</v>
      </c>
      <c r="G5" s="64" t="str">
        <f t="shared" si="0"/>
        <v>[effect:force_change_block, new_block:jammer, target:block_all, ignore01:block_positive, ignore02:block_negative, count:5, val:0]</v>
      </c>
      <c r="H5" s="64">
        <f t="shared" si="1"/>
        <v>9</v>
      </c>
      <c r="I5" s="64">
        <f t="shared" si="2"/>
        <v>27</v>
      </c>
      <c r="J5" s="64">
        <f t="shared" si="3"/>
        <v>54</v>
      </c>
      <c r="K5" s="64">
        <f t="shared" si="4"/>
        <v>45</v>
      </c>
      <c r="L5" s="64" t="str">
        <f>IFERROR(VLOOKUP(MID(G5,J5,K5-J5),[5]skilldef!$C:$D,2,FALSE),"-") &amp; " / " &amp; IFERROR(VLOOKUP(MID(G5,H5,I5-H5),[5]skilldef!$A:$B,2,FALSE),"-")</f>
        <v>- / -</v>
      </c>
      <c r="M5" s="64" t="str">
        <f t="shared" si="5"/>
        <v>[effect:suicide, val:1, dead_type:suicide, target:myself, animation:enemy_suicide]</v>
      </c>
      <c r="N5" s="48" t="str">
        <f>IFERROR(LEFT(M5,FIND("],",M5)+S16),M5)</f>
        <v>[effect:suicide, val:1, dead_type:suicide, target:myself, animation:enemy_suicide]</v>
      </c>
      <c r="O5" s="64">
        <f t="shared" si="6"/>
        <v>9</v>
      </c>
      <c r="P5" s="64">
        <f t="shared" si="7"/>
        <v>16</v>
      </c>
      <c r="Q5" s="64">
        <f t="shared" si="8"/>
        <v>51</v>
      </c>
      <c r="R5" s="64">
        <f t="shared" si="9"/>
        <v>23</v>
      </c>
      <c r="S5" s="64" t="str">
        <f>IFERROR(VLOOKUP(MID(N5,Q5,R5-Q5),[5]skilldef!$C:$D,2,FALSE),"-") &amp; " / " &amp; IFERROR(VLOOKUP(MID(N5,O5,P5-O5),[5]skilldef!$A:$B,2,FALSE),"-")</f>
        <v>- / -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30" customHeight="1" x14ac:dyDescent="0.15">
      <c r="A6" s="47">
        <v>40025131</v>
      </c>
      <c r="B6" s="126" t="s">
        <v>386</v>
      </c>
      <c r="C6" s="50">
        <v>3</v>
      </c>
      <c r="D6" s="127" t="s">
        <v>128</v>
      </c>
      <c r="E6" s="128" t="s">
        <v>325</v>
      </c>
      <c r="F6" s="128" t="s">
        <v>329</v>
      </c>
      <c r="G6" s="64" t="str">
        <f t="shared" ref="G6" si="15">IFERROR(LEFT(B6,FIND("],",B6)),B6)</f>
        <v>[effect:enemy_message, val1:2, val2:0]</v>
      </c>
      <c r="H6" s="64">
        <f t="shared" si="1"/>
        <v>9</v>
      </c>
      <c r="I6" s="64">
        <f t="shared" ref="I6" si="16">IFERROR(FIND(",",G6),LEN(G6))</f>
        <v>22</v>
      </c>
      <c r="J6" s="64" t="e">
        <f t="shared" ref="J6" si="17">FIND("target:",G6)+7</f>
        <v>#VALUE!</v>
      </c>
      <c r="K6" s="64">
        <f t="shared" ref="K6" si="18">FIND(",",G6,I6+1)</f>
        <v>30</v>
      </c>
      <c r="L6" s="64" t="str">
        <f>IFERROR(VLOOKUP(MID(G6,J6,K6-J6),[5]skilldef!$C:$D,2,FALSE),"-") &amp; " / " &amp; IFERROR(VLOOKUP(MID(G6,H6,I6-H6),[5]skilldef!$A:$B,2,FALSE),"-")</f>
        <v>- / -</v>
      </c>
      <c r="M6" s="64" t="str">
        <f t="shared" ref="M6" si="19">IFERROR(RIGHT(B6,LEN(B6)-FIND("],",B6)-1),"none")</f>
        <v>[effect:fix_speed, target:myself, turn:2]</v>
      </c>
      <c r="N6" s="48" t="str">
        <f>IFERROR(LEFT(M6,FIND("],",M6)+S16),M6)</f>
        <v>[effect:fix_speed, target:myself, turn:2]</v>
      </c>
      <c r="O6" s="64">
        <f t="shared" si="6"/>
        <v>9</v>
      </c>
      <c r="P6" s="64">
        <f t="shared" ref="P6" si="20">IFERROR(FIND(",",N6),LEN(N6))</f>
        <v>18</v>
      </c>
      <c r="Q6" s="64">
        <f t="shared" ref="Q6" si="21">FIND("target:",N6)+7</f>
        <v>27</v>
      </c>
      <c r="R6" s="64">
        <f t="shared" ref="R6" si="22">FIND(",",N6,P6+1)</f>
        <v>33</v>
      </c>
      <c r="S6" s="64" t="str">
        <f>IFERROR(VLOOKUP(MID(N6,Q6,R6-Q6),[5]skilldef!$C:$D,2,FALSE),"-") &amp; " / " &amp; IFERROR(VLOOKUP(MID(N6,O6,P6-O6),[5]skilldef!$A:$B,2,FALSE),"-")</f>
        <v>自分自身に / 行動値設定</v>
      </c>
      <c r="T6" s="48" t="str">
        <f t="shared" ref="T6" si="23">IFERROR(RIGHT(M6,LEN(M6)-FIND("],",M6)-1),"none")</f>
        <v>none</v>
      </c>
      <c r="U6" s="64" t="e">
        <f t="shared" si="11"/>
        <v>#VALUE!</v>
      </c>
      <c r="V6" s="64">
        <f t="shared" ref="V6" si="24">IFERROR(FIND(",",T6),LEN(T6))</f>
        <v>4</v>
      </c>
      <c r="W6" s="64" t="e">
        <f t="shared" ref="W6" si="25">FIND("target:",T6)+7</f>
        <v>#VALUE!</v>
      </c>
      <c r="X6" s="64" t="e">
        <f t="shared" ref="X6" si="26">FIND(",",T6,V6+1)</f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40025132</v>
      </c>
      <c r="B7" s="126" t="s">
        <v>384</v>
      </c>
      <c r="C7" s="50">
        <v>3</v>
      </c>
      <c r="D7" s="127" t="s">
        <v>128</v>
      </c>
      <c r="E7" s="128" t="s">
        <v>329</v>
      </c>
      <c r="F7" s="128" t="s">
        <v>329</v>
      </c>
      <c r="G7" s="64" t="str">
        <f t="shared" si="0"/>
        <v>[effect:enemy_message, val1:0, val2:0]</v>
      </c>
      <c r="H7" s="64">
        <f t="shared" si="1"/>
        <v>9</v>
      </c>
      <c r="I7" s="64">
        <f t="shared" si="2"/>
        <v>22</v>
      </c>
      <c r="J7" s="64" t="e">
        <f t="shared" si="3"/>
        <v>#VALUE!</v>
      </c>
      <c r="K7" s="64">
        <f t="shared" si="4"/>
        <v>30</v>
      </c>
      <c r="L7" s="64" t="str">
        <f>IFERROR(VLOOKUP(MID(G7,J7,K7-J7),[5]skilldef!$C:$D,2,FALSE),"-") &amp; " / " &amp; IFERROR(VLOOKUP(MID(G7,H7,I7-H7),[5]skilldef!$A:$B,2,FALSE),"-")</f>
        <v>- / -</v>
      </c>
      <c r="M7" s="64" t="str">
        <f t="shared" si="5"/>
        <v>[effect:critical, val:1],[effect:fix_speed, target:myself, turn:1]</v>
      </c>
      <c r="N7" s="48" t="str">
        <f>IFERROR(LEFT(M7,FIND("],",M7)+#REF!),M7)</f>
        <v>[effect:critical, val:1],[effect:fix_speed, target:myself, turn:1]</v>
      </c>
      <c r="O7" s="64">
        <f t="shared" si="6"/>
        <v>9</v>
      </c>
      <c r="P7" s="64">
        <f t="shared" si="7"/>
        <v>17</v>
      </c>
      <c r="Q7" s="64">
        <f t="shared" si="8"/>
        <v>52</v>
      </c>
      <c r="R7" s="64">
        <f t="shared" si="9"/>
        <v>25</v>
      </c>
      <c r="S7" s="64" t="str">
        <f>IFERROR(VLOOKUP(MID(N7,Q7,R7-Q7),[5]skilldef!$C:$D,2,FALSE),"-") &amp; " / " &amp; IFERROR(VLOOKUP(MID(N7,O7,P7-O7),[5]skilldef!$A:$B,2,FALSE),"-")</f>
        <v>- / 大攻撃</v>
      </c>
      <c r="T7" s="48" t="str">
        <f t="shared" si="10"/>
        <v>[effect:fix_speed, target:myself, turn:1]</v>
      </c>
      <c r="U7" s="64">
        <f t="shared" si="11"/>
        <v>9</v>
      </c>
      <c r="V7" s="64">
        <f t="shared" si="12"/>
        <v>18</v>
      </c>
      <c r="W7" s="64">
        <f t="shared" si="13"/>
        <v>27</v>
      </c>
      <c r="X7" s="64">
        <f t="shared" si="14"/>
        <v>33</v>
      </c>
      <c r="Y7" s="64" t="str">
        <f>IFERROR(VLOOKUP(MID(T7,W7,X7-W7),[5]skilldef!$C:$D,2,FALSE),"-") &amp; " / " &amp; IFERROR(VLOOKUP(MID(T7,U7,V7-U7),[5]skilldef!$A:$B,2,FALSE),"-")</f>
        <v>自分自身に / 行動値設定</v>
      </c>
      <c r="Z7" s="50"/>
      <c r="AA7" s="52"/>
      <c r="AB7" s="50"/>
    </row>
    <row r="8" spans="1:28" ht="21" customHeight="1" x14ac:dyDescent="0.15">
      <c r="A8" s="47">
        <v>40025133</v>
      </c>
      <c r="B8" s="126" t="s">
        <v>390</v>
      </c>
      <c r="C8" s="50">
        <v>3</v>
      </c>
      <c r="D8" s="127" t="s">
        <v>128</v>
      </c>
      <c r="E8" s="128" t="s">
        <v>272</v>
      </c>
      <c r="F8" s="128" t="s">
        <v>305</v>
      </c>
      <c r="G8" s="64" t="str">
        <f t="shared" si="0"/>
        <v>[effect:break_attack_fix, target:unit_all, val:105, lowest_val:0, count:-1, color:yellow, block01:block_yellow]</v>
      </c>
      <c r="H8" s="64">
        <f t="shared" si="1"/>
        <v>9</v>
      </c>
      <c r="I8" s="64">
        <f t="shared" si="2"/>
        <v>25</v>
      </c>
      <c r="J8" s="64">
        <f t="shared" si="3"/>
        <v>34</v>
      </c>
      <c r="K8" s="64">
        <f t="shared" si="4"/>
        <v>42</v>
      </c>
      <c r="L8" s="64" t="str">
        <f>IFERROR(VLOOKUP(MID(G8,J8,K8-J8),[5]skilldef!$C:$D,2,FALSE),"-") &amp; " / " &amp; IFERROR(VLOOKUP(MID(G8,H8,I8-H8),[5]skilldef!$A:$B,2,FALSE),"-")</f>
        <v>味方全体に / -</v>
      </c>
      <c r="M8" s="64" t="str">
        <f t="shared" si="5"/>
        <v>[effect:fix_speed, target:myself, turn:2]</v>
      </c>
      <c r="N8" s="48" t="str">
        <f>IFERROR(LEFT(M8,FIND("],",M8)+S17),M8)</f>
        <v>[effect:fix_speed, target:myself, turn:2]</v>
      </c>
      <c r="O8" s="64">
        <f t="shared" si="6"/>
        <v>9</v>
      </c>
      <c r="P8" s="64">
        <f t="shared" si="7"/>
        <v>18</v>
      </c>
      <c r="Q8" s="64">
        <f t="shared" si="8"/>
        <v>27</v>
      </c>
      <c r="R8" s="64">
        <f t="shared" si="9"/>
        <v>33</v>
      </c>
      <c r="S8" s="64" t="str">
        <f>IFERROR(VLOOKUP(MID(N8,Q8,R8-Q8),[5]skilldef!$C:$D,2,FALSE),"-") &amp; " / " &amp; IFERROR(VLOOKUP(MID(N8,O8,P8-O8),[5]skilldef!$A:$B,2,FALSE),"-")</f>
        <v>自分自身に / 行動値設定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40" customHeight="1" x14ac:dyDescent="0.15">
      <c r="A9" s="47">
        <v>40025134</v>
      </c>
      <c r="B9" s="126" t="s">
        <v>363</v>
      </c>
      <c r="C9" s="50">
        <v>3</v>
      </c>
      <c r="D9" s="127" t="s">
        <v>128</v>
      </c>
      <c r="E9" s="128" t="s">
        <v>362</v>
      </c>
      <c r="F9" s="128" t="s">
        <v>383</v>
      </c>
      <c r="G9" s="64" t="str">
        <f t="shared" si="0"/>
        <v>[effect:enhance_enemy, target:myself, turn:-1, status:attack, val:0.2, calc:mul, animation:enemy_enhance_attack]</v>
      </c>
      <c r="H9" s="64">
        <f t="shared" si="1"/>
        <v>9</v>
      </c>
      <c r="I9" s="64">
        <f t="shared" si="2"/>
        <v>22</v>
      </c>
      <c r="J9" s="64">
        <f t="shared" si="3"/>
        <v>31</v>
      </c>
      <c r="K9" s="64">
        <f t="shared" si="4"/>
        <v>37</v>
      </c>
      <c r="L9" s="64" t="str">
        <f>IFERROR(VLOOKUP(MID(G9,J9,K9-J9),[5]skilldef!$C:$D,2,FALSE),"-") &amp; " / " &amp; IFERROR(VLOOKUP(MID(G9,H9,I9-H9),[5]skilldef!$A:$B,2,FALSE),"-")</f>
        <v>自分自身に / ステータス強化</v>
      </c>
      <c r="M9" s="64" t="str">
        <f t="shared" si="5"/>
        <v>[effect:fix_speed, target:myself, turn:1]</v>
      </c>
      <c r="N9" s="48" t="str">
        <f>IFERROR(LEFT(M9,FIND("],",M9)+S19),M9)</f>
        <v>[effect:fix_speed, target:myself, turn:1]</v>
      </c>
      <c r="O9" s="64">
        <f t="shared" si="6"/>
        <v>9</v>
      </c>
      <c r="P9" s="64">
        <f t="shared" si="7"/>
        <v>18</v>
      </c>
      <c r="Q9" s="64">
        <f t="shared" si="8"/>
        <v>27</v>
      </c>
      <c r="R9" s="64">
        <f t="shared" si="9"/>
        <v>33</v>
      </c>
      <c r="S9" s="64" t="str">
        <f>IFERROR(VLOOKUP(MID(N9,Q9,R9-Q9),[5]skilldef!$C:$D,2,FALSE),"-") &amp; " / " &amp; IFERROR(VLOOKUP(MID(N9,O9,P9-O9),[5]skilldef!$A:$B,2,FALSE),"-")</f>
        <v>自分自身に / 行動値設定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40025135</v>
      </c>
      <c r="B10" s="126" t="s">
        <v>387</v>
      </c>
      <c r="C10" s="50">
        <v>3</v>
      </c>
      <c r="D10" s="127" t="s">
        <v>128</v>
      </c>
      <c r="E10" s="128" t="s">
        <v>273</v>
      </c>
      <c r="F10" s="128" t="s">
        <v>307</v>
      </c>
      <c r="G10" s="64" t="str">
        <f t="shared" si="0"/>
        <v>[effect:break_attack_fix, target:unit_one, val:0, lowest_val:1500, count:-1, color:yellow, block01:jammer]</v>
      </c>
      <c r="H10" s="64">
        <f t="shared" si="1"/>
        <v>9</v>
      </c>
      <c r="I10" s="64">
        <f t="shared" si="2"/>
        <v>25</v>
      </c>
      <c r="J10" s="64">
        <f t="shared" si="3"/>
        <v>34</v>
      </c>
      <c r="K10" s="64">
        <f t="shared" si="4"/>
        <v>42</v>
      </c>
      <c r="L10" s="64" t="str">
        <f>IFERROR(VLOOKUP(MID(G10,J10,K10-J10),[5]skilldef!$C:$D,2,FALSE),"-") &amp; " / " &amp; IFERROR(VLOOKUP(MID(G10,H10,I10-H10),[5]skilldef!$A:$B,2,FALSE),"-")</f>
        <v>味方単体に / -</v>
      </c>
      <c r="M10" s="64" t="str">
        <f t="shared" si="5"/>
        <v>none</v>
      </c>
      <c r="N10" s="48" t="str">
        <f>IFERROR(LEFT(M10,FIND("],",M10)+S20),M10)</f>
        <v>none</v>
      </c>
      <c r="O10" s="64" t="e">
        <f t="shared" si="6"/>
        <v>#VALUE!</v>
      </c>
      <c r="P10" s="64">
        <f t="shared" si="7"/>
        <v>4</v>
      </c>
      <c r="Q10" s="64" t="e">
        <f t="shared" si="8"/>
        <v>#VALUE!</v>
      </c>
      <c r="R10" s="64" t="e">
        <f t="shared" si="9"/>
        <v>#VALUE!</v>
      </c>
      <c r="S10" s="64" t="str">
        <f>IFERROR(VLOOKUP(MID(N10,Q10,R10-Q10),[5]skilldef!$C:$D,2,FALSE),"-") &amp; " / " &amp; IFERROR(VLOOKUP(MID(N10,O10,P10-O10),[5]skilldef!$A:$B,2,FALSE),"-")</f>
        <v>- / -</v>
      </c>
      <c r="T10" s="48" t="str">
        <f t="shared" si="10"/>
        <v>none</v>
      </c>
      <c r="U10" s="64" t="e">
        <f t="shared" si="11"/>
        <v>#VALUE!</v>
      </c>
      <c r="V10" s="64">
        <f t="shared" si="12"/>
        <v>4</v>
      </c>
      <c r="W10" s="64" t="e">
        <f t="shared" si="13"/>
        <v>#VALUE!</v>
      </c>
      <c r="X10" s="64" t="e">
        <f t="shared" si="14"/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40025136</v>
      </c>
      <c r="B11" s="126" t="s">
        <v>388</v>
      </c>
      <c r="C11" s="50">
        <v>3</v>
      </c>
      <c r="D11" s="127" t="s">
        <v>128</v>
      </c>
      <c r="E11" s="128" t="s">
        <v>288</v>
      </c>
      <c r="F11" s="128" t="s">
        <v>307</v>
      </c>
      <c r="G11" s="64" t="str">
        <f t="shared" si="0"/>
        <v>[effect:break_attack_fix, target:unit_one, val:0, lowest_val:1500, count:-1, color:yellow, block01:jammer]</v>
      </c>
      <c r="H11" s="64">
        <f t="shared" si="1"/>
        <v>9</v>
      </c>
      <c r="I11" s="64">
        <f t="shared" si="2"/>
        <v>25</v>
      </c>
      <c r="J11" s="64">
        <f t="shared" si="3"/>
        <v>34</v>
      </c>
      <c r="K11" s="64">
        <f t="shared" si="4"/>
        <v>42</v>
      </c>
      <c r="L11" s="64" t="str">
        <f>IFERROR(VLOOKUP(MID(G11,J11,K11-J11),[5]skilldef!$C:$D,2,FALSE),"-") &amp; " / " &amp; IFERROR(VLOOKUP(MID(G11,H11,I11-H11),[5]skilldef!$A:$B,2,FALSE),"-")</f>
        <v>味方単体に / -</v>
      </c>
      <c r="M11" s="64" t="str">
        <f t="shared" si="5"/>
        <v>none</v>
      </c>
      <c r="N11" s="48" t="str">
        <f>IFERROR(LEFT(M11,FIND("],",M11)+S21),M11)</f>
        <v>none</v>
      </c>
      <c r="O11" s="64" t="e">
        <f t="shared" si="6"/>
        <v>#VALUE!</v>
      </c>
      <c r="P11" s="64">
        <f t="shared" si="7"/>
        <v>4</v>
      </c>
      <c r="Q11" s="64" t="e">
        <f t="shared" si="8"/>
        <v>#VALUE!</v>
      </c>
      <c r="R11" s="64" t="e">
        <f t="shared" si="9"/>
        <v>#VALUE!</v>
      </c>
      <c r="S11" s="64" t="str">
        <f>IFERROR(VLOOKUP(MID(N11,Q11,R11-Q11),[5]skilldef!$C:$D,2,FALSE),"-") &amp; " / " &amp; IFERROR(VLOOKUP(MID(N11,O11,P11-O11),[5]skilldef!$A:$B,2,FALSE),"-")</f>
        <v>- / -</v>
      </c>
      <c r="T11" s="48" t="str">
        <f t="shared" si="10"/>
        <v>none</v>
      </c>
      <c r="U11" s="64" t="e">
        <f t="shared" si="11"/>
        <v>#VALUE!</v>
      </c>
      <c r="V11" s="64">
        <f t="shared" si="12"/>
        <v>4</v>
      </c>
      <c r="W11" s="64" t="e">
        <f t="shared" si="13"/>
        <v>#VALUE!</v>
      </c>
      <c r="X11" s="64" t="e">
        <f t="shared" si="14"/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5" customHeight="1" x14ac:dyDescent="0.15">
      <c r="A12" s="129">
        <v>40025211</v>
      </c>
      <c r="B12" s="47" t="s">
        <v>397</v>
      </c>
      <c r="C12" s="50">
        <v>3</v>
      </c>
      <c r="D12" s="50" t="s">
        <v>128</v>
      </c>
      <c r="E12" s="51" t="s">
        <v>323</v>
      </c>
      <c r="F12" s="51" t="s">
        <v>317</v>
      </c>
      <c r="G12" s="64" t="str">
        <f t="shared" ref="G12:G19" si="27">IFERROR(LEFT(B12,FIND("],",B12)),B12)</f>
        <v>[effect:enemy_message, val1:1.2, val2:1.8]</v>
      </c>
      <c r="H12" s="64">
        <f t="shared" ref="H12:H19" si="28">FIND("effect:",G12)+7</f>
        <v>9</v>
      </c>
      <c r="I12" s="64">
        <f t="shared" ref="I12:I19" si="29">IFERROR(FIND(",",G12),LEN(G12))</f>
        <v>22</v>
      </c>
      <c r="J12" s="64" t="e">
        <f t="shared" ref="J12:J19" si="30">FIND("target:",G12)+7</f>
        <v>#VALUE!</v>
      </c>
      <c r="K12" s="64">
        <f t="shared" ref="K12:K19" si="31">FIND(",",G12,I12+1)</f>
        <v>32</v>
      </c>
      <c r="L12" s="64" t="str">
        <f>IFERROR(VLOOKUP(MID(G12,J12,K12-J12),[5]skilldef!$C:$D,2,FALSE),"-") &amp; " / " &amp; IFERROR(VLOOKUP(MID(G12,H12,I12-H12),[5]skilldef!$A:$B,2,FALSE),"-")</f>
        <v>- / -</v>
      </c>
      <c r="M12" s="64" t="str">
        <f t="shared" ref="M12:M19" si="32">IFERROR(RIGHT(B12,LEN(B12)-FIND("],",B12)-1),"none")</f>
        <v xml:space="preserve">[effect:remove_enhancement, target:unit_all, target_effect:all, animation:frozen_wave],[effect:fix_speed, target:myself, turn:1]  </v>
      </c>
      <c r="N12" s="48" t="str">
        <f>IFERROR(LEFT(M12,FIND("],",M12)+S24),M12)</f>
        <v xml:space="preserve">[effect:remove_enhancement, target:unit_all, target_effect:all, animation:frozen_wave],[effect:fix_speed, target:myself, turn:1]  </v>
      </c>
      <c r="O12" s="64">
        <f t="shared" ref="O12:O19" si="33">FIND("effect:",N12)+7</f>
        <v>9</v>
      </c>
      <c r="P12" s="64">
        <f t="shared" ref="P12:P19" si="34">IFERROR(FIND(",",N12),LEN(N12))</f>
        <v>27</v>
      </c>
      <c r="Q12" s="64">
        <f t="shared" ref="Q12:Q19" si="35">FIND("target:",N12)+7</f>
        <v>36</v>
      </c>
      <c r="R12" s="64">
        <f t="shared" ref="R12:R19" si="36">FIND(",",N12,P12+1)</f>
        <v>44</v>
      </c>
      <c r="S12" s="64" t="str">
        <f>IFERROR(VLOOKUP(MID(N12,Q12,R12-Q12),[5]skilldef!$C:$D,2,FALSE),"-") &amp; " / " &amp; IFERROR(VLOOKUP(MID(N12,O12,P12-O12),[5]skilldef!$A:$B,2,FALSE),"-")</f>
        <v>味方全体に / -</v>
      </c>
      <c r="T12" s="48" t="str">
        <f t="shared" ref="T12:T19" si="37">IFERROR(RIGHT(M12,LEN(M12)-FIND("],",M12)-1),"none")</f>
        <v xml:space="preserve">[effect:fix_speed, target:myself, turn:1]  </v>
      </c>
      <c r="U12" s="64">
        <f t="shared" ref="U12:U19" si="38">FIND("effect:",T12)+7</f>
        <v>9</v>
      </c>
      <c r="V12" s="64">
        <f t="shared" ref="V12:V19" si="39">IFERROR(FIND(",",T12),LEN(T12))</f>
        <v>18</v>
      </c>
      <c r="W12" s="64">
        <f t="shared" ref="W12:W19" si="40">FIND("target:",T12)+7</f>
        <v>27</v>
      </c>
      <c r="X12" s="64">
        <f t="shared" ref="X12:X19" si="41">FIND(",",T12,V12+1)</f>
        <v>33</v>
      </c>
      <c r="Y12" s="64" t="str">
        <f>IFERROR(VLOOKUP(MID(T12,W12,X12-W12),[5]skilldef!$C:$D,2,FALSE),"-") &amp; " / " &amp; IFERROR(VLOOKUP(MID(T12,U12,V12-U12),[5]skilldef!$A:$B,2,FALSE),"-")</f>
        <v>自分自身に / 行動値設定</v>
      </c>
      <c r="Z12" s="50"/>
      <c r="AA12" s="52"/>
      <c r="AB12" s="50"/>
    </row>
    <row r="13" spans="1:28" ht="21" customHeight="1" x14ac:dyDescent="0.15">
      <c r="A13" s="129">
        <v>40025212</v>
      </c>
      <c r="B13" s="47" t="s">
        <v>338</v>
      </c>
      <c r="C13" s="50">
        <v>3</v>
      </c>
      <c r="D13" s="50" t="s">
        <v>128</v>
      </c>
      <c r="E13" s="51" t="s">
        <v>275</v>
      </c>
      <c r="F13" s="51" t="s">
        <v>312</v>
      </c>
      <c r="G13" s="64" t="str">
        <f t="shared" si="27"/>
        <v>[effect:damage_anti_color, target:unit_all, color:red, val1:0.35, val2:0.25]</v>
      </c>
      <c r="H13" s="64">
        <f t="shared" si="28"/>
        <v>9</v>
      </c>
      <c r="I13" s="64">
        <f t="shared" si="29"/>
        <v>26</v>
      </c>
      <c r="J13" s="64">
        <f t="shared" si="30"/>
        <v>35</v>
      </c>
      <c r="K13" s="64">
        <f t="shared" si="31"/>
        <v>43</v>
      </c>
      <c r="L13" s="64" t="str">
        <f>IFERROR(VLOOKUP(MID(G13,J13,K13-J13),[5]skilldef!$C:$D,2,FALSE),"-") &amp; " / " &amp; IFERROR(VLOOKUP(MID(G13,H13,I13-H13),[5]skilldef!$A:$B,2,FALSE),"-")</f>
        <v>味方全体に / 属性キラー</v>
      </c>
      <c r="M13" s="64" t="str">
        <f t="shared" si="32"/>
        <v>none</v>
      </c>
      <c r="N13" s="48" t="str">
        <f>IFERROR(LEFT(M13,FIND("],",M13)+S25),M13)</f>
        <v>none</v>
      </c>
      <c r="O13" s="64" t="e">
        <f t="shared" si="33"/>
        <v>#VALUE!</v>
      </c>
      <c r="P13" s="64">
        <f t="shared" si="34"/>
        <v>4</v>
      </c>
      <c r="Q13" s="64" t="e">
        <f t="shared" si="35"/>
        <v>#VALUE!</v>
      </c>
      <c r="R13" s="64" t="e">
        <f t="shared" si="36"/>
        <v>#VALUE!</v>
      </c>
      <c r="S13" s="64" t="str">
        <f>IFERROR(VLOOKUP(MID(N13,Q13,R13-Q13),[5]skilldef!$C:$D,2,FALSE),"-") &amp; " / " &amp; IFERROR(VLOOKUP(MID(N13,O13,P13-O13),[5]skilldef!$A:$B,2,FALSE),"-")</f>
        <v>- / -</v>
      </c>
      <c r="T13" s="48" t="str">
        <f t="shared" si="37"/>
        <v>none</v>
      </c>
      <c r="U13" s="64" t="e">
        <f t="shared" si="38"/>
        <v>#VALUE!</v>
      </c>
      <c r="V13" s="64">
        <f t="shared" si="39"/>
        <v>4</v>
      </c>
      <c r="W13" s="64" t="e">
        <f t="shared" si="40"/>
        <v>#VALUE!</v>
      </c>
      <c r="X13" s="64" t="e">
        <f t="shared" si="41"/>
        <v>#VALUE!</v>
      </c>
      <c r="Y13" s="64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129">
        <v>40025213</v>
      </c>
      <c r="B14" s="47" t="s">
        <v>346</v>
      </c>
      <c r="C14" s="50">
        <v>3</v>
      </c>
      <c r="D14" s="50" t="s">
        <v>128</v>
      </c>
      <c r="E14" s="51" t="s">
        <v>274</v>
      </c>
      <c r="F14" s="51" t="s">
        <v>310</v>
      </c>
      <c r="G14" s="64" t="str">
        <f t="shared" ref="G14" si="42">IFERROR(LEFT(B14,FIND("],",B14)),B14)</f>
        <v>[effect:damage_anti_color, target:unit_all, color:yellow, val1:0.35, val2:0.25]</v>
      </c>
      <c r="H14" s="64">
        <f t="shared" ref="H14" si="43">FIND("effect:",G14)+7</f>
        <v>9</v>
      </c>
      <c r="I14" s="64">
        <f t="shared" ref="I14" si="44">IFERROR(FIND(",",G14),LEN(G14))</f>
        <v>26</v>
      </c>
      <c r="J14" s="64">
        <f t="shared" ref="J14" si="45">FIND("target:",G14)+7</f>
        <v>35</v>
      </c>
      <c r="K14" s="64">
        <f t="shared" ref="K14" si="46">FIND(",",G14,I14+1)</f>
        <v>43</v>
      </c>
      <c r="L14" s="64" t="str">
        <f>IFERROR(VLOOKUP(MID(G14,J14,K14-J14),[5]skilldef!$C:$D,2,FALSE),"-") &amp; " / " &amp; IFERROR(VLOOKUP(MID(G14,H14,I14-H14),[5]skilldef!$A:$B,2,FALSE),"-")</f>
        <v>味方全体に / 属性キラー</v>
      </c>
      <c r="M14" s="64" t="str">
        <f t="shared" ref="M14" si="47">IFERROR(RIGHT(B14,LEN(B14)-FIND("],",B14)-1),"none")</f>
        <v>none</v>
      </c>
      <c r="N14" s="48" t="str">
        <f>IFERROR(LEFT(M14,FIND("],",M14)+S26),M14)</f>
        <v>none</v>
      </c>
      <c r="O14" s="64" t="e">
        <f t="shared" ref="O14" si="48">FIND("effect:",N14)+7</f>
        <v>#VALUE!</v>
      </c>
      <c r="P14" s="64">
        <f t="shared" ref="P14" si="49">IFERROR(FIND(",",N14),LEN(N14))</f>
        <v>4</v>
      </c>
      <c r="Q14" s="64" t="e">
        <f t="shared" ref="Q14" si="50">FIND("target:",N14)+7</f>
        <v>#VALUE!</v>
      </c>
      <c r="R14" s="64" t="e">
        <f t="shared" ref="R14" si="51">FIND(",",N14,P14+1)</f>
        <v>#VALUE!</v>
      </c>
      <c r="S14" s="64" t="str">
        <f>IFERROR(VLOOKUP(MID(N14,Q14,R14-Q14),[5]skilldef!$C:$D,2,FALSE),"-") &amp; " / " &amp; IFERROR(VLOOKUP(MID(N14,O14,P14-O14),[5]skilldef!$A:$B,2,FALSE),"-")</f>
        <v>- / -</v>
      </c>
      <c r="T14" s="48" t="str">
        <f t="shared" ref="T14" si="52">IFERROR(RIGHT(M14,LEN(M14)-FIND("],",M14)-1),"none")</f>
        <v>none</v>
      </c>
      <c r="U14" s="64" t="e">
        <f t="shared" ref="U14" si="53">FIND("effect:",T14)+7</f>
        <v>#VALUE!</v>
      </c>
      <c r="V14" s="64">
        <f t="shared" ref="V14" si="54">IFERROR(FIND(",",T14),LEN(T14))</f>
        <v>4</v>
      </c>
      <c r="W14" s="64" t="e">
        <f t="shared" ref="W14" si="55">FIND("target:",T14)+7</f>
        <v>#VALUE!</v>
      </c>
      <c r="X14" s="64" t="e">
        <f t="shared" ref="X14" si="56">FIND(",",T14,V14+1)</f>
        <v>#VALUE!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129">
        <v>40025214</v>
      </c>
      <c r="B15" s="47" t="s">
        <v>347</v>
      </c>
      <c r="C15" s="50">
        <v>3</v>
      </c>
      <c r="D15" s="50" t="s">
        <v>128</v>
      </c>
      <c r="E15" s="51" t="s">
        <v>276</v>
      </c>
      <c r="F15" s="51" t="s">
        <v>311</v>
      </c>
      <c r="G15" s="64" t="str">
        <f t="shared" si="27"/>
        <v>[effect:damage_anti_color, target:unit_all, color:blue, val1:0.35, val2:0.25]</v>
      </c>
      <c r="H15" s="64">
        <f t="shared" si="28"/>
        <v>9</v>
      </c>
      <c r="I15" s="64">
        <f t="shared" si="29"/>
        <v>26</v>
      </c>
      <c r="J15" s="64">
        <f t="shared" si="30"/>
        <v>35</v>
      </c>
      <c r="K15" s="64">
        <f t="shared" si="31"/>
        <v>43</v>
      </c>
      <c r="L15" s="64" t="str">
        <f>IFERROR(VLOOKUP(MID(G15,J15,K15-J15),[5]skilldef!$C:$D,2,FALSE),"-") &amp; " / " &amp; IFERROR(VLOOKUP(MID(G15,H15,I15-H15),[5]skilldef!$A:$B,2,FALSE),"-")</f>
        <v>味方全体に / 属性キラー</v>
      </c>
      <c r="M15" s="64" t="str">
        <f t="shared" si="32"/>
        <v>none</v>
      </c>
      <c r="N15" s="48" t="str">
        <f>IFERROR(LEFT(M15,FIND("],",M15)+S26),M15)</f>
        <v>none</v>
      </c>
      <c r="O15" s="64" t="e">
        <f t="shared" si="33"/>
        <v>#VALUE!</v>
      </c>
      <c r="P15" s="64">
        <f t="shared" si="34"/>
        <v>4</v>
      </c>
      <c r="Q15" s="64" t="e">
        <f t="shared" si="35"/>
        <v>#VALUE!</v>
      </c>
      <c r="R15" s="64" t="e">
        <f t="shared" si="36"/>
        <v>#VALUE!</v>
      </c>
      <c r="S15" s="64" t="str">
        <f>IFERROR(VLOOKUP(MID(N15,Q15,R15-Q15),[5]skilldef!$C:$D,2,FALSE),"-") &amp; " / " &amp; IFERROR(VLOOKUP(MID(N15,O15,P15-O15),[5]skilldef!$A:$B,2,FALSE),"-")</f>
        <v>- / -</v>
      </c>
      <c r="T15" s="48" t="str">
        <f t="shared" si="37"/>
        <v>none</v>
      </c>
      <c r="U15" s="64" t="e">
        <f t="shared" si="38"/>
        <v>#VALUE!</v>
      </c>
      <c r="V15" s="64">
        <f t="shared" si="39"/>
        <v>4</v>
      </c>
      <c r="W15" s="64" t="e">
        <f t="shared" si="40"/>
        <v>#VALUE!</v>
      </c>
      <c r="X15" s="64" t="e">
        <f t="shared" si="41"/>
        <v>#VALUE!</v>
      </c>
      <c r="Y15" s="64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30" customHeight="1" x14ac:dyDescent="0.15">
      <c r="A16" s="129">
        <v>40025231</v>
      </c>
      <c r="B16" s="126" t="s">
        <v>375</v>
      </c>
      <c r="C16" s="50">
        <v>3</v>
      </c>
      <c r="D16" s="127" t="s">
        <v>128</v>
      </c>
      <c r="E16" s="128" t="s">
        <v>337</v>
      </c>
      <c r="F16" s="128" t="s">
        <v>329</v>
      </c>
      <c r="G16" s="64" t="str">
        <f t="shared" si="27"/>
        <v>[effect:enemy_message, val1:1.2, val2:0]</v>
      </c>
      <c r="H16" s="64">
        <f t="shared" si="28"/>
        <v>9</v>
      </c>
      <c r="I16" s="64">
        <f t="shared" si="29"/>
        <v>22</v>
      </c>
      <c r="J16" s="64" t="e">
        <f t="shared" si="30"/>
        <v>#VALUE!</v>
      </c>
      <c r="K16" s="64">
        <f t="shared" si="31"/>
        <v>32</v>
      </c>
      <c r="L16" s="64" t="str">
        <f>IFERROR(VLOOKUP(MID(G16,J16,K16-J16),[5]skilldef!$C:$D,2,FALSE),"-") &amp; " / " &amp; IFERROR(VLOOKUP(MID(G16,H16,I16-H16),[5]skilldef!$A:$B,2,FALSE),"-")</f>
        <v>- / -</v>
      </c>
      <c r="M16" s="64" t="str">
        <f t="shared" si="32"/>
        <v>[effect:fix_speed, target:myself, turn:1]</v>
      </c>
      <c r="N16" s="48" t="str">
        <f>IFERROR(LEFT(M16,FIND("],",M16)+S29),M16)</f>
        <v>[effect:fix_speed, target:myself, turn:1]</v>
      </c>
      <c r="O16" s="64">
        <f t="shared" si="33"/>
        <v>9</v>
      </c>
      <c r="P16" s="64">
        <f t="shared" si="34"/>
        <v>18</v>
      </c>
      <c r="Q16" s="64">
        <f t="shared" si="35"/>
        <v>27</v>
      </c>
      <c r="R16" s="64">
        <f t="shared" si="36"/>
        <v>33</v>
      </c>
      <c r="S16" s="64" t="str">
        <f>IFERROR(VLOOKUP(MID(N16,Q16,R16-Q16),[5]skilldef!$C:$D,2,FALSE),"-") &amp; " / " &amp; IFERROR(VLOOKUP(MID(N16,O16,P16-O16),[5]skilldef!$A:$B,2,FALSE),"-")</f>
        <v>自分自身に / 行動値設定</v>
      </c>
      <c r="T16" s="48" t="str">
        <f t="shared" si="37"/>
        <v>none</v>
      </c>
      <c r="U16" s="64" t="e">
        <f t="shared" si="38"/>
        <v>#VALUE!</v>
      </c>
      <c r="V16" s="64">
        <f t="shared" si="39"/>
        <v>4</v>
      </c>
      <c r="W16" s="64" t="e">
        <f t="shared" si="40"/>
        <v>#VALUE!</v>
      </c>
      <c r="X16" s="64" t="e">
        <f t="shared" si="41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42" x14ac:dyDescent="0.15">
      <c r="A17" s="129">
        <v>40025232</v>
      </c>
      <c r="B17" s="126" t="s">
        <v>340</v>
      </c>
      <c r="C17" s="50">
        <v>3</v>
      </c>
      <c r="D17" s="127" t="s">
        <v>128</v>
      </c>
      <c r="E17" s="128" t="s">
        <v>278</v>
      </c>
      <c r="F17" s="128" t="s">
        <v>410</v>
      </c>
      <c r="G17" s="64" t="str">
        <f t="shared" si="27"/>
        <v>[effect:damage_anti_tribe, target:unit_all, tribe:machine, val1:0.2, val2:0.1]</v>
      </c>
      <c r="H17" s="64">
        <f t="shared" si="28"/>
        <v>9</v>
      </c>
      <c r="I17" s="64">
        <f t="shared" si="29"/>
        <v>26</v>
      </c>
      <c r="J17" s="64">
        <f t="shared" si="30"/>
        <v>35</v>
      </c>
      <c r="K17" s="64">
        <f t="shared" si="31"/>
        <v>43</v>
      </c>
      <c r="L17" s="64" t="str">
        <f>IFERROR(VLOOKUP(MID(G17,J17,K17-J17),[5]skilldef!$C:$D,2,FALSE),"-") &amp; " / " &amp; IFERROR(VLOOKUP(MID(G17,H17,I17-H17),[5]skilldef!$A:$B,2,FALSE),"-")</f>
        <v>味方全体に / 種族キラー</v>
      </c>
      <c r="M17" s="64" t="str">
        <f t="shared" si="32"/>
        <v>[effect:damage_anti_tribe, target:unit_all, tribe:weapon, val1:0.2, val2:0.1]</v>
      </c>
      <c r="N17" s="48" t="str">
        <f>IFERROR(LEFT(M17,FIND("],",M17)+S31),M17)</f>
        <v>[effect:damage_anti_tribe, target:unit_all, tribe:weapon, val1:0.2, val2:0.1]</v>
      </c>
      <c r="O17" s="64">
        <f t="shared" si="33"/>
        <v>9</v>
      </c>
      <c r="P17" s="64">
        <f t="shared" si="34"/>
        <v>26</v>
      </c>
      <c r="Q17" s="64">
        <f t="shared" si="35"/>
        <v>35</v>
      </c>
      <c r="R17" s="64">
        <f t="shared" si="36"/>
        <v>43</v>
      </c>
      <c r="S17" s="64" t="str">
        <f>IFERROR(VLOOKUP(MID(N17,Q17,R17-Q17),[5]skilldef!$C:$D,2,FALSE),"-") &amp; " / " &amp; IFERROR(VLOOKUP(MID(N17,O17,P17-O17),[5]skilldef!$A:$B,2,FALSE),"-")</f>
        <v>味方全体に / 種族キラー</v>
      </c>
      <c r="T17" s="48" t="str">
        <f t="shared" si="37"/>
        <v>none</v>
      </c>
      <c r="U17" s="64" t="e">
        <f t="shared" si="38"/>
        <v>#VALUE!</v>
      </c>
      <c r="V17" s="64">
        <f t="shared" si="39"/>
        <v>4</v>
      </c>
      <c r="W17" s="64" t="e">
        <f t="shared" si="40"/>
        <v>#VALUE!</v>
      </c>
      <c r="X17" s="64" t="e">
        <f t="shared" si="41"/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42" x14ac:dyDescent="0.15">
      <c r="A18" s="129">
        <v>40025233</v>
      </c>
      <c r="B18" s="126" t="s">
        <v>309</v>
      </c>
      <c r="C18" s="50">
        <v>3</v>
      </c>
      <c r="D18" s="127" t="s">
        <v>128</v>
      </c>
      <c r="E18" s="128" t="s">
        <v>277</v>
      </c>
      <c r="F18" s="128" t="s">
        <v>411</v>
      </c>
      <c r="G18" s="64" t="str">
        <f t="shared" ref="G18" si="57">IFERROR(LEFT(B18,FIND("],",B18)),B18)</f>
        <v>[effect:damage_anti_tribe, target:unit_all, tribe:human, val1:0.2, val2:0.1]</v>
      </c>
      <c r="H18" s="64">
        <f t="shared" ref="H18" si="58">FIND("effect:",G18)+7</f>
        <v>9</v>
      </c>
      <c r="I18" s="64">
        <f t="shared" ref="I18" si="59">IFERROR(FIND(",",G18),LEN(G18))</f>
        <v>26</v>
      </c>
      <c r="J18" s="64">
        <f t="shared" ref="J18" si="60">FIND("target:",G18)+7</f>
        <v>35</v>
      </c>
      <c r="K18" s="64">
        <f t="shared" ref="K18" si="61">FIND(",",G18,I18+1)</f>
        <v>43</v>
      </c>
      <c r="L18" s="64" t="str">
        <f>IFERROR(VLOOKUP(MID(G18,J18,K18-J18),[5]skilldef!$C:$D,2,FALSE),"-") &amp; " / " &amp; IFERROR(VLOOKUP(MID(G18,H18,I18-H18),[5]skilldef!$A:$B,2,FALSE),"-")</f>
        <v>味方全体に / 種族キラー</v>
      </c>
      <c r="M18" s="64" t="str">
        <f t="shared" ref="M18" si="62">IFERROR(RIGHT(B18,LEN(B18)-FIND("],",B18)-1),"none")</f>
        <v>[effect:damage_anti_tribe, target:unit_all, tribe:animal, val1:0.2, val2:0.1]</v>
      </c>
      <c r="N18" s="48" t="str">
        <f>IFERROR(LEFT(M18,FIND("],",M18)+S32),M18)</f>
        <v>[effect:damage_anti_tribe, target:unit_all, tribe:animal, val1:0.2, val2:0.1]</v>
      </c>
      <c r="O18" s="64">
        <f t="shared" ref="O18" si="63">FIND("effect:",N18)+7</f>
        <v>9</v>
      </c>
      <c r="P18" s="64">
        <f t="shared" ref="P18" si="64">IFERROR(FIND(",",N18),LEN(N18))</f>
        <v>26</v>
      </c>
      <c r="Q18" s="64">
        <f t="shared" ref="Q18" si="65">FIND("target:",N18)+7</f>
        <v>35</v>
      </c>
      <c r="R18" s="64">
        <f t="shared" ref="R18" si="66">FIND(",",N18,P18+1)</f>
        <v>43</v>
      </c>
      <c r="S18" s="64" t="str">
        <f>IFERROR(VLOOKUP(MID(N18,Q18,R18-Q18),[5]skilldef!$C:$D,2,FALSE),"-") &amp; " / " &amp; IFERROR(VLOOKUP(MID(N18,O18,P18-O18),[5]skilldef!$A:$B,2,FALSE),"-")</f>
        <v>味方全体に / 種族キラー</v>
      </c>
      <c r="T18" s="48" t="str">
        <f t="shared" ref="T18" si="67">IFERROR(RIGHT(M18,LEN(M18)-FIND("],",M18)-1),"none")</f>
        <v>none</v>
      </c>
      <c r="U18" s="64" t="e">
        <f t="shared" ref="U18" si="68">FIND("effect:",T18)+7</f>
        <v>#VALUE!</v>
      </c>
      <c r="V18" s="64">
        <f t="shared" ref="V18" si="69">IFERROR(FIND(",",T18),LEN(T18))</f>
        <v>4</v>
      </c>
      <c r="W18" s="64" t="e">
        <f t="shared" ref="W18" si="70">FIND("target:",T18)+7</f>
        <v>#VALUE!</v>
      </c>
      <c r="X18" s="64" t="e">
        <f t="shared" ref="X18" si="71">FIND(",",T18,V18+1)</f>
        <v>#VALUE!</v>
      </c>
      <c r="Y18" s="64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42" x14ac:dyDescent="0.15">
      <c r="A19" s="129">
        <v>40025234</v>
      </c>
      <c r="B19" s="126" t="s">
        <v>341</v>
      </c>
      <c r="C19" s="50">
        <v>3</v>
      </c>
      <c r="D19" s="127" t="s">
        <v>128</v>
      </c>
      <c r="E19" s="128" t="s">
        <v>279</v>
      </c>
      <c r="F19" s="128" t="s">
        <v>412</v>
      </c>
      <c r="G19" s="64" t="str">
        <f t="shared" si="27"/>
        <v>[effect:damage_anti_tribe, target:unit_all, tribe:academia, val1:0.2, val2:0.1]</v>
      </c>
      <c r="H19" s="64">
        <f t="shared" si="28"/>
        <v>9</v>
      </c>
      <c r="I19" s="64">
        <f t="shared" si="29"/>
        <v>26</v>
      </c>
      <c r="J19" s="64">
        <f t="shared" si="30"/>
        <v>35</v>
      </c>
      <c r="K19" s="64">
        <f t="shared" si="31"/>
        <v>43</v>
      </c>
      <c r="L19" s="64" t="str">
        <f>IFERROR(VLOOKUP(MID(G19,J19,K19-J19),[5]skilldef!$C:$D,2,FALSE),"-") &amp; " / " &amp; IFERROR(VLOOKUP(MID(G19,H19,I19-H19),[5]skilldef!$A:$B,2,FALSE),"-")</f>
        <v>味方全体に / 種族キラー</v>
      </c>
      <c r="M19" s="64" t="str">
        <f t="shared" si="32"/>
        <v>[effect:damage_anti_tribe, target:unit_all, tribe:unknown, val1:0.2, val2:0.1]</v>
      </c>
      <c r="N19" s="48" t="str">
        <f>IFERROR(LEFT(M19,FIND("],",M19)+S32),M19)</f>
        <v>[effect:damage_anti_tribe, target:unit_all, tribe:unknown, val1:0.2, val2:0.1]</v>
      </c>
      <c r="O19" s="64">
        <f t="shared" si="33"/>
        <v>9</v>
      </c>
      <c r="P19" s="64">
        <f t="shared" si="34"/>
        <v>26</v>
      </c>
      <c r="Q19" s="64">
        <f t="shared" si="35"/>
        <v>35</v>
      </c>
      <c r="R19" s="64">
        <f t="shared" si="36"/>
        <v>43</v>
      </c>
      <c r="S19" s="64" t="str">
        <f>IFERROR(VLOOKUP(MID(N19,Q19,R19-Q19),[5]skilldef!$C:$D,2,FALSE),"-") &amp; " / " &amp; IFERROR(VLOOKUP(MID(N19,O19,P19-O19),[5]skilldef!$A:$B,2,FALSE),"-")</f>
        <v>味方全体に / 種族キラー</v>
      </c>
      <c r="T19" s="48" t="str">
        <f t="shared" si="37"/>
        <v>none</v>
      </c>
      <c r="U19" s="64" t="e">
        <f t="shared" si="38"/>
        <v>#VALUE!</v>
      </c>
      <c r="V19" s="64">
        <f t="shared" si="39"/>
        <v>4</v>
      </c>
      <c r="W19" s="64" t="e">
        <f t="shared" si="40"/>
        <v>#VALUE!</v>
      </c>
      <c r="X19" s="64" t="e">
        <f t="shared" si="41"/>
        <v>#VALUE!</v>
      </c>
      <c r="Y19" s="64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129">
        <v>40025251</v>
      </c>
      <c r="B20" s="47" t="s">
        <v>464</v>
      </c>
      <c r="C20" s="50">
        <v>3</v>
      </c>
      <c r="D20" s="50" t="s">
        <v>128</v>
      </c>
      <c r="E20" s="51" t="s">
        <v>437</v>
      </c>
      <c r="F20" s="51" t="s">
        <v>308</v>
      </c>
      <c r="G20" s="64" t="str">
        <f t="shared" ref="G20:G24" si="72">IFERROR(LEFT(B20,FIND("],",B20)),B20)</f>
        <v>[effect:enemy_message, val1:1.2, val2:2.2]</v>
      </c>
      <c r="H20" s="64">
        <f t="shared" ref="H20:H24" si="73">FIND("effect:",G20)+7</f>
        <v>9</v>
      </c>
      <c r="I20" s="64">
        <f t="shared" ref="I20:I24" si="74">IFERROR(FIND(",",G20),LEN(G20))</f>
        <v>22</v>
      </c>
      <c r="J20" s="64" t="e">
        <f t="shared" ref="J20:J24" si="75">FIND("target:",G20)+7</f>
        <v>#VALUE!</v>
      </c>
      <c r="K20" s="64">
        <f t="shared" ref="K20:K24" si="76">FIND(",",G20,I20+1)</f>
        <v>32</v>
      </c>
      <c r="L20" s="64" t="str">
        <f>IFERROR(VLOOKUP(MID(G20,J20,K20-J20),[5]skilldef!$C:$D,2,FALSE),"-") &amp; " / " &amp; IFERROR(VLOOKUP(MID(G20,H20,I20-H20),[5]skilldef!$A:$B,2,FALSE),"-")</f>
        <v>- / -</v>
      </c>
      <c r="M20" s="64" t="str">
        <f t="shared" ref="M20:M24" si="77">IFERROR(RIGHT(B20,LEN(B20)-FIND("],",B20)-1),"none")</f>
        <v>[effect:change_panel_ratio, turn:2, block_type:heal, val:0.5, animation:block_incidence04],[effect:fix_speed, target:myself, turn:1]</v>
      </c>
      <c r="N20" s="48" t="str">
        <f>IFERROR(LEFT(M20,FIND("],",M20)+S34),M20)</f>
        <v>[effect:change_panel_ratio, turn:2, block_type:heal, val:0.5, animation:block_incidence04],[effect:fix_speed, target:myself, turn:1]</v>
      </c>
      <c r="O20" s="64">
        <f t="shared" ref="O20:O24" si="78">FIND("effect:",N20)+7</f>
        <v>9</v>
      </c>
      <c r="P20" s="64">
        <f t="shared" ref="P20:P24" si="79">IFERROR(FIND(",",N20),LEN(N20))</f>
        <v>27</v>
      </c>
      <c r="Q20" s="64">
        <f t="shared" ref="Q20:Q24" si="80">FIND("target:",N20)+7</f>
        <v>118</v>
      </c>
      <c r="R20" s="64">
        <f t="shared" ref="R20:R24" si="81">FIND(",",N20,P20+1)</f>
        <v>35</v>
      </c>
      <c r="S20" s="64" t="str">
        <f>IFERROR(VLOOKUP(MID(N20,Q20,R20-Q20),[5]skilldef!$C:$D,2,FALSE),"-") &amp; " / " &amp; IFERROR(VLOOKUP(MID(N20,O20,P20-O20),[5]skilldef!$A:$B,2,FALSE),"-")</f>
        <v>- / -</v>
      </c>
      <c r="T20" s="48" t="str">
        <f t="shared" ref="T20:T24" si="82">IFERROR(RIGHT(M20,LEN(M20)-FIND("],",M20)-1),"none")</f>
        <v>[effect:fix_speed, target:myself, turn:1]</v>
      </c>
      <c r="U20" s="64">
        <f t="shared" ref="U20:U24" si="83">FIND("effect:",T20)+7</f>
        <v>9</v>
      </c>
      <c r="V20" s="64">
        <f t="shared" ref="V20:V24" si="84">IFERROR(FIND(",",T20),LEN(T20))</f>
        <v>18</v>
      </c>
      <c r="W20" s="64">
        <f t="shared" ref="W20:W24" si="85">FIND("target:",T20)+7</f>
        <v>27</v>
      </c>
      <c r="X20" s="64">
        <f t="shared" ref="X20:X24" si="86">FIND(",",T20,V20+1)</f>
        <v>33</v>
      </c>
      <c r="Y20" s="64" t="str">
        <f>IFERROR(VLOOKUP(MID(T20,W20,X20-W20),[5]skilldef!$C:$D,2,FALSE),"-") &amp; " / " &amp; IFERROR(VLOOKUP(MID(T20,U20,V20-U20),[5]skilldef!$A:$B,2,FALSE),"-")</f>
        <v>自分自身に / 行動値設定</v>
      </c>
      <c r="Z20" s="50"/>
      <c r="AA20" s="52"/>
      <c r="AB20" s="50"/>
    </row>
    <row r="21" spans="1:28" ht="21" customHeight="1" x14ac:dyDescent="0.15">
      <c r="A21" s="129">
        <v>40025252</v>
      </c>
      <c r="B21" s="47" t="s">
        <v>348</v>
      </c>
      <c r="C21" s="50">
        <v>3</v>
      </c>
      <c r="D21" s="50" t="s">
        <v>128</v>
      </c>
      <c r="E21" s="51" t="s">
        <v>280</v>
      </c>
      <c r="F21" s="51" t="s">
        <v>413</v>
      </c>
      <c r="G21" s="64" t="str">
        <f t="shared" si="72"/>
        <v>[effect:damage_anti_type, target:unit_all, type:attack, val1:0.4, val2:0.2]</v>
      </c>
      <c r="H21" s="64">
        <f t="shared" si="73"/>
        <v>9</v>
      </c>
      <c r="I21" s="64">
        <f t="shared" si="74"/>
        <v>25</v>
      </c>
      <c r="J21" s="64">
        <f t="shared" si="75"/>
        <v>34</v>
      </c>
      <c r="K21" s="64">
        <f t="shared" si="76"/>
        <v>42</v>
      </c>
      <c r="L21" s="64" t="str">
        <f>IFERROR(VLOOKUP(MID(G21,J21,K21-J21),[5]skilldef!$C:$D,2,FALSE),"-") &amp; " / " &amp; IFERROR(VLOOKUP(MID(G21,H21,I21-H21),[5]skilldef!$A:$B,2,FALSE),"-")</f>
        <v>味方全体に / タイプキラー</v>
      </c>
      <c r="M21" s="64" t="str">
        <f t="shared" si="77"/>
        <v>none</v>
      </c>
      <c r="N21" s="48" t="str">
        <f>IFERROR(LEFT(M21,FIND("],",M21)+S34),M21)</f>
        <v>none</v>
      </c>
      <c r="O21" s="64" t="e">
        <f t="shared" si="78"/>
        <v>#VALUE!</v>
      </c>
      <c r="P21" s="64">
        <f t="shared" si="79"/>
        <v>4</v>
      </c>
      <c r="Q21" s="64" t="e">
        <f t="shared" si="80"/>
        <v>#VALUE!</v>
      </c>
      <c r="R21" s="64" t="e">
        <f t="shared" si="81"/>
        <v>#VALUE!</v>
      </c>
      <c r="S21" s="64" t="str">
        <f>IFERROR(VLOOKUP(MID(N21,Q21,R21-Q21),[5]skilldef!$C:$D,2,FALSE),"-") &amp; " / " &amp; IFERROR(VLOOKUP(MID(N21,O21,P21-O21),[5]skilldef!$A:$B,2,FALSE),"-")</f>
        <v>- / -</v>
      </c>
      <c r="T21" s="48" t="str">
        <f t="shared" si="82"/>
        <v>none</v>
      </c>
      <c r="U21" s="64" t="e">
        <f t="shared" si="83"/>
        <v>#VALUE!</v>
      </c>
      <c r="V21" s="64">
        <f t="shared" si="84"/>
        <v>4</v>
      </c>
      <c r="W21" s="64" t="e">
        <f t="shared" si="85"/>
        <v>#VALUE!</v>
      </c>
      <c r="X21" s="64" t="e">
        <f t="shared" si="86"/>
        <v>#VALUE!</v>
      </c>
      <c r="Y21" s="64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42" x14ac:dyDescent="0.15">
      <c r="A22" s="129">
        <v>40025253</v>
      </c>
      <c r="B22" s="47" t="s">
        <v>342</v>
      </c>
      <c r="C22" s="50">
        <v>3</v>
      </c>
      <c r="D22" s="50" t="s">
        <v>128</v>
      </c>
      <c r="E22" s="51" t="s">
        <v>281</v>
      </c>
      <c r="F22" s="51" t="s">
        <v>414</v>
      </c>
      <c r="G22" s="64" t="str">
        <f t="shared" si="72"/>
        <v>[effect:damage_anti_type, target:unit_all, type:hp, val1:0.2, val2:0.1]</v>
      </c>
      <c r="H22" s="64">
        <f t="shared" si="73"/>
        <v>9</v>
      </c>
      <c r="I22" s="64">
        <f t="shared" si="74"/>
        <v>25</v>
      </c>
      <c r="J22" s="64">
        <f t="shared" si="75"/>
        <v>34</v>
      </c>
      <c r="K22" s="64">
        <f t="shared" si="76"/>
        <v>42</v>
      </c>
      <c r="L22" s="64" t="str">
        <f>IFERROR(VLOOKUP(MID(G22,J22,K22-J22),[5]skilldef!$C:$D,2,FALSE),"-") &amp; " / " &amp; IFERROR(VLOOKUP(MID(G22,H22,I22-H22),[5]skilldef!$A:$B,2,FALSE),"-")</f>
        <v>味方全体に / タイプキラー</v>
      </c>
      <c r="M22" s="64" t="str">
        <f t="shared" si="77"/>
        <v>[effect:damage_anti_type, target:unit_all, type:heal, val1:0.2, val2:0.1]</v>
      </c>
      <c r="N22" s="48" t="str">
        <f>IFERROR(LEFT(M22,FIND("],",M22)+S35),M22)</f>
        <v>[effect:damage_anti_type, target:unit_all, type:heal, val1:0.2, val2:0.1]</v>
      </c>
      <c r="O22" s="64">
        <f t="shared" si="78"/>
        <v>9</v>
      </c>
      <c r="P22" s="64">
        <f t="shared" si="79"/>
        <v>25</v>
      </c>
      <c r="Q22" s="64">
        <f t="shared" si="80"/>
        <v>34</v>
      </c>
      <c r="R22" s="64">
        <f t="shared" si="81"/>
        <v>42</v>
      </c>
      <c r="S22" s="64" t="str">
        <f>IFERROR(VLOOKUP(MID(N22,Q22,R22-Q22),[5]skilldef!$C:$D,2,FALSE),"-") &amp; " / " &amp; IFERROR(VLOOKUP(MID(N22,O22,P22-O22),[5]skilldef!$A:$B,2,FALSE),"-")</f>
        <v>味方全体に / タイプキラー</v>
      </c>
      <c r="T22" s="48" t="str">
        <f t="shared" si="82"/>
        <v>none</v>
      </c>
      <c r="U22" s="64" t="e">
        <f t="shared" si="83"/>
        <v>#VALUE!</v>
      </c>
      <c r="V22" s="64">
        <f t="shared" si="84"/>
        <v>4</v>
      </c>
      <c r="W22" s="64" t="e">
        <f t="shared" si="85"/>
        <v>#VALUE!</v>
      </c>
      <c r="X22" s="64" t="e">
        <f t="shared" si="86"/>
        <v>#VALUE!</v>
      </c>
      <c r="Y22" s="64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42" x14ac:dyDescent="0.15">
      <c r="A23" s="129">
        <v>40025254</v>
      </c>
      <c r="B23" s="47" t="s">
        <v>343</v>
      </c>
      <c r="C23" s="50">
        <v>3</v>
      </c>
      <c r="D23" s="50" t="s">
        <v>128</v>
      </c>
      <c r="E23" s="51" t="s">
        <v>282</v>
      </c>
      <c r="F23" s="51" t="s">
        <v>416</v>
      </c>
      <c r="G23" s="64" t="str">
        <f t="shared" si="72"/>
        <v>[effect:damage_anti_type, target:unit_all, type:balance, val1:0.2, val2:0.1]</v>
      </c>
      <c r="H23" s="64">
        <f t="shared" si="73"/>
        <v>9</v>
      </c>
      <c r="I23" s="64">
        <f t="shared" si="74"/>
        <v>25</v>
      </c>
      <c r="J23" s="64">
        <f t="shared" si="75"/>
        <v>34</v>
      </c>
      <c r="K23" s="64">
        <f t="shared" si="76"/>
        <v>42</v>
      </c>
      <c r="L23" s="64" t="str">
        <f>IFERROR(VLOOKUP(MID(G23,J23,K23-J23),[5]skilldef!$C:$D,2,FALSE),"-") &amp; " / " &amp; IFERROR(VLOOKUP(MID(G23,H23,I23-H23),[5]skilldef!$A:$B,2,FALSE),"-")</f>
        <v>味方全体に / タイプキラー</v>
      </c>
      <c r="M23" s="64" t="str">
        <f t="shared" si="77"/>
        <v>[effect:damage_anti_type, target:unit_all, type:technical, val1:0.2, val2:0.1]</v>
      </c>
      <c r="N23" s="48" t="str">
        <f>IFERROR(LEFT(M23,FIND("],",M23)+S36),M23)</f>
        <v>[effect:damage_anti_type, target:unit_all, type:technical, val1:0.2, val2:0.1]</v>
      </c>
      <c r="O23" s="64">
        <f t="shared" si="78"/>
        <v>9</v>
      </c>
      <c r="P23" s="64">
        <f t="shared" si="79"/>
        <v>25</v>
      </c>
      <c r="Q23" s="64">
        <f t="shared" si="80"/>
        <v>34</v>
      </c>
      <c r="R23" s="64">
        <f t="shared" si="81"/>
        <v>42</v>
      </c>
      <c r="S23" s="64" t="str">
        <f>IFERROR(VLOOKUP(MID(N23,Q23,R23-Q23),[5]skilldef!$C:$D,2,FALSE),"-") &amp; " / " &amp; IFERROR(VLOOKUP(MID(N23,O23,P23-O23),[5]skilldef!$A:$B,2,FALSE),"-")</f>
        <v>味方全体に / タイプキラー</v>
      </c>
      <c r="T23" s="48" t="str">
        <f t="shared" si="82"/>
        <v>none</v>
      </c>
      <c r="U23" s="64" t="e">
        <f t="shared" si="83"/>
        <v>#VALUE!</v>
      </c>
      <c r="V23" s="64">
        <f t="shared" si="84"/>
        <v>4</v>
      </c>
      <c r="W23" s="64" t="e">
        <f t="shared" si="85"/>
        <v>#VALUE!</v>
      </c>
      <c r="X23" s="64" t="e">
        <f t="shared" si="86"/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37" customHeight="1" x14ac:dyDescent="0.15">
      <c r="A24" s="130">
        <v>40025311</v>
      </c>
      <c r="B24" s="126" t="s">
        <v>330</v>
      </c>
      <c r="C24" s="50">
        <v>3</v>
      </c>
      <c r="D24" s="127" t="s">
        <v>128</v>
      </c>
      <c r="E24" s="128" t="s">
        <v>326</v>
      </c>
      <c r="F24" s="128" t="s">
        <v>283</v>
      </c>
      <c r="G24" s="64" t="str">
        <f t="shared" si="72"/>
        <v>[effect:enemy_message, val1:1.5, val2:1.8]</v>
      </c>
      <c r="H24" s="64">
        <f t="shared" si="73"/>
        <v>9</v>
      </c>
      <c r="I24" s="64">
        <f t="shared" si="74"/>
        <v>22</v>
      </c>
      <c r="J24" s="64" t="e">
        <f t="shared" si="75"/>
        <v>#VALUE!</v>
      </c>
      <c r="K24" s="64">
        <f t="shared" si="76"/>
        <v>32</v>
      </c>
      <c r="L24" s="64" t="str">
        <f>IFERROR(VLOOKUP(MID(G24,J24,K24-J24),[5]skilldef!$C:$D,2,FALSE),"-") &amp; " / " &amp; IFERROR(VLOOKUP(MID(G24,H24,I24-H24),[5]skilldef!$A:$B,2,FALSE),"-")</f>
        <v>- / -</v>
      </c>
      <c r="M24" s="64" t="str">
        <f t="shared" si="77"/>
        <v>[effect:fix_speed, target:myself, turn:1]</v>
      </c>
      <c r="N24" s="48" t="str">
        <f>IFERROR(LEFT(M24,FIND("],",M24)+S37),M24)</f>
        <v>[effect:fix_speed, target:myself, turn:1]</v>
      </c>
      <c r="O24" s="64">
        <f t="shared" si="78"/>
        <v>9</v>
      </c>
      <c r="P24" s="64">
        <f t="shared" si="79"/>
        <v>18</v>
      </c>
      <c r="Q24" s="64">
        <f t="shared" si="80"/>
        <v>27</v>
      </c>
      <c r="R24" s="64">
        <f t="shared" si="81"/>
        <v>33</v>
      </c>
      <c r="S24" s="64" t="str">
        <f>IFERROR(VLOOKUP(MID(N24,Q24,R24-Q24),[5]skilldef!$C:$D,2,FALSE),"-") &amp; " / " &amp; IFERROR(VLOOKUP(MID(N24,O24,P24-O24),[5]skilldef!$A:$B,2,FALSE),"-")</f>
        <v>自分自身に / 行動値設定</v>
      </c>
      <c r="T24" s="48" t="str">
        <f t="shared" si="82"/>
        <v>none</v>
      </c>
      <c r="U24" s="64" t="e">
        <f t="shared" si="83"/>
        <v>#VALUE!</v>
      </c>
      <c r="V24" s="64">
        <f t="shared" si="84"/>
        <v>4</v>
      </c>
      <c r="W24" s="64" t="e">
        <f t="shared" si="85"/>
        <v>#VALUE!</v>
      </c>
      <c r="X24" s="64" t="e">
        <f t="shared" si="86"/>
        <v>#VALUE!</v>
      </c>
      <c r="Y24" s="64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130">
        <v>40025312</v>
      </c>
      <c r="B25" s="126" t="s">
        <v>373</v>
      </c>
      <c r="C25" s="50">
        <v>3</v>
      </c>
      <c r="D25" s="127" t="s">
        <v>128</v>
      </c>
      <c r="E25" s="128" t="s">
        <v>286</v>
      </c>
      <c r="F25" s="128" t="s">
        <v>285</v>
      </c>
      <c r="G25" s="64" t="str">
        <f t="shared" ref="G25:G34" si="87">IFERROR(LEFT(B25,FIND("],",B25)),B25)</f>
        <v>[effect:enemy_message, val1:1, val2:1.2]</v>
      </c>
      <c r="H25" s="64">
        <f t="shared" ref="H25:H34" si="88">FIND("effect:",G25)+7</f>
        <v>9</v>
      </c>
      <c r="I25" s="64">
        <f t="shared" ref="I25:I34" si="89">IFERROR(FIND(",",G25),LEN(G25))</f>
        <v>22</v>
      </c>
      <c r="J25" s="64" t="e">
        <f t="shared" ref="J25:J34" si="90">FIND("target:",G25)+7</f>
        <v>#VALUE!</v>
      </c>
      <c r="K25" s="64">
        <f t="shared" ref="K25:K34" si="91">FIND(",",G25,I25+1)</f>
        <v>30</v>
      </c>
      <c r="L25" s="64" t="str">
        <f>IFERROR(VLOOKUP(MID(G25,J25,K25-J25),[5]skilldef!$C:$D,2,FALSE),"-") &amp; " / " &amp; IFERROR(VLOOKUP(MID(G25,H25,I25-H25),[5]skilldef!$A:$B,2,FALSE),"-")</f>
        <v>- / -</v>
      </c>
      <c r="M25" s="64" t="str">
        <f t="shared" ref="M25:M34" si="92">IFERROR(RIGHT(B25,LEN(B25)-FIND("],",B25)-1),"none")</f>
        <v>none</v>
      </c>
      <c r="N25" s="48" t="str">
        <f>IFERROR(LEFT(M25,FIND("],",M25)+S39),M25)</f>
        <v>none</v>
      </c>
      <c r="O25" s="64" t="e">
        <f t="shared" ref="O25:O34" si="93">FIND("effect:",N25)+7</f>
        <v>#VALUE!</v>
      </c>
      <c r="P25" s="64">
        <f t="shared" ref="P25:P34" si="94">IFERROR(FIND(",",N25),LEN(N25))</f>
        <v>4</v>
      </c>
      <c r="Q25" s="64" t="e">
        <f t="shared" ref="Q25:Q34" si="95">FIND("target:",N25)+7</f>
        <v>#VALUE!</v>
      </c>
      <c r="R25" s="64" t="e">
        <f t="shared" ref="R25:R34" si="96">FIND(",",N25,P25+1)</f>
        <v>#VALUE!</v>
      </c>
      <c r="S25" s="64" t="str">
        <f>IFERROR(VLOOKUP(MID(N25,Q25,R25-Q25),[5]skilldef!$C:$D,2,FALSE),"-") &amp; " / " &amp; IFERROR(VLOOKUP(MID(N25,O25,P25-O25),[5]skilldef!$A:$B,2,FALSE),"-")</f>
        <v>- / -</v>
      </c>
      <c r="T25" s="48" t="str">
        <f t="shared" ref="T25:T34" si="97">IFERROR(RIGHT(M25,LEN(M25)-FIND("],",M25)-1),"none")</f>
        <v>none</v>
      </c>
      <c r="U25" s="64" t="e">
        <f t="shared" ref="U25:U34" si="98">FIND("effect:",T25)+7</f>
        <v>#VALUE!</v>
      </c>
      <c r="V25" s="64">
        <f t="shared" ref="V25:V34" si="99">IFERROR(FIND(",",T25),LEN(T25))</f>
        <v>4</v>
      </c>
      <c r="W25" s="64" t="e">
        <f t="shared" ref="W25:W34" si="100">FIND("target:",T25)+7</f>
        <v>#VALUE!</v>
      </c>
      <c r="X25" s="64" t="e">
        <f t="shared" ref="X25:X34" si="101">FIND(",",T25,V25+1)</f>
        <v>#VALUE!</v>
      </c>
      <c r="Y25" s="64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130">
        <v>40025313</v>
      </c>
      <c r="B26" s="126" t="s">
        <v>492</v>
      </c>
      <c r="C26" s="50">
        <v>3</v>
      </c>
      <c r="D26" s="127" t="s">
        <v>128</v>
      </c>
      <c r="E26" s="128" t="s">
        <v>284</v>
      </c>
      <c r="F26" s="128" t="s">
        <v>339</v>
      </c>
      <c r="G26" s="64" t="str">
        <f t="shared" si="87"/>
        <v>[effect:force_change_block, new_block:jammer, target:block_all, ignore01:block_positive, ignore02:block_negative, count:2, val:0]</v>
      </c>
      <c r="H26" s="64">
        <f t="shared" si="88"/>
        <v>9</v>
      </c>
      <c r="I26" s="64">
        <f t="shared" si="89"/>
        <v>27</v>
      </c>
      <c r="J26" s="64">
        <f t="shared" si="90"/>
        <v>54</v>
      </c>
      <c r="K26" s="64">
        <f t="shared" si="91"/>
        <v>45</v>
      </c>
      <c r="L26" s="64" t="str">
        <f>IFERROR(VLOOKUP(MID(G26,J26,K26-J26),[5]skilldef!$C:$D,2,FALSE),"-") &amp; " / " &amp; IFERROR(VLOOKUP(MID(G26,H26,I26-H26),[5]skilldef!$A:$B,2,FALSE),"-")</f>
        <v>- / -</v>
      </c>
      <c r="M26" s="64" t="str">
        <f t="shared" si="92"/>
        <v>none</v>
      </c>
      <c r="N26" s="48" t="str">
        <f>IFERROR(LEFT(M26,FIND("],",M26)+S40),M26)</f>
        <v>none</v>
      </c>
      <c r="O26" s="64" t="e">
        <f t="shared" si="93"/>
        <v>#VALUE!</v>
      </c>
      <c r="P26" s="64">
        <f t="shared" si="94"/>
        <v>4</v>
      </c>
      <c r="Q26" s="64" t="e">
        <f t="shared" si="95"/>
        <v>#VALUE!</v>
      </c>
      <c r="R26" s="64" t="e">
        <f t="shared" si="96"/>
        <v>#VALUE!</v>
      </c>
      <c r="S26" s="64" t="str">
        <f>IFERROR(VLOOKUP(MID(N26,Q26,R26-Q26),[5]skilldef!$C:$D,2,FALSE),"-") &amp; " / " &amp; IFERROR(VLOOKUP(MID(N26,O26,P26-O26),[5]skilldef!$A:$B,2,FALSE),"-")</f>
        <v>- / -</v>
      </c>
      <c r="T26" s="48" t="str">
        <f t="shared" si="97"/>
        <v>none</v>
      </c>
      <c r="U26" s="64" t="e">
        <f t="shared" si="98"/>
        <v>#VALUE!</v>
      </c>
      <c r="V26" s="64">
        <f t="shared" si="99"/>
        <v>4</v>
      </c>
      <c r="W26" s="64" t="e">
        <f t="shared" si="100"/>
        <v>#VALUE!</v>
      </c>
      <c r="X26" s="64" t="e">
        <f t="shared" si="101"/>
        <v>#VALUE!</v>
      </c>
      <c r="Y26" s="64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34" customHeight="1" x14ac:dyDescent="0.15">
      <c r="A27" s="130">
        <v>40025314</v>
      </c>
      <c r="B27" s="126" t="s">
        <v>377</v>
      </c>
      <c r="C27" s="50">
        <v>3</v>
      </c>
      <c r="D27" s="127" t="s">
        <v>128</v>
      </c>
      <c r="E27" s="128" t="s">
        <v>360</v>
      </c>
      <c r="F27" s="128" t="s">
        <v>378</v>
      </c>
      <c r="G27" s="64" t="str">
        <f t="shared" si="87"/>
        <v>[effect:enemy_message, val1:1.5, val2:1.2]</v>
      </c>
      <c r="H27" s="64">
        <f t="shared" si="88"/>
        <v>9</v>
      </c>
      <c r="I27" s="64">
        <f t="shared" si="89"/>
        <v>22</v>
      </c>
      <c r="J27" s="64" t="e">
        <f t="shared" si="90"/>
        <v>#VALUE!</v>
      </c>
      <c r="K27" s="64">
        <f t="shared" si="91"/>
        <v>32</v>
      </c>
      <c r="L27" s="64" t="str">
        <f>IFERROR(VLOOKUP(MID(G27,J27,K27-J27),[5]skilldef!$C:$D,2,FALSE),"-") &amp; " / " &amp; IFERROR(VLOOKUP(MID(G27,H27,I27-H27),[5]skilldef!$A:$B,2,FALSE),"-")</f>
        <v>- / -</v>
      </c>
      <c r="M27" s="64" t="str">
        <f t="shared" si="92"/>
        <v>none</v>
      </c>
      <c r="N27" s="48" t="str">
        <f>IFERROR(LEFT(M27,FIND("],",M27)+S41),M27)</f>
        <v>none</v>
      </c>
      <c r="O27" s="64" t="e">
        <f t="shared" si="93"/>
        <v>#VALUE!</v>
      </c>
      <c r="P27" s="64">
        <f t="shared" si="94"/>
        <v>4</v>
      </c>
      <c r="Q27" s="64" t="e">
        <f t="shared" si="95"/>
        <v>#VALUE!</v>
      </c>
      <c r="R27" s="64" t="e">
        <f t="shared" si="96"/>
        <v>#VALUE!</v>
      </c>
      <c r="S27" s="64" t="str">
        <f>IFERROR(VLOOKUP(MID(N27,Q27,R27-Q27),[5]skilldef!$C:$D,2,FALSE),"-") &amp; " / " &amp; IFERROR(VLOOKUP(MID(N27,O27,P27-O27),[5]skilldef!$A:$B,2,FALSE),"-")</f>
        <v>- / -</v>
      </c>
      <c r="T27" s="48" t="str">
        <f t="shared" si="97"/>
        <v>none</v>
      </c>
      <c r="U27" s="64" t="e">
        <f t="shared" si="98"/>
        <v>#VALUE!</v>
      </c>
      <c r="V27" s="64">
        <f t="shared" si="99"/>
        <v>4</v>
      </c>
      <c r="W27" s="64" t="e">
        <f t="shared" si="100"/>
        <v>#VALUE!</v>
      </c>
      <c r="X27" s="64" t="e">
        <f t="shared" si="101"/>
        <v>#VALUE!</v>
      </c>
      <c r="Y27" s="64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130">
        <v>40025315</v>
      </c>
      <c r="B28" s="126" t="s">
        <v>492</v>
      </c>
      <c r="C28" s="50">
        <v>3</v>
      </c>
      <c r="D28" s="127" t="s">
        <v>128</v>
      </c>
      <c r="E28" s="128" t="s">
        <v>344</v>
      </c>
      <c r="F28" s="128" t="s">
        <v>339</v>
      </c>
      <c r="G28" s="64" t="str">
        <f t="shared" ref="G28" si="102">IFERROR(LEFT(B28,FIND("],",B28)),B28)</f>
        <v>[effect:force_change_block, new_block:jammer, target:block_all, ignore01:block_positive, ignore02:block_negative, count:2, val:0]</v>
      </c>
      <c r="H28" s="64">
        <f t="shared" ref="H28" si="103">FIND("effect:",G28)+7</f>
        <v>9</v>
      </c>
      <c r="I28" s="64">
        <f t="shared" ref="I28" si="104">IFERROR(FIND(",",G28),LEN(G28))</f>
        <v>27</v>
      </c>
      <c r="J28" s="64">
        <f t="shared" ref="J28" si="105">FIND("target:",G28)+7</f>
        <v>54</v>
      </c>
      <c r="K28" s="64">
        <f t="shared" ref="K28" si="106">FIND(",",G28,I28+1)</f>
        <v>45</v>
      </c>
      <c r="L28" s="64" t="str">
        <f>IFERROR(VLOOKUP(MID(G28,J28,K28-J28),[5]skilldef!$C:$D,2,FALSE),"-") &amp; " / " &amp; IFERROR(VLOOKUP(MID(G28,H28,I28-H28),[5]skilldef!$A:$B,2,FALSE),"-")</f>
        <v>- / -</v>
      </c>
      <c r="M28" s="64" t="str">
        <f t="shared" ref="M28" si="107">IFERROR(RIGHT(B28,LEN(B28)-FIND("],",B28)-1),"none")</f>
        <v>none</v>
      </c>
      <c r="N28" s="48" t="str">
        <f>IFERROR(LEFT(M28,FIND("],",M28)+S42),M28)</f>
        <v>none</v>
      </c>
      <c r="O28" s="64" t="e">
        <f t="shared" ref="O28" si="108">FIND("effect:",N28)+7</f>
        <v>#VALUE!</v>
      </c>
      <c r="P28" s="64">
        <f t="shared" ref="P28" si="109">IFERROR(FIND(",",N28),LEN(N28))</f>
        <v>4</v>
      </c>
      <c r="Q28" s="64" t="e">
        <f t="shared" ref="Q28" si="110">FIND("target:",N28)+7</f>
        <v>#VALUE!</v>
      </c>
      <c r="R28" s="64" t="e">
        <f t="shared" ref="R28" si="111">FIND(",",N28,P28+1)</f>
        <v>#VALUE!</v>
      </c>
      <c r="S28" s="64" t="str">
        <f>IFERROR(VLOOKUP(MID(N28,Q28,R28-Q28),[5]skilldef!$C:$D,2,FALSE),"-") &amp; " / " &amp; IFERROR(VLOOKUP(MID(N28,O28,P28-O28),[5]skilldef!$A:$B,2,FALSE),"-")</f>
        <v>- / -</v>
      </c>
      <c r="T28" s="48" t="str">
        <f t="shared" ref="T28" si="112">IFERROR(RIGHT(M28,LEN(M28)-FIND("],",M28)-1),"none")</f>
        <v>none</v>
      </c>
      <c r="U28" s="64" t="e">
        <f t="shared" ref="U28" si="113">FIND("effect:",T28)+7</f>
        <v>#VALUE!</v>
      </c>
      <c r="V28" s="64">
        <f t="shared" ref="V28" si="114">IFERROR(FIND(",",T28),LEN(T28))</f>
        <v>4</v>
      </c>
      <c r="W28" s="64" t="e">
        <f t="shared" ref="W28" si="115">FIND("target:",T28)+7</f>
        <v>#VALUE!</v>
      </c>
      <c r="X28" s="64" t="e">
        <f t="shared" ref="X28" si="116">FIND(",",T28,V28+1)</f>
        <v>#VALUE!</v>
      </c>
      <c r="Y28" s="64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8" customHeight="1" x14ac:dyDescent="0.15">
      <c r="A29" s="130">
        <v>40025316</v>
      </c>
      <c r="B29" s="126" t="s">
        <v>493</v>
      </c>
      <c r="C29" s="50">
        <v>3</v>
      </c>
      <c r="D29" s="127" t="s">
        <v>128</v>
      </c>
      <c r="E29" s="128" t="s">
        <v>364</v>
      </c>
      <c r="F29" s="128" t="s">
        <v>359</v>
      </c>
      <c r="G29" s="64" t="str">
        <f t="shared" si="87"/>
        <v>[effect:force_change_block, new_block:block_heart, target:block_all, ignore01:block_positive, ignore02:block_negative, count:5, val:0]</v>
      </c>
      <c r="H29" s="64">
        <f t="shared" si="88"/>
        <v>9</v>
      </c>
      <c r="I29" s="64">
        <f t="shared" si="89"/>
        <v>27</v>
      </c>
      <c r="J29" s="64">
        <f t="shared" si="90"/>
        <v>59</v>
      </c>
      <c r="K29" s="64">
        <f t="shared" si="91"/>
        <v>50</v>
      </c>
      <c r="L29" s="64" t="str">
        <f>IFERROR(VLOOKUP(MID(G29,J29,K29-J29),[5]skilldef!$C:$D,2,FALSE),"-") &amp; " / " &amp; IFERROR(VLOOKUP(MID(G29,H29,I29-H29),[5]skilldef!$A:$B,2,FALSE),"-")</f>
        <v>- / -</v>
      </c>
      <c r="M29" s="64" t="str">
        <f t="shared" si="92"/>
        <v>[effect:force_change_block, new_block:jammer, target:block_all, ignore01:block_positive, ignore02:block_negative, count:5, val:0],[effect:spread, val:0.3],[effect:suicide, val:1, dead_type:escape, target:myself]</v>
      </c>
      <c r="N29" s="48" t="str">
        <f>IFERROR(LEFT(M29,FIND("],",M29)+S42),M29)</f>
        <v>[effect:force_change_block, new_block:jammer, target:block_all, ignore01:block_positive, ignore02:block_negative, count:5, val:0],[effect:spread, val:0.3],[effect:suicide, val:1, dead_type:escape, target:myself]</v>
      </c>
      <c r="O29" s="64">
        <f t="shared" si="93"/>
        <v>9</v>
      </c>
      <c r="P29" s="64">
        <f t="shared" si="94"/>
        <v>27</v>
      </c>
      <c r="Q29" s="64">
        <f t="shared" si="95"/>
        <v>54</v>
      </c>
      <c r="R29" s="64">
        <f t="shared" si="96"/>
        <v>45</v>
      </c>
      <c r="S29" s="64" t="str">
        <f>IFERROR(VLOOKUP(MID(N29,Q29,R29-Q29),[5]skilldef!$C:$D,2,FALSE),"-") &amp; " / " &amp; IFERROR(VLOOKUP(MID(N29,O29,P29-O29),[5]skilldef!$A:$B,2,FALSE),"-")</f>
        <v>- / -</v>
      </c>
      <c r="T29" s="48" t="str">
        <f t="shared" si="97"/>
        <v>[effect:spread, val:0.3],[effect:suicide, val:1, dead_type:escape, target:myself]</v>
      </c>
      <c r="U29" s="64">
        <f t="shared" si="98"/>
        <v>9</v>
      </c>
      <c r="V29" s="64">
        <f t="shared" si="99"/>
        <v>15</v>
      </c>
      <c r="W29" s="64">
        <f t="shared" si="100"/>
        <v>75</v>
      </c>
      <c r="X29" s="64">
        <f t="shared" si="101"/>
        <v>25</v>
      </c>
      <c r="Y29" s="64" t="str">
        <f>IFERROR(VLOOKUP(MID(T29,W29,X29-W29),[5]skilldef!$C:$D,2,FALSE),"-") &amp; " / " &amp; IFERROR(VLOOKUP(MID(T29,U29,V29-U29),[5]skilldef!$A:$B,2,FALSE),"-")</f>
        <v>- / 全体攻撃</v>
      </c>
      <c r="Z29" s="50"/>
      <c r="AA29" s="52"/>
      <c r="AB29" s="50"/>
    </row>
    <row r="30" spans="1:28" ht="21" customHeight="1" x14ac:dyDescent="0.15">
      <c r="A30" s="130">
        <v>40025317</v>
      </c>
      <c r="B30" s="126" t="s">
        <v>494</v>
      </c>
      <c r="C30" s="50">
        <v>3</v>
      </c>
      <c r="D30" s="127" t="s">
        <v>128</v>
      </c>
      <c r="E30" s="128" t="s">
        <v>365</v>
      </c>
      <c r="F30" s="128" t="s">
        <v>287</v>
      </c>
      <c r="G30" s="64" t="str">
        <f t="shared" ref="G30" si="117">IFERROR(LEFT(B30,FIND("],",B30)),B30)</f>
        <v>[effect:force_change_block, new_block:jammer, target:block_all, ignore01:block_positive, ignore02:block_negative, count:10, val:0]</v>
      </c>
      <c r="H30" s="64">
        <f t="shared" ref="H30" si="118">FIND("effect:",G30)+7</f>
        <v>9</v>
      </c>
      <c r="I30" s="64">
        <f t="shared" ref="I30" si="119">IFERROR(FIND(",",G30),LEN(G30))</f>
        <v>27</v>
      </c>
      <c r="J30" s="64">
        <f t="shared" ref="J30" si="120">FIND("target:",G30)+7</f>
        <v>54</v>
      </c>
      <c r="K30" s="64">
        <f t="shared" ref="K30" si="121">FIND(",",G30,I30+1)</f>
        <v>45</v>
      </c>
      <c r="L30" s="64" t="str">
        <f>IFERROR(VLOOKUP(MID(G30,J30,K30-J30),[5]skilldef!$C:$D,2,FALSE),"-") &amp; " / " &amp; IFERROR(VLOOKUP(MID(G30,H30,I30-H30),[5]skilldef!$A:$B,2,FALSE),"-")</f>
        <v>- / -</v>
      </c>
      <c r="M30" s="64" t="str">
        <f t="shared" ref="M30" si="122">IFERROR(RIGHT(B30,LEN(B30)-FIND("],",B30)-1),"none")</f>
        <v>[effect:spread, val:0.35],[effect:suicide, val:1, dead_type:escape, target:myself]</v>
      </c>
      <c r="N30" s="48" t="str">
        <f>IFERROR(LEFT(M30,FIND("],",M30)+S43),M30)</f>
        <v>[effect:spread, val:0.35],[effect:suicide, val:1, dead_type:escape, target:myself]</v>
      </c>
      <c r="O30" s="64">
        <f t="shared" ref="O30" si="123">FIND("effect:",N30)+7</f>
        <v>9</v>
      </c>
      <c r="P30" s="64">
        <f t="shared" ref="P30" si="124">IFERROR(FIND(",",N30),LEN(N30))</f>
        <v>15</v>
      </c>
      <c r="Q30" s="64">
        <f t="shared" ref="Q30" si="125">FIND("target:",N30)+7</f>
        <v>76</v>
      </c>
      <c r="R30" s="64">
        <f t="shared" ref="R30" si="126">FIND(",",N30,P30+1)</f>
        <v>26</v>
      </c>
      <c r="S30" s="64" t="str">
        <f>IFERROR(VLOOKUP(MID(N30,Q30,R30-Q30),[5]skilldef!$C:$D,2,FALSE),"-") &amp; " / " &amp; IFERROR(VLOOKUP(MID(N30,O30,P30-O30),[5]skilldef!$A:$B,2,FALSE),"-")</f>
        <v>- / 全体攻撃</v>
      </c>
      <c r="T30" s="48" t="str">
        <f t="shared" ref="T30" si="127">IFERROR(RIGHT(M30,LEN(M30)-FIND("],",M30)-1),"none")</f>
        <v>[effect:suicide, val:1, dead_type:escape, target:myself]</v>
      </c>
      <c r="U30" s="64">
        <f t="shared" ref="U30" si="128">FIND("effect:",T30)+7</f>
        <v>9</v>
      </c>
      <c r="V30" s="64">
        <f t="shared" ref="V30" si="129">IFERROR(FIND(",",T30),LEN(T30))</f>
        <v>16</v>
      </c>
      <c r="W30" s="64">
        <f t="shared" ref="W30" si="130">FIND("target:",T30)+7</f>
        <v>50</v>
      </c>
      <c r="X30" s="64">
        <f t="shared" ref="X30" si="131">FIND(",",T30,V30+1)</f>
        <v>23</v>
      </c>
      <c r="Y30" s="64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21" customHeight="1" x14ac:dyDescent="0.15">
      <c r="A31" s="130">
        <v>40025331</v>
      </c>
      <c r="B31" s="47" t="s">
        <v>376</v>
      </c>
      <c r="C31" s="50">
        <v>3</v>
      </c>
      <c r="D31" s="50" t="s">
        <v>128</v>
      </c>
      <c r="E31" s="51" t="s">
        <v>327</v>
      </c>
      <c r="F31" s="51" t="s">
        <v>331</v>
      </c>
      <c r="G31" s="64" t="str">
        <f t="shared" si="87"/>
        <v>[effect:enemy_message, val1:1.5, val2:1.8]</v>
      </c>
      <c r="H31" s="64">
        <f t="shared" si="88"/>
        <v>9</v>
      </c>
      <c r="I31" s="64">
        <f t="shared" si="89"/>
        <v>22</v>
      </c>
      <c r="J31" s="64" t="e">
        <f t="shared" si="90"/>
        <v>#VALUE!</v>
      </c>
      <c r="K31" s="64">
        <f t="shared" si="91"/>
        <v>32</v>
      </c>
      <c r="L31" s="64" t="str">
        <f>IFERROR(VLOOKUP(MID(G31,J31,K31-J31),[5]skilldef!$C:$D,2,FALSE),"-") &amp; " / " &amp; IFERROR(VLOOKUP(MID(G31,H31,I31-H31),[5]skilldef!$A:$B,2,FALSE),"-")</f>
        <v>- / -</v>
      </c>
      <c r="M31" s="64" t="str">
        <f t="shared" si="92"/>
        <v>[effect:fix_speed, target:myself, turn:2]</v>
      </c>
      <c r="N31" s="48" t="str">
        <f>IFERROR(LEFT(M31,FIND("],",M31)+S43),M31)</f>
        <v>[effect:fix_speed, target:myself, turn:2]</v>
      </c>
      <c r="O31" s="64">
        <f t="shared" si="93"/>
        <v>9</v>
      </c>
      <c r="P31" s="64">
        <f t="shared" si="94"/>
        <v>18</v>
      </c>
      <c r="Q31" s="64">
        <f t="shared" si="95"/>
        <v>27</v>
      </c>
      <c r="R31" s="64">
        <f t="shared" si="96"/>
        <v>33</v>
      </c>
      <c r="S31" s="64" t="str">
        <f>IFERROR(VLOOKUP(MID(N31,Q31,R31-Q31),[5]skilldef!$C:$D,2,FALSE),"-") &amp; " / " &amp; IFERROR(VLOOKUP(MID(N31,O31,P31-O31),[5]skilldef!$A:$B,2,FALSE),"-")</f>
        <v>自分自身に / 行動値設定</v>
      </c>
      <c r="T31" s="48" t="str">
        <f t="shared" si="97"/>
        <v>none</v>
      </c>
      <c r="U31" s="64" t="e">
        <f t="shared" si="98"/>
        <v>#VALUE!</v>
      </c>
      <c r="V31" s="64">
        <f t="shared" si="99"/>
        <v>4</v>
      </c>
      <c r="W31" s="64" t="e">
        <f t="shared" si="100"/>
        <v>#VALUE!</v>
      </c>
      <c r="X31" s="64" t="e">
        <f t="shared" si="101"/>
        <v>#VALUE!</v>
      </c>
      <c r="Y31" s="64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37" customHeight="1" x14ac:dyDescent="0.15">
      <c r="A32" s="130">
        <v>40025332</v>
      </c>
      <c r="B32" s="47" t="s">
        <v>404</v>
      </c>
      <c r="C32" s="50">
        <v>3</v>
      </c>
      <c r="D32" s="50" t="s">
        <v>128</v>
      </c>
      <c r="E32" s="51" t="s">
        <v>314</v>
      </c>
      <c r="F32" s="51" t="s">
        <v>406</v>
      </c>
      <c r="G32" s="64" t="str">
        <f t="shared" si="87"/>
        <v>[effect:damage_anti_cost, target:unit_all, lower:35, val1:0.5, val2:0.2, cost_type:unit]</v>
      </c>
      <c r="H32" s="64">
        <f t="shared" si="88"/>
        <v>9</v>
      </c>
      <c r="I32" s="64">
        <f t="shared" si="89"/>
        <v>25</v>
      </c>
      <c r="J32" s="64">
        <f t="shared" si="90"/>
        <v>34</v>
      </c>
      <c r="K32" s="64">
        <f t="shared" si="91"/>
        <v>42</v>
      </c>
      <c r="L32" s="64" t="str">
        <f>IFERROR(VLOOKUP(MID(G32,J32,K32-J32),[5]skilldef!$C:$D,2,FALSE),"-") &amp; " / " &amp; IFERROR(VLOOKUP(MID(G32,H32,I32-H32),[5]skilldef!$A:$B,2,FALSE),"-")</f>
        <v>味方全体に / -</v>
      </c>
      <c r="M32" s="64" t="str">
        <f t="shared" si="92"/>
        <v>none</v>
      </c>
      <c r="N32" s="48" t="str">
        <f>IFERROR(LEFT(M32,FIND("],",M32)+S47),M32)</f>
        <v>none</v>
      </c>
      <c r="O32" s="64" t="e">
        <f t="shared" si="93"/>
        <v>#VALUE!</v>
      </c>
      <c r="P32" s="64">
        <f t="shared" si="94"/>
        <v>4</v>
      </c>
      <c r="Q32" s="64" t="e">
        <f t="shared" si="95"/>
        <v>#VALUE!</v>
      </c>
      <c r="R32" s="64" t="e">
        <f t="shared" si="96"/>
        <v>#VALUE!</v>
      </c>
      <c r="S32" s="64" t="str">
        <f>IFERROR(VLOOKUP(MID(N32,Q32,R32-Q32),[5]skilldef!$C:$D,2,FALSE),"-") &amp; " / " &amp; IFERROR(VLOOKUP(MID(N32,O32,P32-O32),[5]skilldef!$A:$B,2,FALSE),"-")</f>
        <v>- / -</v>
      </c>
      <c r="T32" s="48" t="str">
        <f t="shared" si="97"/>
        <v>none</v>
      </c>
      <c r="U32" s="64" t="e">
        <f t="shared" si="98"/>
        <v>#VALUE!</v>
      </c>
      <c r="V32" s="64">
        <f t="shared" si="99"/>
        <v>4</v>
      </c>
      <c r="W32" s="64" t="e">
        <f t="shared" si="100"/>
        <v>#VALUE!</v>
      </c>
      <c r="X32" s="64" t="e">
        <f t="shared" si="101"/>
        <v>#VALUE!</v>
      </c>
      <c r="Y32" s="64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130">
        <v>40025333</v>
      </c>
      <c r="B33" s="47" t="s">
        <v>379</v>
      </c>
      <c r="C33" s="50">
        <v>3</v>
      </c>
      <c r="D33" s="50" t="s">
        <v>128</v>
      </c>
      <c r="E33" s="51" t="s">
        <v>366</v>
      </c>
      <c r="F33" s="51" t="s">
        <v>361</v>
      </c>
      <c r="G33" s="64" t="str">
        <f t="shared" si="87"/>
        <v>[effect:enemy_message, val1:1.5, val:2.5]</v>
      </c>
      <c r="H33" s="64">
        <f t="shared" si="88"/>
        <v>9</v>
      </c>
      <c r="I33" s="64">
        <f t="shared" si="89"/>
        <v>22</v>
      </c>
      <c r="J33" s="64" t="e">
        <f t="shared" si="90"/>
        <v>#VALUE!</v>
      </c>
      <c r="K33" s="64">
        <f t="shared" si="91"/>
        <v>32</v>
      </c>
      <c r="L33" s="64" t="str">
        <f>IFERROR(VLOOKUP(MID(G33,J33,K33-J33),[5]skilldef!$C:$D,2,FALSE),"-") &amp; " / " &amp; IFERROR(VLOOKUP(MID(G33,H33,I33-H33),[5]skilldef!$A:$B,2,FALSE),"-")</f>
        <v>- / -</v>
      </c>
      <c r="M33" s="64" t="str">
        <f t="shared" si="92"/>
        <v>[effect:suicide, val:0.95, dead_type:escape, target:myself]</v>
      </c>
      <c r="N33" s="48" t="str">
        <f>IFERROR(LEFT(M33,FIND("],",M33)+S48),M33)</f>
        <v>[effect:suicide, val:0.95, dead_type:escape, target:myself]</v>
      </c>
      <c r="O33" s="64">
        <f t="shared" si="93"/>
        <v>9</v>
      </c>
      <c r="P33" s="64">
        <f t="shared" si="94"/>
        <v>16</v>
      </c>
      <c r="Q33" s="64">
        <f t="shared" si="95"/>
        <v>53</v>
      </c>
      <c r="R33" s="64">
        <f t="shared" si="96"/>
        <v>26</v>
      </c>
      <c r="S33" s="64" t="str">
        <f>IFERROR(VLOOKUP(MID(N33,Q33,R33-Q33),[5]skilldef!$C:$D,2,FALSE),"-") &amp; " / " &amp; IFERROR(VLOOKUP(MID(N33,O33,P33-O33),[5]skilldef!$A:$B,2,FALSE),"-")</f>
        <v>- / -</v>
      </c>
      <c r="T33" s="48" t="str">
        <f t="shared" si="97"/>
        <v>none</v>
      </c>
      <c r="U33" s="64" t="e">
        <f t="shared" si="98"/>
        <v>#VALUE!</v>
      </c>
      <c r="V33" s="64">
        <f t="shared" si="99"/>
        <v>4</v>
      </c>
      <c r="W33" s="64" t="e">
        <f t="shared" si="100"/>
        <v>#VALUE!</v>
      </c>
      <c r="X33" s="64" t="e">
        <f t="shared" si="101"/>
        <v>#VALUE!</v>
      </c>
      <c r="Y33" s="64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33" customHeight="1" x14ac:dyDescent="0.15">
      <c r="A34" s="130">
        <v>40025351</v>
      </c>
      <c r="B34" s="126" t="s">
        <v>393</v>
      </c>
      <c r="C34" s="50">
        <v>3</v>
      </c>
      <c r="D34" s="127" t="s">
        <v>128</v>
      </c>
      <c r="E34" s="128" t="s">
        <v>382</v>
      </c>
      <c r="F34" s="128" t="s">
        <v>345</v>
      </c>
      <c r="G34" s="64" t="str">
        <f t="shared" si="87"/>
        <v>[effect:enemy_message, val1:2.5, val:1.8]</v>
      </c>
      <c r="H34" s="64">
        <f t="shared" si="88"/>
        <v>9</v>
      </c>
      <c r="I34" s="64">
        <f t="shared" si="89"/>
        <v>22</v>
      </c>
      <c r="J34" s="64" t="e">
        <f t="shared" si="90"/>
        <v>#VALUE!</v>
      </c>
      <c r="K34" s="64">
        <f t="shared" si="91"/>
        <v>32</v>
      </c>
      <c r="L34" s="64" t="str">
        <f>IFERROR(VLOOKUP(MID(G34,J34,K34-J34),[5]skilldef!$C:$D,2,FALSE),"-") &amp; " / " &amp; IFERROR(VLOOKUP(MID(G34,H34,I34-H34),[5]skilldef!$A:$B,2,FALSE),"-")</f>
        <v>- / -</v>
      </c>
      <c r="M34" s="64" t="str">
        <f t="shared" si="92"/>
        <v>[effect:fix_speed, target:myself, turn:1]</v>
      </c>
      <c r="N34" s="48" t="str">
        <f>IFERROR(LEFT(M34,FIND("],",M34)+S49),M34)</f>
        <v>[effect:fix_speed, target:myself, turn:1]</v>
      </c>
      <c r="O34" s="64">
        <f t="shared" si="93"/>
        <v>9</v>
      </c>
      <c r="P34" s="64">
        <f t="shared" si="94"/>
        <v>18</v>
      </c>
      <c r="Q34" s="64">
        <f t="shared" si="95"/>
        <v>27</v>
      </c>
      <c r="R34" s="64">
        <f t="shared" si="96"/>
        <v>33</v>
      </c>
      <c r="S34" s="64" t="str">
        <f>IFERROR(VLOOKUP(MID(N34,Q34,R34-Q34),[5]skilldef!$C:$D,2,FALSE),"-") &amp; " / " &amp; IFERROR(VLOOKUP(MID(N34,O34,P34-O34),[5]skilldef!$A:$B,2,FALSE),"-")</f>
        <v>自分自身に / 行動値設定</v>
      </c>
      <c r="T34" s="48" t="str">
        <f t="shared" si="97"/>
        <v>none</v>
      </c>
      <c r="U34" s="64" t="e">
        <f t="shared" si="98"/>
        <v>#VALUE!</v>
      </c>
      <c r="V34" s="64">
        <f t="shared" si="99"/>
        <v>4</v>
      </c>
      <c r="W34" s="64" t="e">
        <f t="shared" si="100"/>
        <v>#VALUE!</v>
      </c>
      <c r="X34" s="64" t="e">
        <f t="shared" si="101"/>
        <v>#VALUE!</v>
      </c>
      <c r="Y34" s="64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60" customHeight="1" x14ac:dyDescent="0.15">
      <c r="A35" s="130">
        <v>40025352</v>
      </c>
      <c r="B35" s="126" t="s">
        <v>405</v>
      </c>
      <c r="C35" s="50">
        <v>3</v>
      </c>
      <c r="D35" s="127" t="s">
        <v>128</v>
      </c>
      <c r="E35" s="128" t="s">
        <v>289</v>
      </c>
      <c r="F35" s="128" t="s">
        <v>407</v>
      </c>
      <c r="G35" s="64" t="str">
        <f t="shared" ref="G35:G48" si="132">IFERROR(LEFT(B35,FIND("],",B35)),B35)</f>
        <v>[effect:damage_anti_cost, target:unit_all, lower:35, val1:0.35, val2:0.15, cost_type:unit]</v>
      </c>
      <c r="H35" s="64">
        <f t="shared" ref="H35:H48" si="133">FIND("effect:",G35)+7</f>
        <v>9</v>
      </c>
      <c r="I35" s="64">
        <f t="shared" ref="I35:I48" si="134">IFERROR(FIND(",",G35),LEN(G35))</f>
        <v>25</v>
      </c>
      <c r="J35" s="64">
        <f t="shared" ref="J35:J48" si="135">FIND("target:",G35)+7</f>
        <v>34</v>
      </c>
      <c r="K35" s="64">
        <f t="shared" ref="K35:K48" si="136">FIND(",",G35,I35+1)</f>
        <v>42</v>
      </c>
      <c r="L35" s="64" t="str">
        <f>IFERROR(VLOOKUP(MID(G35,J35,K35-J35),[5]skilldef!$C:$D,2,FALSE),"-") &amp; " / " &amp; IFERROR(VLOOKUP(MID(G35,H35,I35-H35),[5]skilldef!$A:$B,2,FALSE),"-")</f>
        <v>味方全体に / -</v>
      </c>
      <c r="M35" s="64" t="str">
        <f t="shared" ref="M35:M48" si="137">IFERROR(RIGHT(B35,LEN(B35)-FIND("],",B35)-1),"none")</f>
        <v>none</v>
      </c>
      <c r="N35" s="48" t="str">
        <f>IFERROR(LEFT(M35,FIND("],",M35)+S50),M35)</f>
        <v>none</v>
      </c>
      <c r="O35" s="64" t="e">
        <f t="shared" ref="O35:O48" si="138">FIND("effect:",N35)+7</f>
        <v>#VALUE!</v>
      </c>
      <c r="P35" s="64">
        <f t="shared" ref="P35:P48" si="139">IFERROR(FIND(",",N35),LEN(N35))</f>
        <v>4</v>
      </c>
      <c r="Q35" s="64" t="e">
        <f t="shared" ref="Q35:Q48" si="140">FIND("target:",N35)+7</f>
        <v>#VALUE!</v>
      </c>
      <c r="R35" s="64" t="e">
        <f t="shared" ref="R35:R48" si="141">FIND(",",N35,P35+1)</f>
        <v>#VALUE!</v>
      </c>
      <c r="S35" s="64" t="str">
        <f>IFERROR(VLOOKUP(MID(N35,Q35,R35-Q35),[5]skilldef!$C:$D,2,FALSE),"-") &amp; " / " &amp; IFERROR(VLOOKUP(MID(N35,O35,P35-O35),[5]skilldef!$A:$B,2,FALSE),"-")</f>
        <v>- / -</v>
      </c>
      <c r="T35" s="48" t="str">
        <f t="shared" ref="T35:T48" si="142">IFERROR(RIGHT(M35,LEN(M35)-FIND("],",M35)-1),"none")</f>
        <v>none</v>
      </c>
      <c r="U35" s="64" t="e">
        <f t="shared" ref="U35:U48" si="143">FIND("effect:",T35)+7</f>
        <v>#VALUE!</v>
      </c>
      <c r="V35" s="64">
        <f t="shared" ref="V35:V48" si="144">IFERROR(FIND(",",T35),LEN(T35))</f>
        <v>4</v>
      </c>
      <c r="W35" s="64" t="e">
        <f t="shared" ref="W35:W48" si="145">FIND("target:",T35)+7</f>
        <v>#VALUE!</v>
      </c>
      <c r="X35" s="64" t="e">
        <f t="shared" ref="X35:X48" si="146">FIND(",",T35,V35+1)</f>
        <v>#VALUE!</v>
      </c>
      <c r="Y35" s="64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</row>
    <row r="36" spans="1:28" ht="37" customHeight="1" x14ac:dyDescent="0.15">
      <c r="A36" s="131">
        <v>40025411</v>
      </c>
      <c r="B36" s="47" t="s">
        <v>465</v>
      </c>
      <c r="C36" s="50">
        <v>3</v>
      </c>
      <c r="D36" s="50" t="s">
        <v>128</v>
      </c>
      <c r="E36" s="51" t="s">
        <v>300</v>
      </c>
      <c r="F36" s="51" t="s">
        <v>401</v>
      </c>
      <c r="G36" s="64" t="str">
        <f t="shared" si="132"/>
        <v>[effect:enemy_message, val1:1.8, val2:3.0]</v>
      </c>
      <c r="H36" s="64">
        <f t="shared" si="133"/>
        <v>9</v>
      </c>
      <c r="I36" s="64">
        <f t="shared" si="134"/>
        <v>22</v>
      </c>
      <c r="J36" s="64" t="e">
        <f t="shared" si="135"/>
        <v>#VALUE!</v>
      </c>
      <c r="K36" s="64">
        <f t="shared" si="136"/>
        <v>32</v>
      </c>
      <c r="L36" s="64" t="str">
        <f>IFERROR(VLOOKUP(MID(G36,J36,K36-J36),[5]skilldef!$C:$D,2,FALSE),"-") &amp; " / " &amp; IFERROR(VLOOKUP(MID(G36,H36,I36-H36),[5]skilldef!$A:$B,2,FALSE),"-")</f>
        <v>- / -</v>
      </c>
      <c r="M36" s="64" t="str">
        <f t="shared" si="137"/>
        <v>[effect:degrade_fever, val:300, animation:fevergauge_down],[effect:change_panel_ratio, turn:-1, block_type:heal, val:0.5, animation:block_incidence04],[effect:force_change_block, new_block:jammer, target:block_all, ignore01:crash, ignore02:crack_bomb, ignore03:time_bomb, ignore04:jammer, count:3, val:0],[effect:tolerance, target:myself, turn:-1, tolerance_effect:all, count:-1, animation:enemy_tolerance],[effect:fix_speed, target:myself, turn:2]</v>
      </c>
      <c r="N36" s="48" t="str">
        <f>IFERROR(LEFT(M36,FIND("],",M36)+S52),M36)</f>
        <v>[effect:degrade_fever, val:300, animation:fevergauge_down],[effect:change_panel_ratio, turn:-1, block_type:heal, val:0.5, animation:block_incidence04],[effect:force_change_block, new_block:jammer, target:block_all, ignore01:crash, ignore02:crack_bomb, ignore03:time_bomb, ignore04:jammer, count:3, val:0],[effect:tolerance, target:myself, turn:-1, tolerance_effect:all, count:-1, animation:enemy_tolerance],[effect:fix_speed, target:myself, turn:2]</v>
      </c>
      <c r="O36" s="64">
        <f t="shared" si="138"/>
        <v>9</v>
      </c>
      <c r="P36" s="64">
        <f t="shared" si="139"/>
        <v>22</v>
      </c>
      <c r="Q36" s="64">
        <f t="shared" si="140"/>
        <v>205</v>
      </c>
      <c r="R36" s="64">
        <f t="shared" si="141"/>
        <v>31</v>
      </c>
      <c r="S36" s="64" t="str">
        <f>IFERROR(VLOOKUP(MID(N36,Q36,R36-Q36),[5]skilldef!$C:$D,2,FALSE),"-") &amp; " / " &amp; IFERROR(VLOOKUP(MID(N36,O36,P36-O36),[5]skilldef!$A:$B,2,FALSE),"-")</f>
        <v>- / フィーバーゲージ減少</v>
      </c>
      <c r="T36" s="48" t="str">
        <f t="shared" si="142"/>
        <v>[effect:change_panel_ratio, turn:-1, block_type:heal, val:0.5, animation:block_incidence04],[effect:force_change_block, new_block:jammer, target:block_all, ignore01:crash, ignore02:crack_bomb, ignore03:time_bomb, ignore04:jammer, count:3, val:0],[effect:tolerance, target:myself, turn:-1, tolerance_effect:all, count:-1, animation:enemy_tolerance],[effect:fix_speed, target:myself, turn:2]</v>
      </c>
      <c r="U36" s="64">
        <f t="shared" si="143"/>
        <v>9</v>
      </c>
      <c r="V36" s="64">
        <f t="shared" si="144"/>
        <v>27</v>
      </c>
      <c r="W36" s="64">
        <f t="shared" si="145"/>
        <v>146</v>
      </c>
      <c r="X36" s="64">
        <f t="shared" si="146"/>
        <v>36</v>
      </c>
      <c r="Y36" s="64" t="str">
        <f>IFERROR(VLOOKUP(MID(T36,W36,X36-W36),[5]skilldef!$C:$D,2,FALSE),"-") &amp; " / " &amp; IFERROR(VLOOKUP(MID(T36,U36,V36-U36),[5]skilldef!$A:$B,2,FALSE),"-")</f>
        <v>- / -</v>
      </c>
      <c r="Z36" s="50"/>
      <c r="AA36" s="52"/>
      <c r="AB36" s="50"/>
    </row>
    <row r="37" spans="1:28" ht="30" customHeight="1" x14ac:dyDescent="0.15">
      <c r="A37" s="131">
        <v>40025412</v>
      </c>
      <c r="B37" s="47" t="s">
        <v>450</v>
      </c>
      <c r="C37" s="50">
        <v>3</v>
      </c>
      <c r="D37" s="50" t="s">
        <v>128</v>
      </c>
      <c r="E37" s="51" t="s">
        <v>295</v>
      </c>
      <c r="F37" s="51" t="s">
        <v>453</v>
      </c>
      <c r="G37" s="64" t="str">
        <f t="shared" si="132"/>
        <v>[effect:enemy_message, val1:1, val2:3.0]</v>
      </c>
      <c r="H37" s="64">
        <f t="shared" si="133"/>
        <v>9</v>
      </c>
      <c r="I37" s="64">
        <f t="shared" si="134"/>
        <v>22</v>
      </c>
      <c r="J37" s="64" t="e">
        <f t="shared" si="135"/>
        <v>#VALUE!</v>
      </c>
      <c r="K37" s="64">
        <f t="shared" si="136"/>
        <v>30</v>
      </c>
      <c r="L37" s="64" t="str">
        <f>IFERROR(VLOOKUP(MID(G37,J37,K37-J37),[5]skilldef!$C:$D,2,FALSE),"-") &amp; " / " &amp; IFERROR(VLOOKUP(MID(G37,H37,I37-H37),[5]skilldef!$A:$B,2,FALSE),"-")</f>
        <v>- / -</v>
      </c>
      <c r="M37" s="64" t="str">
        <f t="shared" si="137"/>
        <v>[effect:damage_anti_color, target:unit_all, color:red, val1:0.14, val2:0.1],[effect:damage_anti_tribe, target:unit_all, tribe:animal, val1:0.14, val2:0.1],[effect:damage_anti_type, target:unit_all, type:heal, val1:0.14, val2:0.1],[effect:force_change_block, new_block:jammer, target:block_all, ignore01:crash, ignore02:crack_bomb, ignore03:time_bomb, ignore04:jammer, count:5, val:0]</v>
      </c>
      <c r="N37" s="48" t="str">
        <f>IFERROR(LEFT(M37,FIND("],",M37)+S54),M37)</f>
        <v>[effect:damage_anti_color, target:unit_all, color:red, val1:0.14, val2:0.1],[effect:damage_anti_tribe, target:unit_all, tribe:animal, val1:0.14, val2:0.1],[effect:damage_anti_type, target:unit_all, type:heal, val1:0.14, val2:0.1],[effect:force_change_block, new_block:jammer, target:block_all, ignore01:crash, ignore02:crack_bomb, ignore03:time_bomb, ignore04:jammer, count:5, val:0]</v>
      </c>
      <c r="O37" s="64">
        <f t="shared" si="138"/>
        <v>9</v>
      </c>
      <c r="P37" s="64">
        <f t="shared" si="139"/>
        <v>26</v>
      </c>
      <c r="Q37" s="64">
        <f t="shared" si="140"/>
        <v>35</v>
      </c>
      <c r="R37" s="64">
        <f t="shared" si="141"/>
        <v>43</v>
      </c>
      <c r="S37" s="64" t="str">
        <f>IFERROR(VLOOKUP(MID(N37,Q37,R37-Q37),[5]skilldef!$C:$D,2,FALSE),"-") &amp; " / " &amp; IFERROR(VLOOKUP(MID(N37,O37,P37-O37),[5]skilldef!$A:$B,2,FALSE),"-")</f>
        <v>味方全体に / 属性キラー</v>
      </c>
      <c r="T37" s="48" t="str">
        <f t="shared" si="142"/>
        <v>[effect:damage_anti_tribe, target:unit_all, tribe:animal, val1:0.14, val2:0.1],[effect:damage_anti_type, target:unit_all, type:heal, val1:0.14, val2:0.1],[effect:force_change_block, new_block:jammer, target:block_all, ignore01:crash, ignore02:crack_bomb, ignore03:time_bomb, ignore04:jammer, count:5, val:0]</v>
      </c>
      <c r="U37" s="64">
        <f t="shared" si="143"/>
        <v>9</v>
      </c>
      <c r="V37" s="64">
        <f t="shared" si="144"/>
        <v>26</v>
      </c>
      <c r="W37" s="64">
        <f t="shared" si="145"/>
        <v>35</v>
      </c>
      <c r="X37" s="64">
        <f t="shared" si="146"/>
        <v>43</v>
      </c>
      <c r="Y37" s="64" t="str">
        <f>IFERROR(VLOOKUP(MID(T37,W37,X37-W37),[5]skilldef!$C:$D,2,FALSE),"-") &amp; " / " &amp; IFERROR(VLOOKUP(MID(T37,U37,V37-U37),[5]skilldef!$A:$B,2,FALSE),"-")</f>
        <v>味方全体に / 種族キラー</v>
      </c>
      <c r="Z37" s="50"/>
      <c r="AA37" s="52"/>
      <c r="AB37" s="50"/>
    </row>
    <row r="38" spans="1:28" ht="39" customHeight="1" x14ac:dyDescent="0.15">
      <c r="A38" s="131">
        <v>40025413</v>
      </c>
      <c r="B38" s="47" t="s">
        <v>451</v>
      </c>
      <c r="C38" s="50">
        <v>3</v>
      </c>
      <c r="D38" s="50" t="s">
        <v>128</v>
      </c>
      <c r="E38" s="51" t="s">
        <v>296</v>
      </c>
      <c r="F38" s="51" t="s">
        <v>454</v>
      </c>
      <c r="G38" s="64" t="str">
        <f t="shared" ref="G38" si="147">IFERROR(LEFT(B38,FIND("],",B38)),B38)</f>
        <v>[effect:enemy_message, val1:1, val2:3.0]</v>
      </c>
      <c r="H38" s="64">
        <f t="shared" ref="H38" si="148">FIND("effect:",G38)+7</f>
        <v>9</v>
      </c>
      <c r="I38" s="64">
        <f t="shared" ref="I38" si="149">IFERROR(FIND(",",G38),LEN(G38))</f>
        <v>22</v>
      </c>
      <c r="J38" s="64" t="e">
        <f t="shared" ref="J38" si="150">FIND("target:",G38)+7</f>
        <v>#VALUE!</v>
      </c>
      <c r="K38" s="64">
        <f t="shared" ref="K38" si="151">FIND(",",G38,I38+1)</f>
        <v>30</v>
      </c>
      <c r="L38" s="64" t="str">
        <f>IFERROR(VLOOKUP(MID(G38,J38,K38-J38),[5]skilldef!$C:$D,2,FALSE),"-") &amp; " / " &amp; IFERROR(VLOOKUP(MID(G38,H38,I38-H38),[5]skilldef!$A:$B,2,FALSE),"-")</f>
        <v>- / -</v>
      </c>
      <c r="M38" s="64" t="str">
        <f t="shared" ref="M38" si="152">IFERROR(RIGHT(B38,LEN(B38)-FIND("],",B38)-1),"none")</f>
        <v>[effect:damage_anti_color, target:unit_all, color:yellow, val1:0.14, val2:0.1],[effect:damage_anti_tribe, target:unit_all, tribe:human, val1:0.14, val2:0.1],[effect:damage_anti_type, target:unit_all, type:attack, val1:0.14, val2:0.1],[effect:force_change_block, new_block:jammer, target:block_all, ignore01:crash, ignore02:crack_bomb, ignore03:time_bomb, ignore04:jammer, count:5, val:0]</v>
      </c>
      <c r="N38" s="48" t="str">
        <f>IFERROR(LEFT(M38,FIND("],",M38)+S55),M38)</f>
        <v>[effect:damage_anti_color, target:unit_all, color:yellow, val1:0.14, val2:0.1],[effect:damage_anti_tribe, target:unit_all, tribe:human, val1:0.14, val2:0.1],[effect:damage_anti_type, target:unit_all, type:attack, val1:0.14, val2:0.1],[effect:force_change_block, new_block:jammer, target:block_all, ignore01:crash, ignore02:crack_bomb, ignore03:time_bomb, ignore04:jammer, count:5, val:0]</v>
      </c>
      <c r="O38" s="64">
        <f t="shared" ref="O38" si="153">FIND("effect:",N38)+7</f>
        <v>9</v>
      </c>
      <c r="P38" s="64">
        <f t="shared" ref="P38" si="154">IFERROR(FIND(",",N38),LEN(N38))</f>
        <v>26</v>
      </c>
      <c r="Q38" s="64">
        <f t="shared" ref="Q38" si="155">FIND("target:",N38)+7</f>
        <v>35</v>
      </c>
      <c r="R38" s="64">
        <f t="shared" ref="R38" si="156">FIND(",",N38,P38+1)</f>
        <v>43</v>
      </c>
      <c r="S38" s="64" t="str">
        <f>IFERROR(VLOOKUP(MID(N38,Q38,R38-Q38),[5]skilldef!$C:$D,2,FALSE),"-") &amp; " / " &amp; IFERROR(VLOOKUP(MID(N38,O38,P38-O38),[5]skilldef!$A:$B,2,FALSE),"-")</f>
        <v>味方全体に / 属性キラー</v>
      </c>
      <c r="T38" s="48" t="str">
        <f t="shared" ref="T38" si="157">IFERROR(RIGHT(M38,LEN(M38)-FIND("],",M38)-1),"none")</f>
        <v>[effect:damage_anti_tribe, target:unit_all, tribe:human, val1:0.14, val2:0.1],[effect:damage_anti_type, target:unit_all, type:attack, val1:0.14, val2:0.1],[effect:force_change_block, new_block:jammer, target:block_all, ignore01:crash, ignore02:crack_bomb, ignore03:time_bomb, ignore04:jammer, count:5, val:0]</v>
      </c>
      <c r="U38" s="64">
        <f t="shared" ref="U38" si="158">FIND("effect:",T38)+7</f>
        <v>9</v>
      </c>
      <c r="V38" s="64">
        <f t="shared" ref="V38" si="159">IFERROR(FIND(",",T38),LEN(T38))</f>
        <v>26</v>
      </c>
      <c r="W38" s="64">
        <f t="shared" ref="W38" si="160">FIND("target:",T38)+7</f>
        <v>35</v>
      </c>
      <c r="X38" s="64">
        <f t="shared" ref="X38" si="161">FIND(",",T38,V38+1)</f>
        <v>43</v>
      </c>
      <c r="Y38" s="64" t="str">
        <f>IFERROR(VLOOKUP(MID(T38,W38,X38-W38),[5]skilldef!$C:$D,2,FALSE),"-") &amp; " / " &amp; IFERROR(VLOOKUP(MID(T38,U38,V38-U38),[5]skilldef!$A:$B,2,FALSE),"-")</f>
        <v>味方全体に / 種族キラー</v>
      </c>
      <c r="Z38" s="50"/>
      <c r="AA38" s="52"/>
      <c r="AB38" s="50"/>
    </row>
    <row r="39" spans="1:28" ht="59" customHeight="1" x14ac:dyDescent="0.15">
      <c r="A39" s="131">
        <v>40025414</v>
      </c>
      <c r="B39" s="47" t="s">
        <v>452</v>
      </c>
      <c r="C39" s="50">
        <v>3</v>
      </c>
      <c r="D39" s="50" t="s">
        <v>128</v>
      </c>
      <c r="E39" s="51" t="s">
        <v>374</v>
      </c>
      <c r="F39" s="51" t="s">
        <v>455</v>
      </c>
      <c r="G39" s="64" t="str">
        <f t="shared" si="132"/>
        <v>[effect:enemy_message, val1:1, val2:3.0]</v>
      </c>
      <c r="H39" s="64">
        <f t="shared" si="133"/>
        <v>9</v>
      </c>
      <c r="I39" s="64">
        <f t="shared" si="134"/>
        <v>22</v>
      </c>
      <c r="J39" s="64" t="e">
        <f t="shared" si="135"/>
        <v>#VALUE!</v>
      </c>
      <c r="K39" s="64">
        <f t="shared" si="136"/>
        <v>30</v>
      </c>
      <c r="L39" s="64" t="str">
        <f>IFERROR(VLOOKUP(MID(G39,J39,K39-J39),[5]skilldef!$C:$D,2,FALSE),"-") &amp; " / " &amp; IFERROR(VLOOKUP(MID(G39,H39,I39-H39),[5]skilldef!$A:$B,2,FALSE),"-")</f>
        <v>- / -</v>
      </c>
      <c r="M39" s="64" t="str">
        <f t="shared" si="137"/>
        <v>[effect:damage_anti_color, target:unit_all, color:green, val1:0.14, val2:0.1],[effect:damage_anti_tribe, target:unit_all, tribe:machine, val1:0.14, val2:0.1],[effect:damage_anti_type, target:unit_all, type:hp, val1:0.14, val2:0.1],[effect:force_change_block, new_block:jammer, target:block_all, ignore01:crash, ignore02:crack_bomb, ignore03:time_bomb, ignore04:jammer, count:5, val:0]</v>
      </c>
      <c r="N39" s="48" t="str">
        <f>IFERROR(LEFT(M39,FIND("],",M39)+S55),M39)</f>
        <v>[effect:damage_anti_color, target:unit_all, color:green, val1:0.14, val2:0.1],[effect:damage_anti_tribe, target:unit_all, tribe:machine, val1:0.14, val2:0.1],[effect:damage_anti_type, target:unit_all, type:hp, val1:0.14, val2:0.1],[effect:force_change_block, new_block:jammer, target:block_all, ignore01:crash, ignore02:crack_bomb, ignore03:time_bomb, ignore04:jammer, count:5, val:0]</v>
      </c>
      <c r="O39" s="64">
        <f t="shared" si="138"/>
        <v>9</v>
      </c>
      <c r="P39" s="64">
        <f t="shared" si="139"/>
        <v>26</v>
      </c>
      <c r="Q39" s="64">
        <f t="shared" si="140"/>
        <v>35</v>
      </c>
      <c r="R39" s="64">
        <f t="shared" si="141"/>
        <v>43</v>
      </c>
      <c r="S39" s="64" t="str">
        <f>IFERROR(VLOOKUP(MID(N39,Q39,R39-Q39),[5]skilldef!$C:$D,2,FALSE),"-") &amp; " / " &amp; IFERROR(VLOOKUP(MID(N39,O39,P39-O39),[5]skilldef!$A:$B,2,FALSE),"-")</f>
        <v>味方全体に / 属性キラー</v>
      </c>
      <c r="T39" s="48" t="str">
        <f t="shared" si="142"/>
        <v>[effect:damage_anti_tribe, target:unit_all, tribe:machine, val1:0.14, val2:0.1],[effect:damage_anti_type, target:unit_all, type:hp, val1:0.14, val2:0.1],[effect:force_change_block, new_block:jammer, target:block_all, ignore01:crash, ignore02:crack_bomb, ignore03:time_bomb, ignore04:jammer, count:5, val:0]</v>
      </c>
      <c r="U39" s="64">
        <f t="shared" si="143"/>
        <v>9</v>
      </c>
      <c r="V39" s="64">
        <f t="shared" si="144"/>
        <v>26</v>
      </c>
      <c r="W39" s="64">
        <f t="shared" si="145"/>
        <v>35</v>
      </c>
      <c r="X39" s="64">
        <f t="shared" si="146"/>
        <v>43</v>
      </c>
      <c r="Y39" s="64" t="str">
        <f>IFERROR(VLOOKUP(MID(T39,W39,X39-W39),[5]skilldef!$C:$D,2,FALSE),"-") &amp; " / " &amp; IFERROR(VLOOKUP(MID(T39,U39,V39-U39),[5]skilldef!$A:$B,2,FALSE),"-")</f>
        <v>味方全体に / 種族キラー</v>
      </c>
      <c r="Z39" s="50"/>
      <c r="AA39" s="52"/>
      <c r="AB39" s="50"/>
    </row>
    <row r="40" spans="1:28" ht="44" customHeight="1" x14ac:dyDescent="0.15">
      <c r="A40" s="131">
        <v>40025415</v>
      </c>
      <c r="B40" s="47" t="s">
        <v>469</v>
      </c>
      <c r="C40" s="50">
        <v>3</v>
      </c>
      <c r="D40" s="50" t="s">
        <v>128</v>
      </c>
      <c r="E40" s="51" t="s">
        <v>334</v>
      </c>
      <c r="F40" s="51" t="s">
        <v>456</v>
      </c>
      <c r="G40" s="64" t="str">
        <f t="shared" si="132"/>
        <v>[effect:enemy_message, val1:2.2, val2:1.8]</v>
      </c>
      <c r="H40" s="64">
        <f t="shared" si="133"/>
        <v>9</v>
      </c>
      <c r="I40" s="64">
        <f t="shared" si="134"/>
        <v>22</v>
      </c>
      <c r="J40" s="64" t="e">
        <f t="shared" si="135"/>
        <v>#VALUE!</v>
      </c>
      <c r="K40" s="64">
        <f t="shared" si="136"/>
        <v>32</v>
      </c>
      <c r="L40" s="64" t="str">
        <f>IFERROR(VLOOKUP(MID(G40,J40,K40-J40),[5]skilldef!$C:$D,2,FALSE),"-") &amp; " / " &amp; IFERROR(VLOOKUP(MID(G40,H40,I40-H40),[5]skilldef!$A:$B,2,FALSE),"-")</f>
        <v>- / -</v>
      </c>
      <c r="M40" s="64" t="str">
        <f t="shared" si="137"/>
        <v>[effect:break_attack_fix, target:unit_one, val:1430, lowest_val:5715, count:-1, color:blue, block01:jammer]</v>
      </c>
      <c r="N40" s="48" t="str">
        <f>IFERROR(LEFT(M40,FIND("],",M40)+S56),M40)</f>
        <v>[effect:break_attack_fix, target:unit_one, val:1430, lowest_val:5715, count:-1, color:blue, block01:jammer]</v>
      </c>
      <c r="O40" s="64">
        <f t="shared" si="138"/>
        <v>9</v>
      </c>
      <c r="P40" s="64">
        <f t="shared" si="139"/>
        <v>25</v>
      </c>
      <c r="Q40" s="64">
        <f t="shared" si="140"/>
        <v>34</v>
      </c>
      <c r="R40" s="64">
        <f t="shared" si="141"/>
        <v>42</v>
      </c>
      <c r="S40" s="64" t="str">
        <f>IFERROR(VLOOKUP(MID(N40,Q40,R40-Q40),[5]skilldef!$C:$D,2,FALSE),"-") &amp; " / " &amp; IFERROR(VLOOKUP(MID(N40,O40,P40-O40),[5]skilldef!$A:$B,2,FALSE),"-")</f>
        <v>味方単体に / -</v>
      </c>
      <c r="T40" s="48" t="str">
        <f t="shared" si="142"/>
        <v>none</v>
      </c>
      <c r="U40" s="64" t="e">
        <f t="shared" si="143"/>
        <v>#VALUE!</v>
      </c>
      <c r="V40" s="64">
        <f t="shared" si="144"/>
        <v>4</v>
      </c>
      <c r="W40" s="64" t="e">
        <f t="shared" si="145"/>
        <v>#VALUE!</v>
      </c>
      <c r="X40" s="64" t="e">
        <f t="shared" si="146"/>
        <v>#VALUE!</v>
      </c>
      <c r="Y40" s="64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</row>
    <row r="41" spans="1:28" ht="33" customHeight="1" x14ac:dyDescent="0.15">
      <c r="A41" s="131">
        <v>40025416</v>
      </c>
      <c r="B41" s="47" t="s">
        <v>486</v>
      </c>
      <c r="C41" s="50">
        <v>3</v>
      </c>
      <c r="D41" s="50" t="s">
        <v>128</v>
      </c>
      <c r="E41" s="51" t="s">
        <v>294</v>
      </c>
      <c r="F41" s="51" t="s">
        <v>458</v>
      </c>
      <c r="G41" s="64" t="str">
        <f t="shared" si="132"/>
        <v>[effect:enemy_message, val1:1.8, val2:1.8]</v>
      </c>
      <c r="H41" s="64">
        <f t="shared" si="133"/>
        <v>9</v>
      </c>
      <c r="I41" s="64">
        <f t="shared" si="134"/>
        <v>22</v>
      </c>
      <c r="J41" s="64" t="e">
        <f t="shared" si="135"/>
        <v>#VALUE!</v>
      </c>
      <c r="K41" s="64">
        <f t="shared" si="136"/>
        <v>32</v>
      </c>
      <c r="L41" s="64" t="str">
        <f>IFERROR(VLOOKUP(MID(G41,J41,K41-J41),[5]skilldef!$C:$D,2,FALSE),"-") &amp; " / " &amp; IFERROR(VLOOKUP(MID(G41,H41,I41-H41),[5]skilldef!$A:$B,2,FALSE),"-")</f>
        <v>- / -</v>
      </c>
      <c r="M41" s="64" t="str">
        <f t="shared" si="137"/>
        <v>[effect:force_change_block, new_block:jammer, target:block_all, ignore01:block_positive, ignore02:block_negative, count:3, val:0],[effect:critical, val:1.2]</v>
      </c>
      <c r="N41" s="48" t="str">
        <f>IFERROR(LEFT(M41,FIND("],",M41)+S57),M41)</f>
        <v>[effect:force_change_block, new_block:jammer, target:block_all, ignore01:block_positive, ignore02:block_negative, count:3, val:0],[effect:critical, val:1.2]</v>
      </c>
      <c r="O41" s="64">
        <f t="shared" si="138"/>
        <v>9</v>
      </c>
      <c r="P41" s="64">
        <f t="shared" si="139"/>
        <v>27</v>
      </c>
      <c r="Q41" s="64">
        <f t="shared" si="140"/>
        <v>54</v>
      </c>
      <c r="R41" s="64">
        <f t="shared" si="141"/>
        <v>45</v>
      </c>
      <c r="S41" s="64" t="str">
        <f>IFERROR(VLOOKUP(MID(N41,Q41,R41-Q41),[5]skilldef!$C:$D,2,FALSE),"-") &amp; " / " &amp; IFERROR(VLOOKUP(MID(N41,O41,P41-O41),[5]skilldef!$A:$B,2,FALSE),"-")</f>
        <v>- / -</v>
      </c>
      <c r="T41" s="48" t="str">
        <f t="shared" si="142"/>
        <v>[effect:critical, val:1.2]</v>
      </c>
      <c r="U41" s="64">
        <f t="shared" si="143"/>
        <v>9</v>
      </c>
      <c r="V41" s="64">
        <f t="shared" si="144"/>
        <v>17</v>
      </c>
      <c r="W41" s="64" t="e">
        <f t="shared" si="145"/>
        <v>#VALUE!</v>
      </c>
      <c r="X41" s="64" t="e">
        <f t="shared" si="146"/>
        <v>#VALUE!</v>
      </c>
      <c r="Y41" s="64" t="str">
        <f>IFERROR(VLOOKUP(MID(T41,W41,X41-W41),[5]skilldef!$C:$D,2,FALSE),"-") &amp; " / " &amp; IFERROR(VLOOKUP(MID(T41,U41,V41-U41),[5]skilldef!$A:$B,2,FALSE),"-")</f>
        <v>- / 大攻撃</v>
      </c>
      <c r="Z41" s="50"/>
      <c r="AA41" s="52"/>
      <c r="AB41" s="50"/>
    </row>
    <row r="42" spans="1:28" ht="37" customHeight="1" x14ac:dyDescent="0.15">
      <c r="A42" s="131">
        <v>40025417</v>
      </c>
      <c r="B42" s="47" t="s">
        <v>470</v>
      </c>
      <c r="C42" s="50">
        <v>3</v>
      </c>
      <c r="D42" s="50" t="s">
        <v>128</v>
      </c>
      <c r="E42" s="51" t="s">
        <v>293</v>
      </c>
      <c r="F42" s="51" t="s">
        <v>457</v>
      </c>
      <c r="G42" s="64" t="str">
        <f t="shared" si="132"/>
        <v>[effect:enemy_message, val1:1.8, val2:1.8]</v>
      </c>
      <c r="H42" s="64">
        <f t="shared" si="133"/>
        <v>9</v>
      </c>
      <c r="I42" s="64">
        <f t="shared" si="134"/>
        <v>22</v>
      </c>
      <c r="J42" s="64" t="e">
        <f t="shared" si="135"/>
        <v>#VALUE!</v>
      </c>
      <c r="K42" s="64">
        <f t="shared" si="136"/>
        <v>32</v>
      </c>
      <c r="L42" s="64" t="str">
        <f>IFERROR(VLOOKUP(MID(G42,J42,K42-J42),[5]skilldef!$C:$D,2,FALSE),"-") &amp; " / " &amp; IFERROR(VLOOKUP(MID(G42,H42,I42-H42),[5]skilldef!$A:$B,2,FALSE),"-")</f>
        <v>- / -</v>
      </c>
      <c r="M42" s="64" t="str">
        <f t="shared" si="137"/>
        <v>[effect:break_attack_fix, target:unit_one, val:1430, lowest_val:8570, count:-1, color:blue, block01:jammer]</v>
      </c>
      <c r="N42" s="48" t="str">
        <f>IFERROR(LEFT(M42,FIND("],",M42)+#REF!),M42)</f>
        <v>[effect:break_attack_fix, target:unit_one, val:1430, lowest_val:8570, count:-1, color:blue, block01:jammer]</v>
      </c>
      <c r="O42" s="64">
        <f t="shared" si="138"/>
        <v>9</v>
      </c>
      <c r="P42" s="64">
        <f t="shared" si="139"/>
        <v>25</v>
      </c>
      <c r="Q42" s="64">
        <f t="shared" si="140"/>
        <v>34</v>
      </c>
      <c r="R42" s="64">
        <f t="shared" si="141"/>
        <v>42</v>
      </c>
      <c r="S42" s="64" t="str">
        <f>IFERROR(VLOOKUP(MID(N42,Q42,R42-Q42),[5]skilldef!$C:$D,2,FALSE),"-") &amp; " / " &amp; IFERROR(VLOOKUP(MID(N42,O42,P42-O42),[5]skilldef!$A:$B,2,FALSE),"-")</f>
        <v>味方単体に / -</v>
      </c>
      <c r="T42" s="48" t="str">
        <f t="shared" si="142"/>
        <v>none</v>
      </c>
      <c r="U42" s="64" t="e">
        <f t="shared" si="143"/>
        <v>#VALUE!</v>
      </c>
      <c r="V42" s="64">
        <f t="shared" si="144"/>
        <v>4</v>
      </c>
      <c r="W42" s="64" t="e">
        <f t="shared" si="145"/>
        <v>#VALUE!</v>
      </c>
      <c r="X42" s="64" t="e">
        <f t="shared" si="146"/>
        <v>#VALUE!</v>
      </c>
      <c r="Y42" s="64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28" customHeight="1" x14ac:dyDescent="0.15">
      <c r="A43" s="131">
        <v>40025418</v>
      </c>
      <c r="B43" s="47" t="s">
        <v>332</v>
      </c>
      <c r="C43" s="50">
        <v>3</v>
      </c>
      <c r="D43" s="50" t="s">
        <v>128</v>
      </c>
      <c r="E43" s="51" t="s">
        <v>335</v>
      </c>
      <c r="F43" s="51" t="s">
        <v>315</v>
      </c>
      <c r="G43" s="64" t="str">
        <f t="shared" si="132"/>
        <v>[effect:enemy_message, val1:1.8, val2:1.8]</v>
      </c>
      <c r="H43" s="64">
        <f t="shared" si="133"/>
        <v>9</v>
      </c>
      <c r="I43" s="64">
        <f t="shared" si="134"/>
        <v>22</v>
      </c>
      <c r="J43" s="64" t="e">
        <f t="shared" si="135"/>
        <v>#VALUE!</v>
      </c>
      <c r="K43" s="64">
        <f t="shared" si="136"/>
        <v>32</v>
      </c>
      <c r="L43" s="64" t="str">
        <f>IFERROR(VLOOKUP(MID(G43,J43,K43-J43),[5]skilldef!$C:$D,2,FALSE),"-") &amp; " / " &amp; IFERROR(VLOOKUP(MID(G43,H43,I43-H43),[5]skilldef!$A:$B,2,FALSE),"-")</f>
        <v>- / -</v>
      </c>
      <c r="M43" s="64" t="str">
        <f t="shared" si="137"/>
        <v>[effect:damage_gravity, val:0.8, animation:fevergauge_down],[effect:suicide, val:1, dead_type:escape, target:myself]</v>
      </c>
      <c r="N43" s="48" t="str">
        <f>IFERROR(LEFT(M43,FIND("],",M43)+#REF!),M43)</f>
        <v>[effect:damage_gravity, val:0.8, animation:fevergauge_down],[effect:suicide, val:1, dead_type:escape, target:myself]</v>
      </c>
      <c r="O43" s="64">
        <f t="shared" si="138"/>
        <v>9</v>
      </c>
      <c r="P43" s="64">
        <f t="shared" si="139"/>
        <v>23</v>
      </c>
      <c r="Q43" s="64">
        <f t="shared" si="140"/>
        <v>110</v>
      </c>
      <c r="R43" s="64">
        <f t="shared" si="141"/>
        <v>32</v>
      </c>
      <c r="S43" s="64" t="str">
        <f>IFERROR(VLOOKUP(MID(N43,Q43,R43-Q43),[5]skilldef!$C:$D,2,FALSE),"-") &amp; " / " &amp; IFERROR(VLOOKUP(MID(N43,O43,P43-O43),[5]skilldef!$A:$B,2,FALSE),"-")</f>
        <v>- / 割合ダメージ</v>
      </c>
      <c r="T43" s="48" t="str">
        <f t="shared" si="142"/>
        <v>[effect:suicide, val:1, dead_type:escape, target:myself]</v>
      </c>
      <c r="U43" s="64">
        <f t="shared" si="143"/>
        <v>9</v>
      </c>
      <c r="V43" s="64">
        <f t="shared" si="144"/>
        <v>16</v>
      </c>
      <c r="W43" s="64">
        <f t="shared" si="145"/>
        <v>50</v>
      </c>
      <c r="X43" s="64">
        <f t="shared" si="146"/>
        <v>23</v>
      </c>
      <c r="Y43" s="64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</row>
    <row r="44" spans="1:28" ht="33" customHeight="1" x14ac:dyDescent="0.15">
      <c r="A44" s="131">
        <v>40025419</v>
      </c>
      <c r="B44" s="132" t="s">
        <v>487</v>
      </c>
      <c r="C44" s="50">
        <v>3</v>
      </c>
      <c r="D44" s="133" t="s">
        <v>128</v>
      </c>
      <c r="E44" s="134" t="s">
        <v>301</v>
      </c>
      <c r="F44" s="134" t="s">
        <v>402</v>
      </c>
      <c r="G44" s="64" t="str">
        <f t="shared" ref="G44" si="162">IFERROR(LEFT(B44,FIND("],",B44)),B44)</f>
        <v>[effect:enemy_message, val1:1.8, val2:3.0]</v>
      </c>
      <c r="H44" s="64">
        <f t="shared" ref="H44" si="163">FIND("effect:",G44)+7</f>
        <v>9</v>
      </c>
      <c r="I44" s="64">
        <f t="shared" ref="I44" si="164">IFERROR(FIND(",",G44),LEN(G44))</f>
        <v>22</v>
      </c>
      <c r="J44" s="64" t="e">
        <f t="shared" ref="J44" si="165">FIND("target:",G44)+7</f>
        <v>#VALUE!</v>
      </c>
      <c r="K44" s="64">
        <f t="shared" ref="K44" si="166">FIND(",",G44,I44+1)</f>
        <v>32</v>
      </c>
      <c r="L44" s="64" t="str">
        <f>IFERROR(VLOOKUP(MID(G44,J44,K44-J44),[5]skilldef!$C:$D,2,FALSE),"-") &amp; " / " &amp; IFERROR(VLOOKUP(MID(G44,H44,I44-H44),[5]skilldef!$A:$B,2,FALSE),"-")</f>
        <v>- / -</v>
      </c>
      <c r="M44" s="64" t="str">
        <f t="shared" ref="M44" si="167">IFERROR(RIGHT(B44,LEN(B44)-FIND("],",B44)-1),"none")</f>
        <v>[effect:change_panel_ratio, turn:-1, block_type:heal, val:0.5, animation:block_incidence04],[effect:force_change_block, new_block:jammer, target:block_all, ignore01:block_positive, ignore02:block_negative, count:3, val:0],[effect:tolerance, target:myself, turn:-1, tolerance_effect:all, count:-1, animation:enemy_tolerance],[effect:fix_speed, target:myself, turn:2]</v>
      </c>
      <c r="N44" s="48" t="str">
        <f>IFERROR(LEFT(M44,FIND("],",M44)+S61),M44)</f>
        <v>[effect:change_panel_ratio, turn:-1, block_type:heal, val:0.5, animation:block_incidence04],[effect:force_change_block, new_block:jammer, target:block_all, ignore01:block_positive, ignore02:block_negative, count:3, val:0],[effect:tolerance, target:myself, turn:-1, tolerance_effect:all, count:-1, animation:enemy_tolerance],[effect:fix_speed, target:myself, turn:2]</v>
      </c>
      <c r="O44" s="64">
        <f t="shared" ref="O44" si="168">FIND("effect:",N44)+7</f>
        <v>9</v>
      </c>
      <c r="P44" s="64">
        <f t="shared" ref="P44" si="169">IFERROR(FIND(",",N44),LEN(N44))</f>
        <v>27</v>
      </c>
      <c r="Q44" s="64">
        <f t="shared" ref="Q44" si="170">FIND("target:",N44)+7</f>
        <v>146</v>
      </c>
      <c r="R44" s="64">
        <f t="shared" ref="R44" si="171">FIND(",",N44,P44+1)</f>
        <v>36</v>
      </c>
      <c r="S44" s="64" t="str">
        <f>IFERROR(VLOOKUP(MID(N44,Q44,R44-Q44),[5]skilldef!$C:$D,2,FALSE),"-") &amp; " / " &amp; IFERROR(VLOOKUP(MID(N44,O44,P44-O44),[5]skilldef!$A:$B,2,FALSE),"-")</f>
        <v>- / -</v>
      </c>
      <c r="T44" s="48" t="str">
        <f t="shared" ref="T44" si="172">IFERROR(RIGHT(M44,LEN(M44)-FIND("],",M44)-1),"none")</f>
        <v>[effect:force_change_block, new_block:jammer, target:block_all, ignore01:block_positive, ignore02:block_negative, count:3, val:0],[effect:tolerance, target:myself, turn:-1, tolerance_effect:all, count:-1, animation:enemy_tolerance],[effect:fix_speed, target:myself, turn:2]</v>
      </c>
      <c r="U44" s="64">
        <f t="shared" ref="U44" si="173">FIND("effect:",T44)+7</f>
        <v>9</v>
      </c>
      <c r="V44" s="64">
        <f t="shared" ref="V44" si="174">IFERROR(FIND(",",T44),LEN(T44))</f>
        <v>27</v>
      </c>
      <c r="W44" s="64">
        <f t="shared" ref="W44" si="175">FIND("target:",T44)+7</f>
        <v>54</v>
      </c>
      <c r="X44" s="64">
        <f t="shared" ref="X44" si="176">FIND(",",T44,V44+1)</f>
        <v>45</v>
      </c>
      <c r="Y44" s="64" t="str">
        <f>IFERROR(VLOOKUP(MID(T44,W44,X44-W44),[5]skilldef!$C:$D,2,FALSE),"-") &amp; " / " &amp; IFERROR(VLOOKUP(MID(T44,U44,V44-U44),[5]skilldef!$A:$B,2,FALSE),"-")</f>
        <v>- / -</v>
      </c>
      <c r="Z44" s="50"/>
      <c r="AA44" s="52"/>
      <c r="AB44" s="50"/>
    </row>
    <row r="45" spans="1:28" ht="47" customHeight="1" x14ac:dyDescent="0.15">
      <c r="A45" s="131">
        <v>40025421</v>
      </c>
      <c r="B45" s="132" t="s">
        <v>488</v>
      </c>
      <c r="C45" s="50">
        <v>3</v>
      </c>
      <c r="D45" s="133" t="s">
        <v>128</v>
      </c>
      <c r="E45" s="134" t="s">
        <v>353</v>
      </c>
      <c r="F45" s="134" t="s">
        <v>401</v>
      </c>
      <c r="G45" s="64" t="str">
        <f t="shared" ref="G45" si="177">IFERROR(LEFT(B45,FIND("],",B45)),B45)</f>
        <v>[effect:enemy_message, val1:1.8, val2:3.0]</v>
      </c>
      <c r="H45" s="64">
        <f t="shared" ref="H45" si="178">FIND("effect:",G45)+7</f>
        <v>9</v>
      </c>
      <c r="I45" s="64">
        <f t="shared" ref="I45" si="179">IFERROR(FIND(",",G45),LEN(G45))</f>
        <v>22</v>
      </c>
      <c r="J45" s="64" t="e">
        <f t="shared" ref="J45" si="180">FIND("target:",G45)+7</f>
        <v>#VALUE!</v>
      </c>
      <c r="K45" s="64">
        <f t="shared" ref="K45" si="181">FIND(",",G45,I45+1)</f>
        <v>32</v>
      </c>
      <c r="L45" s="64" t="str">
        <f>IFERROR(VLOOKUP(MID(G45,J45,K45-J45),[5]skilldef!$C:$D,2,FALSE),"-") &amp; " / " &amp; IFERROR(VLOOKUP(MID(G45,H45,I45-H45),[5]skilldef!$A:$B,2,FALSE),"-")</f>
        <v>- / -</v>
      </c>
      <c r="M45" s="64" t="str">
        <f t="shared" ref="M45" si="182">IFERROR(RIGHT(B45,LEN(B45)-FIND("],",B45)-1),"none")</f>
        <v>[effect:degrade_fever, val:300, animation:fevergauge_down],[effect:change_panel_ratio, turn:-1, block_type:heal, val:0.5, animation:block_incidence04],[effect:force_change_block, new_block:jammer, target:block_all, ignore01:block_positive, ignore02:block_negative, count:3, val:0],[effect:tolerance, target:myself, turn:-1, tolerance_effect:all, count:-1, animation:enemy_tolerance],[effect:fix_speed, target:myself, turn:2]</v>
      </c>
      <c r="N45" s="48" t="str">
        <f>IFERROR(LEFT(M45,FIND("],",M45)+S62),M45)</f>
        <v>[effect:degrade_fever, val:300, animation:fevergauge_down],[effect:change_panel_ratio, turn:-1, block_type:heal, val:0.5, animation:block_incidence04],[effect:force_change_block, new_block:jammer, target:block_all, ignore01:block_positive, ignore02:block_negative, count:3, val:0],[effect:tolerance, target:myself, turn:-1, tolerance_effect:all, count:-1, animation:enemy_tolerance],[effect:fix_speed, target:myself, turn:2]</v>
      </c>
      <c r="O45" s="64">
        <f t="shared" ref="O45" si="183">FIND("effect:",N45)+7</f>
        <v>9</v>
      </c>
      <c r="P45" s="64">
        <f t="shared" ref="P45" si="184">IFERROR(FIND(",",N45),LEN(N45))</f>
        <v>22</v>
      </c>
      <c r="Q45" s="64">
        <f t="shared" ref="Q45" si="185">FIND("target:",N45)+7</f>
        <v>205</v>
      </c>
      <c r="R45" s="64">
        <f t="shared" ref="R45" si="186">FIND(",",N45,P45+1)</f>
        <v>31</v>
      </c>
      <c r="S45" s="64" t="str">
        <f>IFERROR(VLOOKUP(MID(N45,Q45,R45-Q45),[5]skilldef!$C:$D,2,FALSE),"-") &amp; " / " &amp; IFERROR(VLOOKUP(MID(N45,O45,P45-O45),[5]skilldef!$A:$B,2,FALSE),"-")</f>
        <v>- / フィーバーゲージ減少</v>
      </c>
      <c r="T45" s="48" t="str">
        <f t="shared" ref="T45" si="187">IFERROR(RIGHT(M45,LEN(M45)-FIND("],",M45)-1),"none")</f>
        <v>[effect:change_panel_ratio, turn:-1, block_type:heal, val:0.5, animation:block_incidence04],[effect:force_change_block, new_block:jammer, target:block_all, ignore01:block_positive, ignore02:block_negative, count:3, val:0],[effect:tolerance, target:myself, turn:-1, tolerance_effect:all, count:-1, animation:enemy_tolerance],[effect:fix_speed, target:myself, turn:2]</v>
      </c>
      <c r="U45" s="64">
        <f t="shared" ref="U45" si="188">FIND("effect:",T45)+7</f>
        <v>9</v>
      </c>
      <c r="V45" s="64">
        <f t="shared" ref="V45" si="189">IFERROR(FIND(",",T45),LEN(T45))</f>
        <v>27</v>
      </c>
      <c r="W45" s="64">
        <f t="shared" ref="W45" si="190">FIND("target:",T45)+7</f>
        <v>146</v>
      </c>
      <c r="X45" s="64">
        <f t="shared" ref="X45" si="191">FIND(",",T45,V45+1)</f>
        <v>36</v>
      </c>
      <c r="Y45" s="64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40" customHeight="1" x14ac:dyDescent="0.15">
      <c r="A46" s="131">
        <v>40025424</v>
      </c>
      <c r="B46" s="132" t="s">
        <v>489</v>
      </c>
      <c r="C46" s="50">
        <v>3</v>
      </c>
      <c r="D46" s="133" t="s">
        <v>128</v>
      </c>
      <c r="E46" s="134" t="s">
        <v>350</v>
      </c>
      <c r="F46" s="134" t="s">
        <v>403</v>
      </c>
      <c r="G46" s="64" t="str">
        <f t="shared" ref="G46" si="192">IFERROR(LEFT(B46,FIND("],",B46)),B46)</f>
        <v>[effect:enemy_message, val1:1.8, val2:3.0]</v>
      </c>
      <c r="H46" s="64">
        <f t="shared" ref="H46" si="193">FIND("effect:",G46)+7</f>
        <v>9</v>
      </c>
      <c r="I46" s="64">
        <f t="shared" ref="I46" si="194">IFERROR(FIND(",",G46),LEN(G46))</f>
        <v>22</v>
      </c>
      <c r="J46" s="64" t="e">
        <f t="shared" ref="J46" si="195">FIND("target:",G46)+7</f>
        <v>#VALUE!</v>
      </c>
      <c r="K46" s="64">
        <f t="shared" ref="K46" si="196">FIND(",",G46,I46+1)</f>
        <v>32</v>
      </c>
      <c r="L46" s="64" t="str">
        <f>IFERROR(VLOOKUP(MID(G46,J46,K46-J46),[5]skilldef!$C:$D,2,FALSE),"-") &amp; " / " &amp; IFERROR(VLOOKUP(MID(G46,H46,I46-H46),[5]skilldef!$A:$B,2,FALSE),"-")</f>
        <v>- / -</v>
      </c>
      <c r="M46" s="64" t="str">
        <f t="shared" ref="M46" si="197">IFERROR(RIGHT(B46,LEN(B46)-FIND("],",B46)-1),"none")</f>
        <v>[effect:degrade_fever, val:300, animation:fevergauge_down],[effect:change_panel_ratio, turn:-1, block_type:heal, val:0.5, animation:block_incidence04],[effect:force_change_block, new_block:jammer, target:block_all, ignore01:block_positive, ignore02:block_negative, count:3, val:0],[effect:tolerance, target:myself, turn:-1, tolerance_effect:all, count:-1, animation:enemy_tolerance],[effect:fix_speed, target:myself, turn:2]</v>
      </c>
      <c r="N46" s="48" t="str">
        <f>IFERROR(LEFT(M46,FIND("],",M46)+S63),M46)</f>
        <v>[effect:degrade_fever, val:300, animation:fevergauge_down],[effect:change_panel_ratio, turn:-1, block_type:heal, val:0.5, animation:block_incidence04],[effect:force_change_block, new_block:jammer, target:block_all, ignore01:block_positive, ignore02:block_negative, count:3, val:0],[effect:tolerance, target:myself, turn:-1, tolerance_effect:all, count:-1, animation:enemy_tolerance],[effect:fix_speed, target:myself, turn:2]</v>
      </c>
      <c r="O46" s="64">
        <f t="shared" ref="O46" si="198">FIND("effect:",N46)+7</f>
        <v>9</v>
      </c>
      <c r="P46" s="64">
        <f t="shared" ref="P46" si="199">IFERROR(FIND(",",N46),LEN(N46))</f>
        <v>22</v>
      </c>
      <c r="Q46" s="64">
        <f t="shared" ref="Q46" si="200">FIND("target:",N46)+7</f>
        <v>205</v>
      </c>
      <c r="R46" s="64">
        <f t="shared" ref="R46" si="201">FIND(",",N46,P46+1)</f>
        <v>31</v>
      </c>
      <c r="S46" s="64" t="str">
        <f>IFERROR(VLOOKUP(MID(N46,Q46,R46-Q46),[5]skilldef!$C:$D,2,FALSE),"-") &amp; " / " &amp; IFERROR(VLOOKUP(MID(N46,O46,P46-O46),[5]skilldef!$A:$B,2,FALSE),"-")</f>
        <v>- / フィーバーゲージ減少</v>
      </c>
      <c r="T46" s="48" t="str">
        <f t="shared" ref="T46" si="202">IFERROR(RIGHT(M46,LEN(M46)-FIND("],",M46)-1),"none")</f>
        <v>[effect:change_panel_ratio, turn:-1, block_type:heal, val:0.5, animation:block_incidence04],[effect:force_change_block, new_block:jammer, target:block_all, ignore01:block_positive, ignore02:block_negative, count:3, val:0],[effect:tolerance, target:myself, turn:-1, tolerance_effect:all, count:-1, animation:enemy_tolerance],[effect:fix_speed, target:myself, turn:2]</v>
      </c>
      <c r="U46" s="64">
        <f t="shared" ref="U46" si="203">FIND("effect:",T46)+7</f>
        <v>9</v>
      </c>
      <c r="V46" s="64">
        <f t="shared" ref="V46" si="204">IFERROR(FIND(",",T46),LEN(T46))</f>
        <v>27</v>
      </c>
      <c r="W46" s="64">
        <f t="shared" ref="W46" si="205">FIND("target:",T46)+7</f>
        <v>146</v>
      </c>
      <c r="X46" s="64">
        <f t="shared" ref="X46" si="206">FIND(",",T46,V46+1)</f>
        <v>36</v>
      </c>
      <c r="Y46" s="64" t="str">
        <f>IFERROR(VLOOKUP(MID(T46,W46,X46-W46),[5]skilldef!$C:$D,2,FALSE),"-") &amp; " / " &amp; IFERROR(VLOOKUP(MID(T46,U46,V46-U46),[5]skilldef!$A:$B,2,FALSE),"-")</f>
        <v>- / -</v>
      </c>
      <c r="Z46" s="50"/>
      <c r="AA46" s="52"/>
      <c r="AB46" s="50"/>
    </row>
    <row r="47" spans="1:28" ht="37" customHeight="1" x14ac:dyDescent="0.15">
      <c r="A47" s="131">
        <v>40025431</v>
      </c>
      <c r="B47" s="126" t="s">
        <v>461</v>
      </c>
      <c r="C47" s="50">
        <v>3</v>
      </c>
      <c r="D47" s="127" t="s">
        <v>128</v>
      </c>
      <c r="E47" s="128" t="s">
        <v>336</v>
      </c>
      <c r="F47" s="128" t="s">
        <v>370</v>
      </c>
      <c r="G47" s="64" t="str">
        <f t="shared" si="132"/>
        <v>[effect:enemy_message, val1:1.8, val2:3.0]</v>
      </c>
      <c r="H47" s="64">
        <f t="shared" si="133"/>
        <v>9</v>
      </c>
      <c r="I47" s="64">
        <f t="shared" si="134"/>
        <v>22</v>
      </c>
      <c r="J47" s="64" t="e">
        <f t="shared" si="135"/>
        <v>#VALUE!</v>
      </c>
      <c r="K47" s="64">
        <f t="shared" si="136"/>
        <v>32</v>
      </c>
      <c r="L47" s="64" t="str">
        <f>IFERROR(VLOOKUP(MID(G47,J47,K47-J47),[5]skilldef!$C:$D,2,FALSE),"-") &amp; " / " &amp; IFERROR(VLOOKUP(MID(G47,H47,I47-H47),[5]skilldef!$A:$B,2,FALSE),"-")</f>
        <v>- / -</v>
      </c>
      <c r="M47" s="64" t="str">
        <f t="shared" si="137"/>
        <v>[effect:degrade_fever, val:300, animation:fevergauge_down],[effect:force_change_block, new_block:block_blue, target:block_all, count:0, val:0],[effect:fix_speed, target:myself, turn:2],[effect:remove_enhancement, target:unit_all, target_effect:all, animation:frozen_wave],[effect:invalidate_change_block, target:unit_all, block_type01:block_all, turn:-1, animation:panel_conversion_off]</v>
      </c>
      <c r="N47" s="48" t="str">
        <f>IFERROR(LEFT(M47,FIND("],",M47)+S59),M47)</f>
        <v>[effect:degrade_fever, val:300, animation:fevergauge_down],[effect:force_change_block, new_block:block_blue, target:block_all, count:0, val:0],[effect:fix_speed, target:myself, turn:2],[effect:remove_enhancement, target:unit_all, target_effect:all, animation:frozen_wave],[effect:invalidate_change_block, target:unit_all, block_type01:block_all, turn:-1, animation:panel_conversion_off]</v>
      </c>
      <c r="O47" s="64">
        <f t="shared" si="138"/>
        <v>9</v>
      </c>
      <c r="P47" s="64">
        <f t="shared" si="139"/>
        <v>22</v>
      </c>
      <c r="Q47" s="64">
        <f t="shared" si="140"/>
        <v>117</v>
      </c>
      <c r="R47" s="64">
        <f t="shared" si="141"/>
        <v>31</v>
      </c>
      <c r="S47" s="64" t="str">
        <f>IFERROR(VLOOKUP(MID(N47,Q47,R47-Q47),[5]skilldef!$C:$D,2,FALSE),"-") &amp; " / " &amp; IFERROR(VLOOKUP(MID(N47,O47,P47-O47),[5]skilldef!$A:$B,2,FALSE),"-")</f>
        <v>- / フィーバーゲージ減少</v>
      </c>
      <c r="T47" s="48" t="str">
        <f t="shared" si="142"/>
        <v>[effect:force_change_block, new_block:block_blue, target:block_all, count:0, val:0],[effect:fix_speed, target:myself, turn:2],[effect:remove_enhancement, target:unit_all, target_effect:all, animation:frozen_wave],[effect:invalidate_change_block, target:unit_all, block_type01:block_all, turn:-1, animation:panel_conversion_off]</v>
      </c>
      <c r="U47" s="64">
        <f t="shared" si="143"/>
        <v>9</v>
      </c>
      <c r="V47" s="64">
        <f t="shared" si="144"/>
        <v>27</v>
      </c>
      <c r="W47" s="64">
        <f t="shared" si="145"/>
        <v>58</v>
      </c>
      <c r="X47" s="64">
        <f t="shared" si="146"/>
        <v>49</v>
      </c>
      <c r="Y47" s="64" t="str">
        <f>IFERROR(VLOOKUP(MID(T47,W47,X47-W47),[5]skilldef!$C:$D,2,FALSE),"-") &amp; " / " &amp; IFERROR(VLOOKUP(MID(T47,U47,V47-U47),[5]skilldef!$A:$B,2,FALSE),"-")</f>
        <v>- / -</v>
      </c>
      <c r="Z47" s="50"/>
      <c r="AA47" s="52"/>
      <c r="AB47" s="50"/>
    </row>
    <row r="48" spans="1:28" ht="21" customHeight="1" x14ac:dyDescent="0.15">
      <c r="A48" s="131">
        <v>40025432</v>
      </c>
      <c r="B48" s="126" t="s">
        <v>490</v>
      </c>
      <c r="C48" s="50">
        <v>3</v>
      </c>
      <c r="D48" s="127" t="s">
        <v>128</v>
      </c>
      <c r="E48" s="128" t="s">
        <v>292</v>
      </c>
      <c r="F48" s="128" t="s">
        <v>318</v>
      </c>
      <c r="G48" s="64" t="str">
        <f t="shared" si="132"/>
        <v>[effect:enemy_message, val1:1, val2:2.0]</v>
      </c>
      <c r="H48" s="64">
        <f t="shared" si="133"/>
        <v>9</v>
      </c>
      <c r="I48" s="64">
        <f t="shared" si="134"/>
        <v>22</v>
      </c>
      <c r="J48" s="64" t="e">
        <f t="shared" si="135"/>
        <v>#VALUE!</v>
      </c>
      <c r="K48" s="64">
        <f t="shared" si="136"/>
        <v>30</v>
      </c>
      <c r="L48" s="64" t="str">
        <f>IFERROR(VLOOKUP(MID(G48,J48,K48-J48),[5]skilldef!$C:$D,2,FALSE),"-") &amp; " / " &amp; IFERROR(VLOOKUP(MID(G48,H48,I48-H48),[5]skilldef!$A:$B,2,FALSE),"-")</f>
        <v>- / -</v>
      </c>
      <c r="M48" s="64" t="str">
        <f t="shared" si="137"/>
        <v>[effect:force_change_block, new_block:jammer, target:block_all, ignore01:block_blue, count:0, val:0]</v>
      </c>
      <c r="N48" s="48" t="str">
        <f>IFERROR(LEFT(M48,FIND("],",M48)+S60),M48)</f>
        <v>[effect:force_change_block, new_block:jammer, target:block_all, ignore01:block_blue, count:0, val:0]</v>
      </c>
      <c r="O48" s="64">
        <f t="shared" si="138"/>
        <v>9</v>
      </c>
      <c r="P48" s="64">
        <f t="shared" si="139"/>
        <v>27</v>
      </c>
      <c r="Q48" s="64">
        <f t="shared" si="140"/>
        <v>54</v>
      </c>
      <c r="R48" s="64">
        <f t="shared" si="141"/>
        <v>45</v>
      </c>
      <c r="S48" s="64" t="str">
        <f>IFERROR(VLOOKUP(MID(N48,Q48,R48-Q48),[5]skilldef!$C:$D,2,FALSE),"-") &amp; " / " &amp; IFERROR(VLOOKUP(MID(N48,O48,P48-O48),[5]skilldef!$A:$B,2,FALSE),"-")</f>
        <v>- / -</v>
      </c>
      <c r="T48" s="48" t="str">
        <f t="shared" si="142"/>
        <v>none</v>
      </c>
      <c r="U48" s="64" t="e">
        <f t="shared" si="143"/>
        <v>#VALUE!</v>
      </c>
      <c r="V48" s="64">
        <f t="shared" si="144"/>
        <v>4</v>
      </c>
      <c r="W48" s="64" t="e">
        <f t="shared" si="145"/>
        <v>#VALUE!</v>
      </c>
      <c r="X48" s="64" t="e">
        <f t="shared" si="146"/>
        <v>#VALUE!</v>
      </c>
      <c r="Y48" s="64" t="str">
        <f>IFERROR(VLOOKUP(MID(T48,W48,X48-W48),[5]skilldef!$C:$D,2,FALSE),"-") &amp; " / " &amp; IFERROR(VLOOKUP(MID(T48,U48,V48-U48),[5]skilldef!$A:$B,2,FALSE),"-")</f>
        <v>- / -</v>
      </c>
      <c r="Z48" s="50"/>
      <c r="AA48" s="52"/>
      <c r="AB48" s="50"/>
    </row>
    <row r="49" spans="1:28" ht="21" customHeight="1" x14ac:dyDescent="0.15">
      <c r="A49" s="131">
        <v>40025433</v>
      </c>
      <c r="B49" s="126" t="s">
        <v>471</v>
      </c>
      <c r="C49" s="50">
        <v>3</v>
      </c>
      <c r="D49" s="127" t="s">
        <v>128</v>
      </c>
      <c r="E49" s="128" t="s">
        <v>291</v>
      </c>
      <c r="F49" s="128" t="s">
        <v>447</v>
      </c>
      <c r="G49" s="64" t="str">
        <f t="shared" ref="G49:G54" si="207">IFERROR(LEFT(B49,FIND("],",B49)),B49)</f>
        <v>[effect:enemy_message, val1:1, val2:2.3]</v>
      </c>
      <c r="H49" s="64">
        <f t="shared" ref="H49:H54" si="208">FIND("effect:",G49)+7</f>
        <v>9</v>
      </c>
      <c r="I49" s="64">
        <f t="shared" ref="I49:I54" si="209">IFERROR(FIND(",",G49),LEN(G49))</f>
        <v>22</v>
      </c>
      <c r="J49" s="64" t="e">
        <f t="shared" ref="J49:J54" si="210">FIND("target:",G49)+7</f>
        <v>#VALUE!</v>
      </c>
      <c r="K49" s="64">
        <f t="shared" ref="K49:K54" si="211">FIND(",",G49,I49+1)</f>
        <v>30</v>
      </c>
      <c r="L49" s="64" t="str">
        <f>IFERROR(VLOOKUP(MID(G49,J49,K49-J49),[5]skilldef!$C:$D,2,FALSE),"-") &amp; " / " &amp; IFERROR(VLOOKUP(MID(G49,H49,I49-H49),[5]skilldef!$A:$B,2,FALSE),"-")</f>
        <v>- / -</v>
      </c>
      <c r="M49" s="64" t="str">
        <f t="shared" ref="M49:M54" si="212">IFERROR(RIGHT(B49,LEN(B49)-FIND("],",B49)-1),"none")</f>
        <v>[effect:break_attack_fix, target:unit_one, val:570, lowest_val:7145, count:-1, color:blue, block01:block_blue]</v>
      </c>
      <c r="N49" s="48" t="str">
        <f>IFERROR(LEFT(M49,FIND("],",M49)+S61),M49)</f>
        <v>[effect:break_attack_fix, target:unit_one, val:570, lowest_val:7145, count:-1, color:blue, block01:block_blue]</v>
      </c>
      <c r="O49" s="64">
        <f t="shared" ref="O49:O54" si="213">FIND("effect:",N49)+7</f>
        <v>9</v>
      </c>
      <c r="P49" s="64">
        <f t="shared" ref="P49:P54" si="214">IFERROR(FIND(",",N49),LEN(N49))</f>
        <v>25</v>
      </c>
      <c r="Q49" s="64">
        <f t="shared" ref="Q49:Q54" si="215">FIND("target:",N49)+7</f>
        <v>34</v>
      </c>
      <c r="R49" s="64">
        <f t="shared" ref="R49:R54" si="216">FIND(",",N49,P49+1)</f>
        <v>42</v>
      </c>
      <c r="S49" s="64" t="str">
        <f>IFERROR(VLOOKUP(MID(N49,Q49,R49-Q49),[5]skilldef!$C:$D,2,FALSE),"-") &amp; " / " &amp; IFERROR(VLOOKUP(MID(N49,O49,P49-O49),[5]skilldef!$A:$B,2,FALSE),"-")</f>
        <v>味方単体に / -</v>
      </c>
      <c r="T49" s="48" t="str">
        <f t="shared" ref="T49:T54" si="217">IFERROR(RIGHT(M49,LEN(M49)-FIND("],",M49)-1),"none")</f>
        <v>none</v>
      </c>
      <c r="U49" s="64" t="e">
        <f t="shared" ref="U49:U54" si="218">FIND("effect:",T49)+7</f>
        <v>#VALUE!</v>
      </c>
      <c r="V49" s="64">
        <f t="shared" ref="V49:V54" si="219">IFERROR(FIND(",",T49),LEN(T49))</f>
        <v>4</v>
      </c>
      <c r="W49" s="64" t="e">
        <f t="shared" ref="W49:W54" si="220">FIND("target:",T49)+7</f>
        <v>#VALUE!</v>
      </c>
      <c r="X49" s="64" t="e">
        <f t="shared" ref="X49:X54" si="221">FIND(",",T49,V49+1)</f>
        <v>#VALUE!</v>
      </c>
      <c r="Y49" s="64" t="str">
        <f>IFERROR(VLOOKUP(MID(T49,W49,X49-W49),[5]skilldef!$C:$D,2,FALSE),"-") &amp; " / " &amp; IFERROR(VLOOKUP(MID(T49,U49,V49-U49),[5]skilldef!$A:$B,2,FALSE),"-")</f>
        <v>- / -</v>
      </c>
      <c r="Z49" s="50"/>
      <c r="AA49" s="52"/>
      <c r="AB49" s="50"/>
    </row>
    <row r="50" spans="1:28" ht="30" customHeight="1" x14ac:dyDescent="0.15">
      <c r="A50" s="131">
        <v>40025434</v>
      </c>
      <c r="B50" s="126" t="s">
        <v>459</v>
      </c>
      <c r="C50" s="50">
        <v>3</v>
      </c>
      <c r="D50" s="127" t="s">
        <v>128</v>
      </c>
      <c r="E50" s="128" t="s">
        <v>290</v>
      </c>
      <c r="F50" s="128" t="s">
        <v>449</v>
      </c>
      <c r="G50" s="64" t="str">
        <f t="shared" si="207"/>
        <v>[effect:enemy_message, val1:1, val2:2.3]</v>
      </c>
      <c r="H50" s="64">
        <f t="shared" si="208"/>
        <v>9</v>
      </c>
      <c r="I50" s="64">
        <f t="shared" si="209"/>
        <v>22</v>
      </c>
      <c r="J50" s="64" t="e">
        <f t="shared" si="210"/>
        <v>#VALUE!</v>
      </c>
      <c r="K50" s="64">
        <f t="shared" si="211"/>
        <v>30</v>
      </c>
      <c r="L50" s="64" t="str">
        <f>IFERROR(VLOOKUP(MID(G50,J50,K50-J50),[5]skilldef!$C:$D,2,FALSE),"-") &amp; " / " &amp; IFERROR(VLOOKUP(MID(G50,H50,I50-H50),[5]skilldef!$A:$B,2,FALSE),"-")</f>
        <v>- / -</v>
      </c>
      <c r="M50" s="64" t="str">
        <f t="shared" si="212"/>
        <v>[effect:force_change_block, new_block:block_blue, target:block_all, count:0, val:0],[effect:heal, target:myself, val:0.3, animation:enemy_heal]</v>
      </c>
      <c r="N50" s="48" t="str">
        <f>IFERROR(LEFT(M50,FIND("],",M50)+S62),M50)</f>
        <v>[effect:force_change_block, new_block:block_blue, target:block_all, count:0, val:0],[effect:heal, target:myself, val:0.3, animation:enemy_heal]</v>
      </c>
      <c r="O50" s="64">
        <f t="shared" si="213"/>
        <v>9</v>
      </c>
      <c r="P50" s="64">
        <f t="shared" si="214"/>
        <v>27</v>
      </c>
      <c r="Q50" s="64">
        <f t="shared" si="215"/>
        <v>58</v>
      </c>
      <c r="R50" s="64">
        <f t="shared" si="216"/>
        <v>49</v>
      </c>
      <c r="S50" s="64" t="str">
        <f>IFERROR(VLOOKUP(MID(N50,Q50,R50-Q50),[5]skilldef!$C:$D,2,FALSE),"-") &amp; " / " &amp; IFERROR(VLOOKUP(MID(N50,O50,P50-O50),[5]skilldef!$A:$B,2,FALSE),"-")</f>
        <v>- / -</v>
      </c>
      <c r="T50" s="48" t="str">
        <f t="shared" si="217"/>
        <v>[effect:heal, target:myself, val:0.3, animation:enemy_heal]</v>
      </c>
      <c r="U50" s="64">
        <f t="shared" si="218"/>
        <v>9</v>
      </c>
      <c r="V50" s="64">
        <f t="shared" si="219"/>
        <v>13</v>
      </c>
      <c r="W50" s="64">
        <f t="shared" si="220"/>
        <v>22</v>
      </c>
      <c r="X50" s="64">
        <f t="shared" si="221"/>
        <v>28</v>
      </c>
      <c r="Y50" s="64" t="str">
        <f>IFERROR(VLOOKUP(MID(T50,W50,X50-W50),[5]skilldef!$C:$D,2,FALSE),"-") &amp; " / " &amp; IFERROR(VLOOKUP(MID(T50,U50,V50-U50),[5]skilldef!$A:$B,2,FALSE),"-")</f>
        <v>自分自身に / 回復</v>
      </c>
      <c r="Z50" s="50"/>
      <c r="AA50" s="52"/>
      <c r="AB50" s="50"/>
    </row>
    <row r="51" spans="1:28" ht="34" customHeight="1" x14ac:dyDescent="0.15">
      <c r="A51" s="131">
        <v>40025435</v>
      </c>
      <c r="B51" s="132" t="s">
        <v>399</v>
      </c>
      <c r="C51" s="50">
        <v>3</v>
      </c>
      <c r="D51" s="133" t="s">
        <v>128</v>
      </c>
      <c r="E51" s="134" t="s">
        <v>357</v>
      </c>
      <c r="F51" s="134" t="s">
        <v>367</v>
      </c>
      <c r="G51" s="64" t="str">
        <f t="shared" si="207"/>
        <v>[effect:enemy_message, val1:1.8, val2:3.0]</v>
      </c>
      <c r="H51" s="64">
        <f t="shared" si="208"/>
        <v>9</v>
      </c>
      <c r="I51" s="64">
        <f t="shared" si="209"/>
        <v>22</v>
      </c>
      <c r="J51" s="64" t="e">
        <f t="shared" si="210"/>
        <v>#VALUE!</v>
      </c>
      <c r="K51" s="64">
        <f t="shared" si="211"/>
        <v>32</v>
      </c>
      <c r="L51" s="64" t="str">
        <f>IFERROR(VLOOKUP(MID(G51,J51,K51-J51),[5]skilldef!$C:$D,2,FALSE),"-") &amp; " / " &amp; IFERROR(VLOOKUP(MID(G51,H51,I51-H51),[5]skilldef!$A:$B,2,FALSE),"-")</f>
        <v>- / -</v>
      </c>
      <c r="M51" s="64" t="str">
        <f t="shared" si="212"/>
        <v>[effect:force_change_block, new_block:block_blue, target:block_all, count:0, val:0],[effect:remove_enhancement, target:unit_all, target_effect:all, animation:frozen_wave],[effect:invalidate_change_block, target:unit_all, block_type01:block_all, turn:-1, animation:panel_conversion_off],[effect:fix_speed, target:myself, turn:2]</v>
      </c>
      <c r="N51" s="48" t="str">
        <f>IFERROR(LEFT(M51,FIND("],",M51)+S63),M51)</f>
        <v>[effect:force_change_block, new_block:block_blue, target:block_all, count:0, val:0],[effect:remove_enhancement, target:unit_all, target_effect:all, animation:frozen_wave],[effect:invalidate_change_block, target:unit_all, block_type01:block_all, turn:-1, animation:panel_conversion_off],[effect:fix_speed, target:myself, turn:2]</v>
      </c>
      <c r="O51" s="64">
        <f t="shared" si="213"/>
        <v>9</v>
      </c>
      <c r="P51" s="64">
        <f t="shared" si="214"/>
        <v>27</v>
      </c>
      <c r="Q51" s="64">
        <f t="shared" si="215"/>
        <v>58</v>
      </c>
      <c r="R51" s="64">
        <f t="shared" si="216"/>
        <v>49</v>
      </c>
      <c r="S51" s="64" t="str">
        <f>IFERROR(VLOOKUP(MID(N51,Q51,R51-Q51),[5]skilldef!$C:$D,2,FALSE),"-") &amp; " / " &amp; IFERROR(VLOOKUP(MID(N51,O51,P51-O51),[5]skilldef!$A:$B,2,FALSE),"-")</f>
        <v>- / -</v>
      </c>
      <c r="T51" s="48" t="str">
        <f t="shared" si="217"/>
        <v>[effect:remove_enhancement, target:unit_all, target_effect:all, animation:frozen_wave],[effect:invalidate_change_block, target:unit_all, block_type01:block_all, turn:-1, animation:panel_conversion_off],[effect:fix_speed, target:myself, turn:2]</v>
      </c>
      <c r="U51" s="64">
        <f t="shared" si="218"/>
        <v>9</v>
      </c>
      <c r="V51" s="64">
        <f t="shared" si="219"/>
        <v>27</v>
      </c>
      <c r="W51" s="64">
        <f t="shared" si="220"/>
        <v>36</v>
      </c>
      <c r="X51" s="64">
        <f t="shared" si="221"/>
        <v>44</v>
      </c>
      <c r="Y51" s="64" t="str">
        <f>IFERROR(VLOOKUP(MID(T51,W51,X51-W51),[5]skilldef!$C:$D,2,FALSE),"-") &amp; " / " &amp; IFERROR(VLOOKUP(MID(T51,U51,V51-U51),[5]skilldef!$A:$B,2,FALSE),"-")</f>
        <v>味方全体に / -</v>
      </c>
      <c r="Z51" s="50"/>
      <c r="AA51" s="52"/>
      <c r="AB51" s="50"/>
    </row>
    <row r="52" spans="1:28" ht="33" customHeight="1" x14ac:dyDescent="0.15">
      <c r="A52" s="131">
        <v>40025451</v>
      </c>
      <c r="B52" s="47" t="s">
        <v>462</v>
      </c>
      <c r="C52" s="50">
        <v>3</v>
      </c>
      <c r="D52" s="50" t="s">
        <v>128</v>
      </c>
      <c r="E52" s="51" t="s">
        <v>368</v>
      </c>
      <c r="F52" s="51" t="s">
        <v>372</v>
      </c>
      <c r="G52" s="64" t="str">
        <f t="shared" si="207"/>
        <v>[effect:enemy_message, val1:2.3, val2:3.0]</v>
      </c>
      <c r="H52" s="64">
        <f t="shared" si="208"/>
        <v>9</v>
      </c>
      <c r="I52" s="64">
        <f t="shared" si="209"/>
        <v>22</v>
      </c>
      <c r="J52" s="64" t="e">
        <f t="shared" si="210"/>
        <v>#VALUE!</v>
      </c>
      <c r="K52" s="64">
        <f t="shared" si="211"/>
        <v>32</v>
      </c>
      <c r="L52" s="64" t="str">
        <f>IFERROR(VLOOKUP(MID(G52,J52,K52-J52),[5]skilldef!$C:$D,2,FALSE),"-") &amp; " / " &amp; IFERROR(VLOOKUP(MID(G52,H52,I52-H52),[5]skilldef!$A:$B,2,FALSE),"-")</f>
        <v>- / -</v>
      </c>
      <c r="M52" s="64" t="str">
        <f t="shared" si="212"/>
        <v>[effect:degrade_fever, val:500, animation:fevergauge_down],[effect:remove_enhancement, target:unit_all, target_effect:all, target_type:buff, animation:frozen_wave],[effect:change_panel_ratio, turn:-1, block_type:heal, val:0.36, animation:block_incidence04],[effect:tolerance, target:myself, turn:-1, tolerance_effect:all, count:-1, animation:enemy_tolerance],[effect:fix_speed, target:myself, turn:1]</v>
      </c>
      <c r="N52" s="48" t="str">
        <f t="shared" ref="N52:N58" si="222">IFERROR(LEFT(M52,FIND("],",M52)+S63),M52)</f>
        <v>[effect:degrade_fever, val:500, animation:fevergauge_down],[effect:remove_enhancement, target:unit_all, target_effect:all, target_type:buff, animation:frozen_wave],[effect:change_panel_ratio, turn:-1, block_type:heal, val:0.36, animation:block_incidence04],[effect:tolerance, target:myself, turn:-1, tolerance_effect:all, count:-1, animation:enemy_tolerance],[effect:fix_speed, target:myself, turn:1]</v>
      </c>
      <c r="O52" s="64">
        <f t="shared" si="213"/>
        <v>9</v>
      </c>
      <c r="P52" s="64">
        <f t="shared" si="214"/>
        <v>22</v>
      </c>
      <c r="Q52" s="64">
        <f t="shared" si="215"/>
        <v>95</v>
      </c>
      <c r="R52" s="64">
        <f t="shared" si="216"/>
        <v>31</v>
      </c>
      <c r="S52" s="64" t="str">
        <f>IFERROR(VLOOKUP(MID(N52,Q52,R52-Q52),[5]skilldef!$C:$D,2,FALSE),"-") &amp; " / " &amp; IFERROR(VLOOKUP(MID(N52,O52,P52-O52),[5]skilldef!$A:$B,2,FALSE),"-")</f>
        <v>- / フィーバーゲージ減少</v>
      </c>
      <c r="T52" s="48" t="str">
        <f t="shared" si="217"/>
        <v>[effect:remove_enhancement, target:unit_all, target_effect:all, target_type:buff, animation:frozen_wave],[effect:change_panel_ratio, turn:-1, block_type:heal, val:0.36, animation:block_incidence04],[effect:tolerance, target:myself, turn:-1, tolerance_effect:all, count:-1, animation:enemy_tolerance],[effect:fix_speed, target:myself, turn:1]</v>
      </c>
      <c r="U52" s="64">
        <f t="shared" si="218"/>
        <v>9</v>
      </c>
      <c r="V52" s="64">
        <f t="shared" si="219"/>
        <v>27</v>
      </c>
      <c r="W52" s="64">
        <f t="shared" si="220"/>
        <v>36</v>
      </c>
      <c r="X52" s="64">
        <f t="shared" si="221"/>
        <v>44</v>
      </c>
      <c r="Y52" s="64" t="str">
        <f>IFERROR(VLOOKUP(MID(T52,W52,X52-W52),[5]skilldef!$C:$D,2,FALSE),"-") &amp; " / " &amp; IFERROR(VLOOKUP(MID(T52,U52,V52-U52),[5]skilldef!$A:$B,2,FALSE),"-")</f>
        <v>味方全体に / -</v>
      </c>
      <c r="Z52" s="50"/>
      <c r="AA52" s="52"/>
      <c r="AB52" s="50"/>
    </row>
    <row r="53" spans="1:28" ht="21" customHeight="1" x14ac:dyDescent="0.15">
      <c r="A53" s="131">
        <v>40025452</v>
      </c>
      <c r="B53" s="47" t="s">
        <v>491</v>
      </c>
      <c r="C53" s="50">
        <v>3</v>
      </c>
      <c r="D53" s="50" t="s">
        <v>128</v>
      </c>
      <c r="E53" s="51" t="s">
        <v>297</v>
      </c>
      <c r="F53" s="51" t="s">
        <v>419</v>
      </c>
      <c r="G53" s="64" t="str">
        <f t="shared" si="207"/>
        <v>[effect:force_change_block, new_block:jammer, target:block_all, ignore01:block_positive, ignore02:block_negative, count:5, val:0]</v>
      </c>
      <c r="H53" s="64">
        <f t="shared" si="208"/>
        <v>9</v>
      </c>
      <c r="I53" s="64">
        <f t="shared" si="209"/>
        <v>27</v>
      </c>
      <c r="J53" s="64">
        <f t="shared" si="210"/>
        <v>54</v>
      </c>
      <c r="K53" s="64">
        <f t="shared" si="211"/>
        <v>45</v>
      </c>
      <c r="L53" s="64" t="str">
        <f>IFERROR(VLOOKUP(MID(G53,J53,K53-J53),[5]skilldef!$C:$D,2,FALSE),"-") &amp; " / " &amp; IFERROR(VLOOKUP(MID(G53,H53,I53-H53),[5]skilldef!$A:$B,2,FALSE),"-")</f>
        <v>- / -</v>
      </c>
      <c r="M53" s="64" t="str">
        <f t="shared" si="212"/>
        <v>[effect:critical, val:1]</v>
      </c>
      <c r="N53" s="48" t="str">
        <f t="shared" si="222"/>
        <v>[effect:critical, val:1]</v>
      </c>
      <c r="O53" s="64">
        <f t="shared" si="213"/>
        <v>9</v>
      </c>
      <c r="P53" s="64">
        <f t="shared" si="214"/>
        <v>17</v>
      </c>
      <c r="Q53" s="64" t="e">
        <f t="shared" si="215"/>
        <v>#VALUE!</v>
      </c>
      <c r="R53" s="64" t="e">
        <f t="shared" si="216"/>
        <v>#VALUE!</v>
      </c>
      <c r="S53" s="64" t="str">
        <f>IFERROR(VLOOKUP(MID(N53,Q53,R53-Q53),[5]skilldef!$C:$D,2,FALSE),"-") &amp; " / " &amp; IFERROR(VLOOKUP(MID(N53,O53,P53-O53),[5]skilldef!$A:$B,2,FALSE),"-")</f>
        <v>- / 大攻撃</v>
      </c>
      <c r="T53" s="48" t="str">
        <f t="shared" si="217"/>
        <v>none</v>
      </c>
      <c r="U53" s="64" t="e">
        <f t="shared" si="218"/>
        <v>#VALUE!</v>
      </c>
      <c r="V53" s="64">
        <f t="shared" si="219"/>
        <v>4</v>
      </c>
      <c r="W53" s="64" t="e">
        <f t="shared" si="220"/>
        <v>#VALUE!</v>
      </c>
      <c r="X53" s="64" t="e">
        <f t="shared" si="221"/>
        <v>#VALUE!</v>
      </c>
      <c r="Y53" s="64" t="str">
        <f>IFERROR(VLOOKUP(MID(T53,W53,X53-W53),[5]skilldef!$C:$D,2,FALSE),"-") &amp; " / " &amp; IFERROR(VLOOKUP(MID(T53,U53,V53-U53),[5]skilldef!$A:$B,2,FALSE),"-")</f>
        <v>- / -</v>
      </c>
      <c r="Z53" s="50"/>
      <c r="AA53" s="52"/>
      <c r="AB53" s="50"/>
    </row>
    <row r="54" spans="1:28" ht="21" customHeight="1" x14ac:dyDescent="0.15">
      <c r="A54" s="131">
        <v>40025453</v>
      </c>
      <c r="B54" s="47" t="s">
        <v>417</v>
      </c>
      <c r="C54" s="50">
        <v>3</v>
      </c>
      <c r="D54" s="50" t="s">
        <v>128</v>
      </c>
      <c r="E54" s="51" t="s">
        <v>298</v>
      </c>
      <c r="F54" s="51" t="s">
        <v>418</v>
      </c>
      <c r="G54" s="64" t="str">
        <f t="shared" si="207"/>
        <v>[effect:damage_gravity, val:0.80, animation:fevergauge_down]</v>
      </c>
      <c r="H54" s="64">
        <f t="shared" si="208"/>
        <v>9</v>
      </c>
      <c r="I54" s="64">
        <f t="shared" si="209"/>
        <v>23</v>
      </c>
      <c r="J54" s="64" t="e">
        <f t="shared" si="210"/>
        <v>#VALUE!</v>
      </c>
      <c r="K54" s="64">
        <f t="shared" si="211"/>
        <v>33</v>
      </c>
      <c r="L54" s="64" t="str">
        <f>IFERROR(VLOOKUP(MID(G54,J54,K54-J54),[5]skilldef!$C:$D,2,FALSE),"-") &amp; " / " &amp; IFERROR(VLOOKUP(MID(G54,H54,I54-H54),[5]skilldef!$A:$B,2,FALSE),"-")</f>
        <v>- / 割合ダメージ</v>
      </c>
      <c r="M54" s="64" t="str">
        <f t="shared" si="212"/>
        <v>none</v>
      </c>
      <c r="N54" s="48" t="str">
        <f t="shared" si="222"/>
        <v>none</v>
      </c>
      <c r="O54" s="64" t="e">
        <f t="shared" si="213"/>
        <v>#VALUE!</v>
      </c>
      <c r="P54" s="64">
        <f t="shared" si="214"/>
        <v>4</v>
      </c>
      <c r="Q54" s="64" t="e">
        <f t="shared" si="215"/>
        <v>#VALUE!</v>
      </c>
      <c r="R54" s="64" t="e">
        <f t="shared" si="216"/>
        <v>#VALUE!</v>
      </c>
      <c r="S54" s="64" t="str">
        <f>IFERROR(VLOOKUP(MID(N54,Q54,R54-Q54),[5]skilldef!$C:$D,2,FALSE),"-") &amp; " / " &amp; IFERROR(VLOOKUP(MID(N54,O54,P54-O54),[5]skilldef!$A:$B,2,FALSE),"-")</f>
        <v>- / -</v>
      </c>
      <c r="T54" s="48" t="str">
        <f t="shared" si="217"/>
        <v>none</v>
      </c>
      <c r="U54" s="64" t="e">
        <f t="shared" si="218"/>
        <v>#VALUE!</v>
      </c>
      <c r="V54" s="64">
        <f t="shared" si="219"/>
        <v>4</v>
      </c>
      <c r="W54" s="64" t="e">
        <f t="shared" si="220"/>
        <v>#VALUE!</v>
      </c>
      <c r="X54" s="64" t="e">
        <f t="shared" si="221"/>
        <v>#VALUE!</v>
      </c>
      <c r="Y54" s="64" t="str">
        <f>IFERROR(VLOOKUP(MID(T54,W54,X54-W54),[5]skilldef!$C:$D,2,FALSE),"-") &amp; " / " &amp; IFERROR(VLOOKUP(MID(T54,U54,V54-U54),[5]skilldef!$A:$B,2,FALSE),"-")</f>
        <v>- / -</v>
      </c>
      <c r="Z54" s="50"/>
      <c r="AA54" s="52"/>
      <c r="AB54" s="50"/>
    </row>
    <row r="55" spans="1:28" ht="21" customHeight="1" x14ac:dyDescent="0.15">
      <c r="A55" s="131">
        <v>40025454</v>
      </c>
      <c r="B55" s="47" t="s">
        <v>409</v>
      </c>
      <c r="C55" s="50">
        <v>3</v>
      </c>
      <c r="D55" s="50" t="s">
        <v>128</v>
      </c>
      <c r="E55" s="51" t="s">
        <v>322</v>
      </c>
      <c r="F55" s="51" t="s">
        <v>320</v>
      </c>
      <c r="G55" s="64" t="str">
        <f t="shared" ref="G55:G59" si="223">IFERROR(LEFT(B55,FIND("],",B55)),B55)</f>
        <v>[effect:break_heal_ratio, target:enemy_one, val:0.01, lowest_val:0, count:-1, block01:jammer, animation:enemy_heal]</v>
      </c>
      <c r="H55" s="64">
        <f t="shared" ref="H55:H59" si="224">FIND("effect:",G55)+7</f>
        <v>9</v>
      </c>
      <c r="I55" s="64">
        <f t="shared" ref="I55:I59" si="225">IFERROR(FIND(",",G55),LEN(G55))</f>
        <v>25</v>
      </c>
      <c r="J55" s="64">
        <f t="shared" ref="J55:J59" si="226">FIND("target:",G55)+7</f>
        <v>34</v>
      </c>
      <c r="K55" s="64">
        <f t="shared" ref="K55:K59" si="227">FIND(",",G55,I55+1)</f>
        <v>43</v>
      </c>
      <c r="L55" s="64" t="str">
        <f>IFERROR(VLOOKUP(MID(G55,J55,K55-J55),[5]skilldef!$C:$D,2,FALSE),"-") &amp; " / " &amp; IFERROR(VLOOKUP(MID(G55,H55,I55-H55),[5]skilldef!$A:$B,2,FALSE),"-")</f>
        <v>敵単体に / -</v>
      </c>
      <c r="M55" s="64" t="str">
        <f t="shared" ref="M55:M59" si="228">IFERROR(RIGHT(B55,LEN(B55)-FIND("],",B55)-1),"none")</f>
        <v>none</v>
      </c>
      <c r="N55" s="48" t="str">
        <f t="shared" si="222"/>
        <v>none</v>
      </c>
      <c r="O55" s="64" t="e">
        <f t="shared" ref="O55:O59" si="229">FIND("effect:",N55)+7</f>
        <v>#VALUE!</v>
      </c>
      <c r="P55" s="64">
        <f t="shared" ref="P55:P59" si="230">IFERROR(FIND(",",N55),LEN(N55))</f>
        <v>4</v>
      </c>
      <c r="Q55" s="64" t="e">
        <f t="shared" ref="Q55:Q59" si="231">FIND("target:",N55)+7</f>
        <v>#VALUE!</v>
      </c>
      <c r="R55" s="64" t="e">
        <f t="shared" ref="R55:R59" si="232">FIND(",",N55,P55+1)</f>
        <v>#VALUE!</v>
      </c>
      <c r="S55" s="64" t="str">
        <f>IFERROR(VLOOKUP(MID(N55,Q55,R55-Q55),[5]skilldef!$C:$D,2,FALSE),"-") &amp; " / " &amp; IFERROR(VLOOKUP(MID(N55,O55,P55-O55),[5]skilldef!$A:$B,2,FALSE),"-")</f>
        <v>- / -</v>
      </c>
      <c r="T55" s="48" t="str">
        <f t="shared" ref="T55:T59" si="233">IFERROR(RIGHT(M55,LEN(M55)-FIND("],",M55)-1),"none")</f>
        <v>none</v>
      </c>
      <c r="U55" s="64" t="e">
        <f t="shared" ref="U55:U59" si="234">FIND("effect:",T55)+7</f>
        <v>#VALUE!</v>
      </c>
      <c r="V55" s="64">
        <f t="shared" ref="V55:V59" si="235">IFERROR(FIND(",",T55),LEN(T55))</f>
        <v>4</v>
      </c>
      <c r="W55" s="64" t="e">
        <f t="shared" ref="W55:W59" si="236">FIND("target:",T55)+7</f>
        <v>#VALUE!</v>
      </c>
      <c r="X55" s="64" t="e">
        <f t="shared" ref="X55:X59" si="237">FIND(",",T55,V55+1)</f>
        <v>#VALUE!</v>
      </c>
      <c r="Y55" s="64" t="str">
        <f>IFERROR(VLOOKUP(MID(T55,W55,X55-W55),[5]skilldef!$C:$D,2,FALSE),"-") &amp; " / " &amp; IFERROR(VLOOKUP(MID(T55,U55,V55-U55),[5]skilldef!$A:$B,2,FALSE),"-")</f>
        <v>- / -</v>
      </c>
      <c r="Z55" s="50"/>
      <c r="AA55" s="52"/>
      <c r="AB55" s="50"/>
    </row>
    <row r="56" spans="1:28" ht="21" customHeight="1" x14ac:dyDescent="0.15">
      <c r="A56" s="131">
        <v>40025455</v>
      </c>
      <c r="B56" s="47" t="s">
        <v>429</v>
      </c>
      <c r="C56" s="50">
        <v>3</v>
      </c>
      <c r="D56" s="50" t="s">
        <v>128</v>
      </c>
      <c r="E56" s="51" t="s">
        <v>302</v>
      </c>
      <c r="F56" s="51" t="s">
        <v>321</v>
      </c>
      <c r="G56" s="64" t="str">
        <f t="shared" si="223"/>
        <v>[effect:enhance_enemy, target:myself, turn:-1, status:attack, val:0.3, calc:mul, animation:enemy_enhance_attack]</v>
      </c>
      <c r="H56" s="64">
        <f t="shared" si="224"/>
        <v>9</v>
      </c>
      <c r="I56" s="64">
        <f t="shared" si="225"/>
        <v>22</v>
      </c>
      <c r="J56" s="64">
        <f t="shared" si="226"/>
        <v>31</v>
      </c>
      <c r="K56" s="64">
        <f t="shared" si="227"/>
        <v>37</v>
      </c>
      <c r="L56" s="64" t="str">
        <f>IFERROR(VLOOKUP(MID(G56,J56,K56-J56),[5]skilldef!$C:$D,2,FALSE),"-") &amp; " / " &amp; IFERROR(VLOOKUP(MID(G56,H56,I56-H56),[5]skilldef!$A:$B,2,FALSE),"-")</f>
        <v>自分自身に / ステータス強化</v>
      </c>
      <c r="M56" s="64" t="str">
        <f t="shared" si="228"/>
        <v>none</v>
      </c>
      <c r="N56" s="48" t="str">
        <f t="shared" si="222"/>
        <v>none</v>
      </c>
      <c r="O56" s="64" t="e">
        <f t="shared" si="229"/>
        <v>#VALUE!</v>
      </c>
      <c r="P56" s="64">
        <f t="shared" si="230"/>
        <v>4</v>
      </c>
      <c r="Q56" s="64" t="e">
        <f t="shared" si="231"/>
        <v>#VALUE!</v>
      </c>
      <c r="R56" s="64" t="e">
        <f t="shared" si="232"/>
        <v>#VALUE!</v>
      </c>
      <c r="S56" s="64" t="str">
        <f>IFERROR(VLOOKUP(MID(N56,Q56,R56-Q56),[5]skilldef!$C:$D,2,FALSE),"-") &amp; " / " &amp; IFERROR(VLOOKUP(MID(N56,O56,P56-O56),[5]skilldef!$A:$B,2,FALSE),"-")</f>
        <v>- / -</v>
      </c>
      <c r="T56" s="48" t="str">
        <f t="shared" si="233"/>
        <v>none</v>
      </c>
      <c r="U56" s="64" t="e">
        <f t="shared" si="234"/>
        <v>#VALUE!</v>
      </c>
      <c r="V56" s="64">
        <f t="shared" si="235"/>
        <v>4</v>
      </c>
      <c r="W56" s="64" t="e">
        <f t="shared" si="236"/>
        <v>#VALUE!</v>
      </c>
      <c r="X56" s="64" t="e">
        <f t="shared" si="237"/>
        <v>#VALUE!</v>
      </c>
      <c r="Y56" s="64" t="str">
        <f>IFERROR(VLOOKUP(MID(T56,W56,X56-W56),[5]skilldef!$C:$D,2,FALSE),"-") &amp; " / " &amp; IFERROR(VLOOKUP(MID(T56,U56,V56-U56),[5]skilldef!$A:$B,2,FALSE),"-")</f>
        <v>- / -</v>
      </c>
      <c r="Z56" s="50"/>
      <c r="AA56" s="52"/>
      <c r="AB56" s="50"/>
    </row>
    <row r="57" spans="1:28" ht="34" customHeight="1" x14ac:dyDescent="0.15">
      <c r="A57" s="131">
        <v>40025456</v>
      </c>
      <c r="B57" s="47" t="s">
        <v>408</v>
      </c>
      <c r="C57" s="50">
        <v>3</v>
      </c>
      <c r="D57" s="50" t="s">
        <v>128</v>
      </c>
      <c r="E57" s="51" t="s">
        <v>322</v>
      </c>
      <c r="F57" s="51" t="s">
        <v>320</v>
      </c>
      <c r="G57" s="64" t="str">
        <f t="shared" si="223"/>
        <v>[effect:break_heal_ratio, target:enemy_one, val:0.02, lowest_val:0, count:-1, block01:jammer, animation:enemy_heal]</v>
      </c>
      <c r="H57" s="64">
        <f t="shared" si="224"/>
        <v>9</v>
      </c>
      <c r="I57" s="64">
        <f t="shared" si="225"/>
        <v>25</v>
      </c>
      <c r="J57" s="64">
        <f t="shared" si="226"/>
        <v>34</v>
      </c>
      <c r="K57" s="64">
        <f t="shared" si="227"/>
        <v>43</v>
      </c>
      <c r="L57" s="64" t="str">
        <f>IFERROR(VLOOKUP(MID(G57,J57,K57-J57),[5]skilldef!$C:$D,2,FALSE),"-") &amp; " / " &amp; IFERROR(VLOOKUP(MID(G57,H57,I57-H57),[5]skilldef!$A:$B,2,FALSE),"-")</f>
        <v>敵単体に / -</v>
      </c>
      <c r="M57" s="64" t="str">
        <f t="shared" si="228"/>
        <v>none</v>
      </c>
      <c r="N57" s="48" t="str">
        <f t="shared" si="222"/>
        <v>none</v>
      </c>
      <c r="O57" s="64" t="e">
        <f t="shared" si="229"/>
        <v>#VALUE!</v>
      </c>
      <c r="P57" s="64">
        <f t="shared" si="230"/>
        <v>4</v>
      </c>
      <c r="Q57" s="64" t="e">
        <f t="shared" si="231"/>
        <v>#VALUE!</v>
      </c>
      <c r="R57" s="64" t="e">
        <f t="shared" si="232"/>
        <v>#VALUE!</v>
      </c>
      <c r="S57" s="64" t="str">
        <f>IFERROR(VLOOKUP(MID(N57,Q57,R57-Q57),[5]skilldef!$C:$D,2,FALSE),"-") &amp; " / " &amp; IFERROR(VLOOKUP(MID(N57,O57,P57-O57),[5]skilldef!$A:$B,2,FALSE),"-")</f>
        <v>- / -</v>
      </c>
      <c r="T57" s="48" t="str">
        <f t="shared" si="233"/>
        <v>none</v>
      </c>
      <c r="U57" s="64" t="e">
        <f t="shared" si="234"/>
        <v>#VALUE!</v>
      </c>
      <c r="V57" s="64">
        <f t="shared" si="235"/>
        <v>4</v>
      </c>
      <c r="W57" s="64" t="e">
        <f t="shared" si="236"/>
        <v>#VALUE!</v>
      </c>
      <c r="X57" s="64" t="e">
        <f t="shared" si="237"/>
        <v>#VALUE!</v>
      </c>
      <c r="Y57" s="64" t="str">
        <f>IFERROR(VLOOKUP(MID(T57,W57,X57-W57),[5]skilldef!$C:$D,2,FALSE),"-") &amp; " / " &amp; IFERROR(VLOOKUP(MID(T57,U57,V57-U57),[5]skilldef!$A:$B,2,FALSE),"-")</f>
        <v>- / -</v>
      </c>
      <c r="Z57" s="50"/>
      <c r="AA57" s="52"/>
      <c r="AB57" s="50"/>
    </row>
    <row r="58" spans="1:28" ht="36" customHeight="1" x14ac:dyDescent="0.15">
      <c r="A58" s="131">
        <v>40025457</v>
      </c>
      <c r="B58" s="132" t="s">
        <v>466</v>
      </c>
      <c r="C58" s="50">
        <v>3</v>
      </c>
      <c r="D58" s="133" t="s">
        <v>128</v>
      </c>
      <c r="E58" s="134" t="s">
        <v>354</v>
      </c>
      <c r="F58" s="134" t="s">
        <v>371</v>
      </c>
      <c r="G58" s="64" t="str">
        <f t="shared" si="223"/>
        <v>[effect:enemy_message, val1:2.0, val2:3.0]</v>
      </c>
      <c r="H58" s="64">
        <f t="shared" si="224"/>
        <v>9</v>
      </c>
      <c r="I58" s="64">
        <f t="shared" si="225"/>
        <v>22</v>
      </c>
      <c r="J58" s="64" t="e">
        <f t="shared" si="226"/>
        <v>#VALUE!</v>
      </c>
      <c r="K58" s="64">
        <f t="shared" si="227"/>
        <v>32</v>
      </c>
      <c r="L58" s="64" t="str">
        <f>IFERROR(VLOOKUP(MID(G58,J58,K58-J58),[5]skilldef!$C:$D,2,FALSE),"-") &amp; " / " &amp; IFERROR(VLOOKUP(MID(G58,H58,I58-H58),[5]skilldef!$A:$B,2,FALSE),"-")</f>
        <v>- / -</v>
      </c>
      <c r="M58" s="64" t="str">
        <f t="shared" si="228"/>
        <v>[effect:remove_enhancement, target:unit_all, target_effect:all, target_type:buff, animation:frozen_wave],[effect:change_panel_ratio, turn:-1, block_type:heal, val:0.36, animation:block_incidence04],[effect:tolerance, target:myself, turn:-1, tolerance_effect:all, count:-1, animation:enemy_tolerance],[effect:fix_speed, target:myself, turn:1]</v>
      </c>
      <c r="N58" s="48" t="str">
        <f t="shared" si="222"/>
        <v>[effect:remove_enhancement, target:unit_all, target_effect:all, target_type:buff, animation:frozen_wave],[effect:change_panel_ratio, turn:-1, block_type:heal, val:0.36, animation:block_incidence04],[effect:tolerance, target:myself, turn:-1, tolerance_effect:all, count:-1, animation:enemy_tolerance],[effect:fix_speed, target:myself, turn:1]</v>
      </c>
      <c r="O58" s="64">
        <f t="shared" si="229"/>
        <v>9</v>
      </c>
      <c r="P58" s="64">
        <f t="shared" si="230"/>
        <v>27</v>
      </c>
      <c r="Q58" s="64">
        <f t="shared" si="231"/>
        <v>36</v>
      </c>
      <c r="R58" s="64">
        <f t="shared" si="232"/>
        <v>44</v>
      </c>
      <c r="S58" s="64" t="str">
        <f>IFERROR(VLOOKUP(MID(N58,Q58,R58-Q58),[5]skilldef!$C:$D,2,FALSE),"-") &amp; " / " &amp; IFERROR(VLOOKUP(MID(N58,O58,P58-O58),[5]skilldef!$A:$B,2,FALSE),"-")</f>
        <v>味方全体に / -</v>
      </c>
      <c r="T58" s="48" t="str">
        <f t="shared" si="233"/>
        <v>[effect:change_panel_ratio, turn:-1, block_type:heal, val:0.36, animation:block_incidence04],[effect:tolerance, target:myself, turn:-1, tolerance_effect:all, count:-1, animation:enemy_tolerance],[effect:fix_speed, target:myself, turn:1]</v>
      </c>
      <c r="U58" s="64">
        <f t="shared" si="234"/>
        <v>9</v>
      </c>
      <c r="V58" s="64">
        <f t="shared" si="235"/>
        <v>27</v>
      </c>
      <c r="W58" s="64">
        <f t="shared" si="236"/>
        <v>120</v>
      </c>
      <c r="X58" s="64">
        <f t="shared" si="237"/>
        <v>36</v>
      </c>
      <c r="Y58" s="64" t="str">
        <f>IFERROR(VLOOKUP(MID(T58,W58,X58-W58),[5]skilldef!$C:$D,2,FALSE),"-") &amp; " / " &amp; IFERROR(VLOOKUP(MID(T58,U58,V58-U58),[5]skilldef!$A:$B,2,FALSE),"-")</f>
        <v>- / -</v>
      </c>
      <c r="Z58" s="50"/>
      <c r="AA58" s="52"/>
      <c r="AB58" s="50"/>
    </row>
    <row r="59" spans="1:28" ht="41" customHeight="1" x14ac:dyDescent="0.15">
      <c r="A59" s="131">
        <v>40025459</v>
      </c>
      <c r="B59" s="132" t="s">
        <v>381</v>
      </c>
      <c r="C59" s="50">
        <v>3</v>
      </c>
      <c r="D59" s="133" t="s">
        <v>128</v>
      </c>
      <c r="E59" s="134" t="s">
        <v>299</v>
      </c>
      <c r="F59" s="134" t="s">
        <v>355</v>
      </c>
      <c r="G59" s="64" t="str">
        <f t="shared" si="223"/>
        <v>[effect:enemy_message, val1:2.5, val2:3.5]</v>
      </c>
      <c r="H59" s="64">
        <f t="shared" si="224"/>
        <v>9</v>
      </c>
      <c r="I59" s="64">
        <f t="shared" si="225"/>
        <v>22</v>
      </c>
      <c r="J59" s="64" t="e">
        <f t="shared" si="226"/>
        <v>#VALUE!</v>
      </c>
      <c r="K59" s="64">
        <f t="shared" si="227"/>
        <v>32</v>
      </c>
      <c r="L59" s="64" t="str">
        <f>IFERROR(VLOOKUP(MID(G59,J59,K59-J59),[5]skilldef!$C:$D,2,FALSE),"-") &amp; " / " &amp; IFERROR(VLOOKUP(MID(G59,H59,I59-H59),[5]skilldef!$A:$B,2,FALSE),"-")</f>
        <v>- / -</v>
      </c>
      <c r="M59" s="64" t="str">
        <f t="shared" si="228"/>
        <v>none</v>
      </c>
      <c r="N59" s="48" t="str">
        <f>IFERROR(LEFT(M59,FIND("],",M59)+S74),M59)</f>
        <v>none</v>
      </c>
      <c r="O59" s="64" t="e">
        <f t="shared" si="229"/>
        <v>#VALUE!</v>
      </c>
      <c r="P59" s="64">
        <f t="shared" si="230"/>
        <v>4</v>
      </c>
      <c r="Q59" s="64" t="e">
        <f t="shared" si="231"/>
        <v>#VALUE!</v>
      </c>
      <c r="R59" s="64" t="e">
        <f t="shared" si="232"/>
        <v>#VALUE!</v>
      </c>
      <c r="S59" s="64" t="str">
        <f>IFERROR(VLOOKUP(MID(N59,Q59,R59-Q59),[5]skilldef!$C:$D,2,FALSE),"-") &amp; " / " &amp; IFERROR(VLOOKUP(MID(N59,O59,P59-O59),[5]skilldef!$A:$B,2,FALSE),"-")</f>
        <v>- / -</v>
      </c>
      <c r="T59" s="48" t="str">
        <f t="shared" si="233"/>
        <v>none</v>
      </c>
      <c r="U59" s="64" t="e">
        <f t="shared" si="234"/>
        <v>#VALUE!</v>
      </c>
      <c r="V59" s="64">
        <f t="shared" si="235"/>
        <v>4</v>
      </c>
      <c r="W59" s="64" t="e">
        <f t="shared" si="236"/>
        <v>#VALUE!</v>
      </c>
      <c r="X59" s="64" t="e">
        <f t="shared" si="237"/>
        <v>#VALUE!</v>
      </c>
      <c r="Y59" s="64" t="str">
        <f>IFERROR(VLOOKUP(MID(T59,W59,X59-W59),[5]skilldef!$C:$D,2,FALSE),"-") &amp; " / " &amp; IFERROR(VLOOKUP(MID(T59,U59,V59-U59),[5]skilldef!$A:$B,2,FALSE),"-")</f>
        <v>- / -</v>
      </c>
      <c r="Z59" s="50"/>
      <c r="AA59" s="52"/>
      <c r="AB59" s="50"/>
    </row>
    <row r="60" spans="1:28" ht="46" customHeight="1" x14ac:dyDescent="0.15">
      <c r="A60" s="131">
        <v>40025460</v>
      </c>
      <c r="B60" s="132" t="s">
        <v>380</v>
      </c>
      <c r="C60" s="50">
        <v>3</v>
      </c>
      <c r="D60" s="133" t="s">
        <v>128</v>
      </c>
      <c r="E60" s="134" t="s">
        <v>358</v>
      </c>
      <c r="F60" s="134" t="s">
        <v>356</v>
      </c>
      <c r="G60" s="64" t="str">
        <f t="shared" ref="G60" si="238">IFERROR(LEFT(B60,FIND("],",B60)),B60)</f>
        <v>[effect:enemy_message, val1:2.5, val2:3.5]</v>
      </c>
      <c r="H60" s="64">
        <f t="shared" ref="H60" si="239">FIND("effect:",G60)+7</f>
        <v>9</v>
      </c>
      <c r="I60" s="64">
        <f t="shared" ref="I60" si="240">IFERROR(FIND(",",G60),LEN(G60))</f>
        <v>22</v>
      </c>
      <c r="J60" s="64" t="e">
        <f t="shared" ref="J60" si="241">FIND("target:",G60)+7</f>
        <v>#VALUE!</v>
      </c>
      <c r="K60" s="64">
        <f t="shared" ref="K60" si="242">FIND(",",G60,I60+1)</f>
        <v>32</v>
      </c>
      <c r="L60" s="64" t="str">
        <f>IFERROR(VLOOKUP(MID(G60,J60,K60-J60),[5]skilldef!$C:$D,2,FALSE),"-") &amp; " / " &amp; IFERROR(VLOOKUP(MID(G60,H60,I60-H60),[5]skilldef!$A:$B,2,FALSE),"-")</f>
        <v>- / -</v>
      </c>
      <c r="M60" s="64" t="str">
        <f t="shared" ref="M60" si="243">IFERROR(RIGHT(B60,LEN(B60)-FIND("],",B60)-1),"none")</f>
        <v>none</v>
      </c>
      <c r="N60" s="48" t="str">
        <f>IFERROR(LEFT(M60,FIND("],",M60)+S71),M60)</f>
        <v>none</v>
      </c>
      <c r="O60" s="64" t="e">
        <f t="shared" ref="O60" si="244">FIND("effect:",N60)+7</f>
        <v>#VALUE!</v>
      </c>
      <c r="P60" s="64">
        <f t="shared" ref="P60" si="245">IFERROR(FIND(",",N60),LEN(N60))</f>
        <v>4</v>
      </c>
      <c r="Q60" s="64" t="e">
        <f t="shared" ref="Q60" si="246">FIND("target:",N60)+7</f>
        <v>#VALUE!</v>
      </c>
      <c r="R60" s="64" t="e">
        <f t="shared" ref="R60" si="247">FIND(",",N60,P60+1)</f>
        <v>#VALUE!</v>
      </c>
      <c r="S60" s="64" t="str">
        <f>IFERROR(VLOOKUP(MID(N60,Q60,R60-Q60),[5]skilldef!$C:$D,2,FALSE),"-") &amp; " / " &amp; IFERROR(VLOOKUP(MID(N60,O60,P60-O60),[5]skilldef!$A:$B,2,FALSE),"-")</f>
        <v>- / -</v>
      </c>
      <c r="T60" s="48" t="str">
        <f t="shared" ref="T60" si="248">IFERROR(RIGHT(M60,LEN(M60)-FIND("],",M60)-1),"none")</f>
        <v>none</v>
      </c>
      <c r="U60" s="64" t="e">
        <f t="shared" ref="U60" si="249">FIND("effect:",T60)+7</f>
        <v>#VALUE!</v>
      </c>
      <c r="V60" s="64">
        <f t="shared" ref="V60" si="250">IFERROR(FIND(",",T60),LEN(T60))</f>
        <v>4</v>
      </c>
      <c r="W60" s="64" t="e">
        <f t="shared" ref="W60" si="251">FIND("target:",T60)+7</f>
        <v>#VALUE!</v>
      </c>
      <c r="X60" s="64" t="e">
        <f t="shared" ref="X60" si="252">FIND(",",T60,V60+1)</f>
        <v>#VALUE!</v>
      </c>
      <c r="Y60" s="64" t="str">
        <f>IFERROR(VLOOKUP(MID(T60,W60,X60-W60),[5]skilldef!$C:$D,2,FALSE),"-") &amp; " / " &amp; IFERROR(VLOOKUP(MID(T60,U60,V60-U60),[5]skilldef!$A:$B,2,FALSE),"-")</f>
        <v>- / -</v>
      </c>
      <c r="Z60" s="50"/>
      <c r="AA60" s="52"/>
      <c r="AB60" s="50"/>
    </row>
    <row r="61" spans="1:28" ht="34" customHeight="1" thickBot="1" x14ac:dyDescent="0.2">
      <c r="A61" s="143">
        <v>40025463</v>
      </c>
      <c r="B61" s="151" t="s">
        <v>380</v>
      </c>
      <c r="C61" s="50">
        <v>3</v>
      </c>
      <c r="D61" s="152" t="s">
        <v>128</v>
      </c>
      <c r="E61" s="153" t="s">
        <v>439</v>
      </c>
      <c r="F61" s="134" t="s">
        <v>396</v>
      </c>
      <c r="G61" s="154" t="str">
        <f t="shared" ref="G61:G120" si="253">IFERROR(LEFT(B61,FIND("],",B61)),B61)</f>
        <v>[effect:enemy_message, val1:2.5, val2:3.5]</v>
      </c>
      <c r="H61" s="154">
        <f t="shared" ref="H61:H120" si="254">FIND("effect:",G61)+7</f>
        <v>9</v>
      </c>
      <c r="I61" s="154">
        <f t="shared" ref="I61:I120" si="255">IFERROR(FIND(",",G61),LEN(G61))</f>
        <v>22</v>
      </c>
      <c r="J61" s="154" t="e">
        <f t="shared" ref="J61:J120" si="256">FIND("target:",G61)+7</f>
        <v>#VALUE!</v>
      </c>
      <c r="K61" s="154">
        <f t="shared" ref="K61:K120" si="257">FIND(",",G61,I61+1)</f>
        <v>32</v>
      </c>
      <c r="L61" s="154" t="str">
        <f>IFERROR(VLOOKUP(MID(G61,J61,K61-J61),[5]skilldef!$C:$D,2,FALSE),"-") &amp; " / " &amp; IFERROR(VLOOKUP(MID(G61,H61,I61-H61),[5]skilldef!$A:$B,2,FALSE),"-")</f>
        <v>- / -</v>
      </c>
      <c r="M61" s="154" t="str">
        <f t="shared" ref="M61:M120" si="258">IFERROR(RIGHT(B61,LEN(B61)-FIND("],",B61)-1),"none")</f>
        <v>none</v>
      </c>
      <c r="N61" s="146" t="str">
        <f>IFERROR(LEFT(M61,FIND("],",M61)+S72),M61)</f>
        <v>none</v>
      </c>
      <c r="O61" s="154" t="e">
        <f t="shared" ref="O61:O120" si="259">FIND("effect:",N61)+7</f>
        <v>#VALUE!</v>
      </c>
      <c r="P61" s="154">
        <f t="shared" ref="P61:P120" si="260">IFERROR(FIND(",",N61),LEN(N61))</f>
        <v>4</v>
      </c>
      <c r="Q61" s="154" t="e">
        <f t="shared" ref="Q61:Q120" si="261">FIND("target:",N61)+7</f>
        <v>#VALUE!</v>
      </c>
      <c r="R61" s="154" t="e">
        <f t="shared" ref="R61:R120" si="262">FIND(",",N61,P61+1)</f>
        <v>#VALUE!</v>
      </c>
      <c r="S61" s="154" t="str">
        <f>IFERROR(VLOOKUP(MID(N61,Q61,R61-Q61),[5]skilldef!$C:$D,2,FALSE),"-") &amp; " / " &amp; IFERROR(VLOOKUP(MID(N61,O61,P61-O61),[5]skilldef!$A:$B,2,FALSE),"-")</f>
        <v>- / -</v>
      </c>
      <c r="T61" s="146" t="str">
        <f t="shared" ref="T61:T120" si="263">IFERROR(RIGHT(M61,LEN(M61)-FIND("],",M61)-1),"none")</f>
        <v>none</v>
      </c>
      <c r="U61" s="154" t="e">
        <f t="shared" ref="U61:U120" si="264">FIND("effect:",T61)+7</f>
        <v>#VALUE!</v>
      </c>
      <c r="V61" s="154">
        <f t="shared" ref="V61:V120" si="265">IFERROR(FIND(",",T61),LEN(T61))</f>
        <v>4</v>
      </c>
      <c r="W61" s="154" t="e">
        <f t="shared" ref="W61:W120" si="266">FIND("target:",T61)+7</f>
        <v>#VALUE!</v>
      </c>
      <c r="X61" s="154" t="e">
        <f t="shared" ref="X61:X120" si="267">FIND(",",T61,V61+1)</f>
        <v>#VALUE!</v>
      </c>
      <c r="Y61" s="154" t="str">
        <f>IFERROR(VLOOKUP(MID(T61,W61,X61-W61),[5]skilldef!$C:$D,2,FALSE),"-") &amp; " / " &amp; IFERROR(VLOOKUP(MID(T61,U61,V61-U61),[5]skilldef!$A:$B,2,FALSE),"-")</f>
        <v>- / -</v>
      </c>
      <c r="Z61" s="155"/>
      <c r="AA61" s="156"/>
      <c r="AB61" s="155"/>
    </row>
    <row r="62" spans="1:28" ht="33" customHeight="1" thickTop="1" x14ac:dyDescent="0.15">
      <c r="A62" s="139">
        <v>40025611</v>
      </c>
      <c r="B62" s="139" t="s">
        <v>328</v>
      </c>
      <c r="C62" s="50">
        <v>3</v>
      </c>
      <c r="D62" s="147" t="s">
        <v>128</v>
      </c>
      <c r="E62" s="148" t="s">
        <v>324</v>
      </c>
      <c r="F62" s="148" t="s">
        <v>329</v>
      </c>
      <c r="G62" s="149" t="str">
        <f t="shared" si="253"/>
        <v>[effect:enemy_message, val1:2, val2:0]</v>
      </c>
      <c r="H62" s="149">
        <f t="shared" si="254"/>
        <v>9</v>
      </c>
      <c r="I62" s="149">
        <f t="shared" si="255"/>
        <v>22</v>
      </c>
      <c r="J62" s="149" t="e">
        <f t="shared" si="256"/>
        <v>#VALUE!</v>
      </c>
      <c r="K62" s="149">
        <f t="shared" si="257"/>
        <v>30</v>
      </c>
      <c r="L62" s="149" t="str">
        <f>IFERROR(VLOOKUP(MID(G62,J62,K62-J62),[5]skilldef!$C:$D,2,FALSE),"-") &amp; " / " &amp; IFERROR(VLOOKUP(MID(G62,H62,I62-H62),[5]skilldef!$A:$B,2,FALSE),"-")</f>
        <v>- / -</v>
      </c>
      <c r="M62" s="149" t="str">
        <f t="shared" si="258"/>
        <v>[effect:fix_speed, target:myself, turn:2]</v>
      </c>
      <c r="N62" s="141" t="str">
        <f>IFERROR(LEFT(M62,FIND("],",M62)+S73),M62)</f>
        <v>[effect:fix_speed, target:myself, turn:2]</v>
      </c>
      <c r="O62" s="149">
        <f t="shared" si="259"/>
        <v>9</v>
      </c>
      <c r="P62" s="149">
        <f t="shared" si="260"/>
        <v>18</v>
      </c>
      <c r="Q62" s="149">
        <f t="shared" si="261"/>
        <v>27</v>
      </c>
      <c r="R62" s="149">
        <f t="shared" si="262"/>
        <v>33</v>
      </c>
      <c r="S62" s="149" t="str">
        <f>IFERROR(VLOOKUP(MID(N62,Q62,R62-Q62),[5]skilldef!$C:$D,2,FALSE),"-") &amp; " / " &amp; IFERROR(VLOOKUP(MID(N62,O62,P62-O62),[5]skilldef!$A:$B,2,FALSE),"-")</f>
        <v>自分自身に / 行動値設定</v>
      </c>
      <c r="T62" s="141" t="str">
        <f t="shared" si="263"/>
        <v>none</v>
      </c>
      <c r="U62" s="149" t="e">
        <f t="shared" si="264"/>
        <v>#VALUE!</v>
      </c>
      <c r="V62" s="149">
        <f t="shared" si="265"/>
        <v>4</v>
      </c>
      <c r="W62" s="149" t="e">
        <f t="shared" si="266"/>
        <v>#VALUE!</v>
      </c>
      <c r="X62" s="149" t="e">
        <f t="shared" si="267"/>
        <v>#VALUE!</v>
      </c>
      <c r="Y62" s="149" t="str">
        <f>IFERROR(VLOOKUP(MID(T62,W62,X62-W62),[5]skilldef!$C:$D,2,FALSE),"-") &amp; " / " &amp; IFERROR(VLOOKUP(MID(T62,U62,V62-U62),[5]skilldef!$A:$B,2,FALSE),"-")</f>
        <v>- / -</v>
      </c>
      <c r="Z62" s="147"/>
      <c r="AA62" s="150"/>
      <c r="AB62" s="147"/>
    </row>
    <row r="63" spans="1:28" ht="21" customHeight="1" x14ac:dyDescent="0.15">
      <c r="A63" s="139">
        <v>40025612</v>
      </c>
      <c r="B63" s="47" t="s">
        <v>391</v>
      </c>
      <c r="C63" s="50">
        <v>3</v>
      </c>
      <c r="D63" s="50" t="s">
        <v>128</v>
      </c>
      <c r="E63" s="51" t="s">
        <v>271</v>
      </c>
      <c r="F63" s="51" t="s">
        <v>303</v>
      </c>
      <c r="G63" s="64" t="str">
        <f t="shared" si="253"/>
        <v>[effect:drop_block, block_type:jammer, color:block_all, val:0, rate:0.4, turn:1, animation:jammer_influence04]</v>
      </c>
      <c r="H63" s="64">
        <f t="shared" si="254"/>
        <v>9</v>
      </c>
      <c r="I63" s="64">
        <f t="shared" si="255"/>
        <v>19</v>
      </c>
      <c r="J63" s="64" t="e">
        <f t="shared" si="256"/>
        <v>#VALUE!</v>
      </c>
      <c r="K63" s="64">
        <f t="shared" si="257"/>
        <v>38</v>
      </c>
      <c r="L63" s="64" t="str">
        <f>IFERROR(VLOOKUP(MID(G63,J63,K63-J63),[5]skilldef!$C:$D,2,FALSE),"-") &amp; " / " &amp; IFERROR(VLOOKUP(MID(G63,H63,I63-H63),[5]skilldef!$A:$B,2,FALSE),"-")</f>
        <v>- / 特定ブロックの割合ドロップ</v>
      </c>
      <c r="M63" s="64" t="str">
        <f t="shared" si="258"/>
        <v>[effect:critical, val:0.57],[effect:fix_speed, target:myself, turn:1]</v>
      </c>
      <c r="N63" s="48" t="str">
        <f>IFERROR(LEFT(M63,FIND("],",M63)+S73),M63)</f>
        <v>[effect:critical, val:0.57],[effect:fix_speed, target:myself, turn:1]</v>
      </c>
      <c r="O63" s="64">
        <f t="shared" si="259"/>
        <v>9</v>
      </c>
      <c r="P63" s="64">
        <f t="shared" si="260"/>
        <v>17</v>
      </c>
      <c r="Q63" s="64">
        <f t="shared" si="261"/>
        <v>55</v>
      </c>
      <c r="R63" s="64">
        <f t="shared" si="262"/>
        <v>28</v>
      </c>
      <c r="S63" s="64" t="str">
        <f>IFERROR(VLOOKUP(MID(N63,Q63,R63-Q63),[5]skilldef!$C:$D,2,FALSE),"-") &amp; " / " &amp; IFERROR(VLOOKUP(MID(N63,O63,P63-O63),[5]skilldef!$A:$B,2,FALSE),"-")</f>
        <v>- / 大攻撃</v>
      </c>
      <c r="T63" s="48" t="str">
        <f t="shared" si="263"/>
        <v>[effect:fix_speed, target:myself, turn:1]</v>
      </c>
      <c r="U63" s="64">
        <f t="shared" si="264"/>
        <v>9</v>
      </c>
      <c r="V63" s="64">
        <f t="shared" si="265"/>
        <v>18</v>
      </c>
      <c r="W63" s="64">
        <f t="shared" si="266"/>
        <v>27</v>
      </c>
      <c r="X63" s="64">
        <f t="shared" si="267"/>
        <v>33</v>
      </c>
      <c r="Y63" s="64" t="str">
        <f>IFERROR(VLOOKUP(MID(T63,W63,X63-W63),[5]skilldef!$C:$D,2,FALSE),"-") &amp; " / " &amp; IFERROR(VLOOKUP(MID(T63,U63,V63-U63),[5]skilldef!$A:$B,2,FALSE),"-")</f>
        <v>自分自身に / 行動値設定</v>
      </c>
      <c r="Z63" s="50"/>
      <c r="AA63" s="52"/>
      <c r="AB63" s="50"/>
    </row>
    <row r="64" spans="1:28" ht="21" customHeight="1" x14ac:dyDescent="0.15">
      <c r="A64" s="139">
        <v>40025613</v>
      </c>
      <c r="B64" s="47" t="s">
        <v>446</v>
      </c>
      <c r="C64" s="50">
        <v>3</v>
      </c>
      <c r="D64" s="50" t="s">
        <v>128</v>
      </c>
      <c r="E64" s="51" t="s">
        <v>329</v>
      </c>
      <c r="F64" s="51" t="s">
        <v>329</v>
      </c>
      <c r="G64" s="64" t="str">
        <f t="shared" si="253"/>
        <v>[effect:enemy_message, val1:0, val2:0]</v>
      </c>
      <c r="H64" s="64">
        <f t="shared" si="254"/>
        <v>9</v>
      </c>
      <c r="I64" s="64">
        <f t="shared" si="255"/>
        <v>22</v>
      </c>
      <c r="J64" s="64" t="e">
        <f t="shared" si="256"/>
        <v>#VALUE!</v>
      </c>
      <c r="K64" s="64">
        <f t="shared" si="257"/>
        <v>30</v>
      </c>
      <c r="L64" s="64" t="str">
        <f>IFERROR(VLOOKUP(MID(G64,J64,K64-J64),[5]skilldef!$C:$D,2,FALSE),"-") &amp; " / " &amp; IFERROR(VLOOKUP(MID(G64,H64,I64-H64),[5]skilldef!$A:$B,2,FALSE),"-")</f>
        <v>- / -</v>
      </c>
      <c r="M64" s="64" t="str">
        <f t="shared" si="258"/>
        <v>[effect:critical, val:0.68],[effect:fix_speed, target:myself, turn:2]</v>
      </c>
      <c r="N64" s="48" t="str">
        <f>IFERROR(LEFT(M64,FIND("],",M64)+S75),M64)</f>
        <v>[effect:critical, val:0.68],[effect:fix_speed, target:myself, turn:2]</v>
      </c>
      <c r="O64" s="64">
        <f t="shared" si="259"/>
        <v>9</v>
      </c>
      <c r="P64" s="64">
        <f t="shared" si="260"/>
        <v>17</v>
      </c>
      <c r="Q64" s="64">
        <f t="shared" si="261"/>
        <v>55</v>
      </c>
      <c r="R64" s="64">
        <f t="shared" si="262"/>
        <v>28</v>
      </c>
      <c r="S64" s="64" t="str">
        <f>IFERROR(VLOOKUP(MID(N64,Q64,R64-Q64),[5]skilldef!$C:$D,2,FALSE),"-") &amp; " / " &amp; IFERROR(VLOOKUP(MID(N64,O64,P64-O64),[5]skilldef!$A:$B,2,FALSE),"-")</f>
        <v>- / 大攻撃</v>
      </c>
      <c r="T64" s="48" t="str">
        <f t="shared" si="263"/>
        <v>[effect:fix_speed, target:myself, turn:2]</v>
      </c>
      <c r="U64" s="64">
        <f t="shared" si="264"/>
        <v>9</v>
      </c>
      <c r="V64" s="64">
        <f t="shared" si="265"/>
        <v>18</v>
      </c>
      <c r="W64" s="64">
        <f t="shared" si="266"/>
        <v>27</v>
      </c>
      <c r="X64" s="64">
        <f t="shared" si="267"/>
        <v>33</v>
      </c>
      <c r="Y64" s="64" t="str">
        <f>IFERROR(VLOOKUP(MID(T64,W64,X64-W64),[5]skilldef!$C:$D,2,FALSE),"-") &amp; " / " &amp; IFERROR(VLOOKUP(MID(T64,U64,V64-U64),[5]skilldef!$A:$B,2,FALSE),"-")</f>
        <v>自分自身に / 行動値設定</v>
      </c>
      <c r="Z64" s="50"/>
      <c r="AA64" s="52"/>
      <c r="AB64" s="50"/>
    </row>
    <row r="65" spans="1:28" ht="21" customHeight="1" x14ac:dyDescent="0.15">
      <c r="A65" s="139">
        <v>40025614</v>
      </c>
      <c r="B65" s="47" t="s">
        <v>485</v>
      </c>
      <c r="C65" s="50">
        <v>3</v>
      </c>
      <c r="D65" s="50" t="s">
        <v>128</v>
      </c>
      <c r="E65" s="51" t="s">
        <v>306</v>
      </c>
      <c r="F65" s="51" t="s">
        <v>304</v>
      </c>
      <c r="G65" s="64" t="str">
        <f t="shared" si="253"/>
        <v>[effect:force_change_block, new_block:jammer, target:block_all, ignore01:block_positive, ignore02:block_negative, count:5, val:0]</v>
      </c>
      <c r="H65" s="64">
        <f t="shared" si="254"/>
        <v>9</v>
      </c>
      <c r="I65" s="64">
        <f t="shared" si="255"/>
        <v>27</v>
      </c>
      <c r="J65" s="64">
        <f t="shared" si="256"/>
        <v>54</v>
      </c>
      <c r="K65" s="64">
        <f t="shared" si="257"/>
        <v>45</v>
      </c>
      <c r="L65" s="64" t="str">
        <f>IFERROR(VLOOKUP(MID(G65,J65,K65-J65),[5]skilldef!$C:$D,2,FALSE),"-") &amp; " / " &amp; IFERROR(VLOOKUP(MID(G65,H65,I65-H65),[5]skilldef!$A:$B,2,FALSE),"-")</f>
        <v>- / -</v>
      </c>
      <c r="M65" s="64" t="str">
        <f t="shared" si="258"/>
        <v>[effect:suicide, val:1, dead_type:suicide, target:myself, animation:enemy_suicide]</v>
      </c>
      <c r="N65" s="48" t="str">
        <f>IFERROR(LEFT(M65,FIND("],",M65)+S76),M65)</f>
        <v>[effect:suicide, val:1, dead_type:suicide, target:myself, animation:enemy_suicide]</v>
      </c>
      <c r="O65" s="64">
        <f t="shared" si="259"/>
        <v>9</v>
      </c>
      <c r="P65" s="64">
        <f t="shared" si="260"/>
        <v>16</v>
      </c>
      <c r="Q65" s="64">
        <f t="shared" si="261"/>
        <v>51</v>
      </c>
      <c r="R65" s="64">
        <f t="shared" si="262"/>
        <v>23</v>
      </c>
      <c r="S65" s="64" t="str">
        <f>IFERROR(VLOOKUP(MID(N65,Q65,R65-Q65),[5]skilldef!$C:$D,2,FALSE),"-") &amp; " / " &amp; IFERROR(VLOOKUP(MID(N65,O65,P65-O65),[5]skilldef!$A:$B,2,FALSE),"-")</f>
        <v>- / -</v>
      </c>
      <c r="T65" s="48" t="str">
        <f t="shared" si="263"/>
        <v>none</v>
      </c>
      <c r="U65" s="64" t="e">
        <f t="shared" si="264"/>
        <v>#VALUE!</v>
      </c>
      <c r="V65" s="64">
        <f t="shared" si="265"/>
        <v>4</v>
      </c>
      <c r="W65" s="64" t="e">
        <f t="shared" si="266"/>
        <v>#VALUE!</v>
      </c>
      <c r="X65" s="64" t="e">
        <f t="shared" si="267"/>
        <v>#VALUE!</v>
      </c>
      <c r="Y65" s="64" t="str">
        <f>IFERROR(VLOOKUP(MID(T65,W65,X65-W65),[5]skilldef!$C:$D,2,FALSE),"-") &amp; " / " &amp; IFERROR(VLOOKUP(MID(T65,U65,V65-U65),[5]skilldef!$A:$B,2,FALSE),"-")</f>
        <v>- / -</v>
      </c>
      <c r="Z65" s="50"/>
      <c r="AA65" s="52"/>
      <c r="AB65" s="50"/>
    </row>
    <row r="66" spans="1:28" ht="30" customHeight="1" x14ac:dyDescent="0.15">
      <c r="A66" s="47">
        <v>40025631</v>
      </c>
      <c r="B66" s="126" t="s">
        <v>386</v>
      </c>
      <c r="C66" s="50">
        <v>3</v>
      </c>
      <c r="D66" s="127" t="s">
        <v>128</v>
      </c>
      <c r="E66" s="128" t="s">
        <v>325</v>
      </c>
      <c r="F66" s="128" t="s">
        <v>329</v>
      </c>
      <c r="G66" s="64" t="str">
        <f t="shared" si="253"/>
        <v>[effect:enemy_message, val1:2, val2:0]</v>
      </c>
      <c r="H66" s="64">
        <f t="shared" si="254"/>
        <v>9</v>
      </c>
      <c r="I66" s="64">
        <f t="shared" si="255"/>
        <v>22</v>
      </c>
      <c r="J66" s="64" t="e">
        <f t="shared" si="256"/>
        <v>#VALUE!</v>
      </c>
      <c r="K66" s="64">
        <f t="shared" si="257"/>
        <v>30</v>
      </c>
      <c r="L66" s="64" t="str">
        <f>IFERROR(VLOOKUP(MID(G66,J66,K66-J66),[5]skilldef!$C:$D,2,FALSE),"-") &amp; " / " &amp; IFERROR(VLOOKUP(MID(G66,H66,I66-H66),[5]skilldef!$A:$B,2,FALSE),"-")</f>
        <v>- / -</v>
      </c>
      <c r="M66" s="64" t="str">
        <f t="shared" si="258"/>
        <v>[effect:fix_speed, target:myself, turn:2]</v>
      </c>
      <c r="N66" s="48" t="str">
        <f>IFERROR(LEFT(M66,FIND("],",M66)+S76),M66)</f>
        <v>[effect:fix_speed, target:myself, turn:2]</v>
      </c>
      <c r="O66" s="64">
        <f t="shared" si="259"/>
        <v>9</v>
      </c>
      <c r="P66" s="64">
        <f t="shared" si="260"/>
        <v>18</v>
      </c>
      <c r="Q66" s="64">
        <f t="shared" si="261"/>
        <v>27</v>
      </c>
      <c r="R66" s="64">
        <f t="shared" si="262"/>
        <v>33</v>
      </c>
      <c r="S66" s="64" t="str">
        <f>IFERROR(VLOOKUP(MID(N66,Q66,R66-Q66),[5]skilldef!$C:$D,2,FALSE),"-") &amp; " / " &amp; IFERROR(VLOOKUP(MID(N66,O66,P66-O66),[5]skilldef!$A:$B,2,FALSE),"-")</f>
        <v>自分自身に / 行動値設定</v>
      </c>
      <c r="T66" s="48" t="str">
        <f t="shared" si="263"/>
        <v>none</v>
      </c>
      <c r="U66" s="64" t="e">
        <f t="shared" si="264"/>
        <v>#VALUE!</v>
      </c>
      <c r="V66" s="64">
        <f t="shared" si="265"/>
        <v>4</v>
      </c>
      <c r="W66" s="64" t="e">
        <f t="shared" si="266"/>
        <v>#VALUE!</v>
      </c>
      <c r="X66" s="64" t="e">
        <f t="shared" si="267"/>
        <v>#VALUE!</v>
      </c>
      <c r="Y66" s="64" t="str">
        <f>IFERROR(VLOOKUP(MID(T66,W66,X66-W66),[5]skilldef!$C:$D,2,FALSE),"-") &amp; " / " &amp; IFERROR(VLOOKUP(MID(T66,U66,V66-U66),[5]skilldef!$A:$B,2,FALSE),"-")</f>
        <v>- / -</v>
      </c>
      <c r="Z66" s="50"/>
      <c r="AA66" s="52"/>
      <c r="AB66" s="50"/>
    </row>
    <row r="67" spans="1:28" ht="21" customHeight="1" x14ac:dyDescent="0.15">
      <c r="A67" s="47">
        <v>40025632</v>
      </c>
      <c r="B67" s="126" t="s">
        <v>384</v>
      </c>
      <c r="C67" s="50">
        <v>3</v>
      </c>
      <c r="D67" s="127" t="s">
        <v>128</v>
      </c>
      <c r="E67" s="128" t="s">
        <v>329</v>
      </c>
      <c r="F67" s="128" t="s">
        <v>329</v>
      </c>
      <c r="G67" s="64" t="str">
        <f t="shared" si="253"/>
        <v>[effect:enemy_message, val1:0, val2:0]</v>
      </c>
      <c r="H67" s="64">
        <f t="shared" si="254"/>
        <v>9</v>
      </c>
      <c r="I67" s="64">
        <f t="shared" si="255"/>
        <v>22</v>
      </c>
      <c r="J67" s="64" t="e">
        <f t="shared" si="256"/>
        <v>#VALUE!</v>
      </c>
      <c r="K67" s="64">
        <f t="shared" si="257"/>
        <v>30</v>
      </c>
      <c r="L67" s="64" t="str">
        <f>IFERROR(VLOOKUP(MID(G67,J67,K67-J67),[5]skilldef!$C:$D,2,FALSE),"-") &amp; " / " &amp; IFERROR(VLOOKUP(MID(G67,H67,I67-H67),[5]skilldef!$A:$B,2,FALSE),"-")</f>
        <v>- / -</v>
      </c>
      <c r="M67" s="64" t="str">
        <f t="shared" si="258"/>
        <v>[effect:critical, val:1],[effect:fix_speed, target:myself, turn:1]</v>
      </c>
      <c r="N67" s="48" t="str">
        <f>IFERROR(LEFT(M67,FIND("],",M67)+#REF!),M67)</f>
        <v>[effect:critical, val:1],[effect:fix_speed, target:myself, turn:1]</v>
      </c>
      <c r="O67" s="64">
        <f t="shared" si="259"/>
        <v>9</v>
      </c>
      <c r="P67" s="64">
        <f t="shared" si="260"/>
        <v>17</v>
      </c>
      <c r="Q67" s="64">
        <f t="shared" si="261"/>
        <v>52</v>
      </c>
      <c r="R67" s="64">
        <f t="shared" si="262"/>
        <v>25</v>
      </c>
      <c r="S67" s="64" t="str">
        <f>IFERROR(VLOOKUP(MID(N67,Q67,R67-Q67),[5]skilldef!$C:$D,2,FALSE),"-") &amp; " / " &amp; IFERROR(VLOOKUP(MID(N67,O67,P67-O67),[5]skilldef!$A:$B,2,FALSE),"-")</f>
        <v>- / 大攻撃</v>
      </c>
      <c r="T67" s="48" t="str">
        <f t="shared" si="263"/>
        <v>[effect:fix_speed, target:myself, turn:1]</v>
      </c>
      <c r="U67" s="64">
        <f t="shared" si="264"/>
        <v>9</v>
      </c>
      <c r="V67" s="64">
        <f t="shared" si="265"/>
        <v>18</v>
      </c>
      <c r="W67" s="64">
        <f t="shared" si="266"/>
        <v>27</v>
      </c>
      <c r="X67" s="64">
        <f t="shared" si="267"/>
        <v>33</v>
      </c>
      <c r="Y67" s="64" t="str">
        <f>IFERROR(VLOOKUP(MID(T67,W67,X67-W67),[5]skilldef!$C:$D,2,FALSE),"-") &amp; " / " &amp; IFERROR(VLOOKUP(MID(T67,U67,V67-U67),[5]skilldef!$A:$B,2,FALSE),"-")</f>
        <v>自分自身に / 行動値設定</v>
      </c>
      <c r="Z67" s="50"/>
      <c r="AA67" s="52"/>
      <c r="AB67" s="50"/>
    </row>
    <row r="68" spans="1:28" ht="21" customHeight="1" x14ac:dyDescent="0.15">
      <c r="A68" s="47">
        <v>40025633</v>
      </c>
      <c r="B68" s="126" t="s">
        <v>389</v>
      </c>
      <c r="C68" s="50">
        <v>3</v>
      </c>
      <c r="D68" s="127" t="s">
        <v>128</v>
      </c>
      <c r="E68" s="128" t="s">
        <v>272</v>
      </c>
      <c r="F68" s="128" t="s">
        <v>305</v>
      </c>
      <c r="G68" s="64" t="str">
        <f t="shared" si="253"/>
        <v>[effect:break_attack_fix, target:unit_all, val:125, lowest_val:0, count:-1, color:yellow, block01:block_yellow]</v>
      </c>
      <c r="H68" s="64">
        <f t="shared" si="254"/>
        <v>9</v>
      </c>
      <c r="I68" s="64">
        <f t="shared" si="255"/>
        <v>25</v>
      </c>
      <c r="J68" s="64">
        <f t="shared" si="256"/>
        <v>34</v>
      </c>
      <c r="K68" s="64">
        <f t="shared" si="257"/>
        <v>42</v>
      </c>
      <c r="L68" s="64" t="str">
        <f>IFERROR(VLOOKUP(MID(G68,J68,K68-J68),[5]skilldef!$C:$D,2,FALSE),"-") &amp; " / " &amp; IFERROR(VLOOKUP(MID(G68,H68,I68-H68),[5]skilldef!$A:$B,2,FALSE),"-")</f>
        <v>味方全体に / -</v>
      </c>
      <c r="M68" s="64" t="str">
        <f t="shared" si="258"/>
        <v>[effect:fix_speed, target:myself, turn:2]</v>
      </c>
      <c r="N68" s="48" t="str">
        <f>IFERROR(LEFT(M68,FIND("],",M68)+S77),M68)</f>
        <v>[effect:fix_speed, target:myself, turn:2]</v>
      </c>
      <c r="O68" s="64">
        <f t="shared" si="259"/>
        <v>9</v>
      </c>
      <c r="P68" s="64">
        <f t="shared" si="260"/>
        <v>18</v>
      </c>
      <c r="Q68" s="64">
        <f t="shared" si="261"/>
        <v>27</v>
      </c>
      <c r="R68" s="64">
        <f t="shared" si="262"/>
        <v>33</v>
      </c>
      <c r="S68" s="64" t="str">
        <f>IFERROR(VLOOKUP(MID(N68,Q68,R68-Q68),[5]skilldef!$C:$D,2,FALSE),"-") &amp; " / " &amp; IFERROR(VLOOKUP(MID(N68,O68,P68-O68),[5]skilldef!$A:$B,2,FALSE),"-")</f>
        <v>自分自身に / 行動値設定</v>
      </c>
      <c r="T68" s="48" t="str">
        <f t="shared" si="263"/>
        <v>none</v>
      </c>
      <c r="U68" s="64" t="e">
        <f t="shared" si="264"/>
        <v>#VALUE!</v>
      </c>
      <c r="V68" s="64">
        <f t="shared" si="265"/>
        <v>4</v>
      </c>
      <c r="W68" s="64" t="e">
        <f t="shared" si="266"/>
        <v>#VALUE!</v>
      </c>
      <c r="X68" s="64" t="e">
        <f t="shared" si="267"/>
        <v>#VALUE!</v>
      </c>
      <c r="Y68" s="64" t="str">
        <f>IFERROR(VLOOKUP(MID(T68,W68,X68-W68),[5]skilldef!$C:$D,2,FALSE),"-") &amp; " / " &amp; IFERROR(VLOOKUP(MID(T68,U68,V68-U68),[5]skilldef!$A:$B,2,FALSE),"-")</f>
        <v>- / -</v>
      </c>
      <c r="Z68" s="50"/>
      <c r="AA68" s="52"/>
      <c r="AB68" s="50"/>
    </row>
    <row r="69" spans="1:28" ht="40" customHeight="1" x14ac:dyDescent="0.15">
      <c r="A69" s="47">
        <v>40025634</v>
      </c>
      <c r="B69" s="126" t="s">
        <v>363</v>
      </c>
      <c r="C69" s="50">
        <v>3</v>
      </c>
      <c r="D69" s="127" t="s">
        <v>128</v>
      </c>
      <c r="E69" s="128" t="s">
        <v>362</v>
      </c>
      <c r="F69" s="128" t="s">
        <v>383</v>
      </c>
      <c r="G69" s="64" t="str">
        <f t="shared" si="253"/>
        <v>[effect:enhance_enemy, target:myself, turn:-1, status:attack, val:0.2, calc:mul, animation:enemy_enhance_attack]</v>
      </c>
      <c r="H69" s="64">
        <f t="shared" si="254"/>
        <v>9</v>
      </c>
      <c r="I69" s="64">
        <f t="shared" si="255"/>
        <v>22</v>
      </c>
      <c r="J69" s="64">
        <f t="shared" si="256"/>
        <v>31</v>
      </c>
      <c r="K69" s="64">
        <f t="shared" si="257"/>
        <v>37</v>
      </c>
      <c r="L69" s="64" t="str">
        <f>IFERROR(VLOOKUP(MID(G69,J69,K69-J69),[5]skilldef!$C:$D,2,FALSE),"-") &amp; " / " &amp; IFERROR(VLOOKUP(MID(G69,H69,I69-H69),[5]skilldef!$A:$B,2,FALSE),"-")</f>
        <v>自分自身に / ステータス強化</v>
      </c>
      <c r="M69" s="64" t="str">
        <f t="shared" si="258"/>
        <v>[effect:fix_speed, target:myself, turn:1]</v>
      </c>
      <c r="N69" s="48" t="str">
        <f>IFERROR(LEFT(M69,FIND("],",M69)+S79),M69)</f>
        <v>[effect:fix_speed, target:myself, turn:1]</v>
      </c>
      <c r="O69" s="64">
        <f t="shared" si="259"/>
        <v>9</v>
      </c>
      <c r="P69" s="64">
        <f t="shared" si="260"/>
        <v>18</v>
      </c>
      <c r="Q69" s="64">
        <f t="shared" si="261"/>
        <v>27</v>
      </c>
      <c r="R69" s="64">
        <f t="shared" si="262"/>
        <v>33</v>
      </c>
      <c r="S69" s="64" t="str">
        <f>IFERROR(VLOOKUP(MID(N69,Q69,R69-Q69),[5]skilldef!$C:$D,2,FALSE),"-") &amp; " / " &amp; IFERROR(VLOOKUP(MID(N69,O69,P69-O69),[5]skilldef!$A:$B,2,FALSE),"-")</f>
        <v>自分自身に / 行動値設定</v>
      </c>
      <c r="T69" s="48" t="str">
        <f t="shared" si="263"/>
        <v>none</v>
      </c>
      <c r="U69" s="64" t="e">
        <f t="shared" si="264"/>
        <v>#VALUE!</v>
      </c>
      <c r="V69" s="64">
        <f t="shared" si="265"/>
        <v>4</v>
      </c>
      <c r="W69" s="64" t="e">
        <f t="shared" si="266"/>
        <v>#VALUE!</v>
      </c>
      <c r="X69" s="64" t="e">
        <f t="shared" si="267"/>
        <v>#VALUE!</v>
      </c>
      <c r="Y69" s="64" t="str">
        <f>IFERROR(VLOOKUP(MID(T69,W69,X69-W69),[5]skilldef!$C:$D,2,FALSE),"-") &amp; " / " &amp; IFERROR(VLOOKUP(MID(T69,U69,V69-U69),[5]skilldef!$A:$B,2,FALSE),"-")</f>
        <v>- / -</v>
      </c>
      <c r="Z69" s="50"/>
      <c r="AA69" s="52"/>
      <c r="AB69" s="50"/>
    </row>
    <row r="70" spans="1:28" ht="21" customHeight="1" x14ac:dyDescent="0.15">
      <c r="A70" s="47">
        <v>40025635</v>
      </c>
      <c r="B70" s="126" t="s">
        <v>266</v>
      </c>
      <c r="C70" s="50">
        <v>3</v>
      </c>
      <c r="D70" s="127" t="s">
        <v>128</v>
      </c>
      <c r="E70" s="128" t="s">
        <v>273</v>
      </c>
      <c r="F70" s="128" t="s">
        <v>307</v>
      </c>
      <c r="G70" s="64" t="str">
        <f t="shared" si="253"/>
        <v>[effect:break_attack_fix, target:unit_one, val:0, lowest_val:2000, count:-1, color:yellow, block01:jammer]</v>
      </c>
      <c r="H70" s="64">
        <f t="shared" si="254"/>
        <v>9</v>
      </c>
      <c r="I70" s="64">
        <f t="shared" si="255"/>
        <v>25</v>
      </c>
      <c r="J70" s="64">
        <f t="shared" si="256"/>
        <v>34</v>
      </c>
      <c r="K70" s="64">
        <f t="shared" si="257"/>
        <v>42</v>
      </c>
      <c r="L70" s="64" t="str">
        <f>IFERROR(VLOOKUP(MID(G70,J70,K70-J70),[5]skilldef!$C:$D,2,FALSE),"-") &amp; " / " &amp; IFERROR(VLOOKUP(MID(G70,H70,I70-H70),[5]skilldef!$A:$B,2,FALSE),"-")</f>
        <v>味方単体に / -</v>
      </c>
      <c r="M70" s="64" t="str">
        <f t="shared" si="258"/>
        <v>none</v>
      </c>
      <c r="N70" s="48" t="str">
        <f>IFERROR(LEFT(M70,FIND("],",M70)+S80),M70)</f>
        <v>none</v>
      </c>
      <c r="O70" s="64" t="e">
        <f t="shared" si="259"/>
        <v>#VALUE!</v>
      </c>
      <c r="P70" s="64">
        <f t="shared" si="260"/>
        <v>4</v>
      </c>
      <c r="Q70" s="64" t="e">
        <f t="shared" si="261"/>
        <v>#VALUE!</v>
      </c>
      <c r="R70" s="64" t="e">
        <f t="shared" si="262"/>
        <v>#VALUE!</v>
      </c>
      <c r="S70" s="64" t="str">
        <f>IFERROR(VLOOKUP(MID(N70,Q70,R70-Q70),[5]skilldef!$C:$D,2,FALSE),"-") &amp; " / " &amp; IFERROR(VLOOKUP(MID(N70,O70,P70-O70),[5]skilldef!$A:$B,2,FALSE),"-")</f>
        <v>- / -</v>
      </c>
      <c r="T70" s="48" t="str">
        <f t="shared" si="263"/>
        <v>none</v>
      </c>
      <c r="U70" s="64" t="e">
        <f t="shared" si="264"/>
        <v>#VALUE!</v>
      </c>
      <c r="V70" s="64">
        <f t="shared" si="265"/>
        <v>4</v>
      </c>
      <c r="W70" s="64" t="e">
        <f t="shared" si="266"/>
        <v>#VALUE!</v>
      </c>
      <c r="X70" s="64" t="e">
        <f t="shared" si="267"/>
        <v>#VALUE!</v>
      </c>
      <c r="Y70" s="64" t="str">
        <f>IFERROR(VLOOKUP(MID(T70,W70,X70-W70),[5]skilldef!$C:$D,2,FALSE),"-") &amp; " / " &amp; IFERROR(VLOOKUP(MID(T70,U70,V70-U70),[5]skilldef!$A:$B,2,FALSE),"-")</f>
        <v>- / -</v>
      </c>
      <c r="Z70" s="50"/>
      <c r="AA70" s="52"/>
      <c r="AB70" s="50"/>
    </row>
    <row r="71" spans="1:28" ht="21" customHeight="1" x14ac:dyDescent="0.15">
      <c r="A71" s="47">
        <v>40025636</v>
      </c>
      <c r="B71" s="126" t="s">
        <v>266</v>
      </c>
      <c r="C71" s="50">
        <v>3</v>
      </c>
      <c r="D71" s="127" t="s">
        <v>128</v>
      </c>
      <c r="E71" s="128" t="s">
        <v>288</v>
      </c>
      <c r="F71" s="128" t="s">
        <v>307</v>
      </c>
      <c r="G71" s="64" t="str">
        <f t="shared" si="253"/>
        <v>[effect:break_attack_fix, target:unit_one, val:0, lowest_val:2000, count:-1, color:yellow, block01:jammer]</v>
      </c>
      <c r="H71" s="64">
        <f t="shared" si="254"/>
        <v>9</v>
      </c>
      <c r="I71" s="64">
        <f t="shared" si="255"/>
        <v>25</v>
      </c>
      <c r="J71" s="64">
        <f t="shared" si="256"/>
        <v>34</v>
      </c>
      <c r="K71" s="64">
        <f t="shared" si="257"/>
        <v>42</v>
      </c>
      <c r="L71" s="64" t="str">
        <f>IFERROR(VLOOKUP(MID(G71,J71,K71-J71),[5]skilldef!$C:$D,2,FALSE),"-") &amp; " / " &amp; IFERROR(VLOOKUP(MID(G71,H71,I71-H71),[5]skilldef!$A:$B,2,FALSE),"-")</f>
        <v>味方単体に / -</v>
      </c>
      <c r="M71" s="64" t="str">
        <f t="shared" si="258"/>
        <v>none</v>
      </c>
      <c r="N71" s="48" t="str">
        <f>IFERROR(LEFT(M71,FIND("],",M71)+S81),M71)</f>
        <v>none</v>
      </c>
      <c r="O71" s="64" t="e">
        <f t="shared" si="259"/>
        <v>#VALUE!</v>
      </c>
      <c r="P71" s="64">
        <f t="shared" si="260"/>
        <v>4</v>
      </c>
      <c r="Q71" s="64" t="e">
        <f t="shared" si="261"/>
        <v>#VALUE!</v>
      </c>
      <c r="R71" s="64" t="e">
        <f t="shared" si="262"/>
        <v>#VALUE!</v>
      </c>
      <c r="S71" s="64" t="str">
        <f>IFERROR(VLOOKUP(MID(N71,Q71,R71-Q71),[5]skilldef!$C:$D,2,FALSE),"-") &amp; " / " &amp; IFERROR(VLOOKUP(MID(N71,O71,P71-O71),[5]skilldef!$A:$B,2,FALSE),"-")</f>
        <v>- / -</v>
      </c>
      <c r="T71" s="48" t="str">
        <f t="shared" si="263"/>
        <v>none</v>
      </c>
      <c r="U71" s="64" t="e">
        <f t="shared" si="264"/>
        <v>#VALUE!</v>
      </c>
      <c r="V71" s="64">
        <f t="shared" si="265"/>
        <v>4</v>
      </c>
      <c r="W71" s="64" t="e">
        <f t="shared" si="266"/>
        <v>#VALUE!</v>
      </c>
      <c r="X71" s="64" t="e">
        <f t="shared" si="267"/>
        <v>#VALUE!</v>
      </c>
      <c r="Y71" s="64" t="str">
        <f>IFERROR(VLOOKUP(MID(T71,W71,X71-W71),[5]skilldef!$C:$D,2,FALSE),"-") &amp; " / " &amp; IFERROR(VLOOKUP(MID(T71,U71,V71-U71),[5]skilldef!$A:$B,2,FALSE),"-")</f>
        <v>- / -</v>
      </c>
      <c r="Z71" s="50"/>
      <c r="AA71" s="52"/>
      <c r="AB71" s="50"/>
    </row>
    <row r="72" spans="1:28" ht="30" customHeight="1" x14ac:dyDescent="0.15">
      <c r="A72" s="129">
        <v>40025711</v>
      </c>
      <c r="B72" s="47" t="s">
        <v>385</v>
      </c>
      <c r="C72" s="50">
        <v>3</v>
      </c>
      <c r="D72" s="50" t="s">
        <v>128</v>
      </c>
      <c r="E72" s="51" t="s">
        <v>323</v>
      </c>
      <c r="F72" s="51" t="s">
        <v>317</v>
      </c>
      <c r="G72" s="64" t="str">
        <f t="shared" si="253"/>
        <v>[effect:enemy_message, val1:1.2, val2:1.8]</v>
      </c>
      <c r="H72" s="64">
        <f t="shared" si="254"/>
        <v>9</v>
      </c>
      <c r="I72" s="64">
        <f t="shared" si="255"/>
        <v>22</v>
      </c>
      <c r="J72" s="64" t="e">
        <f t="shared" si="256"/>
        <v>#VALUE!</v>
      </c>
      <c r="K72" s="64">
        <f t="shared" si="257"/>
        <v>32</v>
      </c>
      <c r="L72" s="64" t="str">
        <f>IFERROR(VLOOKUP(MID(G72,J72,K72-J72),[5]skilldef!$C:$D,2,FALSE),"-") &amp; " / " &amp; IFERROR(VLOOKUP(MID(G72,H72,I72-H72),[5]skilldef!$A:$B,2,FALSE),"-")</f>
        <v>- / -</v>
      </c>
      <c r="M72" s="64" t="str">
        <f t="shared" si="258"/>
        <v xml:space="preserve">[effect:remove_enhancement, target:unit_all, target_effect:all, animation:frozen_wave],[effect:fix_speed, target:myself, turn:1]  </v>
      </c>
      <c r="N72" s="48" t="str">
        <f>IFERROR(LEFT(M72,FIND("],",M72)+S84),M72)</f>
        <v xml:space="preserve">[effect:remove_enhancement, target:unit_all, target_effect:all, animation:frozen_wave],[effect:fix_speed, target:myself, turn:1]  </v>
      </c>
      <c r="O72" s="64">
        <f t="shared" si="259"/>
        <v>9</v>
      </c>
      <c r="P72" s="64">
        <f t="shared" si="260"/>
        <v>27</v>
      </c>
      <c r="Q72" s="64">
        <f t="shared" si="261"/>
        <v>36</v>
      </c>
      <c r="R72" s="64">
        <f t="shared" si="262"/>
        <v>44</v>
      </c>
      <c r="S72" s="64" t="str">
        <f>IFERROR(VLOOKUP(MID(N72,Q72,R72-Q72),[5]skilldef!$C:$D,2,FALSE),"-") &amp; " / " &amp; IFERROR(VLOOKUP(MID(N72,O72,P72-O72),[5]skilldef!$A:$B,2,FALSE),"-")</f>
        <v>味方全体に / -</v>
      </c>
      <c r="T72" s="48" t="str">
        <f t="shared" si="263"/>
        <v xml:space="preserve">[effect:fix_speed, target:myself, turn:1]  </v>
      </c>
      <c r="U72" s="64">
        <f t="shared" si="264"/>
        <v>9</v>
      </c>
      <c r="V72" s="64">
        <f t="shared" si="265"/>
        <v>18</v>
      </c>
      <c r="W72" s="64">
        <f t="shared" si="266"/>
        <v>27</v>
      </c>
      <c r="X72" s="64">
        <f t="shared" si="267"/>
        <v>33</v>
      </c>
      <c r="Y72" s="64" t="str">
        <f>IFERROR(VLOOKUP(MID(T72,W72,X72-W72),[5]skilldef!$C:$D,2,FALSE),"-") &amp; " / " &amp; IFERROR(VLOOKUP(MID(T72,U72,V72-U72),[5]skilldef!$A:$B,2,FALSE),"-")</f>
        <v>自分自身に / 行動値設定</v>
      </c>
      <c r="Z72" s="50"/>
      <c r="AA72" s="52"/>
      <c r="AB72" s="50"/>
    </row>
    <row r="73" spans="1:28" ht="21" customHeight="1" x14ac:dyDescent="0.15">
      <c r="A73" s="129">
        <v>40025712</v>
      </c>
      <c r="B73" s="47" t="s">
        <v>338</v>
      </c>
      <c r="C73" s="50">
        <v>3</v>
      </c>
      <c r="D73" s="50" t="s">
        <v>128</v>
      </c>
      <c r="E73" s="51" t="s">
        <v>275</v>
      </c>
      <c r="F73" s="51" t="s">
        <v>312</v>
      </c>
      <c r="G73" s="64" t="str">
        <f t="shared" si="253"/>
        <v>[effect:damage_anti_color, target:unit_all, color:red, val1:0.35, val2:0.25]</v>
      </c>
      <c r="H73" s="64">
        <f t="shared" si="254"/>
        <v>9</v>
      </c>
      <c r="I73" s="64">
        <f t="shared" si="255"/>
        <v>26</v>
      </c>
      <c r="J73" s="64">
        <f t="shared" si="256"/>
        <v>35</v>
      </c>
      <c r="K73" s="64">
        <f t="shared" si="257"/>
        <v>43</v>
      </c>
      <c r="L73" s="64" t="str">
        <f>IFERROR(VLOOKUP(MID(G73,J73,K73-J73),[5]skilldef!$C:$D,2,FALSE),"-") &amp; " / " &amp; IFERROR(VLOOKUP(MID(G73,H73,I73-H73),[5]skilldef!$A:$B,2,FALSE),"-")</f>
        <v>味方全体に / 属性キラー</v>
      </c>
      <c r="M73" s="64" t="str">
        <f t="shared" si="258"/>
        <v>none</v>
      </c>
      <c r="N73" s="48" t="str">
        <f>IFERROR(LEFT(M73,FIND("],",M73)+S85),M73)</f>
        <v>none</v>
      </c>
      <c r="O73" s="64" t="e">
        <f t="shared" si="259"/>
        <v>#VALUE!</v>
      </c>
      <c r="P73" s="64">
        <f t="shared" si="260"/>
        <v>4</v>
      </c>
      <c r="Q73" s="64" t="e">
        <f t="shared" si="261"/>
        <v>#VALUE!</v>
      </c>
      <c r="R73" s="64" t="e">
        <f t="shared" si="262"/>
        <v>#VALUE!</v>
      </c>
      <c r="S73" s="64" t="str">
        <f>IFERROR(VLOOKUP(MID(N73,Q73,R73-Q73),[5]skilldef!$C:$D,2,FALSE),"-") &amp; " / " &amp; IFERROR(VLOOKUP(MID(N73,O73,P73-O73),[5]skilldef!$A:$B,2,FALSE),"-")</f>
        <v>- / -</v>
      </c>
      <c r="T73" s="48" t="str">
        <f t="shared" si="263"/>
        <v>none</v>
      </c>
      <c r="U73" s="64" t="e">
        <f t="shared" si="264"/>
        <v>#VALUE!</v>
      </c>
      <c r="V73" s="64">
        <f t="shared" si="265"/>
        <v>4</v>
      </c>
      <c r="W73" s="64" t="e">
        <f t="shared" si="266"/>
        <v>#VALUE!</v>
      </c>
      <c r="X73" s="64" t="e">
        <f t="shared" si="267"/>
        <v>#VALUE!</v>
      </c>
      <c r="Y73" s="64" t="str">
        <f>IFERROR(VLOOKUP(MID(T73,W73,X73-W73),[5]skilldef!$C:$D,2,FALSE),"-") &amp; " / " &amp; IFERROR(VLOOKUP(MID(T73,U73,V73-U73),[5]skilldef!$A:$B,2,FALSE),"-")</f>
        <v>- / -</v>
      </c>
      <c r="Z73" s="50"/>
      <c r="AA73" s="52"/>
      <c r="AB73" s="50"/>
    </row>
    <row r="74" spans="1:28" ht="21" customHeight="1" x14ac:dyDescent="0.15">
      <c r="A74" s="129">
        <v>40025713</v>
      </c>
      <c r="B74" s="47" t="s">
        <v>346</v>
      </c>
      <c r="C74" s="50">
        <v>3</v>
      </c>
      <c r="D74" s="50" t="s">
        <v>128</v>
      </c>
      <c r="E74" s="51" t="s">
        <v>274</v>
      </c>
      <c r="F74" s="51" t="s">
        <v>310</v>
      </c>
      <c r="G74" s="64" t="str">
        <f t="shared" si="253"/>
        <v>[effect:damage_anti_color, target:unit_all, color:yellow, val1:0.35, val2:0.25]</v>
      </c>
      <c r="H74" s="64">
        <f t="shared" si="254"/>
        <v>9</v>
      </c>
      <c r="I74" s="64">
        <f t="shared" si="255"/>
        <v>26</v>
      </c>
      <c r="J74" s="64">
        <f t="shared" si="256"/>
        <v>35</v>
      </c>
      <c r="K74" s="64">
        <f t="shared" si="257"/>
        <v>43</v>
      </c>
      <c r="L74" s="64" t="str">
        <f>IFERROR(VLOOKUP(MID(G74,J74,K74-J74),[5]skilldef!$C:$D,2,FALSE),"-") &amp; " / " &amp; IFERROR(VLOOKUP(MID(G74,H74,I74-H74),[5]skilldef!$A:$B,2,FALSE),"-")</f>
        <v>味方全体に / 属性キラー</v>
      </c>
      <c r="M74" s="64" t="str">
        <f t="shared" si="258"/>
        <v>none</v>
      </c>
      <c r="N74" s="48" t="str">
        <f>IFERROR(LEFT(M74,FIND("],",M74)+S86),M74)</f>
        <v>none</v>
      </c>
      <c r="O74" s="64" t="e">
        <f t="shared" si="259"/>
        <v>#VALUE!</v>
      </c>
      <c r="P74" s="64">
        <f t="shared" si="260"/>
        <v>4</v>
      </c>
      <c r="Q74" s="64" t="e">
        <f t="shared" si="261"/>
        <v>#VALUE!</v>
      </c>
      <c r="R74" s="64" t="e">
        <f t="shared" si="262"/>
        <v>#VALUE!</v>
      </c>
      <c r="S74" s="64" t="str">
        <f>IFERROR(VLOOKUP(MID(N74,Q74,R74-Q74),[5]skilldef!$C:$D,2,FALSE),"-") &amp; " / " &amp; IFERROR(VLOOKUP(MID(N74,O74,P74-O74),[5]skilldef!$A:$B,2,FALSE),"-")</f>
        <v>- / -</v>
      </c>
      <c r="T74" s="48" t="str">
        <f t="shared" si="263"/>
        <v>none</v>
      </c>
      <c r="U74" s="64" t="e">
        <f t="shared" si="264"/>
        <v>#VALUE!</v>
      </c>
      <c r="V74" s="64">
        <f t="shared" si="265"/>
        <v>4</v>
      </c>
      <c r="W74" s="64" t="e">
        <f t="shared" si="266"/>
        <v>#VALUE!</v>
      </c>
      <c r="X74" s="64" t="e">
        <f t="shared" si="267"/>
        <v>#VALUE!</v>
      </c>
      <c r="Y74" s="64" t="str">
        <f>IFERROR(VLOOKUP(MID(T74,W74,X74-W74),[5]skilldef!$C:$D,2,FALSE),"-") &amp; " / " &amp; IFERROR(VLOOKUP(MID(T74,U74,V74-U74),[5]skilldef!$A:$B,2,FALSE),"-")</f>
        <v>- / -</v>
      </c>
      <c r="Z74" s="50"/>
      <c r="AA74" s="52"/>
      <c r="AB74" s="50"/>
    </row>
    <row r="75" spans="1:28" ht="21" customHeight="1" x14ac:dyDescent="0.15">
      <c r="A75" s="129">
        <v>40025714</v>
      </c>
      <c r="B75" s="47" t="s">
        <v>347</v>
      </c>
      <c r="C75" s="50">
        <v>3</v>
      </c>
      <c r="D75" s="50" t="s">
        <v>128</v>
      </c>
      <c r="E75" s="51" t="s">
        <v>276</v>
      </c>
      <c r="F75" s="51" t="s">
        <v>311</v>
      </c>
      <c r="G75" s="64" t="str">
        <f t="shared" si="253"/>
        <v>[effect:damage_anti_color, target:unit_all, color:blue, val1:0.35, val2:0.25]</v>
      </c>
      <c r="H75" s="64">
        <f t="shared" si="254"/>
        <v>9</v>
      </c>
      <c r="I75" s="64">
        <f t="shared" si="255"/>
        <v>26</v>
      </c>
      <c r="J75" s="64">
        <f t="shared" si="256"/>
        <v>35</v>
      </c>
      <c r="K75" s="64">
        <f t="shared" si="257"/>
        <v>43</v>
      </c>
      <c r="L75" s="64" t="str">
        <f>IFERROR(VLOOKUP(MID(G75,J75,K75-J75),[5]skilldef!$C:$D,2,FALSE),"-") &amp; " / " &amp; IFERROR(VLOOKUP(MID(G75,H75,I75-H75),[5]skilldef!$A:$B,2,FALSE),"-")</f>
        <v>味方全体に / 属性キラー</v>
      </c>
      <c r="M75" s="64" t="str">
        <f t="shared" si="258"/>
        <v>none</v>
      </c>
      <c r="N75" s="48" t="str">
        <f>IFERROR(LEFT(M75,FIND("],",M75)+S86),M75)</f>
        <v>none</v>
      </c>
      <c r="O75" s="64" t="e">
        <f t="shared" si="259"/>
        <v>#VALUE!</v>
      </c>
      <c r="P75" s="64">
        <f t="shared" si="260"/>
        <v>4</v>
      </c>
      <c r="Q75" s="64" t="e">
        <f t="shared" si="261"/>
        <v>#VALUE!</v>
      </c>
      <c r="R75" s="64" t="e">
        <f t="shared" si="262"/>
        <v>#VALUE!</v>
      </c>
      <c r="S75" s="64" t="str">
        <f>IFERROR(VLOOKUP(MID(N75,Q75,R75-Q75),[5]skilldef!$C:$D,2,FALSE),"-") &amp; " / " &amp; IFERROR(VLOOKUP(MID(N75,O75,P75-O75),[5]skilldef!$A:$B,2,FALSE),"-")</f>
        <v>- / -</v>
      </c>
      <c r="T75" s="48" t="str">
        <f t="shared" si="263"/>
        <v>none</v>
      </c>
      <c r="U75" s="64" t="e">
        <f t="shared" si="264"/>
        <v>#VALUE!</v>
      </c>
      <c r="V75" s="64">
        <f t="shared" si="265"/>
        <v>4</v>
      </c>
      <c r="W75" s="64" t="e">
        <f t="shared" si="266"/>
        <v>#VALUE!</v>
      </c>
      <c r="X75" s="64" t="e">
        <f t="shared" si="267"/>
        <v>#VALUE!</v>
      </c>
      <c r="Y75" s="64" t="str">
        <f>IFERROR(VLOOKUP(MID(T75,W75,X75-W75),[5]skilldef!$C:$D,2,FALSE),"-") &amp; " / " &amp; IFERROR(VLOOKUP(MID(T75,U75,V75-U75),[5]skilldef!$A:$B,2,FALSE),"-")</f>
        <v>- / -</v>
      </c>
      <c r="Z75" s="50"/>
      <c r="AA75" s="52"/>
      <c r="AB75" s="50"/>
    </row>
    <row r="76" spans="1:28" ht="32" customHeight="1" x14ac:dyDescent="0.15">
      <c r="A76" s="129">
        <v>40025731</v>
      </c>
      <c r="B76" s="126" t="s">
        <v>375</v>
      </c>
      <c r="C76" s="50">
        <v>3</v>
      </c>
      <c r="D76" s="127" t="s">
        <v>128</v>
      </c>
      <c r="E76" s="128" t="s">
        <v>337</v>
      </c>
      <c r="F76" s="128" t="s">
        <v>329</v>
      </c>
      <c r="G76" s="64" t="str">
        <f t="shared" si="253"/>
        <v>[effect:enemy_message, val1:1.2, val2:0]</v>
      </c>
      <c r="H76" s="64">
        <f t="shared" si="254"/>
        <v>9</v>
      </c>
      <c r="I76" s="64">
        <f t="shared" si="255"/>
        <v>22</v>
      </c>
      <c r="J76" s="64" t="e">
        <f t="shared" si="256"/>
        <v>#VALUE!</v>
      </c>
      <c r="K76" s="64">
        <f t="shared" si="257"/>
        <v>32</v>
      </c>
      <c r="L76" s="64" t="str">
        <f>IFERROR(VLOOKUP(MID(G76,J76,K76-J76),[5]skilldef!$C:$D,2,FALSE),"-") &amp; " / " &amp; IFERROR(VLOOKUP(MID(G76,H76,I76-H76),[5]skilldef!$A:$B,2,FALSE),"-")</f>
        <v>- / -</v>
      </c>
      <c r="M76" s="64" t="str">
        <f t="shared" si="258"/>
        <v>[effect:fix_speed, target:myself, turn:1]</v>
      </c>
      <c r="N76" s="48" t="str">
        <f>IFERROR(LEFT(M76,FIND("],",M76)+S89),M76)</f>
        <v>[effect:fix_speed, target:myself, turn:1]</v>
      </c>
      <c r="O76" s="64">
        <f t="shared" si="259"/>
        <v>9</v>
      </c>
      <c r="P76" s="64">
        <f t="shared" si="260"/>
        <v>18</v>
      </c>
      <c r="Q76" s="64">
        <f t="shared" si="261"/>
        <v>27</v>
      </c>
      <c r="R76" s="64">
        <f t="shared" si="262"/>
        <v>33</v>
      </c>
      <c r="S76" s="64" t="str">
        <f>IFERROR(VLOOKUP(MID(N76,Q76,R76-Q76),[5]skilldef!$C:$D,2,FALSE),"-") &amp; " / " &amp; IFERROR(VLOOKUP(MID(N76,O76,P76-O76),[5]skilldef!$A:$B,2,FALSE),"-")</f>
        <v>自分自身に / 行動値設定</v>
      </c>
      <c r="T76" s="48" t="str">
        <f t="shared" si="263"/>
        <v>none</v>
      </c>
      <c r="U76" s="64" t="e">
        <f t="shared" si="264"/>
        <v>#VALUE!</v>
      </c>
      <c r="V76" s="64">
        <f t="shared" si="265"/>
        <v>4</v>
      </c>
      <c r="W76" s="64" t="e">
        <f t="shared" si="266"/>
        <v>#VALUE!</v>
      </c>
      <c r="X76" s="64" t="e">
        <f t="shared" si="267"/>
        <v>#VALUE!</v>
      </c>
      <c r="Y76" s="64" t="str">
        <f>IFERROR(VLOOKUP(MID(T76,W76,X76-W76),[5]skilldef!$C:$D,2,FALSE),"-") &amp; " / " &amp; IFERROR(VLOOKUP(MID(T76,U76,V76-U76),[5]skilldef!$A:$B,2,FALSE),"-")</f>
        <v>- / -</v>
      </c>
      <c r="Z76" s="50"/>
      <c r="AA76" s="52"/>
      <c r="AB76" s="50"/>
    </row>
    <row r="77" spans="1:28" ht="42" x14ac:dyDescent="0.15">
      <c r="A77" s="129">
        <v>40025732</v>
      </c>
      <c r="B77" s="126" t="s">
        <v>340</v>
      </c>
      <c r="C77" s="50">
        <v>3</v>
      </c>
      <c r="D77" s="127" t="s">
        <v>128</v>
      </c>
      <c r="E77" s="128" t="s">
        <v>278</v>
      </c>
      <c r="F77" s="128" t="s">
        <v>410</v>
      </c>
      <c r="G77" s="64" t="str">
        <f t="shared" si="253"/>
        <v>[effect:damage_anti_tribe, target:unit_all, tribe:machine, val1:0.2, val2:0.1]</v>
      </c>
      <c r="H77" s="64">
        <f t="shared" si="254"/>
        <v>9</v>
      </c>
      <c r="I77" s="64">
        <f t="shared" si="255"/>
        <v>26</v>
      </c>
      <c r="J77" s="64">
        <f t="shared" si="256"/>
        <v>35</v>
      </c>
      <c r="K77" s="64">
        <f t="shared" si="257"/>
        <v>43</v>
      </c>
      <c r="L77" s="64" t="str">
        <f>IFERROR(VLOOKUP(MID(G77,J77,K77-J77),[5]skilldef!$C:$D,2,FALSE),"-") &amp; " / " &amp; IFERROR(VLOOKUP(MID(G77,H77,I77-H77),[5]skilldef!$A:$B,2,FALSE),"-")</f>
        <v>味方全体に / 種族キラー</v>
      </c>
      <c r="M77" s="64" t="str">
        <f t="shared" si="258"/>
        <v>[effect:damage_anti_tribe, target:unit_all, tribe:weapon, val1:0.2, val2:0.1]</v>
      </c>
      <c r="N77" s="48" t="str">
        <f>IFERROR(LEFT(M77,FIND("],",M77)+S91),M77)</f>
        <v>[effect:damage_anti_tribe, target:unit_all, tribe:weapon, val1:0.2, val2:0.1]</v>
      </c>
      <c r="O77" s="64">
        <f t="shared" si="259"/>
        <v>9</v>
      </c>
      <c r="P77" s="64">
        <f t="shared" si="260"/>
        <v>26</v>
      </c>
      <c r="Q77" s="64">
        <f t="shared" si="261"/>
        <v>35</v>
      </c>
      <c r="R77" s="64">
        <f t="shared" si="262"/>
        <v>43</v>
      </c>
      <c r="S77" s="64" t="str">
        <f>IFERROR(VLOOKUP(MID(N77,Q77,R77-Q77),[5]skilldef!$C:$D,2,FALSE),"-") &amp; " / " &amp; IFERROR(VLOOKUP(MID(N77,O77,P77-O77),[5]skilldef!$A:$B,2,FALSE),"-")</f>
        <v>味方全体に / 種族キラー</v>
      </c>
      <c r="T77" s="48" t="str">
        <f t="shared" si="263"/>
        <v>none</v>
      </c>
      <c r="U77" s="64" t="e">
        <f t="shared" si="264"/>
        <v>#VALUE!</v>
      </c>
      <c r="V77" s="64">
        <f t="shared" si="265"/>
        <v>4</v>
      </c>
      <c r="W77" s="64" t="e">
        <f t="shared" si="266"/>
        <v>#VALUE!</v>
      </c>
      <c r="X77" s="64" t="e">
        <f t="shared" si="267"/>
        <v>#VALUE!</v>
      </c>
      <c r="Y77" s="64" t="str">
        <f>IFERROR(VLOOKUP(MID(T77,W77,X77-W77),[5]skilldef!$C:$D,2,FALSE),"-") &amp; " / " &amp; IFERROR(VLOOKUP(MID(T77,U77,V77-U77),[5]skilldef!$A:$B,2,FALSE),"-")</f>
        <v>- / -</v>
      </c>
      <c r="Z77" s="50"/>
      <c r="AA77" s="52"/>
      <c r="AB77" s="50"/>
    </row>
    <row r="78" spans="1:28" ht="42" x14ac:dyDescent="0.15">
      <c r="A78" s="129">
        <v>40025733</v>
      </c>
      <c r="B78" s="126" t="s">
        <v>309</v>
      </c>
      <c r="C78" s="50">
        <v>3</v>
      </c>
      <c r="D78" s="127" t="s">
        <v>128</v>
      </c>
      <c r="E78" s="128" t="s">
        <v>277</v>
      </c>
      <c r="F78" s="128" t="s">
        <v>411</v>
      </c>
      <c r="G78" s="64" t="str">
        <f t="shared" si="253"/>
        <v>[effect:damage_anti_tribe, target:unit_all, tribe:human, val1:0.2, val2:0.1]</v>
      </c>
      <c r="H78" s="64">
        <f t="shared" si="254"/>
        <v>9</v>
      </c>
      <c r="I78" s="64">
        <f t="shared" si="255"/>
        <v>26</v>
      </c>
      <c r="J78" s="64">
        <f t="shared" si="256"/>
        <v>35</v>
      </c>
      <c r="K78" s="64">
        <f t="shared" si="257"/>
        <v>43</v>
      </c>
      <c r="L78" s="64" t="str">
        <f>IFERROR(VLOOKUP(MID(G78,J78,K78-J78),[5]skilldef!$C:$D,2,FALSE),"-") &amp; " / " &amp; IFERROR(VLOOKUP(MID(G78,H78,I78-H78),[5]skilldef!$A:$B,2,FALSE),"-")</f>
        <v>味方全体に / 種族キラー</v>
      </c>
      <c r="M78" s="64" t="str">
        <f t="shared" si="258"/>
        <v>[effect:damage_anti_tribe, target:unit_all, tribe:animal, val1:0.2, val2:0.1]</v>
      </c>
      <c r="N78" s="48" t="str">
        <f>IFERROR(LEFT(M78,FIND("],",M78)+S92),M78)</f>
        <v>[effect:damage_anti_tribe, target:unit_all, tribe:animal, val1:0.2, val2:0.1]</v>
      </c>
      <c r="O78" s="64">
        <f t="shared" si="259"/>
        <v>9</v>
      </c>
      <c r="P78" s="64">
        <f t="shared" si="260"/>
        <v>26</v>
      </c>
      <c r="Q78" s="64">
        <f t="shared" si="261"/>
        <v>35</v>
      </c>
      <c r="R78" s="64">
        <f t="shared" si="262"/>
        <v>43</v>
      </c>
      <c r="S78" s="64" t="str">
        <f>IFERROR(VLOOKUP(MID(N78,Q78,R78-Q78),[5]skilldef!$C:$D,2,FALSE),"-") &amp; " / " &amp; IFERROR(VLOOKUP(MID(N78,O78,P78-O78),[5]skilldef!$A:$B,2,FALSE),"-")</f>
        <v>味方全体に / 種族キラー</v>
      </c>
      <c r="T78" s="48" t="str">
        <f t="shared" si="263"/>
        <v>none</v>
      </c>
      <c r="U78" s="64" t="e">
        <f t="shared" si="264"/>
        <v>#VALUE!</v>
      </c>
      <c r="V78" s="64">
        <f t="shared" si="265"/>
        <v>4</v>
      </c>
      <c r="W78" s="64" t="e">
        <f t="shared" si="266"/>
        <v>#VALUE!</v>
      </c>
      <c r="X78" s="64" t="e">
        <f t="shared" si="267"/>
        <v>#VALUE!</v>
      </c>
      <c r="Y78" s="64" t="str">
        <f>IFERROR(VLOOKUP(MID(T78,W78,X78-W78),[5]skilldef!$C:$D,2,FALSE),"-") &amp; " / " &amp; IFERROR(VLOOKUP(MID(T78,U78,V78-U78),[5]skilldef!$A:$B,2,FALSE),"-")</f>
        <v>- / -</v>
      </c>
      <c r="Z78" s="50"/>
      <c r="AA78" s="52"/>
      <c r="AB78" s="50"/>
    </row>
    <row r="79" spans="1:28" ht="42" x14ac:dyDescent="0.15">
      <c r="A79" s="129">
        <v>40025734</v>
      </c>
      <c r="B79" s="126" t="s">
        <v>341</v>
      </c>
      <c r="C79" s="50">
        <v>3</v>
      </c>
      <c r="D79" s="127" t="s">
        <v>128</v>
      </c>
      <c r="E79" s="128" t="s">
        <v>279</v>
      </c>
      <c r="F79" s="128" t="s">
        <v>412</v>
      </c>
      <c r="G79" s="64" t="str">
        <f t="shared" si="253"/>
        <v>[effect:damage_anti_tribe, target:unit_all, tribe:academia, val1:0.2, val2:0.1]</v>
      </c>
      <c r="H79" s="64">
        <f t="shared" si="254"/>
        <v>9</v>
      </c>
      <c r="I79" s="64">
        <f t="shared" si="255"/>
        <v>26</v>
      </c>
      <c r="J79" s="64">
        <f t="shared" si="256"/>
        <v>35</v>
      </c>
      <c r="K79" s="64">
        <f t="shared" si="257"/>
        <v>43</v>
      </c>
      <c r="L79" s="64" t="str">
        <f>IFERROR(VLOOKUP(MID(G79,J79,K79-J79),[5]skilldef!$C:$D,2,FALSE),"-") &amp; " / " &amp; IFERROR(VLOOKUP(MID(G79,H79,I79-H79),[5]skilldef!$A:$B,2,FALSE),"-")</f>
        <v>味方全体に / 種族キラー</v>
      </c>
      <c r="M79" s="64" t="str">
        <f t="shared" si="258"/>
        <v>[effect:damage_anti_tribe, target:unit_all, tribe:unknown, val1:0.2, val2:0.1]</v>
      </c>
      <c r="N79" s="48" t="str">
        <f>IFERROR(LEFT(M79,FIND("],",M79)+S92),M79)</f>
        <v>[effect:damage_anti_tribe, target:unit_all, tribe:unknown, val1:0.2, val2:0.1]</v>
      </c>
      <c r="O79" s="64">
        <f t="shared" si="259"/>
        <v>9</v>
      </c>
      <c r="P79" s="64">
        <f t="shared" si="260"/>
        <v>26</v>
      </c>
      <c r="Q79" s="64">
        <f t="shared" si="261"/>
        <v>35</v>
      </c>
      <c r="R79" s="64">
        <f t="shared" si="262"/>
        <v>43</v>
      </c>
      <c r="S79" s="64" t="str">
        <f>IFERROR(VLOOKUP(MID(N79,Q79,R79-Q79),[5]skilldef!$C:$D,2,FALSE),"-") &amp; " / " &amp; IFERROR(VLOOKUP(MID(N79,O79,P79-O79),[5]skilldef!$A:$B,2,FALSE),"-")</f>
        <v>味方全体に / 種族キラー</v>
      </c>
      <c r="T79" s="48" t="str">
        <f t="shared" si="263"/>
        <v>none</v>
      </c>
      <c r="U79" s="64" t="e">
        <f t="shared" si="264"/>
        <v>#VALUE!</v>
      </c>
      <c r="V79" s="64">
        <f t="shared" si="265"/>
        <v>4</v>
      </c>
      <c r="W79" s="64" t="e">
        <f t="shared" si="266"/>
        <v>#VALUE!</v>
      </c>
      <c r="X79" s="64" t="e">
        <f t="shared" si="267"/>
        <v>#VALUE!</v>
      </c>
      <c r="Y79" s="64" t="str">
        <f>IFERROR(VLOOKUP(MID(T79,W79,X79-W79),[5]skilldef!$C:$D,2,FALSE),"-") &amp; " / " &amp; IFERROR(VLOOKUP(MID(T79,U79,V79-U79),[5]skilldef!$A:$B,2,FALSE),"-")</f>
        <v>- / -</v>
      </c>
      <c r="Z79" s="50"/>
      <c r="AA79" s="52"/>
      <c r="AB79" s="50"/>
    </row>
    <row r="80" spans="1:28" ht="21" customHeight="1" x14ac:dyDescent="0.15">
      <c r="A80" s="129">
        <v>40025751</v>
      </c>
      <c r="B80" s="47" t="s">
        <v>464</v>
      </c>
      <c r="C80" s="50">
        <v>3</v>
      </c>
      <c r="D80" s="50" t="s">
        <v>128</v>
      </c>
      <c r="E80" s="51" t="s">
        <v>437</v>
      </c>
      <c r="F80" s="51" t="s">
        <v>308</v>
      </c>
      <c r="G80" s="64" t="str">
        <f t="shared" si="253"/>
        <v>[effect:enemy_message, val1:1.2, val2:2.2]</v>
      </c>
      <c r="H80" s="64">
        <f t="shared" si="254"/>
        <v>9</v>
      </c>
      <c r="I80" s="64">
        <f t="shared" si="255"/>
        <v>22</v>
      </c>
      <c r="J80" s="64" t="e">
        <f t="shared" si="256"/>
        <v>#VALUE!</v>
      </c>
      <c r="K80" s="64">
        <f t="shared" si="257"/>
        <v>32</v>
      </c>
      <c r="L80" s="64" t="str">
        <f>IFERROR(VLOOKUP(MID(G80,J80,K80-J80),[5]skilldef!$C:$D,2,FALSE),"-") &amp; " / " &amp; IFERROR(VLOOKUP(MID(G80,H80,I80-H80),[5]skilldef!$A:$B,2,FALSE),"-")</f>
        <v>- / -</v>
      </c>
      <c r="M80" s="64" t="str">
        <f t="shared" si="258"/>
        <v>[effect:change_panel_ratio, turn:2, block_type:heal, val:0.5, animation:block_incidence04],[effect:fix_speed, target:myself, turn:1]</v>
      </c>
      <c r="N80" s="48" t="str">
        <f>IFERROR(LEFT(M80,FIND("],",M80)+S94),M80)</f>
        <v>[effect:change_panel_ratio, turn:2, block_type:heal, val:0.5, animation:block_incidence04],[effect:fix_speed, target:myself, turn:1]</v>
      </c>
      <c r="O80" s="64">
        <f t="shared" si="259"/>
        <v>9</v>
      </c>
      <c r="P80" s="64">
        <f t="shared" si="260"/>
        <v>27</v>
      </c>
      <c r="Q80" s="64">
        <f t="shared" si="261"/>
        <v>118</v>
      </c>
      <c r="R80" s="64">
        <f t="shared" si="262"/>
        <v>35</v>
      </c>
      <c r="S80" s="64" t="str">
        <f>IFERROR(VLOOKUP(MID(N80,Q80,R80-Q80),[5]skilldef!$C:$D,2,FALSE),"-") &amp; " / " &amp; IFERROR(VLOOKUP(MID(N80,O80,P80-O80),[5]skilldef!$A:$B,2,FALSE),"-")</f>
        <v>- / -</v>
      </c>
      <c r="T80" s="48" t="str">
        <f t="shared" si="263"/>
        <v>[effect:fix_speed, target:myself, turn:1]</v>
      </c>
      <c r="U80" s="64">
        <f t="shared" si="264"/>
        <v>9</v>
      </c>
      <c r="V80" s="64">
        <f t="shared" si="265"/>
        <v>18</v>
      </c>
      <c r="W80" s="64">
        <f t="shared" si="266"/>
        <v>27</v>
      </c>
      <c r="X80" s="64">
        <f t="shared" si="267"/>
        <v>33</v>
      </c>
      <c r="Y80" s="64" t="str">
        <f>IFERROR(VLOOKUP(MID(T80,W80,X80-W80),[5]skilldef!$C:$D,2,FALSE),"-") &amp; " / " &amp; IFERROR(VLOOKUP(MID(T80,U80,V80-U80),[5]skilldef!$A:$B,2,FALSE),"-")</f>
        <v>自分自身に / 行動値設定</v>
      </c>
      <c r="Z80" s="50"/>
      <c r="AA80" s="52"/>
      <c r="AB80" s="50"/>
    </row>
    <row r="81" spans="1:28" ht="21" customHeight="1" x14ac:dyDescent="0.15">
      <c r="A81" s="129">
        <v>40025752</v>
      </c>
      <c r="B81" s="47" t="s">
        <v>348</v>
      </c>
      <c r="C81" s="50">
        <v>3</v>
      </c>
      <c r="D81" s="50" t="s">
        <v>128</v>
      </c>
      <c r="E81" s="51" t="s">
        <v>280</v>
      </c>
      <c r="F81" s="51" t="s">
        <v>413</v>
      </c>
      <c r="G81" s="64" t="str">
        <f t="shared" si="253"/>
        <v>[effect:damage_anti_type, target:unit_all, type:attack, val1:0.4, val2:0.2]</v>
      </c>
      <c r="H81" s="64">
        <f t="shared" si="254"/>
        <v>9</v>
      </c>
      <c r="I81" s="64">
        <f t="shared" si="255"/>
        <v>25</v>
      </c>
      <c r="J81" s="64">
        <f t="shared" si="256"/>
        <v>34</v>
      </c>
      <c r="K81" s="64">
        <f t="shared" si="257"/>
        <v>42</v>
      </c>
      <c r="L81" s="64" t="str">
        <f>IFERROR(VLOOKUP(MID(G81,J81,K81-J81),[5]skilldef!$C:$D,2,FALSE),"-") &amp; " / " &amp; IFERROR(VLOOKUP(MID(G81,H81,I81-H81),[5]skilldef!$A:$B,2,FALSE),"-")</f>
        <v>味方全体に / タイプキラー</v>
      </c>
      <c r="M81" s="64" t="str">
        <f t="shared" si="258"/>
        <v>none</v>
      </c>
      <c r="N81" s="48" t="str">
        <f>IFERROR(LEFT(M81,FIND("],",M81)+S94),M81)</f>
        <v>none</v>
      </c>
      <c r="O81" s="64" t="e">
        <f t="shared" si="259"/>
        <v>#VALUE!</v>
      </c>
      <c r="P81" s="64">
        <f t="shared" si="260"/>
        <v>4</v>
      </c>
      <c r="Q81" s="64" t="e">
        <f t="shared" si="261"/>
        <v>#VALUE!</v>
      </c>
      <c r="R81" s="64" t="e">
        <f t="shared" si="262"/>
        <v>#VALUE!</v>
      </c>
      <c r="S81" s="64" t="str">
        <f>IFERROR(VLOOKUP(MID(N81,Q81,R81-Q81),[5]skilldef!$C:$D,2,FALSE),"-") &amp; " / " &amp; IFERROR(VLOOKUP(MID(N81,O81,P81-O81),[5]skilldef!$A:$B,2,FALSE),"-")</f>
        <v>- / -</v>
      </c>
      <c r="T81" s="48" t="str">
        <f t="shared" si="263"/>
        <v>none</v>
      </c>
      <c r="U81" s="64" t="e">
        <f t="shared" si="264"/>
        <v>#VALUE!</v>
      </c>
      <c r="V81" s="64">
        <f t="shared" si="265"/>
        <v>4</v>
      </c>
      <c r="W81" s="64" t="e">
        <f t="shared" si="266"/>
        <v>#VALUE!</v>
      </c>
      <c r="X81" s="64" t="e">
        <f t="shared" si="267"/>
        <v>#VALUE!</v>
      </c>
      <c r="Y81" s="64" t="str">
        <f>IFERROR(VLOOKUP(MID(T81,W81,X81-W81),[5]skilldef!$C:$D,2,FALSE),"-") &amp; " / " &amp; IFERROR(VLOOKUP(MID(T81,U81,V81-U81),[5]skilldef!$A:$B,2,FALSE),"-")</f>
        <v>- / -</v>
      </c>
      <c r="Z81" s="50"/>
      <c r="AA81" s="52"/>
      <c r="AB81" s="50"/>
    </row>
    <row r="82" spans="1:28" ht="42" x14ac:dyDescent="0.15">
      <c r="A82" s="129">
        <v>40025753</v>
      </c>
      <c r="B82" s="47" t="s">
        <v>342</v>
      </c>
      <c r="C82" s="50">
        <v>3</v>
      </c>
      <c r="D82" s="50" t="s">
        <v>128</v>
      </c>
      <c r="E82" s="51" t="s">
        <v>281</v>
      </c>
      <c r="F82" s="51" t="s">
        <v>414</v>
      </c>
      <c r="G82" s="64" t="str">
        <f t="shared" si="253"/>
        <v>[effect:damage_anti_type, target:unit_all, type:hp, val1:0.2, val2:0.1]</v>
      </c>
      <c r="H82" s="64">
        <f t="shared" si="254"/>
        <v>9</v>
      </c>
      <c r="I82" s="64">
        <f t="shared" si="255"/>
        <v>25</v>
      </c>
      <c r="J82" s="64">
        <f t="shared" si="256"/>
        <v>34</v>
      </c>
      <c r="K82" s="64">
        <f t="shared" si="257"/>
        <v>42</v>
      </c>
      <c r="L82" s="64" t="str">
        <f>IFERROR(VLOOKUP(MID(G82,J82,K82-J82),[5]skilldef!$C:$D,2,FALSE),"-") &amp; " / " &amp; IFERROR(VLOOKUP(MID(G82,H82,I82-H82),[5]skilldef!$A:$B,2,FALSE),"-")</f>
        <v>味方全体に / タイプキラー</v>
      </c>
      <c r="M82" s="64" t="str">
        <f t="shared" si="258"/>
        <v>[effect:damage_anti_type, target:unit_all, type:heal, val1:0.2, val2:0.1]</v>
      </c>
      <c r="N82" s="48" t="str">
        <f>IFERROR(LEFT(M82,FIND("],",M82)+S95),M82)</f>
        <v>[effect:damage_anti_type, target:unit_all, type:heal, val1:0.2, val2:0.1]</v>
      </c>
      <c r="O82" s="64">
        <f t="shared" si="259"/>
        <v>9</v>
      </c>
      <c r="P82" s="64">
        <f t="shared" si="260"/>
        <v>25</v>
      </c>
      <c r="Q82" s="64">
        <f t="shared" si="261"/>
        <v>34</v>
      </c>
      <c r="R82" s="64">
        <f t="shared" si="262"/>
        <v>42</v>
      </c>
      <c r="S82" s="64" t="str">
        <f>IFERROR(VLOOKUP(MID(N82,Q82,R82-Q82),[5]skilldef!$C:$D,2,FALSE),"-") &amp; " / " &amp; IFERROR(VLOOKUP(MID(N82,O82,P82-O82),[5]skilldef!$A:$B,2,FALSE),"-")</f>
        <v>味方全体に / タイプキラー</v>
      </c>
      <c r="T82" s="48" t="str">
        <f t="shared" si="263"/>
        <v>none</v>
      </c>
      <c r="U82" s="64" t="e">
        <f t="shared" si="264"/>
        <v>#VALUE!</v>
      </c>
      <c r="V82" s="64">
        <f t="shared" si="265"/>
        <v>4</v>
      </c>
      <c r="W82" s="64" t="e">
        <f t="shared" si="266"/>
        <v>#VALUE!</v>
      </c>
      <c r="X82" s="64" t="e">
        <f t="shared" si="267"/>
        <v>#VALUE!</v>
      </c>
      <c r="Y82" s="64" t="str">
        <f>IFERROR(VLOOKUP(MID(T82,W82,X82-W82),[5]skilldef!$C:$D,2,FALSE),"-") &amp; " / " &amp; IFERROR(VLOOKUP(MID(T82,U82,V82-U82),[5]skilldef!$A:$B,2,FALSE),"-")</f>
        <v>- / -</v>
      </c>
      <c r="Z82" s="50"/>
      <c r="AA82" s="52"/>
      <c r="AB82" s="50"/>
    </row>
    <row r="83" spans="1:28" ht="42" x14ac:dyDescent="0.15">
      <c r="A83" s="129">
        <v>40025754</v>
      </c>
      <c r="B83" s="47" t="s">
        <v>343</v>
      </c>
      <c r="C83" s="50">
        <v>3</v>
      </c>
      <c r="D83" s="50" t="s">
        <v>128</v>
      </c>
      <c r="E83" s="51" t="s">
        <v>282</v>
      </c>
      <c r="F83" s="51" t="s">
        <v>415</v>
      </c>
      <c r="G83" s="64" t="str">
        <f t="shared" si="253"/>
        <v>[effect:damage_anti_type, target:unit_all, type:balance, val1:0.2, val2:0.1]</v>
      </c>
      <c r="H83" s="64">
        <f t="shared" si="254"/>
        <v>9</v>
      </c>
      <c r="I83" s="64">
        <f t="shared" si="255"/>
        <v>25</v>
      </c>
      <c r="J83" s="64">
        <f t="shared" si="256"/>
        <v>34</v>
      </c>
      <c r="K83" s="64">
        <f t="shared" si="257"/>
        <v>42</v>
      </c>
      <c r="L83" s="64" t="str">
        <f>IFERROR(VLOOKUP(MID(G83,J83,K83-J83),[5]skilldef!$C:$D,2,FALSE),"-") &amp; " / " &amp; IFERROR(VLOOKUP(MID(G83,H83,I83-H83),[5]skilldef!$A:$B,2,FALSE),"-")</f>
        <v>味方全体に / タイプキラー</v>
      </c>
      <c r="M83" s="64" t="str">
        <f t="shared" si="258"/>
        <v>[effect:damage_anti_type, target:unit_all, type:technical, val1:0.2, val2:0.1]</v>
      </c>
      <c r="N83" s="48" t="str">
        <f>IFERROR(LEFT(M83,FIND("],",M83)+S96),M83)</f>
        <v>[effect:damage_anti_type, target:unit_all, type:technical, val1:0.2, val2:0.1]</v>
      </c>
      <c r="O83" s="64">
        <f t="shared" si="259"/>
        <v>9</v>
      </c>
      <c r="P83" s="64">
        <f t="shared" si="260"/>
        <v>25</v>
      </c>
      <c r="Q83" s="64">
        <f t="shared" si="261"/>
        <v>34</v>
      </c>
      <c r="R83" s="64">
        <f t="shared" si="262"/>
        <v>42</v>
      </c>
      <c r="S83" s="64" t="str">
        <f>IFERROR(VLOOKUP(MID(N83,Q83,R83-Q83),[5]skilldef!$C:$D,2,FALSE),"-") &amp; " / " &amp; IFERROR(VLOOKUP(MID(N83,O83,P83-O83),[5]skilldef!$A:$B,2,FALSE),"-")</f>
        <v>味方全体に / タイプキラー</v>
      </c>
      <c r="T83" s="48" t="str">
        <f t="shared" si="263"/>
        <v>none</v>
      </c>
      <c r="U83" s="64" t="e">
        <f t="shared" si="264"/>
        <v>#VALUE!</v>
      </c>
      <c r="V83" s="64">
        <f t="shared" si="265"/>
        <v>4</v>
      </c>
      <c r="W83" s="64" t="e">
        <f t="shared" si="266"/>
        <v>#VALUE!</v>
      </c>
      <c r="X83" s="64" t="e">
        <f t="shared" si="267"/>
        <v>#VALUE!</v>
      </c>
      <c r="Y83" s="64" t="str">
        <f>IFERROR(VLOOKUP(MID(T83,W83,X83-W83),[5]skilldef!$C:$D,2,FALSE),"-") &amp; " / " &amp; IFERROR(VLOOKUP(MID(T83,U83,V83-U83),[5]skilldef!$A:$B,2,FALSE),"-")</f>
        <v>- / -</v>
      </c>
      <c r="Z83" s="50"/>
      <c r="AA83" s="52"/>
      <c r="AB83" s="50"/>
    </row>
    <row r="84" spans="1:28" ht="37" customHeight="1" x14ac:dyDescent="0.15">
      <c r="A84" s="130">
        <v>40025811</v>
      </c>
      <c r="B84" s="126" t="s">
        <v>330</v>
      </c>
      <c r="C84" s="50">
        <v>3</v>
      </c>
      <c r="D84" s="127" t="s">
        <v>128</v>
      </c>
      <c r="E84" s="128" t="s">
        <v>326</v>
      </c>
      <c r="F84" s="128" t="s">
        <v>283</v>
      </c>
      <c r="G84" s="64" t="str">
        <f t="shared" si="253"/>
        <v>[effect:enemy_message, val1:1.5, val2:1.8]</v>
      </c>
      <c r="H84" s="64">
        <f t="shared" si="254"/>
        <v>9</v>
      </c>
      <c r="I84" s="64">
        <f t="shared" si="255"/>
        <v>22</v>
      </c>
      <c r="J84" s="64" t="e">
        <f t="shared" si="256"/>
        <v>#VALUE!</v>
      </c>
      <c r="K84" s="64">
        <f t="shared" si="257"/>
        <v>32</v>
      </c>
      <c r="L84" s="64" t="str">
        <f>IFERROR(VLOOKUP(MID(G84,J84,K84-J84),[5]skilldef!$C:$D,2,FALSE),"-") &amp; " / " &amp; IFERROR(VLOOKUP(MID(G84,H84,I84-H84),[5]skilldef!$A:$B,2,FALSE),"-")</f>
        <v>- / -</v>
      </c>
      <c r="M84" s="64" t="str">
        <f t="shared" si="258"/>
        <v>[effect:fix_speed, target:myself, turn:1]</v>
      </c>
      <c r="N84" s="48" t="str">
        <f>IFERROR(LEFT(M84,FIND("],",M84)+S97),M84)</f>
        <v>[effect:fix_speed, target:myself, turn:1]</v>
      </c>
      <c r="O84" s="64">
        <f t="shared" si="259"/>
        <v>9</v>
      </c>
      <c r="P84" s="64">
        <f t="shared" si="260"/>
        <v>18</v>
      </c>
      <c r="Q84" s="64">
        <f t="shared" si="261"/>
        <v>27</v>
      </c>
      <c r="R84" s="64">
        <f t="shared" si="262"/>
        <v>33</v>
      </c>
      <c r="S84" s="64" t="str">
        <f>IFERROR(VLOOKUP(MID(N84,Q84,R84-Q84),[5]skilldef!$C:$D,2,FALSE),"-") &amp; " / " &amp; IFERROR(VLOOKUP(MID(N84,O84,P84-O84),[5]skilldef!$A:$B,2,FALSE),"-")</f>
        <v>自分自身に / 行動値設定</v>
      </c>
      <c r="T84" s="48" t="str">
        <f t="shared" si="263"/>
        <v>none</v>
      </c>
      <c r="U84" s="64" t="e">
        <f t="shared" si="264"/>
        <v>#VALUE!</v>
      </c>
      <c r="V84" s="64">
        <f t="shared" si="265"/>
        <v>4</v>
      </c>
      <c r="W84" s="64" t="e">
        <f t="shared" si="266"/>
        <v>#VALUE!</v>
      </c>
      <c r="X84" s="64" t="e">
        <f t="shared" si="267"/>
        <v>#VALUE!</v>
      </c>
      <c r="Y84" s="64" t="str">
        <f>IFERROR(VLOOKUP(MID(T84,W84,X84-W84),[5]skilldef!$C:$D,2,FALSE),"-") &amp; " / " &amp; IFERROR(VLOOKUP(MID(T84,U84,V84-U84),[5]skilldef!$A:$B,2,FALSE),"-")</f>
        <v>- / -</v>
      </c>
      <c r="Z84" s="50"/>
      <c r="AA84" s="52"/>
      <c r="AB84" s="50"/>
    </row>
    <row r="85" spans="1:28" ht="21" customHeight="1" x14ac:dyDescent="0.15">
      <c r="A85" s="130">
        <v>40025812</v>
      </c>
      <c r="B85" s="126" t="s">
        <v>373</v>
      </c>
      <c r="C85" s="50">
        <v>3</v>
      </c>
      <c r="D85" s="127" t="s">
        <v>128</v>
      </c>
      <c r="E85" s="128" t="s">
        <v>286</v>
      </c>
      <c r="F85" s="128" t="s">
        <v>285</v>
      </c>
      <c r="G85" s="64" t="str">
        <f t="shared" si="253"/>
        <v>[effect:enemy_message, val1:1, val2:1.2]</v>
      </c>
      <c r="H85" s="64">
        <f t="shared" si="254"/>
        <v>9</v>
      </c>
      <c r="I85" s="64">
        <f t="shared" si="255"/>
        <v>22</v>
      </c>
      <c r="J85" s="64" t="e">
        <f t="shared" si="256"/>
        <v>#VALUE!</v>
      </c>
      <c r="K85" s="64">
        <f t="shared" si="257"/>
        <v>30</v>
      </c>
      <c r="L85" s="64" t="str">
        <f>IFERROR(VLOOKUP(MID(G85,J85,K85-J85),[5]skilldef!$C:$D,2,FALSE),"-") &amp; " / " &amp; IFERROR(VLOOKUP(MID(G85,H85,I85-H85),[5]skilldef!$A:$B,2,FALSE),"-")</f>
        <v>- / -</v>
      </c>
      <c r="M85" s="64" t="str">
        <f t="shared" si="258"/>
        <v>none</v>
      </c>
      <c r="N85" s="48" t="str">
        <f>IFERROR(LEFT(M85,FIND("],",M85)+S99),M85)</f>
        <v>none</v>
      </c>
      <c r="O85" s="64" t="e">
        <f t="shared" si="259"/>
        <v>#VALUE!</v>
      </c>
      <c r="P85" s="64">
        <f t="shared" si="260"/>
        <v>4</v>
      </c>
      <c r="Q85" s="64" t="e">
        <f t="shared" si="261"/>
        <v>#VALUE!</v>
      </c>
      <c r="R85" s="64" t="e">
        <f t="shared" si="262"/>
        <v>#VALUE!</v>
      </c>
      <c r="S85" s="64" t="str">
        <f>IFERROR(VLOOKUP(MID(N85,Q85,R85-Q85),[5]skilldef!$C:$D,2,FALSE),"-") &amp; " / " &amp; IFERROR(VLOOKUP(MID(N85,O85,P85-O85),[5]skilldef!$A:$B,2,FALSE),"-")</f>
        <v>- / -</v>
      </c>
      <c r="T85" s="48" t="str">
        <f t="shared" si="263"/>
        <v>none</v>
      </c>
      <c r="U85" s="64" t="e">
        <f t="shared" si="264"/>
        <v>#VALUE!</v>
      </c>
      <c r="V85" s="64">
        <f t="shared" si="265"/>
        <v>4</v>
      </c>
      <c r="W85" s="64" t="e">
        <f t="shared" si="266"/>
        <v>#VALUE!</v>
      </c>
      <c r="X85" s="64" t="e">
        <f t="shared" si="267"/>
        <v>#VALUE!</v>
      </c>
      <c r="Y85" s="64" t="str">
        <f>IFERROR(VLOOKUP(MID(T85,W85,X85-W85),[5]skilldef!$C:$D,2,FALSE),"-") &amp; " / " &amp; IFERROR(VLOOKUP(MID(T85,U85,V85-U85),[5]skilldef!$A:$B,2,FALSE),"-")</f>
        <v>- / -</v>
      </c>
      <c r="Z85" s="50"/>
      <c r="AA85" s="52"/>
      <c r="AB85" s="50"/>
    </row>
    <row r="86" spans="1:28" ht="21" customHeight="1" x14ac:dyDescent="0.15">
      <c r="A86" s="130">
        <v>40025813</v>
      </c>
      <c r="B86" s="126" t="s">
        <v>492</v>
      </c>
      <c r="C86" s="50">
        <v>3</v>
      </c>
      <c r="D86" s="127" t="s">
        <v>128</v>
      </c>
      <c r="E86" s="128" t="s">
        <v>284</v>
      </c>
      <c r="F86" s="128" t="s">
        <v>339</v>
      </c>
      <c r="G86" s="64" t="str">
        <f t="shared" si="253"/>
        <v>[effect:force_change_block, new_block:jammer, target:block_all, ignore01:block_positive, ignore02:block_negative, count:2, val:0]</v>
      </c>
      <c r="H86" s="64">
        <f t="shared" si="254"/>
        <v>9</v>
      </c>
      <c r="I86" s="64">
        <f t="shared" si="255"/>
        <v>27</v>
      </c>
      <c r="J86" s="64">
        <f t="shared" si="256"/>
        <v>54</v>
      </c>
      <c r="K86" s="64">
        <f t="shared" si="257"/>
        <v>45</v>
      </c>
      <c r="L86" s="64" t="str">
        <f>IFERROR(VLOOKUP(MID(G86,J86,K86-J86),[5]skilldef!$C:$D,2,FALSE),"-") &amp; " / " &amp; IFERROR(VLOOKUP(MID(G86,H86,I86-H86),[5]skilldef!$A:$B,2,FALSE),"-")</f>
        <v>- / -</v>
      </c>
      <c r="M86" s="64" t="str">
        <f t="shared" si="258"/>
        <v>none</v>
      </c>
      <c r="N86" s="48" t="str">
        <f>IFERROR(LEFT(M86,FIND("],",M86)+S100),M86)</f>
        <v>none</v>
      </c>
      <c r="O86" s="64" t="e">
        <f t="shared" si="259"/>
        <v>#VALUE!</v>
      </c>
      <c r="P86" s="64">
        <f t="shared" si="260"/>
        <v>4</v>
      </c>
      <c r="Q86" s="64" t="e">
        <f t="shared" si="261"/>
        <v>#VALUE!</v>
      </c>
      <c r="R86" s="64" t="e">
        <f t="shared" si="262"/>
        <v>#VALUE!</v>
      </c>
      <c r="S86" s="64" t="str">
        <f>IFERROR(VLOOKUP(MID(N86,Q86,R86-Q86),[5]skilldef!$C:$D,2,FALSE),"-") &amp; " / " &amp; IFERROR(VLOOKUP(MID(N86,O86,P86-O86),[5]skilldef!$A:$B,2,FALSE),"-")</f>
        <v>- / -</v>
      </c>
      <c r="T86" s="48" t="str">
        <f t="shared" si="263"/>
        <v>none</v>
      </c>
      <c r="U86" s="64" t="e">
        <f t="shared" si="264"/>
        <v>#VALUE!</v>
      </c>
      <c r="V86" s="64">
        <f t="shared" si="265"/>
        <v>4</v>
      </c>
      <c r="W86" s="64" t="e">
        <f t="shared" si="266"/>
        <v>#VALUE!</v>
      </c>
      <c r="X86" s="64" t="e">
        <f t="shared" si="267"/>
        <v>#VALUE!</v>
      </c>
      <c r="Y86" s="64" t="str">
        <f>IFERROR(VLOOKUP(MID(T86,W86,X86-W86),[5]skilldef!$C:$D,2,FALSE),"-") &amp; " / " &amp; IFERROR(VLOOKUP(MID(T86,U86,V86-U86),[5]skilldef!$A:$B,2,FALSE),"-")</f>
        <v>- / -</v>
      </c>
      <c r="Z86" s="50"/>
      <c r="AA86" s="52"/>
      <c r="AB86" s="50"/>
    </row>
    <row r="87" spans="1:28" ht="34" customHeight="1" x14ac:dyDescent="0.15">
      <c r="A87" s="130">
        <v>40025814</v>
      </c>
      <c r="B87" s="126" t="s">
        <v>377</v>
      </c>
      <c r="C87" s="50">
        <v>3</v>
      </c>
      <c r="D87" s="127" t="s">
        <v>128</v>
      </c>
      <c r="E87" s="128" t="s">
        <v>360</v>
      </c>
      <c r="F87" s="128" t="s">
        <v>378</v>
      </c>
      <c r="G87" s="64" t="str">
        <f t="shared" si="253"/>
        <v>[effect:enemy_message, val1:1.5, val2:1.2]</v>
      </c>
      <c r="H87" s="64">
        <f t="shared" si="254"/>
        <v>9</v>
      </c>
      <c r="I87" s="64">
        <f t="shared" si="255"/>
        <v>22</v>
      </c>
      <c r="J87" s="64" t="e">
        <f t="shared" si="256"/>
        <v>#VALUE!</v>
      </c>
      <c r="K87" s="64">
        <f t="shared" si="257"/>
        <v>32</v>
      </c>
      <c r="L87" s="64" t="str">
        <f>IFERROR(VLOOKUP(MID(G87,J87,K87-J87),[5]skilldef!$C:$D,2,FALSE),"-") &amp; " / " &amp; IFERROR(VLOOKUP(MID(G87,H87,I87-H87),[5]skilldef!$A:$B,2,FALSE),"-")</f>
        <v>- / -</v>
      </c>
      <c r="M87" s="64" t="str">
        <f t="shared" si="258"/>
        <v>none</v>
      </c>
      <c r="N87" s="48" t="str">
        <f>IFERROR(LEFT(M87,FIND("],",M87)+S101),M87)</f>
        <v>none</v>
      </c>
      <c r="O87" s="64" t="e">
        <f t="shared" si="259"/>
        <v>#VALUE!</v>
      </c>
      <c r="P87" s="64">
        <f t="shared" si="260"/>
        <v>4</v>
      </c>
      <c r="Q87" s="64" t="e">
        <f t="shared" si="261"/>
        <v>#VALUE!</v>
      </c>
      <c r="R87" s="64" t="e">
        <f t="shared" si="262"/>
        <v>#VALUE!</v>
      </c>
      <c r="S87" s="64" t="str">
        <f>IFERROR(VLOOKUP(MID(N87,Q87,R87-Q87),[5]skilldef!$C:$D,2,FALSE),"-") &amp; " / " &amp; IFERROR(VLOOKUP(MID(N87,O87,P87-O87),[5]skilldef!$A:$B,2,FALSE),"-")</f>
        <v>- / -</v>
      </c>
      <c r="T87" s="48" t="str">
        <f t="shared" si="263"/>
        <v>none</v>
      </c>
      <c r="U87" s="64" t="e">
        <f t="shared" si="264"/>
        <v>#VALUE!</v>
      </c>
      <c r="V87" s="64">
        <f t="shared" si="265"/>
        <v>4</v>
      </c>
      <c r="W87" s="64" t="e">
        <f t="shared" si="266"/>
        <v>#VALUE!</v>
      </c>
      <c r="X87" s="64" t="e">
        <f t="shared" si="267"/>
        <v>#VALUE!</v>
      </c>
      <c r="Y87" s="64" t="str">
        <f>IFERROR(VLOOKUP(MID(T87,W87,X87-W87),[5]skilldef!$C:$D,2,FALSE),"-") &amp; " / " &amp; IFERROR(VLOOKUP(MID(T87,U87,V87-U87),[5]skilldef!$A:$B,2,FALSE),"-")</f>
        <v>- / -</v>
      </c>
      <c r="Z87" s="50"/>
      <c r="AA87" s="52"/>
      <c r="AB87" s="50"/>
    </row>
    <row r="88" spans="1:28" ht="21" customHeight="1" x14ac:dyDescent="0.15">
      <c r="A88" s="130">
        <v>40025815</v>
      </c>
      <c r="B88" s="126" t="s">
        <v>474</v>
      </c>
      <c r="C88" s="50">
        <v>3</v>
      </c>
      <c r="D88" s="127" t="s">
        <v>128</v>
      </c>
      <c r="E88" s="128" t="s">
        <v>344</v>
      </c>
      <c r="F88" s="128" t="s">
        <v>339</v>
      </c>
      <c r="G88" s="64" t="str">
        <f t="shared" si="253"/>
        <v>[effect:force_change_block, new_block:jammer, target:block_all, ignore01:block_positive, ignore02:block_negative, count:2, val:0]</v>
      </c>
      <c r="H88" s="64">
        <f t="shared" si="254"/>
        <v>9</v>
      </c>
      <c r="I88" s="64">
        <f t="shared" si="255"/>
        <v>27</v>
      </c>
      <c r="J88" s="64">
        <f t="shared" si="256"/>
        <v>54</v>
      </c>
      <c r="K88" s="64">
        <f t="shared" si="257"/>
        <v>45</v>
      </c>
      <c r="L88" s="64" t="str">
        <f>IFERROR(VLOOKUP(MID(G88,J88,K88-J88),[5]skilldef!$C:$D,2,FALSE),"-") &amp; " / " &amp; IFERROR(VLOOKUP(MID(G88,H88,I88-H88),[5]skilldef!$A:$B,2,FALSE),"-")</f>
        <v>- / -</v>
      </c>
      <c r="M88" s="64" t="str">
        <f t="shared" si="258"/>
        <v>none</v>
      </c>
      <c r="N88" s="48" t="str">
        <f>IFERROR(LEFT(M88,FIND("],",M88)+S102),M88)</f>
        <v>none</v>
      </c>
      <c r="O88" s="64" t="e">
        <f t="shared" si="259"/>
        <v>#VALUE!</v>
      </c>
      <c r="P88" s="64">
        <f t="shared" si="260"/>
        <v>4</v>
      </c>
      <c r="Q88" s="64" t="e">
        <f t="shared" si="261"/>
        <v>#VALUE!</v>
      </c>
      <c r="R88" s="64" t="e">
        <f t="shared" si="262"/>
        <v>#VALUE!</v>
      </c>
      <c r="S88" s="64" t="str">
        <f>IFERROR(VLOOKUP(MID(N88,Q88,R88-Q88),[5]skilldef!$C:$D,2,FALSE),"-") &amp; " / " &amp; IFERROR(VLOOKUP(MID(N88,O88,P88-O88),[5]skilldef!$A:$B,2,FALSE),"-")</f>
        <v>- / -</v>
      </c>
      <c r="T88" s="48" t="str">
        <f t="shared" si="263"/>
        <v>none</v>
      </c>
      <c r="U88" s="64" t="e">
        <f t="shared" si="264"/>
        <v>#VALUE!</v>
      </c>
      <c r="V88" s="64">
        <f t="shared" si="265"/>
        <v>4</v>
      </c>
      <c r="W88" s="64" t="e">
        <f t="shared" si="266"/>
        <v>#VALUE!</v>
      </c>
      <c r="X88" s="64" t="e">
        <f t="shared" si="267"/>
        <v>#VALUE!</v>
      </c>
      <c r="Y88" s="64" t="str">
        <f>IFERROR(VLOOKUP(MID(T88,W88,X88-W88),[5]skilldef!$C:$D,2,FALSE),"-") &amp; " / " &amp; IFERROR(VLOOKUP(MID(T88,U88,V88-U88),[5]skilldef!$A:$B,2,FALSE),"-")</f>
        <v>- / -</v>
      </c>
      <c r="Z88" s="50"/>
      <c r="AA88" s="52"/>
      <c r="AB88" s="50"/>
    </row>
    <row r="89" spans="1:28" ht="29" customHeight="1" x14ac:dyDescent="0.15">
      <c r="A89" s="130">
        <v>40025816</v>
      </c>
      <c r="B89" s="126" t="s">
        <v>475</v>
      </c>
      <c r="C89" s="50">
        <v>3</v>
      </c>
      <c r="D89" s="127" t="s">
        <v>128</v>
      </c>
      <c r="E89" s="128" t="s">
        <v>364</v>
      </c>
      <c r="F89" s="128" t="s">
        <v>359</v>
      </c>
      <c r="G89" s="64" t="str">
        <f t="shared" si="253"/>
        <v>[effect:force_change_block, new_block:block_heart, target:block_all, ignore01:block_positive, ignore02:block_negative, count:5, val:0]</v>
      </c>
      <c r="H89" s="64">
        <f t="shared" si="254"/>
        <v>9</v>
      </c>
      <c r="I89" s="64">
        <f t="shared" si="255"/>
        <v>27</v>
      </c>
      <c r="J89" s="64">
        <f t="shared" si="256"/>
        <v>59</v>
      </c>
      <c r="K89" s="64">
        <f t="shared" si="257"/>
        <v>50</v>
      </c>
      <c r="L89" s="64" t="str">
        <f>IFERROR(VLOOKUP(MID(G89,J89,K89-J89),[5]skilldef!$C:$D,2,FALSE),"-") &amp; " / " &amp; IFERROR(VLOOKUP(MID(G89,H89,I89-H89),[5]skilldef!$A:$B,2,FALSE),"-")</f>
        <v>- / -</v>
      </c>
      <c r="M89" s="64" t="str">
        <f t="shared" si="258"/>
        <v>[effect:force_change_block, new_block:jammer, target:block_all, ignore01:block_positive, ignore02:block_negative, count:5, val:0],[effect:spread, val:0.3],[effect:suicide, val:1, dead_type:escape, target:myself]</v>
      </c>
      <c r="N89" s="48" t="str">
        <f>IFERROR(LEFT(M89,FIND("],",M89)+S102),M89)</f>
        <v>[effect:force_change_block, new_block:jammer, target:block_all, ignore01:block_positive, ignore02:block_negative, count:5, val:0],[effect:spread, val:0.3],[effect:suicide, val:1, dead_type:escape, target:myself]</v>
      </c>
      <c r="O89" s="64">
        <f t="shared" si="259"/>
        <v>9</v>
      </c>
      <c r="P89" s="64">
        <f t="shared" si="260"/>
        <v>27</v>
      </c>
      <c r="Q89" s="64">
        <f t="shared" si="261"/>
        <v>54</v>
      </c>
      <c r="R89" s="64">
        <f t="shared" si="262"/>
        <v>45</v>
      </c>
      <c r="S89" s="64" t="str">
        <f>IFERROR(VLOOKUP(MID(N89,Q89,R89-Q89),[5]skilldef!$C:$D,2,FALSE),"-") &amp; " / " &amp; IFERROR(VLOOKUP(MID(N89,O89,P89-O89),[5]skilldef!$A:$B,2,FALSE),"-")</f>
        <v>- / -</v>
      </c>
      <c r="T89" s="48" t="str">
        <f t="shared" si="263"/>
        <v>[effect:spread, val:0.3],[effect:suicide, val:1, dead_type:escape, target:myself]</v>
      </c>
      <c r="U89" s="64">
        <f t="shared" si="264"/>
        <v>9</v>
      </c>
      <c r="V89" s="64">
        <f t="shared" si="265"/>
        <v>15</v>
      </c>
      <c r="W89" s="64">
        <f t="shared" si="266"/>
        <v>75</v>
      </c>
      <c r="X89" s="64">
        <f t="shared" si="267"/>
        <v>25</v>
      </c>
      <c r="Y89" s="64" t="str">
        <f>IFERROR(VLOOKUP(MID(T89,W89,X89-W89),[5]skilldef!$C:$D,2,FALSE),"-") &amp; " / " &amp; IFERROR(VLOOKUP(MID(T89,U89,V89-U89),[5]skilldef!$A:$B,2,FALSE),"-")</f>
        <v>- / 全体攻撃</v>
      </c>
      <c r="Z89" s="50"/>
      <c r="AA89" s="52"/>
      <c r="AB89" s="50"/>
    </row>
    <row r="90" spans="1:28" ht="21" customHeight="1" x14ac:dyDescent="0.15">
      <c r="A90" s="130">
        <v>40025817</v>
      </c>
      <c r="B90" s="126" t="s">
        <v>476</v>
      </c>
      <c r="C90" s="50">
        <v>3</v>
      </c>
      <c r="D90" s="127" t="s">
        <v>128</v>
      </c>
      <c r="E90" s="128" t="s">
        <v>365</v>
      </c>
      <c r="F90" s="128" t="s">
        <v>287</v>
      </c>
      <c r="G90" s="64" t="str">
        <f t="shared" si="253"/>
        <v>[effect:force_change_block, new_block:jammer, target:block_all, ignore01:block_positive, ignore02:block_negative, count:10, val:0]</v>
      </c>
      <c r="H90" s="64">
        <f t="shared" si="254"/>
        <v>9</v>
      </c>
      <c r="I90" s="64">
        <f t="shared" si="255"/>
        <v>27</v>
      </c>
      <c r="J90" s="64">
        <f t="shared" si="256"/>
        <v>54</v>
      </c>
      <c r="K90" s="64">
        <f t="shared" si="257"/>
        <v>45</v>
      </c>
      <c r="L90" s="64" t="str">
        <f>IFERROR(VLOOKUP(MID(G90,J90,K90-J90),[5]skilldef!$C:$D,2,FALSE),"-") &amp; " / " &amp; IFERROR(VLOOKUP(MID(G90,H90,I90-H90),[5]skilldef!$A:$B,2,FALSE),"-")</f>
        <v>- / -</v>
      </c>
      <c r="M90" s="64" t="str">
        <f t="shared" si="258"/>
        <v>[effect:spread, val:0.35],[effect:suicide, val:1, dead_type:escape, target:myself]</v>
      </c>
      <c r="N90" s="48" t="str">
        <f>IFERROR(LEFT(M90,FIND("],",M90)+S103),M90)</f>
        <v>[effect:spread, val:0.35],[effect:suicide, val:1, dead_type:escape, target:myself]</v>
      </c>
      <c r="O90" s="64">
        <f t="shared" si="259"/>
        <v>9</v>
      </c>
      <c r="P90" s="64">
        <f t="shared" si="260"/>
        <v>15</v>
      </c>
      <c r="Q90" s="64">
        <f t="shared" si="261"/>
        <v>76</v>
      </c>
      <c r="R90" s="64">
        <f t="shared" si="262"/>
        <v>26</v>
      </c>
      <c r="S90" s="64" t="str">
        <f>IFERROR(VLOOKUP(MID(N90,Q90,R90-Q90),[5]skilldef!$C:$D,2,FALSE),"-") &amp; " / " &amp; IFERROR(VLOOKUP(MID(N90,O90,P90-O90),[5]skilldef!$A:$B,2,FALSE),"-")</f>
        <v>- / 全体攻撃</v>
      </c>
      <c r="T90" s="48" t="str">
        <f t="shared" si="263"/>
        <v>[effect:suicide, val:1, dead_type:escape, target:myself]</v>
      </c>
      <c r="U90" s="64">
        <f t="shared" si="264"/>
        <v>9</v>
      </c>
      <c r="V90" s="64">
        <f t="shared" si="265"/>
        <v>16</v>
      </c>
      <c r="W90" s="64">
        <f t="shared" si="266"/>
        <v>50</v>
      </c>
      <c r="X90" s="64">
        <f t="shared" si="267"/>
        <v>23</v>
      </c>
      <c r="Y90" s="64" t="str">
        <f>IFERROR(VLOOKUP(MID(T90,W90,X90-W90),[5]skilldef!$C:$D,2,FALSE),"-") &amp; " / " &amp; IFERROR(VLOOKUP(MID(T90,U90,V90-U90),[5]skilldef!$A:$B,2,FALSE),"-")</f>
        <v>- / -</v>
      </c>
      <c r="Z90" s="50"/>
      <c r="AA90" s="52"/>
      <c r="AB90" s="50"/>
    </row>
    <row r="91" spans="1:28" ht="21" customHeight="1" x14ac:dyDescent="0.15">
      <c r="A91" s="130">
        <v>40025831</v>
      </c>
      <c r="B91" s="47" t="s">
        <v>376</v>
      </c>
      <c r="C91" s="50">
        <v>3</v>
      </c>
      <c r="D91" s="50" t="s">
        <v>128</v>
      </c>
      <c r="E91" s="51" t="s">
        <v>327</v>
      </c>
      <c r="F91" s="51" t="s">
        <v>331</v>
      </c>
      <c r="G91" s="64" t="str">
        <f t="shared" si="253"/>
        <v>[effect:enemy_message, val1:1.5, val2:1.8]</v>
      </c>
      <c r="H91" s="64">
        <f t="shared" si="254"/>
        <v>9</v>
      </c>
      <c r="I91" s="64">
        <f t="shared" si="255"/>
        <v>22</v>
      </c>
      <c r="J91" s="64" t="e">
        <f t="shared" si="256"/>
        <v>#VALUE!</v>
      </c>
      <c r="K91" s="64">
        <f t="shared" si="257"/>
        <v>32</v>
      </c>
      <c r="L91" s="64" t="str">
        <f>IFERROR(VLOOKUP(MID(G91,J91,K91-J91),[5]skilldef!$C:$D,2,FALSE),"-") &amp; " / " &amp; IFERROR(VLOOKUP(MID(G91,H91,I91-H91),[5]skilldef!$A:$B,2,FALSE),"-")</f>
        <v>- / -</v>
      </c>
      <c r="M91" s="64" t="str">
        <f t="shared" si="258"/>
        <v>[effect:fix_speed, target:myself, turn:2]</v>
      </c>
      <c r="N91" s="48" t="str">
        <f>IFERROR(LEFT(M91,FIND("],",M91)+S103),M91)</f>
        <v>[effect:fix_speed, target:myself, turn:2]</v>
      </c>
      <c r="O91" s="64">
        <f t="shared" si="259"/>
        <v>9</v>
      </c>
      <c r="P91" s="64">
        <f t="shared" si="260"/>
        <v>18</v>
      </c>
      <c r="Q91" s="64">
        <f t="shared" si="261"/>
        <v>27</v>
      </c>
      <c r="R91" s="64">
        <f t="shared" si="262"/>
        <v>33</v>
      </c>
      <c r="S91" s="64" t="str">
        <f>IFERROR(VLOOKUP(MID(N91,Q91,R91-Q91),[5]skilldef!$C:$D,2,FALSE),"-") &amp; " / " &amp; IFERROR(VLOOKUP(MID(N91,O91,P91-O91),[5]skilldef!$A:$B,2,FALSE),"-")</f>
        <v>自分自身に / 行動値設定</v>
      </c>
      <c r="T91" s="48" t="str">
        <f t="shared" si="263"/>
        <v>none</v>
      </c>
      <c r="U91" s="64" t="e">
        <f t="shared" si="264"/>
        <v>#VALUE!</v>
      </c>
      <c r="V91" s="64">
        <f t="shared" si="265"/>
        <v>4</v>
      </c>
      <c r="W91" s="64" t="e">
        <f t="shared" si="266"/>
        <v>#VALUE!</v>
      </c>
      <c r="X91" s="64" t="e">
        <f t="shared" si="267"/>
        <v>#VALUE!</v>
      </c>
      <c r="Y91" s="64" t="str">
        <f>IFERROR(VLOOKUP(MID(T91,W91,X91-W91),[5]skilldef!$C:$D,2,FALSE),"-") &amp; " / " &amp; IFERROR(VLOOKUP(MID(T91,U91,V91-U91),[5]skilldef!$A:$B,2,FALSE),"-")</f>
        <v>- / -</v>
      </c>
      <c r="Z91" s="50"/>
      <c r="AA91" s="52"/>
      <c r="AB91" s="50"/>
    </row>
    <row r="92" spans="1:28" ht="37" customHeight="1" x14ac:dyDescent="0.15">
      <c r="A92" s="130">
        <v>40025832</v>
      </c>
      <c r="B92" s="47" t="s">
        <v>268</v>
      </c>
      <c r="C92" s="50">
        <v>3</v>
      </c>
      <c r="D92" s="50" t="s">
        <v>128</v>
      </c>
      <c r="E92" s="51" t="s">
        <v>314</v>
      </c>
      <c r="F92" s="51" t="s">
        <v>313</v>
      </c>
      <c r="G92" s="64" t="str">
        <f t="shared" si="253"/>
        <v>[effect:damage_anti_cost, target:unit_all, lower:50, val1:0.5, val2:0.2, cost_type:unit]</v>
      </c>
      <c r="H92" s="64">
        <f t="shared" si="254"/>
        <v>9</v>
      </c>
      <c r="I92" s="64">
        <f t="shared" si="255"/>
        <v>25</v>
      </c>
      <c r="J92" s="64">
        <f t="shared" si="256"/>
        <v>34</v>
      </c>
      <c r="K92" s="64">
        <f t="shared" si="257"/>
        <v>42</v>
      </c>
      <c r="L92" s="64" t="str">
        <f>IFERROR(VLOOKUP(MID(G92,J92,K92-J92),[5]skilldef!$C:$D,2,FALSE),"-") &amp; " / " &amp; IFERROR(VLOOKUP(MID(G92,H92,I92-H92),[5]skilldef!$A:$B,2,FALSE),"-")</f>
        <v>味方全体に / -</v>
      </c>
      <c r="M92" s="64" t="str">
        <f t="shared" si="258"/>
        <v>none</v>
      </c>
      <c r="N92" s="48" t="str">
        <f>IFERROR(LEFT(M92,FIND("],",M92)+S107),M92)</f>
        <v>none</v>
      </c>
      <c r="O92" s="64" t="e">
        <f t="shared" si="259"/>
        <v>#VALUE!</v>
      </c>
      <c r="P92" s="64">
        <f t="shared" si="260"/>
        <v>4</v>
      </c>
      <c r="Q92" s="64" t="e">
        <f t="shared" si="261"/>
        <v>#VALUE!</v>
      </c>
      <c r="R92" s="64" t="e">
        <f t="shared" si="262"/>
        <v>#VALUE!</v>
      </c>
      <c r="S92" s="64" t="str">
        <f>IFERROR(VLOOKUP(MID(N92,Q92,R92-Q92),[5]skilldef!$C:$D,2,FALSE),"-") &amp; " / " &amp; IFERROR(VLOOKUP(MID(N92,O92,P92-O92),[5]skilldef!$A:$B,2,FALSE),"-")</f>
        <v>- / -</v>
      </c>
      <c r="T92" s="48" t="str">
        <f t="shared" si="263"/>
        <v>none</v>
      </c>
      <c r="U92" s="64" t="e">
        <f t="shared" si="264"/>
        <v>#VALUE!</v>
      </c>
      <c r="V92" s="64">
        <f t="shared" si="265"/>
        <v>4</v>
      </c>
      <c r="W92" s="64" t="e">
        <f t="shared" si="266"/>
        <v>#VALUE!</v>
      </c>
      <c r="X92" s="64" t="e">
        <f t="shared" si="267"/>
        <v>#VALUE!</v>
      </c>
      <c r="Y92" s="64" t="str">
        <f>IFERROR(VLOOKUP(MID(T92,W92,X92-W92),[5]skilldef!$C:$D,2,FALSE),"-") &amp; " / " &amp; IFERROR(VLOOKUP(MID(T92,U92,V92-U92),[5]skilldef!$A:$B,2,FALSE),"-")</f>
        <v>- / -</v>
      </c>
      <c r="Z92" s="50"/>
      <c r="AA92" s="52"/>
      <c r="AB92" s="50"/>
    </row>
    <row r="93" spans="1:28" ht="21" customHeight="1" x14ac:dyDescent="0.15">
      <c r="A93" s="130">
        <v>40025833</v>
      </c>
      <c r="B93" s="47" t="s">
        <v>379</v>
      </c>
      <c r="C93" s="50">
        <v>3</v>
      </c>
      <c r="D93" s="50" t="s">
        <v>128</v>
      </c>
      <c r="E93" s="51" t="s">
        <v>366</v>
      </c>
      <c r="F93" s="51" t="s">
        <v>361</v>
      </c>
      <c r="G93" s="64" t="str">
        <f t="shared" si="253"/>
        <v>[effect:enemy_message, val1:1.5, val:2.5]</v>
      </c>
      <c r="H93" s="64">
        <f t="shared" si="254"/>
        <v>9</v>
      </c>
      <c r="I93" s="64">
        <f t="shared" si="255"/>
        <v>22</v>
      </c>
      <c r="J93" s="64" t="e">
        <f t="shared" si="256"/>
        <v>#VALUE!</v>
      </c>
      <c r="K93" s="64">
        <f t="shared" si="257"/>
        <v>32</v>
      </c>
      <c r="L93" s="64" t="str">
        <f>IFERROR(VLOOKUP(MID(G93,J93,K93-J93),[5]skilldef!$C:$D,2,FALSE),"-") &amp; " / " &amp; IFERROR(VLOOKUP(MID(G93,H93,I93-H93),[5]skilldef!$A:$B,2,FALSE),"-")</f>
        <v>- / -</v>
      </c>
      <c r="M93" s="64" t="str">
        <f t="shared" si="258"/>
        <v>[effect:suicide, val:0.95, dead_type:escape, target:myself]</v>
      </c>
      <c r="N93" s="48" t="str">
        <f>IFERROR(LEFT(M93,FIND("],",M93)+S108),M93)</f>
        <v>[effect:suicide, val:0.95, dead_type:escape, target:myself]</v>
      </c>
      <c r="O93" s="64">
        <f t="shared" si="259"/>
        <v>9</v>
      </c>
      <c r="P93" s="64">
        <f t="shared" si="260"/>
        <v>16</v>
      </c>
      <c r="Q93" s="64">
        <f t="shared" si="261"/>
        <v>53</v>
      </c>
      <c r="R93" s="64">
        <f t="shared" si="262"/>
        <v>26</v>
      </c>
      <c r="S93" s="64" t="str">
        <f>IFERROR(VLOOKUP(MID(N93,Q93,R93-Q93),[5]skilldef!$C:$D,2,FALSE),"-") &amp; " / " &amp; IFERROR(VLOOKUP(MID(N93,O93,P93-O93),[5]skilldef!$A:$B,2,FALSE),"-")</f>
        <v>- / -</v>
      </c>
      <c r="T93" s="48" t="str">
        <f t="shared" si="263"/>
        <v>none</v>
      </c>
      <c r="U93" s="64" t="e">
        <f t="shared" si="264"/>
        <v>#VALUE!</v>
      </c>
      <c r="V93" s="64">
        <f t="shared" si="265"/>
        <v>4</v>
      </c>
      <c r="W93" s="64" t="e">
        <f t="shared" si="266"/>
        <v>#VALUE!</v>
      </c>
      <c r="X93" s="64" t="e">
        <f t="shared" si="267"/>
        <v>#VALUE!</v>
      </c>
      <c r="Y93" s="64" t="str">
        <f>IFERROR(VLOOKUP(MID(T93,W93,X93-W93),[5]skilldef!$C:$D,2,FALSE),"-") &amp; " / " &amp; IFERROR(VLOOKUP(MID(T93,U93,V93-U93),[5]skilldef!$A:$B,2,FALSE),"-")</f>
        <v>- / -</v>
      </c>
      <c r="Z93" s="50"/>
      <c r="AA93" s="52"/>
      <c r="AB93" s="50"/>
    </row>
    <row r="94" spans="1:28" ht="33" customHeight="1" x14ac:dyDescent="0.15">
      <c r="A94" s="130">
        <v>40025851</v>
      </c>
      <c r="B94" s="126" t="s">
        <v>394</v>
      </c>
      <c r="C94" s="50">
        <v>3</v>
      </c>
      <c r="D94" s="127" t="s">
        <v>128</v>
      </c>
      <c r="E94" s="128" t="s">
        <v>382</v>
      </c>
      <c r="F94" s="128" t="s">
        <v>345</v>
      </c>
      <c r="G94" s="64" t="str">
        <f t="shared" si="253"/>
        <v>[effect:enemy_message, val1:2.5, val:1.8]</v>
      </c>
      <c r="H94" s="64">
        <f t="shared" si="254"/>
        <v>9</v>
      </c>
      <c r="I94" s="64">
        <f t="shared" si="255"/>
        <v>22</v>
      </c>
      <c r="J94" s="64" t="e">
        <f t="shared" si="256"/>
        <v>#VALUE!</v>
      </c>
      <c r="K94" s="64">
        <f t="shared" si="257"/>
        <v>32</v>
      </c>
      <c r="L94" s="64" t="str">
        <f>IFERROR(VLOOKUP(MID(G94,J94,K94-J94),[5]skilldef!$C:$D,2,FALSE),"-") &amp; " / " &amp; IFERROR(VLOOKUP(MID(G94,H94,I94-H94),[5]skilldef!$A:$B,2,FALSE),"-")</f>
        <v>- / -</v>
      </c>
      <c r="M94" s="64" t="str">
        <f t="shared" si="258"/>
        <v>[effect:fix_speed, target:myself, turn:1]</v>
      </c>
      <c r="N94" s="48" t="str">
        <f>IFERROR(LEFT(M94,FIND("],",M94)+S109),M94)</f>
        <v>[effect:fix_speed, target:myself, turn:1]</v>
      </c>
      <c r="O94" s="64">
        <f t="shared" si="259"/>
        <v>9</v>
      </c>
      <c r="P94" s="64">
        <f t="shared" si="260"/>
        <v>18</v>
      </c>
      <c r="Q94" s="64">
        <f t="shared" si="261"/>
        <v>27</v>
      </c>
      <c r="R94" s="64">
        <f t="shared" si="262"/>
        <v>33</v>
      </c>
      <c r="S94" s="64" t="str">
        <f>IFERROR(VLOOKUP(MID(N94,Q94,R94-Q94),[5]skilldef!$C:$D,2,FALSE),"-") &amp; " / " &amp; IFERROR(VLOOKUP(MID(N94,O94,P94-O94),[5]skilldef!$A:$B,2,FALSE),"-")</f>
        <v>自分自身に / 行動値設定</v>
      </c>
      <c r="T94" s="48" t="str">
        <f t="shared" si="263"/>
        <v>none</v>
      </c>
      <c r="U94" s="64" t="e">
        <f t="shared" si="264"/>
        <v>#VALUE!</v>
      </c>
      <c r="V94" s="64">
        <f t="shared" si="265"/>
        <v>4</v>
      </c>
      <c r="W94" s="64" t="e">
        <f t="shared" si="266"/>
        <v>#VALUE!</v>
      </c>
      <c r="X94" s="64" t="e">
        <f t="shared" si="267"/>
        <v>#VALUE!</v>
      </c>
      <c r="Y94" s="64" t="str">
        <f>IFERROR(VLOOKUP(MID(T94,W94,X94-W94),[5]skilldef!$C:$D,2,FALSE),"-") &amp; " / " &amp; IFERROR(VLOOKUP(MID(T94,U94,V94-U94),[5]skilldef!$A:$B,2,FALSE),"-")</f>
        <v>- / -</v>
      </c>
      <c r="Z94" s="50"/>
      <c r="AA94" s="52"/>
      <c r="AB94" s="50"/>
    </row>
    <row r="95" spans="1:28" ht="60" customHeight="1" x14ac:dyDescent="0.15">
      <c r="A95" s="130">
        <v>40025852</v>
      </c>
      <c r="B95" s="126" t="s">
        <v>349</v>
      </c>
      <c r="C95" s="50">
        <v>3</v>
      </c>
      <c r="D95" s="127" t="s">
        <v>128</v>
      </c>
      <c r="E95" s="128" t="s">
        <v>289</v>
      </c>
      <c r="F95" s="128" t="s">
        <v>313</v>
      </c>
      <c r="G95" s="64" t="str">
        <f t="shared" si="253"/>
        <v>[effect:damage_anti_cost, target:unit_all, lower:50, val1:0.35, val2:0.15, cost_type:unit]</v>
      </c>
      <c r="H95" s="64">
        <f t="shared" si="254"/>
        <v>9</v>
      </c>
      <c r="I95" s="64">
        <f t="shared" si="255"/>
        <v>25</v>
      </c>
      <c r="J95" s="64">
        <f t="shared" si="256"/>
        <v>34</v>
      </c>
      <c r="K95" s="64">
        <f t="shared" si="257"/>
        <v>42</v>
      </c>
      <c r="L95" s="64" t="str">
        <f>IFERROR(VLOOKUP(MID(G95,J95,K95-J95),[5]skilldef!$C:$D,2,FALSE),"-") &amp; " / " &amp; IFERROR(VLOOKUP(MID(G95,H95,I95-H95),[5]skilldef!$A:$B,2,FALSE),"-")</f>
        <v>味方全体に / -</v>
      </c>
      <c r="M95" s="64" t="str">
        <f t="shared" si="258"/>
        <v>none</v>
      </c>
      <c r="N95" s="48" t="str">
        <f>IFERROR(LEFT(M95,FIND("],",M95)+S110),M95)</f>
        <v>none</v>
      </c>
      <c r="O95" s="64" t="e">
        <f t="shared" si="259"/>
        <v>#VALUE!</v>
      </c>
      <c r="P95" s="64">
        <f t="shared" si="260"/>
        <v>4</v>
      </c>
      <c r="Q95" s="64" t="e">
        <f t="shared" si="261"/>
        <v>#VALUE!</v>
      </c>
      <c r="R95" s="64" t="e">
        <f t="shared" si="262"/>
        <v>#VALUE!</v>
      </c>
      <c r="S95" s="64" t="str">
        <f>IFERROR(VLOOKUP(MID(N95,Q95,R95-Q95),[5]skilldef!$C:$D,2,FALSE),"-") &amp; " / " &amp; IFERROR(VLOOKUP(MID(N95,O95,P95-O95),[5]skilldef!$A:$B,2,FALSE),"-")</f>
        <v>- / -</v>
      </c>
      <c r="T95" s="48" t="str">
        <f t="shared" si="263"/>
        <v>none</v>
      </c>
      <c r="U95" s="64" t="e">
        <f t="shared" si="264"/>
        <v>#VALUE!</v>
      </c>
      <c r="V95" s="64">
        <f t="shared" si="265"/>
        <v>4</v>
      </c>
      <c r="W95" s="64" t="e">
        <f t="shared" si="266"/>
        <v>#VALUE!</v>
      </c>
      <c r="X95" s="64" t="e">
        <f t="shared" si="267"/>
        <v>#VALUE!</v>
      </c>
      <c r="Y95" s="64" t="str">
        <f>IFERROR(VLOOKUP(MID(T95,W95,X95-W95),[5]skilldef!$C:$D,2,FALSE),"-") &amp; " / " &amp; IFERROR(VLOOKUP(MID(T95,U95,V95-U95),[5]skilldef!$A:$B,2,FALSE),"-")</f>
        <v>- / -</v>
      </c>
      <c r="Z95" s="50"/>
      <c r="AA95" s="52"/>
      <c r="AB95" s="50"/>
    </row>
    <row r="96" spans="1:28" ht="37" customHeight="1" x14ac:dyDescent="0.15">
      <c r="A96" s="131">
        <v>40025911</v>
      </c>
      <c r="B96" s="47" t="s">
        <v>477</v>
      </c>
      <c r="C96" s="50">
        <v>3</v>
      </c>
      <c r="D96" s="50" t="s">
        <v>128</v>
      </c>
      <c r="E96" s="51" t="s">
        <v>300</v>
      </c>
      <c r="F96" s="51" t="s">
        <v>351</v>
      </c>
      <c r="G96" s="64" t="str">
        <f t="shared" si="253"/>
        <v>[effect:enemy_message, val1:1.8, val2:3.0]</v>
      </c>
      <c r="H96" s="64">
        <f t="shared" si="254"/>
        <v>9</v>
      </c>
      <c r="I96" s="64">
        <f t="shared" si="255"/>
        <v>22</v>
      </c>
      <c r="J96" s="64" t="e">
        <f t="shared" si="256"/>
        <v>#VALUE!</v>
      </c>
      <c r="K96" s="64">
        <f t="shared" si="257"/>
        <v>32</v>
      </c>
      <c r="L96" s="64" t="str">
        <f>IFERROR(VLOOKUP(MID(G96,J96,K96-J96),[5]skilldef!$C:$D,2,FALSE),"-") &amp; " / " &amp; IFERROR(VLOOKUP(MID(G96,H96,I96-H96),[5]skilldef!$A:$B,2,FALSE),"-")</f>
        <v>- / -</v>
      </c>
      <c r="M96" s="64" t="str">
        <f t="shared" si="258"/>
        <v>[effect:degrade_fever, val:300, animation:fevergauge_down],[effect:change_panel_ratio, turn:-1, block_type:heal, val:0.5, animation:block_incidence04],[effect:force_change_block, new_block:jammer, target:block_all, ignore01:block_positive, ignore02:block_negative, count:5, val:0],[effect:tolerance, target:myself, turn:-1, tolerance_effect:all, count:-1, animation:enemy_tolerance],[effect:fix_speed, target:myself, turn:2]</v>
      </c>
      <c r="N96" s="48" t="str">
        <f>IFERROR(LEFT(M96,FIND("],",M96)+S112),M96)</f>
        <v>[effect:degrade_fever, val:300, animation:fevergauge_down],[effect:change_panel_ratio, turn:-1, block_type:heal, val:0.5, animation:block_incidence04],[effect:force_change_block, new_block:jammer, target:block_all, ignore01:block_positive, ignore02:block_negative, count:5, val:0],[effect:tolerance, target:myself, turn:-1, tolerance_effect:all, count:-1, animation:enemy_tolerance],[effect:fix_speed, target:myself, turn:2]</v>
      </c>
      <c r="O96" s="64">
        <f t="shared" si="259"/>
        <v>9</v>
      </c>
      <c r="P96" s="64">
        <f t="shared" si="260"/>
        <v>22</v>
      </c>
      <c r="Q96" s="64">
        <f t="shared" si="261"/>
        <v>205</v>
      </c>
      <c r="R96" s="64">
        <f t="shared" si="262"/>
        <v>31</v>
      </c>
      <c r="S96" s="64" t="str">
        <f>IFERROR(VLOOKUP(MID(N96,Q96,R96-Q96),[5]skilldef!$C:$D,2,FALSE),"-") &amp; " / " &amp; IFERROR(VLOOKUP(MID(N96,O96,P96-O96),[5]skilldef!$A:$B,2,FALSE),"-")</f>
        <v>- / フィーバーゲージ減少</v>
      </c>
      <c r="T96" s="48" t="str">
        <f t="shared" si="263"/>
        <v>[effect:change_panel_ratio, turn:-1, block_type:heal, val:0.5, animation:block_incidence04],[effect:force_change_block, new_block:jammer, target:block_all, ignore01:block_positive, ignore02:block_negative, count:5, val:0],[effect:tolerance, target:myself, turn:-1, tolerance_effect:all, count:-1, animation:enemy_tolerance],[effect:fix_speed, target:myself, turn:2]</v>
      </c>
      <c r="U96" s="64">
        <f t="shared" si="264"/>
        <v>9</v>
      </c>
      <c r="V96" s="64">
        <f t="shared" si="265"/>
        <v>27</v>
      </c>
      <c r="W96" s="64">
        <f t="shared" si="266"/>
        <v>146</v>
      </c>
      <c r="X96" s="64">
        <f t="shared" si="267"/>
        <v>36</v>
      </c>
      <c r="Y96" s="64" t="str">
        <f>IFERROR(VLOOKUP(MID(T96,W96,X96-W96),[5]skilldef!$C:$D,2,FALSE),"-") &amp; " / " &amp; IFERROR(VLOOKUP(MID(T96,U96,V96-U96),[5]skilldef!$A:$B,2,FALSE),"-")</f>
        <v>- / -</v>
      </c>
      <c r="Z96" s="50"/>
      <c r="AA96" s="52"/>
      <c r="AB96" s="50"/>
    </row>
    <row r="97" spans="1:28" ht="30" customHeight="1" x14ac:dyDescent="0.15">
      <c r="A97" s="131">
        <v>40025912</v>
      </c>
      <c r="B97" s="47" t="s">
        <v>478</v>
      </c>
      <c r="C97" s="50">
        <v>3</v>
      </c>
      <c r="D97" s="50" t="s">
        <v>128</v>
      </c>
      <c r="E97" s="51" t="s">
        <v>295</v>
      </c>
      <c r="F97" s="51" t="s">
        <v>440</v>
      </c>
      <c r="G97" s="64" t="str">
        <f t="shared" si="253"/>
        <v>[effect:enemy_message, val1:1, val2:3.0]</v>
      </c>
      <c r="H97" s="64">
        <f t="shared" si="254"/>
        <v>9</v>
      </c>
      <c r="I97" s="64">
        <f t="shared" si="255"/>
        <v>22</v>
      </c>
      <c r="J97" s="64" t="e">
        <f t="shared" si="256"/>
        <v>#VALUE!</v>
      </c>
      <c r="K97" s="64">
        <f t="shared" si="257"/>
        <v>30</v>
      </c>
      <c r="L97" s="64" t="str">
        <f>IFERROR(VLOOKUP(MID(G97,J97,K97-J97),[5]skilldef!$C:$D,2,FALSE),"-") &amp; " / " &amp; IFERROR(VLOOKUP(MID(G97,H97,I97-H97),[5]skilldef!$A:$B,2,FALSE),"-")</f>
        <v>- / -</v>
      </c>
      <c r="M97" s="64" t="str">
        <f t="shared" si="258"/>
        <v>[effect:damage_anti_color, target:unit_all, color:red, val1:0.14, val2:0.1],[effect:damage_anti_tribe, target:unit_all, tribe:animal, val1:0.14, val2:0.1],[effect:damage_anti_type, target:unit_all, type:heal, val1:0.14, val2:0.1],[effect:force_change_block, new_block:jammer, target:block_all, ignore01:block_positive, ignore02:block_negative, count:8, val:0]</v>
      </c>
      <c r="N97" s="48" t="str">
        <f>IFERROR(LEFT(M97,FIND("],",M97)+S114),M97)</f>
        <v>[effect:damage_anti_color, target:unit_all, color:red, val1:0.14, val2:0.1],[effect:damage_anti_tribe, target:unit_all, tribe:animal, val1:0.14, val2:0.1],[effect:damage_anti_type, target:unit_all, type:heal, val1:0.14, val2:0.1],[effect:force_change_block, new_block:jammer, target:block_all, ignore01:block_positive, ignore02:block_negative, count:8, val:0]</v>
      </c>
      <c r="O97" s="64">
        <f t="shared" si="259"/>
        <v>9</v>
      </c>
      <c r="P97" s="64">
        <f t="shared" si="260"/>
        <v>26</v>
      </c>
      <c r="Q97" s="64">
        <f t="shared" si="261"/>
        <v>35</v>
      </c>
      <c r="R97" s="64">
        <f t="shared" si="262"/>
        <v>43</v>
      </c>
      <c r="S97" s="64" t="str">
        <f>IFERROR(VLOOKUP(MID(N97,Q97,R97-Q97),[5]skilldef!$C:$D,2,FALSE),"-") &amp; " / " &amp; IFERROR(VLOOKUP(MID(N97,O97,P97-O97),[5]skilldef!$A:$B,2,FALSE),"-")</f>
        <v>味方全体に / 属性キラー</v>
      </c>
      <c r="T97" s="48" t="str">
        <f t="shared" si="263"/>
        <v>[effect:damage_anti_tribe, target:unit_all, tribe:animal, val1:0.14, val2:0.1],[effect:damage_anti_type, target:unit_all, type:heal, val1:0.14, val2:0.1],[effect:force_change_block, new_block:jammer, target:block_all, ignore01:block_positive, ignore02:block_negative, count:8, val:0]</v>
      </c>
      <c r="U97" s="64">
        <f t="shared" si="264"/>
        <v>9</v>
      </c>
      <c r="V97" s="64">
        <f t="shared" si="265"/>
        <v>26</v>
      </c>
      <c r="W97" s="64">
        <f t="shared" si="266"/>
        <v>35</v>
      </c>
      <c r="X97" s="64">
        <f t="shared" si="267"/>
        <v>43</v>
      </c>
      <c r="Y97" s="64" t="str">
        <f>IFERROR(VLOOKUP(MID(T97,W97,X97-W97),[5]skilldef!$C:$D,2,FALSE),"-") &amp; " / " &amp; IFERROR(VLOOKUP(MID(T97,U97,V97-U97),[5]skilldef!$A:$B,2,FALSE),"-")</f>
        <v>味方全体に / 種族キラー</v>
      </c>
      <c r="Z97" s="50"/>
      <c r="AA97" s="52"/>
      <c r="AB97" s="50"/>
    </row>
    <row r="98" spans="1:28" ht="39" customHeight="1" x14ac:dyDescent="0.15">
      <c r="A98" s="131">
        <v>40025913</v>
      </c>
      <c r="B98" s="47" t="s">
        <v>479</v>
      </c>
      <c r="C98" s="50">
        <v>3</v>
      </c>
      <c r="D98" s="50" t="s">
        <v>128</v>
      </c>
      <c r="E98" s="51" t="s">
        <v>296</v>
      </c>
      <c r="F98" s="51" t="s">
        <v>441</v>
      </c>
      <c r="G98" s="64" t="str">
        <f t="shared" si="253"/>
        <v>[effect:enemy_message, val1:1, val2:3.0]</v>
      </c>
      <c r="H98" s="64">
        <f t="shared" si="254"/>
        <v>9</v>
      </c>
      <c r="I98" s="64">
        <f t="shared" si="255"/>
        <v>22</v>
      </c>
      <c r="J98" s="64" t="e">
        <f t="shared" si="256"/>
        <v>#VALUE!</v>
      </c>
      <c r="K98" s="64">
        <f t="shared" si="257"/>
        <v>30</v>
      </c>
      <c r="L98" s="64" t="str">
        <f>IFERROR(VLOOKUP(MID(G98,J98,K98-J98),[5]skilldef!$C:$D,2,FALSE),"-") &amp; " / " &amp; IFERROR(VLOOKUP(MID(G98,H98,I98-H98),[5]skilldef!$A:$B,2,FALSE),"-")</f>
        <v>- / -</v>
      </c>
      <c r="M98" s="64" t="str">
        <f t="shared" si="258"/>
        <v>[effect:damage_anti_color, target:unit_all, color:yellow, val1:0.14, val2:0.1],[effect:damage_anti_tribe, target:unit_all, tribe:human, val1:0.14, val2:0.1],[effect:damage_anti_type, target:unit_all, type:attack, val1:0.14, val2:0.1],[effect:force_change_block, new_block:jammer, target:block_all, ignore01:block_positive, ignore02:block_negative, count:8, val:0]</v>
      </c>
      <c r="N98" s="48" t="str">
        <f>IFERROR(LEFT(M98,FIND("],",M98)+S115),M98)</f>
        <v>[effect:damage_anti_color, target:unit_all, color:yellow, val1:0.14, val2:0.1],[effect:damage_anti_tribe, target:unit_all, tribe:human, val1:0.14, val2:0.1],[effect:damage_anti_type, target:unit_all, type:attack, val1:0.14, val2:0.1],[effect:force_change_block, new_block:jammer, target:block_all, ignore01:block_positive, ignore02:block_negative, count:8, val:0]</v>
      </c>
      <c r="O98" s="64">
        <f t="shared" si="259"/>
        <v>9</v>
      </c>
      <c r="P98" s="64">
        <f t="shared" si="260"/>
        <v>26</v>
      </c>
      <c r="Q98" s="64">
        <f t="shared" si="261"/>
        <v>35</v>
      </c>
      <c r="R98" s="64">
        <f t="shared" si="262"/>
        <v>43</v>
      </c>
      <c r="S98" s="64" t="str">
        <f>IFERROR(VLOOKUP(MID(N98,Q98,R98-Q98),[5]skilldef!$C:$D,2,FALSE),"-") &amp; " / " &amp; IFERROR(VLOOKUP(MID(N98,O98,P98-O98),[5]skilldef!$A:$B,2,FALSE),"-")</f>
        <v>味方全体に / 属性キラー</v>
      </c>
      <c r="T98" s="48" t="str">
        <f t="shared" si="263"/>
        <v>[effect:damage_anti_tribe, target:unit_all, tribe:human, val1:0.14, val2:0.1],[effect:damage_anti_type, target:unit_all, type:attack, val1:0.14, val2:0.1],[effect:force_change_block, new_block:jammer, target:block_all, ignore01:block_positive, ignore02:block_negative, count:8, val:0]</v>
      </c>
      <c r="U98" s="64">
        <f t="shared" si="264"/>
        <v>9</v>
      </c>
      <c r="V98" s="64">
        <f t="shared" si="265"/>
        <v>26</v>
      </c>
      <c r="W98" s="64">
        <f t="shared" si="266"/>
        <v>35</v>
      </c>
      <c r="X98" s="64">
        <f t="shared" si="267"/>
        <v>43</v>
      </c>
      <c r="Y98" s="64" t="str">
        <f>IFERROR(VLOOKUP(MID(T98,W98,X98-W98),[5]skilldef!$C:$D,2,FALSE),"-") &amp; " / " &amp; IFERROR(VLOOKUP(MID(T98,U98,V98-U98),[5]skilldef!$A:$B,2,FALSE),"-")</f>
        <v>味方全体に / 種族キラー</v>
      </c>
      <c r="Z98" s="50"/>
      <c r="AA98" s="52"/>
      <c r="AB98" s="50"/>
    </row>
    <row r="99" spans="1:28" ht="73" customHeight="1" x14ac:dyDescent="0.15">
      <c r="A99" s="131">
        <v>40025914</v>
      </c>
      <c r="B99" s="47" t="s">
        <v>480</v>
      </c>
      <c r="C99" s="50">
        <v>3</v>
      </c>
      <c r="D99" s="50" t="s">
        <v>128</v>
      </c>
      <c r="E99" s="51" t="s">
        <v>374</v>
      </c>
      <c r="F99" s="51" t="s">
        <v>442</v>
      </c>
      <c r="G99" s="64" t="str">
        <f t="shared" si="253"/>
        <v>[effect:enemy_message, val1:1, val2:3.0]</v>
      </c>
      <c r="H99" s="64">
        <f t="shared" si="254"/>
        <v>9</v>
      </c>
      <c r="I99" s="64">
        <f t="shared" si="255"/>
        <v>22</v>
      </c>
      <c r="J99" s="64" t="e">
        <f t="shared" si="256"/>
        <v>#VALUE!</v>
      </c>
      <c r="K99" s="64">
        <f t="shared" si="257"/>
        <v>30</v>
      </c>
      <c r="L99" s="64" t="str">
        <f>IFERROR(VLOOKUP(MID(G99,J99,K99-J99),[5]skilldef!$C:$D,2,FALSE),"-") &amp; " / " &amp; IFERROR(VLOOKUP(MID(G99,H99,I99-H99),[5]skilldef!$A:$B,2,FALSE),"-")</f>
        <v>- / -</v>
      </c>
      <c r="M99" s="64" t="str">
        <f t="shared" si="258"/>
        <v>[effect:damage_anti_color, target:unit_all, color:green, val1:0.14, val2:0.1],[effect:damage_anti_tribe, target:unit_all, tribe:machine, val1:0.14, val2:0.1],[effect:damage_anti_type, target:unit_all, type:hp, val1:0.14, val2:0.1],[effect:force_change_block, new_block:jammer, target:block_all, ignore01:block_positive, ignore02:block_negative, count:8, val:0]</v>
      </c>
      <c r="N99" s="48" t="str">
        <f>IFERROR(LEFT(M99,FIND("],",M99)+S115),M99)</f>
        <v>[effect:damage_anti_color, target:unit_all, color:green, val1:0.14, val2:0.1],[effect:damage_anti_tribe, target:unit_all, tribe:machine, val1:0.14, val2:0.1],[effect:damage_anti_type, target:unit_all, type:hp, val1:0.14, val2:0.1],[effect:force_change_block, new_block:jammer, target:block_all, ignore01:block_positive, ignore02:block_negative, count:8, val:0]</v>
      </c>
      <c r="O99" s="64">
        <f t="shared" si="259"/>
        <v>9</v>
      </c>
      <c r="P99" s="64">
        <f t="shared" si="260"/>
        <v>26</v>
      </c>
      <c r="Q99" s="64">
        <f t="shared" si="261"/>
        <v>35</v>
      </c>
      <c r="R99" s="64">
        <f t="shared" si="262"/>
        <v>43</v>
      </c>
      <c r="S99" s="64" t="str">
        <f>IFERROR(VLOOKUP(MID(N99,Q99,R99-Q99),[5]skilldef!$C:$D,2,FALSE),"-") &amp; " / " &amp; IFERROR(VLOOKUP(MID(N99,O99,P99-O99),[5]skilldef!$A:$B,2,FALSE),"-")</f>
        <v>味方全体に / 属性キラー</v>
      </c>
      <c r="T99" s="48" t="str">
        <f t="shared" si="263"/>
        <v>[effect:damage_anti_tribe, target:unit_all, tribe:machine, val1:0.14, val2:0.1],[effect:damage_anti_type, target:unit_all, type:hp, val1:0.14, val2:0.1],[effect:force_change_block, new_block:jammer, target:block_all, ignore01:block_positive, ignore02:block_negative, count:8, val:0]</v>
      </c>
      <c r="U99" s="64">
        <f t="shared" si="264"/>
        <v>9</v>
      </c>
      <c r="V99" s="64">
        <f t="shared" si="265"/>
        <v>26</v>
      </c>
      <c r="W99" s="64">
        <f t="shared" si="266"/>
        <v>35</v>
      </c>
      <c r="X99" s="64">
        <f t="shared" si="267"/>
        <v>43</v>
      </c>
      <c r="Y99" s="64" t="str">
        <f>IFERROR(VLOOKUP(MID(T99,W99,X99-W99),[5]skilldef!$C:$D,2,FALSE),"-") &amp; " / " &amp; IFERROR(VLOOKUP(MID(T99,U99,V99-U99),[5]skilldef!$A:$B,2,FALSE),"-")</f>
        <v>味方全体に / 種族キラー</v>
      </c>
      <c r="Z99" s="50"/>
      <c r="AA99" s="52"/>
      <c r="AB99" s="50"/>
    </row>
    <row r="100" spans="1:28" ht="29" customHeight="1" x14ac:dyDescent="0.15">
      <c r="A100" s="131">
        <v>40025915</v>
      </c>
      <c r="B100" s="47" t="s">
        <v>472</v>
      </c>
      <c r="C100" s="50">
        <v>3</v>
      </c>
      <c r="D100" s="50" t="s">
        <v>128</v>
      </c>
      <c r="E100" s="51" t="s">
        <v>334</v>
      </c>
      <c r="F100" s="51" t="s">
        <v>443</v>
      </c>
      <c r="G100" s="64" t="str">
        <f t="shared" si="253"/>
        <v>[effect:enemy_message, val1:2.2, val2:1.8]</v>
      </c>
      <c r="H100" s="64">
        <f t="shared" si="254"/>
        <v>9</v>
      </c>
      <c r="I100" s="64">
        <f t="shared" si="255"/>
        <v>22</v>
      </c>
      <c r="J100" s="64" t="e">
        <f t="shared" si="256"/>
        <v>#VALUE!</v>
      </c>
      <c r="K100" s="64">
        <f t="shared" si="257"/>
        <v>32</v>
      </c>
      <c r="L100" s="64" t="str">
        <f>IFERROR(VLOOKUP(MID(G100,J100,K100-J100),[5]skilldef!$C:$D,2,FALSE),"-") &amp; " / " &amp; IFERROR(VLOOKUP(MID(G100,H100,I100-H100),[5]skilldef!$A:$B,2,FALSE),"-")</f>
        <v>- / -</v>
      </c>
      <c r="M100" s="64" t="str">
        <f t="shared" si="258"/>
        <v>[effect:break_attack_fix, target:unit_one, val:1430, lowest_val:7145, count:-1, color:blue, block01:jammer]</v>
      </c>
      <c r="N100" s="48" t="str">
        <f>IFERROR(LEFT(M100,FIND("],",M100)+S116),M100)</f>
        <v>[effect:break_attack_fix, target:unit_one, val:1430, lowest_val:7145, count:-1, color:blue, block01:jammer]</v>
      </c>
      <c r="O100" s="64">
        <f t="shared" si="259"/>
        <v>9</v>
      </c>
      <c r="P100" s="64">
        <f t="shared" si="260"/>
        <v>25</v>
      </c>
      <c r="Q100" s="64">
        <f t="shared" si="261"/>
        <v>34</v>
      </c>
      <c r="R100" s="64">
        <f t="shared" si="262"/>
        <v>42</v>
      </c>
      <c r="S100" s="64" t="str">
        <f>IFERROR(VLOOKUP(MID(N100,Q100,R100-Q100),[5]skilldef!$C:$D,2,FALSE),"-") &amp; " / " &amp; IFERROR(VLOOKUP(MID(N100,O100,P100-O100),[5]skilldef!$A:$B,2,FALSE),"-")</f>
        <v>味方単体に / -</v>
      </c>
      <c r="T100" s="48" t="str">
        <f t="shared" si="263"/>
        <v>none</v>
      </c>
      <c r="U100" s="64" t="e">
        <f t="shared" si="264"/>
        <v>#VALUE!</v>
      </c>
      <c r="V100" s="64">
        <f t="shared" si="265"/>
        <v>4</v>
      </c>
      <c r="W100" s="64" t="e">
        <f t="shared" si="266"/>
        <v>#VALUE!</v>
      </c>
      <c r="X100" s="64" t="e">
        <f t="shared" si="267"/>
        <v>#VALUE!</v>
      </c>
      <c r="Y100" s="64" t="str">
        <f>IFERROR(VLOOKUP(MID(T100,W100,X100-W100),[5]skilldef!$C:$D,2,FALSE),"-") &amp; " / " &amp; IFERROR(VLOOKUP(MID(T100,U100,V100-U100),[5]skilldef!$A:$B,2,FALSE),"-")</f>
        <v>- / -</v>
      </c>
      <c r="Z100" s="50"/>
      <c r="AA100" s="52"/>
      <c r="AB100" s="50"/>
    </row>
    <row r="101" spans="1:28" ht="29" customHeight="1" x14ac:dyDescent="0.15">
      <c r="A101" s="131">
        <v>40025916</v>
      </c>
      <c r="B101" s="47" t="s">
        <v>481</v>
      </c>
      <c r="C101" s="50">
        <v>3</v>
      </c>
      <c r="D101" s="50" t="s">
        <v>128</v>
      </c>
      <c r="E101" s="51" t="s">
        <v>294</v>
      </c>
      <c r="F101" s="51" t="s">
        <v>445</v>
      </c>
      <c r="G101" s="64" t="str">
        <f t="shared" si="253"/>
        <v>[effect:enemy_message, val1:1.8, val2:1.8]</v>
      </c>
      <c r="H101" s="64">
        <f t="shared" si="254"/>
        <v>9</v>
      </c>
      <c r="I101" s="64">
        <f t="shared" si="255"/>
        <v>22</v>
      </c>
      <c r="J101" s="64" t="e">
        <f t="shared" si="256"/>
        <v>#VALUE!</v>
      </c>
      <c r="K101" s="64">
        <f t="shared" si="257"/>
        <v>32</v>
      </c>
      <c r="L101" s="64" t="str">
        <f>IFERROR(VLOOKUP(MID(G101,J101,K101-J101),[5]skilldef!$C:$D,2,FALSE),"-") &amp; " / " &amp; IFERROR(VLOOKUP(MID(G101,H101,I101-H101),[5]skilldef!$A:$B,2,FALSE),"-")</f>
        <v>- / -</v>
      </c>
      <c r="M101" s="64" t="str">
        <f t="shared" si="258"/>
        <v>[effect:force_change_block, new_block:jammer, target:block_all, ignore01:block_positive, ignore02:block_negative, count:6, val:0],[effect:critical, val:1.2]</v>
      </c>
      <c r="N101" s="48" t="str">
        <f>IFERROR(LEFT(M101,FIND("],",M101)+S117),M101)</f>
        <v>[effect:force_change_block, new_block:jammer, target:block_all, ignore01:block_positive, ignore02:block_negative, count:6, val:0],[effect:critical, val:1.2]</v>
      </c>
      <c r="O101" s="64">
        <f t="shared" si="259"/>
        <v>9</v>
      </c>
      <c r="P101" s="64">
        <f t="shared" si="260"/>
        <v>27</v>
      </c>
      <c r="Q101" s="64">
        <f t="shared" si="261"/>
        <v>54</v>
      </c>
      <c r="R101" s="64">
        <f t="shared" si="262"/>
        <v>45</v>
      </c>
      <c r="S101" s="64" t="str">
        <f>IFERROR(VLOOKUP(MID(N101,Q101,R101-Q101),[5]skilldef!$C:$D,2,FALSE),"-") &amp; " / " &amp; IFERROR(VLOOKUP(MID(N101,O101,P101-O101),[5]skilldef!$A:$B,2,FALSE),"-")</f>
        <v>- / -</v>
      </c>
      <c r="T101" s="48" t="str">
        <f t="shared" si="263"/>
        <v>[effect:critical, val:1.2]</v>
      </c>
      <c r="U101" s="64">
        <f t="shared" si="264"/>
        <v>9</v>
      </c>
      <c r="V101" s="64">
        <f t="shared" si="265"/>
        <v>17</v>
      </c>
      <c r="W101" s="64" t="e">
        <f t="shared" si="266"/>
        <v>#VALUE!</v>
      </c>
      <c r="X101" s="64" t="e">
        <f t="shared" si="267"/>
        <v>#VALUE!</v>
      </c>
      <c r="Y101" s="64" t="str">
        <f>IFERROR(VLOOKUP(MID(T101,W101,X101-W101),[5]skilldef!$C:$D,2,FALSE),"-") &amp; " / " &amp; IFERROR(VLOOKUP(MID(T101,U101,V101-U101),[5]skilldef!$A:$B,2,FALSE),"-")</f>
        <v>- / 大攻撃</v>
      </c>
      <c r="Z101" s="50"/>
      <c r="AA101" s="52"/>
      <c r="AB101" s="50"/>
    </row>
    <row r="102" spans="1:28" ht="29" customHeight="1" x14ac:dyDescent="0.15">
      <c r="A102" s="131">
        <v>40025917</v>
      </c>
      <c r="B102" s="47" t="s">
        <v>473</v>
      </c>
      <c r="C102" s="50">
        <v>3</v>
      </c>
      <c r="D102" s="50" t="s">
        <v>128</v>
      </c>
      <c r="E102" s="51" t="s">
        <v>293</v>
      </c>
      <c r="F102" s="51" t="s">
        <v>444</v>
      </c>
      <c r="G102" s="64" t="str">
        <f t="shared" si="253"/>
        <v>[effect:enemy_message, val1:1.8, val2:1.8]</v>
      </c>
      <c r="H102" s="64">
        <f t="shared" si="254"/>
        <v>9</v>
      </c>
      <c r="I102" s="64">
        <f t="shared" si="255"/>
        <v>22</v>
      </c>
      <c r="J102" s="64" t="e">
        <f t="shared" si="256"/>
        <v>#VALUE!</v>
      </c>
      <c r="K102" s="64">
        <f t="shared" si="257"/>
        <v>32</v>
      </c>
      <c r="L102" s="64" t="str">
        <f>IFERROR(VLOOKUP(MID(G102,J102,K102-J102),[5]skilldef!$C:$D,2,FALSE),"-") &amp; " / " &amp; IFERROR(VLOOKUP(MID(G102,H102,I102-H102),[5]skilldef!$A:$B,2,FALSE),"-")</f>
        <v>- / -</v>
      </c>
      <c r="M102" s="64" t="str">
        <f t="shared" si="258"/>
        <v>[effect:break_attack_fix, target:unit_one, val:1430, lowest_val:10000, count:-1, color:blue, block01:jammer]</v>
      </c>
      <c r="N102" s="48" t="str">
        <f>IFERROR(LEFT(M102,FIND("],",M102)+#REF!),M102)</f>
        <v>[effect:break_attack_fix, target:unit_one, val:1430, lowest_val:10000, count:-1, color:blue, block01:jammer]</v>
      </c>
      <c r="O102" s="64">
        <f t="shared" si="259"/>
        <v>9</v>
      </c>
      <c r="P102" s="64">
        <f t="shared" si="260"/>
        <v>25</v>
      </c>
      <c r="Q102" s="64">
        <f t="shared" si="261"/>
        <v>34</v>
      </c>
      <c r="R102" s="64">
        <f t="shared" si="262"/>
        <v>42</v>
      </c>
      <c r="S102" s="64" t="str">
        <f>IFERROR(VLOOKUP(MID(N102,Q102,R102-Q102),[5]skilldef!$C:$D,2,FALSE),"-") &amp; " / " &amp; IFERROR(VLOOKUP(MID(N102,O102,P102-O102),[5]skilldef!$A:$B,2,FALSE),"-")</f>
        <v>味方単体に / -</v>
      </c>
      <c r="T102" s="48" t="str">
        <f t="shared" si="263"/>
        <v>none</v>
      </c>
      <c r="U102" s="64" t="e">
        <f t="shared" si="264"/>
        <v>#VALUE!</v>
      </c>
      <c r="V102" s="64">
        <f t="shared" si="265"/>
        <v>4</v>
      </c>
      <c r="W102" s="64" t="e">
        <f t="shared" si="266"/>
        <v>#VALUE!</v>
      </c>
      <c r="X102" s="64" t="e">
        <f t="shared" si="267"/>
        <v>#VALUE!</v>
      </c>
      <c r="Y102" s="64" t="str">
        <f>IFERROR(VLOOKUP(MID(T102,W102,X102-W102),[5]skilldef!$C:$D,2,FALSE),"-") &amp; " / " &amp; IFERROR(VLOOKUP(MID(T102,U102,V102-U102),[5]skilldef!$A:$B,2,FALSE),"-")</f>
        <v>- / -</v>
      </c>
      <c r="Z102" s="50"/>
      <c r="AA102" s="52"/>
      <c r="AB102" s="50"/>
    </row>
    <row r="103" spans="1:28" ht="28" customHeight="1" x14ac:dyDescent="0.15">
      <c r="A103" s="131">
        <v>40025918</v>
      </c>
      <c r="B103" s="47" t="s">
        <v>332</v>
      </c>
      <c r="C103" s="50">
        <v>3</v>
      </c>
      <c r="D103" s="50" t="s">
        <v>128</v>
      </c>
      <c r="E103" s="51" t="s">
        <v>335</v>
      </c>
      <c r="F103" s="51" t="s">
        <v>315</v>
      </c>
      <c r="G103" s="64" t="str">
        <f t="shared" si="253"/>
        <v>[effect:enemy_message, val1:1.8, val2:1.8]</v>
      </c>
      <c r="H103" s="64">
        <f t="shared" si="254"/>
        <v>9</v>
      </c>
      <c r="I103" s="64">
        <f t="shared" si="255"/>
        <v>22</v>
      </c>
      <c r="J103" s="64" t="e">
        <f t="shared" si="256"/>
        <v>#VALUE!</v>
      </c>
      <c r="K103" s="64">
        <f t="shared" si="257"/>
        <v>32</v>
      </c>
      <c r="L103" s="64" t="str">
        <f>IFERROR(VLOOKUP(MID(G103,J103,K103-J103),[5]skilldef!$C:$D,2,FALSE),"-") &amp; " / " &amp; IFERROR(VLOOKUP(MID(G103,H103,I103-H103),[5]skilldef!$A:$B,2,FALSE),"-")</f>
        <v>- / -</v>
      </c>
      <c r="M103" s="64" t="str">
        <f t="shared" si="258"/>
        <v>[effect:damage_gravity, val:0.8, animation:fevergauge_down],[effect:suicide, val:1, dead_type:escape, target:myself]</v>
      </c>
      <c r="N103" s="48" t="str">
        <f>IFERROR(LEFT(M103,FIND("],",M103)+#REF!),M103)</f>
        <v>[effect:damage_gravity, val:0.8, animation:fevergauge_down],[effect:suicide, val:1, dead_type:escape, target:myself]</v>
      </c>
      <c r="O103" s="64">
        <f t="shared" si="259"/>
        <v>9</v>
      </c>
      <c r="P103" s="64">
        <f t="shared" si="260"/>
        <v>23</v>
      </c>
      <c r="Q103" s="64">
        <f t="shared" si="261"/>
        <v>110</v>
      </c>
      <c r="R103" s="64">
        <f t="shared" si="262"/>
        <v>32</v>
      </c>
      <c r="S103" s="64" t="str">
        <f>IFERROR(VLOOKUP(MID(N103,Q103,R103-Q103),[5]skilldef!$C:$D,2,FALSE),"-") &amp; " / " &amp; IFERROR(VLOOKUP(MID(N103,O103,P103-O103),[5]skilldef!$A:$B,2,FALSE),"-")</f>
        <v>- / 割合ダメージ</v>
      </c>
      <c r="T103" s="48" t="str">
        <f t="shared" si="263"/>
        <v>[effect:suicide, val:1, dead_type:escape, target:myself]</v>
      </c>
      <c r="U103" s="64">
        <f t="shared" si="264"/>
        <v>9</v>
      </c>
      <c r="V103" s="64">
        <f t="shared" si="265"/>
        <v>16</v>
      </c>
      <c r="W103" s="64">
        <f t="shared" si="266"/>
        <v>50</v>
      </c>
      <c r="X103" s="64">
        <f t="shared" si="267"/>
        <v>23</v>
      </c>
      <c r="Y103" s="64" t="str">
        <f>IFERROR(VLOOKUP(MID(T103,W103,X103-W103),[5]skilldef!$C:$D,2,FALSE),"-") &amp; " / " &amp; IFERROR(VLOOKUP(MID(T103,U103,V103-U103),[5]skilldef!$A:$B,2,FALSE),"-")</f>
        <v>- / -</v>
      </c>
      <c r="Z103" s="50"/>
      <c r="AA103" s="52"/>
      <c r="AB103" s="50"/>
    </row>
    <row r="104" spans="1:28" ht="33" customHeight="1" x14ac:dyDescent="0.15">
      <c r="A104" s="131">
        <v>40025919</v>
      </c>
      <c r="B104" s="132" t="s">
        <v>482</v>
      </c>
      <c r="C104" s="50">
        <v>3</v>
      </c>
      <c r="D104" s="133" t="s">
        <v>128</v>
      </c>
      <c r="E104" s="134" t="s">
        <v>301</v>
      </c>
      <c r="F104" s="134" t="s">
        <v>369</v>
      </c>
      <c r="G104" s="64" t="str">
        <f t="shared" si="253"/>
        <v>[effect:enemy_message, val1:1.8, val2:3.0]</v>
      </c>
      <c r="H104" s="64">
        <f t="shared" si="254"/>
        <v>9</v>
      </c>
      <c r="I104" s="64">
        <f t="shared" si="255"/>
        <v>22</v>
      </c>
      <c r="J104" s="64" t="e">
        <f t="shared" si="256"/>
        <v>#VALUE!</v>
      </c>
      <c r="K104" s="64">
        <f t="shared" si="257"/>
        <v>32</v>
      </c>
      <c r="L104" s="64" t="str">
        <f>IFERROR(VLOOKUP(MID(G104,J104,K104-J104),[5]skilldef!$C:$D,2,FALSE),"-") &amp; " / " &amp; IFERROR(VLOOKUP(MID(G104,H104,I104-H104),[5]skilldef!$A:$B,2,FALSE),"-")</f>
        <v>- / -</v>
      </c>
      <c r="M104" s="64" t="str">
        <f t="shared" si="258"/>
        <v>[effect:change_panel_ratio, turn:-1, block_type:heal, val:0.5, animation:block_incidence04],[effect:force_change_block, new_block:jammer, target:block_all, ignore01:block_positive, ignore02:block_negative, count:5, val:0],[effect:tolerance, target:myself, turn:-1, tolerance_effect:all, count:-1, animation:enemy_tolerance],[effect:fix_speed, target:myself, turn:2]</v>
      </c>
      <c r="N104" s="48" t="str">
        <f>IFERROR(LEFT(M104,FIND("],",M104)+S121),M104)</f>
        <v>[effect:change_panel_ratio, turn:-1, block_type:heal, val:0.5, animation:block_incidence04],[effect:force_change_block, new_block:jammer, target:block_all, ignore01:block_positive, ignore02:block_negative, count:5, val:0],[effect:tolerance, target:myself, turn:-1, tolerance_effect:all, count:-1, animation:enemy_tolerance],[effect:fix_speed, target:myself, turn:2]</v>
      </c>
      <c r="O104" s="64">
        <f t="shared" si="259"/>
        <v>9</v>
      </c>
      <c r="P104" s="64">
        <f t="shared" si="260"/>
        <v>27</v>
      </c>
      <c r="Q104" s="64">
        <f t="shared" si="261"/>
        <v>146</v>
      </c>
      <c r="R104" s="64">
        <f t="shared" si="262"/>
        <v>36</v>
      </c>
      <c r="S104" s="64" t="str">
        <f>IFERROR(VLOOKUP(MID(N104,Q104,R104-Q104),[5]skilldef!$C:$D,2,FALSE),"-") &amp; " / " &amp; IFERROR(VLOOKUP(MID(N104,O104,P104-O104),[5]skilldef!$A:$B,2,FALSE),"-")</f>
        <v>- / -</v>
      </c>
      <c r="T104" s="48" t="str">
        <f t="shared" si="263"/>
        <v>[effect:force_change_block, new_block:jammer, target:block_all, ignore01:block_positive, ignore02:block_negative, count:5, val:0],[effect:tolerance, target:myself, turn:-1, tolerance_effect:all, count:-1, animation:enemy_tolerance],[effect:fix_speed, target:myself, turn:2]</v>
      </c>
      <c r="U104" s="64">
        <f t="shared" si="264"/>
        <v>9</v>
      </c>
      <c r="V104" s="64">
        <f t="shared" si="265"/>
        <v>27</v>
      </c>
      <c r="W104" s="64">
        <f t="shared" si="266"/>
        <v>54</v>
      </c>
      <c r="X104" s="64">
        <f t="shared" si="267"/>
        <v>45</v>
      </c>
      <c r="Y104" s="64" t="str">
        <f>IFERROR(VLOOKUP(MID(T104,W104,X104-W104),[5]skilldef!$C:$D,2,FALSE),"-") &amp; " / " &amp; IFERROR(VLOOKUP(MID(T104,U104,V104-U104),[5]skilldef!$A:$B,2,FALSE),"-")</f>
        <v>- / -</v>
      </c>
      <c r="Z104" s="50"/>
      <c r="AA104" s="52"/>
      <c r="AB104" s="50"/>
    </row>
    <row r="105" spans="1:28" ht="47" customHeight="1" x14ac:dyDescent="0.15">
      <c r="A105" s="131">
        <v>40025921</v>
      </c>
      <c r="B105" s="132" t="s">
        <v>477</v>
      </c>
      <c r="C105" s="50">
        <v>3</v>
      </c>
      <c r="D105" s="133" t="s">
        <v>128</v>
      </c>
      <c r="E105" s="134" t="s">
        <v>353</v>
      </c>
      <c r="F105" s="134" t="s">
        <v>351</v>
      </c>
      <c r="G105" s="64" t="str">
        <f t="shared" si="253"/>
        <v>[effect:enemy_message, val1:1.8, val2:3.0]</v>
      </c>
      <c r="H105" s="64">
        <f t="shared" si="254"/>
        <v>9</v>
      </c>
      <c r="I105" s="64">
        <f t="shared" si="255"/>
        <v>22</v>
      </c>
      <c r="J105" s="64" t="e">
        <f t="shared" si="256"/>
        <v>#VALUE!</v>
      </c>
      <c r="K105" s="64">
        <f t="shared" si="257"/>
        <v>32</v>
      </c>
      <c r="L105" s="64" t="str">
        <f>IFERROR(VLOOKUP(MID(G105,J105,K105-J105),[5]skilldef!$C:$D,2,FALSE),"-") &amp; " / " &amp; IFERROR(VLOOKUP(MID(G105,H105,I105-H105),[5]skilldef!$A:$B,2,FALSE),"-")</f>
        <v>- / -</v>
      </c>
      <c r="M105" s="64" t="str">
        <f t="shared" si="258"/>
        <v>[effect:degrade_fever, val:300, animation:fevergauge_down],[effect:change_panel_ratio, turn:-1, block_type:heal, val:0.5, animation:block_incidence04],[effect:force_change_block, new_block:jammer, target:block_all, ignore01:block_positive, ignore02:block_negative, count:5, val:0],[effect:tolerance, target:myself, turn:-1, tolerance_effect:all, count:-1, animation:enemy_tolerance],[effect:fix_speed, target:myself, turn:2]</v>
      </c>
      <c r="N105" s="48" t="str">
        <f>IFERROR(LEFT(M105,FIND("],",M105)+S122),M105)</f>
        <v>[effect:degrade_fever, val:300, animation:fevergauge_down]</v>
      </c>
      <c r="O105" s="64">
        <f t="shared" si="259"/>
        <v>9</v>
      </c>
      <c r="P105" s="64">
        <f t="shared" si="260"/>
        <v>22</v>
      </c>
      <c r="Q105" s="64" t="e">
        <f t="shared" si="261"/>
        <v>#VALUE!</v>
      </c>
      <c r="R105" s="64">
        <f t="shared" si="262"/>
        <v>31</v>
      </c>
      <c r="S105" s="64" t="str">
        <f>IFERROR(VLOOKUP(MID(N105,Q105,R105-Q105),[5]skilldef!$C:$D,2,FALSE),"-") &amp; " / " &amp; IFERROR(VLOOKUP(MID(N105,O105,P105-O105),[5]skilldef!$A:$B,2,FALSE),"-")</f>
        <v>- / フィーバーゲージ減少</v>
      </c>
      <c r="T105" s="48" t="str">
        <f t="shared" si="263"/>
        <v>[effect:change_panel_ratio, turn:-1, block_type:heal, val:0.5, animation:block_incidence04],[effect:force_change_block, new_block:jammer, target:block_all, ignore01:block_positive, ignore02:block_negative, count:5, val:0],[effect:tolerance, target:myself, turn:-1, tolerance_effect:all, count:-1, animation:enemy_tolerance],[effect:fix_speed, target:myself, turn:2]</v>
      </c>
      <c r="U105" s="64">
        <f t="shared" si="264"/>
        <v>9</v>
      </c>
      <c r="V105" s="64">
        <f t="shared" si="265"/>
        <v>27</v>
      </c>
      <c r="W105" s="64">
        <f t="shared" si="266"/>
        <v>146</v>
      </c>
      <c r="X105" s="64">
        <f t="shared" si="267"/>
        <v>36</v>
      </c>
      <c r="Y105" s="64" t="str">
        <f>IFERROR(VLOOKUP(MID(T105,W105,X105-W105),[5]skilldef!$C:$D,2,FALSE),"-") &amp; " / " &amp; IFERROR(VLOOKUP(MID(T105,U105,V105-U105),[5]skilldef!$A:$B,2,FALSE),"-")</f>
        <v>- / -</v>
      </c>
      <c r="Z105" s="50"/>
      <c r="AA105" s="52"/>
      <c r="AB105" s="50"/>
    </row>
    <row r="106" spans="1:28" ht="43" customHeight="1" x14ac:dyDescent="0.15">
      <c r="A106" s="131">
        <v>40025924</v>
      </c>
      <c r="B106" s="132" t="s">
        <v>477</v>
      </c>
      <c r="C106" s="50">
        <v>3</v>
      </c>
      <c r="D106" s="133" t="s">
        <v>128</v>
      </c>
      <c r="E106" s="134" t="s">
        <v>350</v>
      </c>
      <c r="F106" s="134" t="s">
        <v>352</v>
      </c>
      <c r="G106" s="64" t="str">
        <f t="shared" si="253"/>
        <v>[effect:enemy_message, val1:1.8, val2:3.0]</v>
      </c>
      <c r="H106" s="64">
        <f t="shared" si="254"/>
        <v>9</v>
      </c>
      <c r="I106" s="64">
        <f t="shared" si="255"/>
        <v>22</v>
      </c>
      <c r="J106" s="64" t="e">
        <f t="shared" si="256"/>
        <v>#VALUE!</v>
      </c>
      <c r="K106" s="64">
        <f t="shared" si="257"/>
        <v>32</v>
      </c>
      <c r="L106" s="64" t="str">
        <f>IFERROR(VLOOKUP(MID(G106,J106,K106-J106),[5]skilldef!$C:$D,2,FALSE),"-") &amp; " / " &amp; IFERROR(VLOOKUP(MID(G106,H106,I106-H106),[5]skilldef!$A:$B,2,FALSE),"-")</f>
        <v>- / -</v>
      </c>
      <c r="M106" s="64" t="str">
        <f t="shared" si="258"/>
        <v>[effect:degrade_fever, val:300, animation:fevergauge_down],[effect:change_panel_ratio, turn:-1, block_type:heal, val:0.5, animation:block_incidence04],[effect:force_change_block, new_block:jammer, target:block_all, ignore01:block_positive, ignore02:block_negative, count:5, val:0],[effect:tolerance, target:myself, turn:-1, tolerance_effect:all, count:-1, animation:enemy_tolerance],[effect:fix_speed, target:myself, turn:2]</v>
      </c>
      <c r="N106" s="48" t="str">
        <f>IFERROR(LEFT(M106,FIND("],",M106)+S123),M106)</f>
        <v>[effect:degrade_fever, val:300, animation:fevergauge_down]</v>
      </c>
      <c r="O106" s="64">
        <f t="shared" si="259"/>
        <v>9</v>
      </c>
      <c r="P106" s="64">
        <f t="shared" si="260"/>
        <v>22</v>
      </c>
      <c r="Q106" s="64" t="e">
        <f t="shared" si="261"/>
        <v>#VALUE!</v>
      </c>
      <c r="R106" s="64">
        <f t="shared" si="262"/>
        <v>31</v>
      </c>
      <c r="S106" s="64" t="str">
        <f>IFERROR(VLOOKUP(MID(N106,Q106,R106-Q106),[5]skilldef!$C:$D,2,FALSE),"-") &amp; " / " &amp; IFERROR(VLOOKUP(MID(N106,O106,P106-O106),[5]skilldef!$A:$B,2,FALSE),"-")</f>
        <v>- / フィーバーゲージ減少</v>
      </c>
      <c r="T106" s="48" t="str">
        <f t="shared" si="263"/>
        <v>[effect:change_panel_ratio, turn:-1, block_type:heal, val:0.5, animation:block_incidence04],[effect:force_change_block, new_block:jammer, target:block_all, ignore01:block_positive, ignore02:block_negative, count:5, val:0],[effect:tolerance, target:myself, turn:-1, tolerance_effect:all, count:-1, animation:enemy_tolerance],[effect:fix_speed, target:myself, turn:2]</v>
      </c>
      <c r="U106" s="64">
        <f t="shared" si="264"/>
        <v>9</v>
      </c>
      <c r="V106" s="64">
        <f t="shared" si="265"/>
        <v>27</v>
      </c>
      <c r="W106" s="64">
        <f t="shared" si="266"/>
        <v>146</v>
      </c>
      <c r="X106" s="64">
        <f t="shared" si="267"/>
        <v>36</v>
      </c>
      <c r="Y106" s="64" t="str">
        <f>IFERROR(VLOOKUP(MID(T106,W106,X106-W106),[5]skilldef!$C:$D,2,FALSE),"-") &amp; " / " &amp; IFERROR(VLOOKUP(MID(T106,U106,V106-U106),[5]skilldef!$A:$B,2,FALSE),"-")</f>
        <v>- / -</v>
      </c>
      <c r="Z106" s="50"/>
      <c r="AA106" s="52"/>
      <c r="AB106" s="50"/>
    </row>
    <row r="107" spans="1:28" ht="31" customHeight="1" x14ac:dyDescent="0.15">
      <c r="A107" s="131">
        <v>40025931</v>
      </c>
      <c r="B107" s="126" t="s">
        <v>398</v>
      </c>
      <c r="C107" s="50">
        <v>3</v>
      </c>
      <c r="D107" s="127" t="s">
        <v>128</v>
      </c>
      <c r="E107" s="128" t="s">
        <v>336</v>
      </c>
      <c r="F107" s="128" t="s">
        <v>370</v>
      </c>
      <c r="G107" s="64" t="str">
        <f t="shared" si="253"/>
        <v>[effect:enemy_message, val1:1.8, val2:3.0]</v>
      </c>
      <c r="H107" s="64">
        <f t="shared" si="254"/>
        <v>9</v>
      </c>
      <c r="I107" s="64">
        <f t="shared" si="255"/>
        <v>22</v>
      </c>
      <c r="J107" s="64" t="e">
        <f t="shared" si="256"/>
        <v>#VALUE!</v>
      </c>
      <c r="K107" s="64">
        <f t="shared" si="257"/>
        <v>32</v>
      </c>
      <c r="L107" s="64" t="str">
        <f>IFERROR(VLOOKUP(MID(G107,J107,K107-J107),[5]skilldef!$C:$D,2,FALSE),"-") &amp; " / " &amp; IFERROR(VLOOKUP(MID(G107,H107,I107-H107),[5]skilldef!$A:$B,2,FALSE),"-")</f>
        <v>- / -</v>
      </c>
      <c r="M107" s="64" t="str">
        <f t="shared" si="258"/>
        <v>[effect:degrade_fever, val:300, animation:fevergauge_down],[effect:force_change_block, new_block:block_blue, target:block_all, count:0, val:0],[effect:fix_speed, target:myself, turn:2],[effect:remove_enhancement, target:unit_all, target_effect:all, animation:frozen_wave],[effect:invalidate_change_block, target:unit_all, block_type01:block_all, turn:-1, animation:panel_conversion_off]</v>
      </c>
      <c r="N107" s="48" t="str">
        <f>IFERROR(LEFT(M107,FIND("],",M107)+S119),M107)</f>
        <v>[effect:degrade_fever, val:300, animation:fevergauge_down],[effect:force_change_block, new_block:block_blue, target:block_all, count:0, val:0],[effect:fix_speed, target:myself, turn:2],[effect:remove_enhancement, target:unit_all, target_effect:all, animation:frozen_wave],[effect:invalidate_change_block, target:unit_all, block_type01:block_all, turn:-1, animation:panel_conversion_off]</v>
      </c>
      <c r="O107" s="64">
        <f t="shared" si="259"/>
        <v>9</v>
      </c>
      <c r="P107" s="64">
        <f t="shared" si="260"/>
        <v>22</v>
      </c>
      <c r="Q107" s="64">
        <f t="shared" si="261"/>
        <v>117</v>
      </c>
      <c r="R107" s="64">
        <f t="shared" si="262"/>
        <v>31</v>
      </c>
      <c r="S107" s="64" t="str">
        <f>IFERROR(VLOOKUP(MID(N107,Q107,R107-Q107),[5]skilldef!$C:$D,2,FALSE),"-") &amp; " / " &amp; IFERROR(VLOOKUP(MID(N107,O107,P107-O107),[5]skilldef!$A:$B,2,FALSE),"-")</f>
        <v>- / フィーバーゲージ減少</v>
      </c>
      <c r="T107" s="48" t="str">
        <f t="shared" si="263"/>
        <v>[effect:force_change_block, new_block:block_blue, target:block_all, count:0, val:0],[effect:fix_speed, target:myself, turn:2],[effect:remove_enhancement, target:unit_all, target_effect:all, animation:frozen_wave],[effect:invalidate_change_block, target:unit_all, block_type01:block_all, turn:-1, animation:panel_conversion_off]</v>
      </c>
      <c r="U107" s="64">
        <f t="shared" si="264"/>
        <v>9</v>
      </c>
      <c r="V107" s="64">
        <f t="shared" si="265"/>
        <v>27</v>
      </c>
      <c r="W107" s="64">
        <f t="shared" si="266"/>
        <v>58</v>
      </c>
      <c r="X107" s="64">
        <f t="shared" si="267"/>
        <v>49</v>
      </c>
      <c r="Y107" s="64" t="str">
        <f>IFERROR(VLOOKUP(MID(T107,W107,X107-W107),[5]skilldef!$C:$D,2,FALSE),"-") &amp; " / " &amp; IFERROR(VLOOKUP(MID(T107,U107,V107-U107),[5]skilldef!$A:$B,2,FALSE),"-")</f>
        <v>- / -</v>
      </c>
      <c r="Z107" s="50"/>
      <c r="AA107" s="52"/>
      <c r="AB107" s="50"/>
    </row>
    <row r="108" spans="1:28" ht="21" customHeight="1" x14ac:dyDescent="0.15">
      <c r="A108" s="131">
        <v>40025932</v>
      </c>
      <c r="B108" s="126" t="s">
        <v>333</v>
      </c>
      <c r="C108" s="50">
        <v>3</v>
      </c>
      <c r="D108" s="127" t="s">
        <v>128</v>
      </c>
      <c r="E108" s="128" t="s">
        <v>292</v>
      </c>
      <c r="F108" s="128" t="s">
        <v>318</v>
      </c>
      <c r="G108" s="64" t="str">
        <f t="shared" si="253"/>
        <v>[effect:enemy_message, val1:1, val2:2.0]</v>
      </c>
      <c r="H108" s="64">
        <f t="shared" si="254"/>
        <v>9</v>
      </c>
      <c r="I108" s="64">
        <f t="shared" si="255"/>
        <v>22</v>
      </c>
      <c r="J108" s="64" t="e">
        <f t="shared" si="256"/>
        <v>#VALUE!</v>
      </c>
      <c r="K108" s="64">
        <f t="shared" si="257"/>
        <v>30</v>
      </c>
      <c r="L108" s="64" t="str">
        <f>IFERROR(VLOOKUP(MID(G108,J108,K108-J108),[5]skilldef!$C:$D,2,FALSE),"-") &amp; " / " &amp; IFERROR(VLOOKUP(MID(G108,H108,I108-H108),[5]skilldef!$A:$B,2,FALSE),"-")</f>
        <v>- / -</v>
      </c>
      <c r="M108" s="64" t="str">
        <f t="shared" si="258"/>
        <v>[effect:force_change_block, new_block:jammer, target:block_all, ignore01:block_blue, count:0, val:0]</v>
      </c>
      <c r="N108" s="48" t="str">
        <f>IFERROR(LEFT(M108,FIND("],",M108)+S120),M108)</f>
        <v>[effect:force_change_block, new_block:jammer, target:block_all, ignore01:block_blue, count:0, val:0]</v>
      </c>
      <c r="O108" s="64">
        <f t="shared" si="259"/>
        <v>9</v>
      </c>
      <c r="P108" s="64">
        <f t="shared" si="260"/>
        <v>27</v>
      </c>
      <c r="Q108" s="64">
        <f t="shared" si="261"/>
        <v>54</v>
      </c>
      <c r="R108" s="64">
        <f t="shared" si="262"/>
        <v>45</v>
      </c>
      <c r="S108" s="64" t="str">
        <f>IFERROR(VLOOKUP(MID(N108,Q108,R108-Q108),[5]skilldef!$C:$D,2,FALSE),"-") &amp; " / " &amp; IFERROR(VLOOKUP(MID(N108,O108,P108-O108),[5]skilldef!$A:$B,2,FALSE),"-")</f>
        <v>- / -</v>
      </c>
      <c r="T108" s="48" t="str">
        <f t="shared" si="263"/>
        <v>none</v>
      </c>
      <c r="U108" s="64" t="e">
        <f t="shared" si="264"/>
        <v>#VALUE!</v>
      </c>
      <c r="V108" s="64">
        <f t="shared" si="265"/>
        <v>4</v>
      </c>
      <c r="W108" s="64" t="e">
        <f t="shared" si="266"/>
        <v>#VALUE!</v>
      </c>
      <c r="X108" s="64" t="e">
        <f t="shared" si="267"/>
        <v>#VALUE!</v>
      </c>
      <c r="Y108" s="64" t="str">
        <f>IFERROR(VLOOKUP(MID(T108,W108,X108-W108),[5]skilldef!$C:$D,2,FALSE),"-") &amp; " / " &amp; IFERROR(VLOOKUP(MID(T108,U108,V108-U108),[5]skilldef!$A:$B,2,FALSE),"-")</f>
        <v>- / -</v>
      </c>
      <c r="Z108" s="50"/>
      <c r="AA108" s="52"/>
      <c r="AB108" s="50"/>
    </row>
    <row r="109" spans="1:28" ht="21" customHeight="1" x14ac:dyDescent="0.15">
      <c r="A109" s="131">
        <v>40025933</v>
      </c>
      <c r="B109" s="126" t="s">
        <v>468</v>
      </c>
      <c r="C109" s="50">
        <v>3</v>
      </c>
      <c r="D109" s="127" t="s">
        <v>128</v>
      </c>
      <c r="E109" s="128" t="s">
        <v>291</v>
      </c>
      <c r="F109" s="128" t="s">
        <v>447</v>
      </c>
      <c r="G109" s="64" t="str">
        <f t="shared" si="253"/>
        <v>[effect:enemy_message, val1:1, val2:2.3]</v>
      </c>
      <c r="H109" s="64">
        <f t="shared" si="254"/>
        <v>9</v>
      </c>
      <c r="I109" s="64">
        <f t="shared" si="255"/>
        <v>22</v>
      </c>
      <c r="J109" s="64" t="e">
        <f t="shared" si="256"/>
        <v>#VALUE!</v>
      </c>
      <c r="K109" s="64">
        <f t="shared" si="257"/>
        <v>30</v>
      </c>
      <c r="L109" s="64" t="str">
        <f>IFERROR(VLOOKUP(MID(G109,J109,K109-J109),[5]skilldef!$C:$D,2,FALSE),"-") &amp; " / " &amp; IFERROR(VLOOKUP(MID(G109,H109,I109-H109),[5]skilldef!$A:$B,2,FALSE),"-")</f>
        <v>- / -</v>
      </c>
      <c r="M109" s="64" t="str">
        <f t="shared" si="258"/>
        <v>[effect:break_attack_fix, target:unit_one, val:715, lowest_val:8570, count:-1, color:blue, block01:block_blue]</v>
      </c>
      <c r="N109" s="48" t="str">
        <f>IFERROR(LEFT(M109,FIND("],",M109)+S121),M109)</f>
        <v>[effect:break_attack_fix, target:unit_one, val:715, lowest_val:8570, count:-1, color:blue, block01:block_blue]</v>
      </c>
      <c r="O109" s="64">
        <f t="shared" si="259"/>
        <v>9</v>
      </c>
      <c r="P109" s="64">
        <f t="shared" si="260"/>
        <v>25</v>
      </c>
      <c r="Q109" s="64">
        <f t="shared" si="261"/>
        <v>34</v>
      </c>
      <c r="R109" s="64">
        <f t="shared" si="262"/>
        <v>42</v>
      </c>
      <c r="S109" s="64" t="str">
        <f>IFERROR(VLOOKUP(MID(N109,Q109,R109-Q109),[5]skilldef!$C:$D,2,FALSE),"-") &amp; " / " &amp; IFERROR(VLOOKUP(MID(N109,O109,P109-O109),[5]skilldef!$A:$B,2,FALSE),"-")</f>
        <v>味方単体に / -</v>
      </c>
      <c r="T109" s="48" t="str">
        <f t="shared" si="263"/>
        <v>none</v>
      </c>
      <c r="U109" s="64" t="e">
        <f t="shared" si="264"/>
        <v>#VALUE!</v>
      </c>
      <c r="V109" s="64">
        <f t="shared" si="265"/>
        <v>4</v>
      </c>
      <c r="W109" s="64" t="e">
        <f t="shared" si="266"/>
        <v>#VALUE!</v>
      </c>
      <c r="X109" s="64" t="e">
        <f t="shared" si="267"/>
        <v>#VALUE!</v>
      </c>
      <c r="Y109" s="64" t="str">
        <f>IFERROR(VLOOKUP(MID(T109,W109,X109-W109),[5]skilldef!$C:$D,2,FALSE),"-") &amp; " / " &amp; IFERROR(VLOOKUP(MID(T109,U109,V109-U109),[5]skilldef!$A:$B,2,FALSE),"-")</f>
        <v>- / -</v>
      </c>
      <c r="Z109" s="50"/>
      <c r="AA109" s="52"/>
      <c r="AB109" s="50"/>
    </row>
    <row r="110" spans="1:28" ht="30" customHeight="1" x14ac:dyDescent="0.15">
      <c r="A110" s="131">
        <v>40025934</v>
      </c>
      <c r="B110" s="126" t="s">
        <v>460</v>
      </c>
      <c r="C110" s="50">
        <v>3</v>
      </c>
      <c r="D110" s="127" t="s">
        <v>128</v>
      </c>
      <c r="E110" s="128" t="s">
        <v>290</v>
      </c>
      <c r="F110" s="128" t="s">
        <v>449</v>
      </c>
      <c r="G110" s="64" t="str">
        <f t="shared" si="253"/>
        <v>[effect:enemy_message, val1:1, val2:2.3]</v>
      </c>
      <c r="H110" s="64">
        <f t="shared" si="254"/>
        <v>9</v>
      </c>
      <c r="I110" s="64">
        <f t="shared" si="255"/>
        <v>22</v>
      </c>
      <c r="J110" s="64" t="e">
        <f t="shared" si="256"/>
        <v>#VALUE!</v>
      </c>
      <c r="K110" s="64">
        <f t="shared" si="257"/>
        <v>30</v>
      </c>
      <c r="L110" s="64" t="str">
        <f>IFERROR(VLOOKUP(MID(G110,J110,K110-J110),[5]skilldef!$C:$D,2,FALSE),"-") &amp; " / " &amp; IFERROR(VLOOKUP(MID(G110,H110,I110-H110),[5]skilldef!$A:$B,2,FALSE),"-")</f>
        <v>- / -</v>
      </c>
      <c r="M110" s="64" t="str">
        <f t="shared" si="258"/>
        <v>[effect:force_change_block, new_block:block_blue, target:block_all, count:0, val:0],[effect:heal, target:myself, val:0.6, animation:enemy_heal]</v>
      </c>
      <c r="N110" s="48" t="str">
        <f>IFERROR(LEFT(M110,FIND("],",M110)+S122),M110)</f>
        <v>[effect:force_change_block, new_block:block_blue, target:block_all, count:0, val:0]</v>
      </c>
      <c r="O110" s="64">
        <f t="shared" si="259"/>
        <v>9</v>
      </c>
      <c r="P110" s="64">
        <f t="shared" si="260"/>
        <v>27</v>
      </c>
      <c r="Q110" s="64">
        <f t="shared" si="261"/>
        <v>58</v>
      </c>
      <c r="R110" s="64">
        <f t="shared" si="262"/>
        <v>49</v>
      </c>
      <c r="S110" s="64" t="str">
        <f>IFERROR(VLOOKUP(MID(N110,Q110,R110-Q110),[5]skilldef!$C:$D,2,FALSE),"-") &amp; " / " &amp; IFERROR(VLOOKUP(MID(N110,O110,P110-O110),[5]skilldef!$A:$B,2,FALSE),"-")</f>
        <v>- / -</v>
      </c>
      <c r="T110" s="48" t="str">
        <f t="shared" si="263"/>
        <v>[effect:heal, target:myself, val:0.6, animation:enemy_heal]</v>
      </c>
      <c r="U110" s="64">
        <f t="shared" si="264"/>
        <v>9</v>
      </c>
      <c r="V110" s="64">
        <f t="shared" si="265"/>
        <v>13</v>
      </c>
      <c r="W110" s="64">
        <f t="shared" si="266"/>
        <v>22</v>
      </c>
      <c r="X110" s="64">
        <f t="shared" si="267"/>
        <v>28</v>
      </c>
      <c r="Y110" s="64" t="str">
        <f>IFERROR(VLOOKUP(MID(T110,W110,X110-W110),[5]skilldef!$C:$D,2,FALSE),"-") &amp; " / " &amp; IFERROR(VLOOKUP(MID(T110,U110,V110-U110),[5]skilldef!$A:$B,2,FALSE),"-")</f>
        <v>自分自身に / 回復</v>
      </c>
      <c r="Z110" s="50"/>
      <c r="AA110" s="52"/>
      <c r="AB110" s="50"/>
    </row>
    <row r="111" spans="1:28" ht="34" customHeight="1" x14ac:dyDescent="0.15">
      <c r="A111" s="131">
        <v>40025935</v>
      </c>
      <c r="B111" s="132" t="s">
        <v>448</v>
      </c>
      <c r="C111" s="50">
        <v>3</v>
      </c>
      <c r="D111" s="133" t="s">
        <v>128</v>
      </c>
      <c r="E111" s="134" t="s">
        <v>357</v>
      </c>
      <c r="F111" s="134" t="s">
        <v>367</v>
      </c>
      <c r="G111" s="64" t="str">
        <f t="shared" si="253"/>
        <v>[effect:enemy_message, val1:1.8, val2:3.0]</v>
      </c>
      <c r="H111" s="64">
        <f t="shared" si="254"/>
        <v>9</v>
      </c>
      <c r="I111" s="64">
        <f t="shared" si="255"/>
        <v>22</v>
      </c>
      <c r="J111" s="64" t="e">
        <f t="shared" si="256"/>
        <v>#VALUE!</v>
      </c>
      <c r="K111" s="64">
        <f t="shared" si="257"/>
        <v>32</v>
      </c>
      <c r="L111" s="64" t="str">
        <f>IFERROR(VLOOKUP(MID(G111,J111,K111-J111),[5]skilldef!$C:$D,2,FALSE),"-") &amp; " / " &amp; IFERROR(VLOOKUP(MID(G111,H111,I111-H111),[5]skilldef!$A:$B,2,FALSE),"-")</f>
        <v>- / -</v>
      </c>
      <c r="M111" s="64" t="str">
        <f t="shared" si="258"/>
        <v>[effect:force_change_block, new_block:block_blue, target:block_all, count:0, val:0],[effect:remove_enhancement, target:unit_all, target_effect:all, animation:frozen_wave],[effect:invalidate_change_block, target:unit_all, block_type01:block_all, turn:-1, animation:panel_conversion_off],[effect:fix_speed, target:myself, turn:2]</v>
      </c>
      <c r="N111" s="48" t="str">
        <f>IFERROR(LEFT(M111,FIND("],",M111)+S123),M111)</f>
        <v>[effect:force_change_block, new_block:block_blue, target:block_all, count:0, val:0]</v>
      </c>
      <c r="O111" s="64">
        <f t="shared" si="259"/>
        <v>9</v>
      </c>
      <c r="P111" s="64">
        <f t="shared" si="260"/>
        <v>27</v>
      </c>
      <c r="Q111" s="64">
        <f t="shared" si="261"/>
        <v>58</v>
      </c>
      <c r="R111" s="64">
        <f t="shared" si="262"/>
        <v>49</v>
      </c>
      <c r="S111" s="64" t="str">
        <f>IFERROR(VLOOKUP(MID(N111,Q111,R111-Q111),[5]skilldef!$C:$D,2,FALSE),"-") &amp; " / " &amp; IFERROR(VLOOKUP(MID(N111,O111,P111-O111),[5]skilldef!$A:$B,2,FALSE),"-")</f>
        <v>- / -</v>
      </c>
      <c r="T111" s="48" t="str">
        <f t="shared" si="263"/>
        <v>[effect:remove_enhancement, target:unit_all, target_effect:all, animation:frozen_wave],[effect:invalidate_change_block, target:unit_all, block_type01:block_all, turn:-1, animation:panel_conversion_off],[effect:fix_speed, target:myself, turn:2]</v>
      </c>
      <c r="U111" s="64">
        <f t="shared" si="264"/>
        <v>9</v>
      </c>
      <c r="V111" s="64">
        <f t="shared" si="265"/>
        <v>27</v>
      </c>
      <c r="W111" s="64">
        <f t="shared" si="266"/>
        <v>36</v>
      </c>
      <c r="X111" s="64">
        <f t="shared" si="267"/>
        <v>44</v>
      </c>
      <c r="Y111" s="64" t="str">
        <f>IFERROR(VLOOKUP(MID(T111,W111,X111-W111),[5]skilldef!$C:$D,2,FALSE),"-") &amp; " / " &amp; IFERROR(VLOOKUP(MID(T111,U111,V111-U111),[5]skilldef!$A:$B,2,FALSE),"-")</f>
        <v>味方全体に / -</v>
      </c>
      <c r="Z111" s="50"/>
      <c r="AA111" s="52"/>
      <c r="AB111" s="50"/>
    </row>
    <row r="112" spans="1:28" ht="33" customHeight="1" x14ac:dyDescent="0.15">
      <c r="A112" s="131">
        <v>40025951</v>
      </c>
      <c r="B112" s="47" t="s">
        <v>467</v>
      </c>
      <c r="C112" s="50">
        <v>3</v>
      </c>
      <c r="D112" s="50" t="s">
        <v>128</v>
      </c>
      <c r="E112" s="51" t="s">
        <v>368</v>
      </c>
      <c r="F112" s="51" t="s">
        <v>372</v>
      </c>
      <c r="G112" s="64" t="str">
        <f t="shared" si="253"/>
        <v>[effect:enemy_message, val1:2.3, val2:3.0]</v>
      </c>
      <c r="H112" s="64">
        <f t="shared" si="254"/>
        <v>9</v>
      </c>
      <c r="I112" s="64">
        <f t="shared" si="255"/>
        <v>22</v>
      </c>
      <c r="J112" s="64" t="e">
        <f t="shared" si="256"/>
        <v>#VALUE!</v>
      </c>
      <c r="K112" s="64">
        <f t="shared" si="257"/>
        <v>32</v>
      </c>
      <c r="L112" s="64" t="str">
        <f>IFERROR(VLOOKUP(MID(G112,J112,K112-J112),[5]skilldef!$C:$D,2,FALSE),"-") &amp; " / " &amp; IFERROR(VLOOKUP(MID(G112,H112,I112-H112),[5]skilldef!$A:$B,2,FALSE),"-")</f>
        <v>- / -</v>
      </c>
      <c r="M112" s="64" t="str">
        <f t="shared" si="258"/>
        <v>[effect:degrade_fever, val:500, animation:fevergauge_down],[effect:remove_enhancement, target:unit_all, target_effect:all, target_type:buff, animation:frozen_wave],[effect:change_panel_ratio, turn:-1, block_type:heal, val:0.36, animation:block_incidence04],[effect:tolerance, target:myself, turn:-1, tolerance_effect:all, count:-1, animation:enemy_tolerance],[effect:fix_speed, target:myself, turn:1]</v>
      </c>
      <c r="N112" s="48" t="str">
        <f t="shared" ref="N112:N118" si="268">IFERROR(LEFT(M112,FIND("],",M112)+S123),M112)</f>
        <v>[effect:degrade_fever, val:500, animation:fevergauge_down]</v>
      </c>
      <c r="O112" s="64">
        <f t="shared" si="259"/>
        <v>9</v>
      </c>
      <c r="P112" s="64">
        <f t="shared" si="260"/>
        <v>22</v>
      </c>
      <c r="Q112" s="64" t="e">
        <f t="shared" si="261"/>
        <v>#VALUE!</v>
      </c>
      <c r="R112" s="64">
        <f t="shared" si="262"/>
        <v>31</v>
      </c>
      <c r="S112" s="64" t="str">
        <f>IFERROR(VLOOKUP(MID(N112,Q112,R112-Q112),[5]skilldef!$C:$D,2,FALSE),"-") &amp; " / " &amp; IFERROR(VLOOKUP(MID(N112,O112,P112-O112),[5]skilldef!$A:$B,2,FALSE),"-")</f>
        <v>- / フィーバーゲージ減少</v>
      </c>
      <c r="T112" s="48" t="str">
        <f t="shared" si="263"/>
        <v>[effect:remove_enhancement, target:unit_all, target_effect:all, target_type:buff, animation:frozen_wave],[effect:change_panel_ratio, turn:-1, block_type:heal, val:0.36, animation:block_incidence04],[effect:tolerance, target:myself, turn:-1, tolerance_effect:all, count:-1, animation:enemy_tolerance],[effect:fix_speed, target:myself, turn:1]</v>
      </c>
      <c r="U112" s="64">
        <f t="shared" si="264"/>
        <v>9</v>
      </c>
      <c r="V112" s="64">
        <f t="shared" si="265"/>
        <v>27</v>
      </c>
      <c r="W112" s="64">
        <f t="shared" si="266"/>
        <v>36</v>
      </c>
      <c r="X112" s="64">
        <f t="shared" si="267"/>
        <v>44</v>
      </c>
      <c r="Y112" s="64" t="str">
        <f>IFERROR(VLOOKUP(MID(T112,W112,X112-W112),[5]skilldef!$C:$D,2,FALSE),"-") &amp; " / " &amp; IFERROR(VLOOKUP(MID(T112,U112,V112-U112),[5]skilldef!$A:$B,2,FALSE),"-")</f>
        <v>味方全体に / -</v>
      </c>
      <c r="Z112" s="50"/>
      <c r="AA112" s="52"/>
      <c r="AB112" s="50"/>
    </row>
    <row r="113" spans="1:28" ht="21" customHeight="1" x14ac:dyDescent="0.15">
      <c r="A113" s="131">
        <v>40025952</v>
      </c>
      <c r="B113" s="47" t="s">
        <v>483</v>
      </c>
      <c r="C113" s="50">
        <v>3</v>
      </c>
      <c r="D113" s="50" t="s">
        <v>128</v>
      </c>
      <c r="E113" s="51" t="s">
        <v>297</v>
      </c>
      <c r="F113" s="51" t="s">
        <v>319</v>
      </c>
      <c r="G113" s="64" t="str">
        <f t="shared" si="253"/>
        <v>[effect:force_change_block, new_block:jammer, target:block_all, ignore01:block_positive, ignore02:block_negative, count:10, val:0]</v>
      </c>
      <c r="H113" s="64">
        <f t="shared" si="254"/>
        <v>9</v>
      </c>
      <c r="I113" s="64">
        <f t="shared" si="255"/>
        <v>27</v>
      </c>
      <c r="J113" s="64">
        <f t="shared" si="256"/>
        <v>54</v>
      </c>
      <c r="K113" s="64">
        <f t="shared" si="257"/>
        <v>45</v>
      </c>
      <c r="L113" s="64" t="str">
        <f>IFERROR(VLOOKUP(MID(G113,J113,K113-J113),[5]skilldef!$C:$D,2,FALSE),"-") &amp; " / " &amp; IFERROR(VLOOKUP(MID(G113,H113,I113-H113),[5]skilldef!$A:$B,2,FALSE),"-")</f>
        <v>- / -</v>
      </c>
      <c r="M113" s="64" t="str">
        <f t="shared" si="258"/>
        <v>[effect:critical, val:1]</v>
      </c>
      <c r="N113" s="48" t="str">
        <f t="shared" si="268"/>
        <v>[effect:critical, val:1]</v>
      </c>
      <c r="O113" s="64">
        <f t="shared" si="259"/>
        <v>9</v>
      </c>
      <c r="P113" s="64">
        <f t="shared" si="260"/>
        <v>17</v>
      </c>
      <c r="Q113" s="64" t="e">
        <f t="shared" si="261"/>
        <v>#VALUE!</v>
      </c>
      <c r="R113" s="64" t="e">
        <f t="shared" si="262"/>
        <v>#VALUE!</v>
      </c>
      <c r="S113" s="64" t="str">
        <f>IFERROR(VLOOKUP(MID(N113,Q113,R113-Q113),[5]skilldef!$C:$D,2,FALSE),"-") &amp; " / " &amp; IFERROR(VLOOKUP(MID(N113,O113,P113-O113),[5]skilldef!$A:$B,2,FALSE),"-")</f>
        <v>- / 大攻撃</v>
      </c>
      <c r="T113" s="48" t="str">
        <f t="shared" si="263"/>
        <v>none</v>
      </c>
      <c r="U113" s="64" t="e">
        <f t="shared" si="264"/>
        <v>#VALUE!</v>
      </c>
      <c r="V113" s="64">
        <f t="shared" si="265"/>
        <v>4</v>
      </c>
      <c r="W113" s="64" t="e">
        <f t="shared" si="266"/>
        <v>#VALUE!</v>
      </c>
      <c r="X113" s="64" t="e">
        <f t="shared" si="267"/>
        <v>#VALUE!</v>
      </c>
      <c r="Y113" s="64" t="str">
        <f>IFERROR(VLOOKUP(MID(T113,W113,X113-W113),[5]skilldef!$C:$D,2,FALSE),"-") &amp; " / " &amp; IFERROR(VLOOKUP(MID(T113,U113,V113-U113),[5]skilldef!$A:$B,2,FALSE),"-")</f>
        <v>- / -</v>
      </c>
      <c r="Z113" s="50"/>
      <c r="AA113" s="52"/>
      <c r="AB113" s="50"/>
    </row>
    <row r="114" spans="1:28" ht="21" customHeight="1" x14ac:dyDescent="0.15">
      <c r="A114" s="131">
        <v>40025953</v>
      </c>
      <c r="B114" s="47" t="s">
        <v>265</v>
      </c>
      <c r="C114" s="50">
        <v>3</v>
      </c>
      <c r="D114" s="50" t="s">
        <v>128</v>
      </c>
      <c r="E114" s="51" t="s">
        <v>298</v>
      </c>
      <c r="F114" s="51" t="s">
        <v>316</v>
      </c>
      <c r="G114" s="64" t="str">
        <f t="shared" si="253"/>
        <v>[effect:damage_gravity, val:0.95, animation:fevergauge_down]</v>
      </c>
      <c r="H114" s="64">
        <f t="shared" si="254"/>
        <v>9</v>
      </c>
      <c r="I114" s="64">
        <f t="shared" si="255"/>
        <v>23</v>
      </c>
      <c r="J114" s="64" t="e">
        <f t="shared" si="256"/>
        <v>#VALUE!</v>
      </c>
      <c r="K114" s="64">
        <f t="shared" si="257"/>
        <v>33</v>
      </c>
      <c r="L114" s="64" t="str">
        <f>IFERROR(VLOOKUP(MID(G114,J114,K114-J114),[5]skilldef!$C:$D,2,FALSE),"-") &amp; " / " &amp; IFERROR(VLOOKUP(MID(G114,H114,I114-H114),[5]skilldef!$A:$B,2,FALSE),"-")</f>
        <v>- / 割合ダメージ</v>
      </c>
      <c r="M114" s="64" t="str">
        <f t="shared" si="258"/>
        <v>none</v>
      </c>
      <c r="N114" s="48" t="str">
        <f t="shared" si="268"/>
        <v>none</v>
      </c>
      <c r="O114" s="64" t="e">
        <f t="shared" si="259"/>
        <v>#VALUE!</v>
      </c>
      <c r="P114" s="64">
        <f t="shared" si="260"/>
        <v>4</v>
      </c>
      <c r="Q114" s="64" t="e">
        <f t="shared" si="261"/>
        <v>#VALUE!</v>
      </c>
      <c r="R114" s="64" t="e">
        <f t="shared" si="262"/>
        <v>#VALUE!</v>
      </c>
      <c r="S114" s="64" t="str">
        <f>IFERROR(VLOOKUP(MID(N114,Q114,R114-Q114),[5]skilldef!$C:$D,2,FALSE),"-") &amp; " / " &amp; IFERROR(VLOOKUP(MID(N114,O114,P114-O114),[5]skilldef!$A:$B,2,FALSE),"-")</f>
        <v>- / -</v>
      </c>
      <c r="T114" s="48" t="str">
        <f t="shared" si="263"/>
        <v>none</v>
      </c>
      <c r="U114" s="64" t="e">
        <f t="shared" si="264"/>
        <v>#VALUE!</v>
      </c>
      <c r="V114" s="64">
        <f t="shared" si="265"/>
        <v>4</v>
      </c>
      <c r="W114" s="64" t="e">
        <f t="shared" si="266"/>
        <v>#VALUE!</v>
      </c>
      <c r="X114" s="64" t="e">
        <f t="shared" si="267"/>
        <v>#VALUE!</v>
      </c>
      <c r="Y114" s="64" t="str">
        <f>IFERROR(VLOOKUP(MID(T114,W114,X114-W114),[5]skilldef!$C:$D,2,FALSE),"-") &amp; " / " &amp; IFERROR(VLOOKUP(MID(T114,U114,V114-U114),[5]skilldef!$A:$B,2,FALSE),"-")</f>
        <v>- / -</v>
      </c>
      <c r="Z114" s="50"/>
      <c r="AA114" s="52"/>
      <c r="AB114" s="50"/>
    </row>
    <row r="115" spans="1:28" ht="21" customHeight="1" x14ac:dyDescent="0.15">
      <c r="A115" s="131">
        <v>40025954</v>
      </c>
      <c r="B115" s="47" t="s">
        <v>269</v>
      </c>
      <c r="C115" s="50">
        <v>3</v>
      </c>
      <c r="D115" s="50" t="s">
        <v>128</v>
      </c>
      <c r="E115" s="51" t="s">
        <v>322</v>
      </c>
      <c r="F115" s="51" t="s">
        <v>320</v>
      </c>
      <c r="G115" s="64" t="str">
        <f t="shared" si="253"/>
        <v>[effect:break_heal_ratio, target:enemy_one, val:0.03, lowest_val:0, count:-1, block01:jammer, animation:enemy_heal]</v>
      </c>
      <c r="H115" s="64">
        <f t="shared" si="254"/>
        <v>9</v>
      </c>
      <c r="I115" s="64">
        <f t="shared" si="255"/>
        <v>25</v>
      </c>
      <c r="J115" s="64">
        <f t="shared" si="256"/>
        <v>34</v>
      </c>
      <c r="K115" s="64">
        <f t="shared" si="257"/>
        <v>43</v>
      </c>
      <c r="L115" s="64" t="str">
        <f>IFERROR(VLOOKUP(MID(G115,J115,K115-J115),[5]skilldef!$C:$D,2,FALSE),"-") &amp; " / " &amp; IFERROR(VLOOKUP(MID(G115,H115,I115-H115),[5]skilldef!$A:$B,2,FALSE),"-")</f>
        <v>敵単体に / -</v>
      </c>
      <c r="M115" s="64" t="str">
        <f t="shared" si="258"/>
        <v>none</v>
      </c>
      <c r="N115" s="48" t="str">
        <f t="shared" si="268"/>
        <v>none</v>
      </c>
      <c r="O115" s="64" t="e">
        <f t="shared" si="259"/>
        <v>#VALUE!</v>
      </c>
      <c r="P115" s="64">
        <f t="shared" si="260"/>
        <v>4</v>
      </c>
      <c r="Q115" s="64" t="e">
        <f t="shared" si="261"/>
        <v>#VALUE!</v>
      </c>
      <c r="R115" s="64" t="e">
        <f t="shared" si="262"/>
        <v>#VALUE!</v>
      </c>
      <c r="S115" s="64" t="str">
        <f>IFERROR(VLOOKUP(MID(N115,Q115,R115-Q115),[5]skilldef!$C:$D,2,FALSE),"-") &amp; " / " &amp; IFERROR(VLOOKUP(MID(N115,O115,P115-O115),[5]skilldef!$A:$B,2,FALSE),"-")</f>
        <v>- / -</v>
      </c>
      <c r="T115" s="48" t="str">
        <f t="shared" si="263"/>
        <v>none</v>
      </c>
      <c r="U115" s="64" t="e">
        <f t="shared" si="264"/>
        <v>#VALUE!</v>
      </c>
      <c r="V115" s="64">
        <f t="shared" si="265"/>
        <v>4</v>
      </c>
      <c r="W115" s="64" t="e">
        <f t="shared" si="266"/>
        <v>#VALUE!</v>
      </c>
      <c r="X115" s="64" t="e">
        <f t="shared" si="267"/>
        <v>#VALUE!</v>
      </c>
      <c r="Y115" s="64" t="str">
        <f>IFERROR(VLOOKUP(MID(T115,W115,X115-W115),[5]skilldef!$C:$D,2,FALSE),"-") &amp; " / " &amp; IFERROR(VLOOKUP(MID(T115,U115,V115-U115),[5]skilldef!$A:$B,2,FALSE),"-")</f>
        <v>- / -</v>
      </c>
      <c r="Z115" s="50"/>
      <c r="AA115" s="52"/>
      <c r="AB115" s="50"/>
    </row>
    <row r="116" spans="1:28" ht="21" customHeight="1" x14ac:dyDescent="0.15">
      <c r="A116" s="131">
        <v>40025955</v>
      </c>
      <c r="B116" s="47" t="s">
        <v>267</v>
      </c>
      <c r="C116" s="50">
        <v>3</v>
      </c>
      <c r="D116" s="50" t="s">
        <v>128</v>
      </c>
      <c r="E116" s="51" t="s">
        <v>302</v>
      </c>
      <c r="F116" s="51" t="s">
        <v>321</v>
      </c>
      <c r="G116" s="64" t="str">
        <f t="shared" si="253"/>
        <v>[effect:enhance_enemy, target:myself, turn:-1, status:attack, val:0.5, calc:mul, animation:enemy_enhance_attack]</v>
      </c>
      <c r="H116" s="64">
        <f t="shared" si="254"/>
        <v>9</v>
      </c>
      <c r="I116" s="64">
        <f t="shared" si="255"/>
        <v>22</v>
      </c>
      <c r="J116" s="64">
        <f t="shared" si="256"/>
        <v>31</v>
      </c>
      <c r="K116" s="64">
        <f t="shared" si="257"/>
        <v>37</v>
      </c>
      <c r="L116" s="64" t="str">
        <f>IFERROR(VLOOKUP(MID(G116,J116,K116-J116),[5]skilldef!$C:$D,2,FALSE),"-") &amp; " / " &amp; IFERROR(VLOOKUP(MID(G116,H116,I116-H116),[5]skilldef!$A:$B,2,FALSE),"-")</f>
        <v>自分自身に / ステータス強化</v>
      </c>
      <c r="M116" s="64" t="str">
        <f t="shared" si="258"/>
        <v>none</v>
      </c>
      <c r="N116" s="48" t="str">
        <f t="shared" si="268"/>
        <v>none</v>
      </c>
      <c r="O116" s="64" t="e">
        <f t="shared" si="259"/>
        <v>#VALUE!</v>
      </c>
      <c r="P116" s="64">
        <f t="shared" si="260"/>
        <v>4</v>
      </c>
      <c r="Q116" s="64" t="e">
        <f t="shared" si="261"/>
        <v>#VALUE!</v>
      </c>
      <c r="R116" s="64" t="e">
        <f t="shared" si="262"/>
        <v>#VALUE!</v>
      </c>
      <c r="S116" s="64" t="str">
        <f>IFERROR(VLOOKUP(MID(N116,Q116,R116-Q116),[5]skilldef!$C:$D,2,FALSE),"-") &amp; " / " &amp; IFERROR(VLOOKUP(MID(N116,O116,P116-O116),[5]skilldef!$A:$B,2,FALSE),"-")</f>
        <v>- / -</v>
      </c>
      <c r="T116" s="48" t="str">
        <f t="shared" si="263"/>
        <v>none</v>
      </c>
      <c r="U116" s="64" t="e">
        <f t="shared" si="264"/>
        <v>#VALUE!</v>
      </c>
      <c r="V116" s="64">
        <f t="shared" si="265"/>
        <v>4</v>
      </c>
      <c r="W116" s="64" t="e">
        <f t="shared" si="266"/>
        <v>#VALUE!</v>
      </c>
      <c r="X116" s="64" t="e">
        <f t="shared" si="267"/>
        <v>#VALUE!</v>
      </c>
      <c r="Y116" s="64" t="str">
        <f>IFERROR(VLOOKUP(MID(T116,W116,X116-W116),[5]skilldef!$C:$D,2,FALSE),"-") &amp; " / " &amp; IFERROR(VLOOKUP(MID(T116,U116,V116-U116),[5]skilldef!$A:$B,2,FALSE),"-")</f>
        <v>- / -</v>
      </c>
      <c r="Z116" s="50"/>
      <c r="AA116" s="52"/>
      <c r="AB116" s="50"/>
    </row>
    <row r="117" spans="1:28" ht="34" customHeight="1" x14ac:dyDescent="0.15">
      <c r="A117" s="131">
        <v>40025956</v>
      </c>
      <c r="B117" s="47" t="s">
        <v>270</v>
      </c>
      <c r="C117" s="50">
        <v>3</v>
      </c>
      <c r="D117" s="50" t="s">
        <v>128</v>
      </c>
      <c r="E117" s="51" t="s">
        <v>322</v>
      </c>
      <c r="F117" s="51" t="s">
        <v>320</v>
      </c>
      <c r="G117" s="64" t="str">
        <f t="shared" si="253"/>
        <v>[effect:break_heal_ratio, target:enemy_one, val:0.04, lowest_val:0, count:-1, block01:jammer, animation:enemy_heal]</v>
      </c>
      <c r="H117" s="64">
        <f t="shared" si="254"/>
        <v>9</v>
      </c>
      <c r="I117" s="64">
        <f t="shared" si="255"/>
        <v>25</v>
      </c>
      <c r="J117" s="64">
        <f t="shared" si="256"/>
        <v>34</v>
      </c>
      <c r="K117" s="64">
        <f t="shared" si="257"/>
        <v>43</v>
      </c>
      <c r="L117" s="64" t="str">
        <f>IFERROR(VLOOKUP(MID(G117,J117,K117-J117),[5]skilldef!$C:$D,2,FALSE),"-") &amp; " / " &amp; IFERROR(VLOOKUP(MID(G117,H117,I117-H117),[5]skilldef!$A:$B,2,FALSE),"-")</f>
        <v>敵単体に / -</v>
      </c>
      <c r="M117" s="64" t="str">
        <f t="shared" si="258"/>
        <v>none</v>
      </c>
      <c r="N117" s="48" t="str">
        <f t="shared" si="268"/>
        <v>none</v>
      </c>
      <c r="O117" s="64" t="e">
        <f t="shared" si="259"/>
        <v>#VALUE!</v>
      </c>
      <c r="P117" s="64">
        <f t="shared" si="260"/>
        <v>4</v>
      </c>
      <c r="Q117" s="64" t="e">
        <f t="shared" si="261"/>
        <v>#VALUE!</v>
      </c>
      <c r="R117" s="64" t="e">
        <f t="shared" si="262"/>
        <v>#VALUE!</v>
      </c>
      <c r="S117" s="64" t="str">
        <f>IFERROR(VLOOKUP(MID(N117,Q117,R117-Q117),[5]skilldef!$C:$D,2,FALSE),"-") &amp; " / " &amp; IFERROR(VLOOKUP(MID(N117,O117,P117-O117),[5]skilldef!$A:$B,2,FALSE),"-")</f>
        <v>- / -</v>
      </c>
      <c r="T117" s="48" t="str">
        <f t="shared" si="263"/>
        <v>none</v>
      </c>
      <c r="U117" s="64" t="e">
        <f t="shared" si="264"/>
        <v>#VALUE!</v>
      </c>
      <c r="V117" s="64">
        <f t="shared" si="265"/>
        <v>4</v>
      </c>
      <c r="W117" s="64" t="e">
        <f t="shared" si="266"/>
        <v>#VALUE!</v>
      </c>
      <c r="X117" s="64" t="e">
        <f t="shared" si="267"/>
        <v>#VALUE!</v>
      </c>
      <c r="Y117" s="64" t="str">
        <f>IFERROR(VLOOKUP(MID(T117,W117,X117-W117),[5]skilldef!$C:$D,2,FALSE),"-") &amp; " / " &amp; IFERROR(VLOOKUP(MID(T117,U117,V117-U117),[5]skilldef!$A:$B,2,FALSE),"-")</f>
        <v>- / -</v>
      </c>
      <c r="Z117" s="50"/>
      <c r="AA117" s="52"/>
      <c r="AB117" s="50"/>
    </row>
    <row r="118" spans="1:28" ht="36" customHeight="1" x14ac:dyDescent="0.15">
      <c r="A118" s="131">
        <v>40025957</v>
      </c>
      <c r="B118" s="132" t="s">
        <v>463</v>
      </c>
      <c r="C118" s="50">
        <v>3</v>
      </c>
      <c r="D118" s="133" t="s">
        <v>128</v>
      </c>
      <c r="E118" s="134" t="s">
        <v>354</v>
      </c>
      <c r="F118" s="134" t="s">
        <v>371</v>
      </c>
      <c r="G118" s="64" t="str">
        <f t="shared" si="253"/>
        <v>[effect:enemy_message, val1:2.0, val2:3.0]</v>
      </c>
      <c r="H118" s="64">
        <f t="shared" si="254"/>
        <v>9</v>
      </c>
      <c r="I118" s="64">
        <f t="shared" si="255"/>
        <v>22</v>
      </c>
      <c r="J118" s="64" t="e">
        <f t="shared" si="256"/>
        <v>#VALUE!</v>
      </c>
      <c r="K118" s="64">
        <f t="shared" si="257"/>
        <v>32</v>
      </c>
      <c r="L118" s="64" t="str">
        <f>IFERROR(VLOOKUP(MID(G118,J118,K118-J118),[5]skilldef!$C:$D,2,FALSE),"-") &amp; " / " &amp; IFERROR(VLOOKUP(MID(G118,H118,I118-H118),[5]skilldef!$A:$B,2,FALSE),"-")</f>
        <v>- / -</v>
      </c>
      <c r="M118" s="64" t="str">
        <f t="shared" si="258"/>
        <v>[effect:remove_enhancement, target:unit_all, target_effect:all, target_type:buff, animation:frozen_wave],[effect:change_panel_ratio, turn:-1, block_type:heal, val:0.36, animation:block_incidence04],[effect:tolerance, target:myself, turn:-1, tolerance_effect:all, count:-1, animation:enemy_tolerance],[effect:fix_speed, target:myself, turn:1]</v>
      </c>
      <c r="N118" s="48" t="str">
        <f t="shared" si="268"/>
        <v>[effect:remove_enhancement, target:unit_all, target_effect:all, target_type:buff, animation:frozen_wave]</v>
      </c>
      <c r="O118" s="64">
        <f t="shared" si="259"/>
        <v>9</v>
      </c>
      <c r="P118" s="64">
        <f t="shared" si="260"/>
        <v>27</v>
      </c>
      <c r="Q118" s="64">
        <f t="shared" si="261"/>
        <v>36</v>
      </c>
      <c r="R118" s="64">
        <f t="shared" si="262"/>
        <v>44</v>
      </c>
      <c r="S118" s="64" t="str">
        <f>IFERROR(VLOOKUP(MID(N118,Q118,R118-Q118),[5]skilldef!$C:$D,2,FALSE),"-") &amp; " / " &amp; IFERROR(VLOOKUP(MID(N118,O118,P118-O118),[5]skilldef!$A:$B,2,FALSE),"-")</f>
        <v>味方全体に / -</v>
      </c>
      <c r="T118" s="48" t="str">
        <f t="shared" si="263"/>
        <v>[effect:change_panel_ratio, turn:-1, block_type:heal, val:0.36, animation:block_incidence04],[effect:tolerance, target:myself, turn:-1, tolerance_effect:all, count:-1, animation:enemy_tolerance],[effect:fix_speed, target:myself, turn:1]</v>
      </c>
      <c r="U118" s="64">
        <f t="shared" si="264"/>
        <v>9</v>
      </c>
      <c r="V118" s="64">
        <f t="shared" si="265"/>
        <v>27</v>
      </c>
      <c r="W118" s="64">
        <f t="shared" si="266"/>
        <v>120</v>
      </c>
      <c r="X118" s="64">
        <f t="shared" si="267"/>
        <v>36</v>
      </c>
      <c r="Y118" s="64" t="str">
        <f>IFERROR(VLOOKUP(MID(T118,W118,X118-W118),[5]skilldef!$C:$D,2,FALSE),"-") &amp; " / " &amp; IFERROR(VLOOKUP(MID(T118,U118,V118-U118),[5]skilldef!$A:$B,2,FALSE),"-")</f>
        <v>- / -</v>
      </c>
      <c r="Z118" s="50"/>
      <c r="AA118" s="52"/>
      <c r="AB118" s="50"/>
    </row>
    <row r="119" spans="1:28" ht="43" customHeight="1" x14ac:dyDescent="0.15">
      <c r="A119" s="131">
        <v>40025959</v>
      </c>
      <c r="B119" s="132" t="s">
        <v>381</v>
      </c>
      <c r="C119" s="50">
        <v>3</v>
      </c>
      <c r="D119" s="133" t="s">
        <v>128</v>
      </c>
      <c r="E119" s="134" t="s">
        <v>299</v>
      </c>
      <c r="F119" s="134" t="s">
        <v>355</v>
      </c>
      <c r="G119" s="64" t="str">
        <f t="shared" si="253"/>
        <v>[effect:enemy_message, val1:2.5, val2:3.5]</v>
      </c>
      <c r="H119" s="64">
        <f t="shared" si="254"/>
        <v>9</v>
      </c>
      <c r="I119" s="64">
        <f t="shared" si="255"/>
        <v>22</v>
      </c>
      <c r="J119" s="64" t="e">
        <f t="shared" si="256"/>
        <v>#VALUE!</v>
      </c>
      <c r="K119" s="64">
        <f t="shared" si="257"/>
        <v>32</v>
      </c>
      <c r="L119" s="64" t="str">
        <f>IFERROR(VLOOKUP(MID(G119,J119,K119-J119),[5]skilldef!$C:$D,2,FALSE),"-") &amp; " / " &amp; IFERROR(VLOOKUP(MID(G119,H119,I119-H119),[5]skilldef!$A:$B,2,FALSE),"-")</f>
        <v>- / -</v>
      </c>
      <c r="M119" s="64" t="str">
        <f t="shared" si="258"/>
        <v>none</v>
      </c>
      <c r="N119" s="48" t="str">
        <f>IFERROR(LEFT(M119,FIND("],",M119)+S134),M119)</f>
        <v>none</v>
      </c>
      <c r="O119" s="64" t="e">
        <f t="shared" si="259"/>
        <v>#VALUE!</v>
      </c>
      <c r="P119" s="64">
        <f t="shared" si="260"/>
        <v>4</v>
      </c>
      <c r="Q119" s="64" t="e">
        <f t="shared" si="261"/>
        <v>#VALUE!</v>
      </c>
      <c r="R119" s="64" t="e">
        <f t="shared" si="262"/>
        <v>#VALUE!</v>
      </c>
      <c r="S119" s="64" t="str">
        <f>IFERROR(VLOOKUP(MID(N119,Q119,R119-Q119),[5]skilldef!$C:$D,2,FALSE),"-") &amp; " / " &amp; IFERROR(VLOOKUP(MID(N119,O119,P119-O119),[5]skilldef!$A:$B,2,FALSE),"-")</f>
        <v>- / -</v>
      </c>
      <c r="T119" s="48" t="str">
        <f t="shared" si="263"/>
        <v>none</v>
      </c>
      <c r="U119" s="64" t="e">
        <f t="shared" si="264"/>
        <v>#VALUE!</v>
      </c>
      <c r="V119" s="64">
        <f t="shared" si="265"/>
        <v>4</v>
      </c>
      <c r="W119" s="64" t="e">
        <f t="shared" si="266"/>
        <v>#VALUE!</v>
      </c>
      <c r="X119" s="64" t="e">
        <f t="shared" si="267"/>
        <v>#VALUE!</v>
      </c>
      <c r="Y119" s="64" t="str">
        <f>IFERROR(VLOOKUP(MID(T119,W119,X119-W119),[5]skilldef!$C:$D,2,FALSE),"-") &amp; " / " &amp; IFERROR(VLOOKUP(MID(T119,U119,V119-U119),[5]skilldef!$A:$B,2,FALSE),"-")</f>
        <v>- / -</v>
      </c>
      <c r="Z119" s="50"/>
      <c r="AA119" s="52"/>
      <c r="AB119" s="50"/>
    </row>
    <row r="120" spans="1:28" ht="46" customHeight="1" x14ac:dyDescent="0.15">
      <c r="A120" s="131">
        <v>40025960</v>
      </c>
      <c r="B120" s="132" t="s">
        <v>380</v>
      </c>
      <c r="C120" s="50">
        <v>3</v>
      </c>
      <c r="D120" s="133" t="s">
        <v>128</v>
      </c>
      <c r="E120" s="134" t="s">
        <v>358</v>
      </c>
      <c r="F120" s="134" t="s">
        <v>356</v>
      </c>
      <c r="G120" s="64" t="str">
        <f t="shared" si="253"/>
        <v>[effect:enemy_message, val1:2.5, val2:3.5]</v>
      </c>
      <c r="H120" s="64">
        <f t="shared" si="254"/>
        <v>9</v>
      </c>
      <c r="I120" s="64">
        <f t="shared" si="255"/>
        <v>22</v>
      </c>
      <c r="J120" s="64" t="e">
        <f t="shared" si="256"/>
        <v>#VALUE!</v>
      </c>
      <c r="K120" s="64">
        <f t="shared" si="257"/>
        <v>32</v>
      </c>
      <c r="L120" s="64" t="str">
        <f>IFERROR(VLOOKUP(MID(G120,J120,K120-J120),[5]skilldef!$C:$D,2,FALSE),"-") &amp; " / " &amp; IFERROR(VLOOKUP(MID(G120,H120,I120-H120),[5]skilldef!$A:$B,2,FALSE),"-")</f>
        <v>- / -</v>
      </c>
      <c r="M120" s="64" t="str">
        <f t="shared" si="258"/>
        <v>none</v>
      </c>
      <c r="N120" s="48" t="str">
        <f>IFERROR(LEFT(M120,FIND("],",M120)+S131),M120)</f>
        <v>none</v>
      </c>
      <c r="O120" s="64" t="e">
        <f t="shared" si="259"/>
        <v>#VALUE!</v>
      </c>
      <c r="P120" s="64">
        <f t="shared" si="260"/>
        <v>4</v>
      </c>
      <c r="Q120" s="64" t="e">
        <f t="shared" si="261"/>
        <v>#VALUE!</v>
      </c>
      <c r="R120" s="64" t="e">
        <f t="shared" si="262"/>
        <v>#VALUE!</v>
      </c>
      <c r="S120" s="64" t="str">
        <f>IFERROR(VLOOKUP(MID(N120,Q120,R120-Q120),[5]skilldef!$C:$D,2,FALSE),"-") &amp; " / " &amp; IFERROR(VLOOKUP(MID(N120,O120,P120-O120),[5]skilldef!$A:$B,2,FALSE),"-")</f>
        <v>- / -</v>
      </c>
      <c r="T120" s="48" t="str">
        <f t="shared" si="263"/>
        <v>none</v>
      </c>
      <c r="U120" s="64" t="e">
        <f t="shared" si="264"/>
        <v>#VALUE!</v>
      </c>
      <c r="V120" s="64">
        <f t="shared" si="265"/>
        <v>4</v>
      </c>
      <c r="W120" s="64" t="e">
        <f t="shared" si="266"/>
        <v>#VALUE!</v>
      </c>
      <c r="X120" s="64" t="e">
        <f t="shared" si="267"/>
        <v>#VALUE!</v>
      </c>
      <c r="Y120" s="64" t="str">
        <f>IFERROR(VLOOKUP(MID(T120,W120,X120-W120),[5]skilldef!$C:$D,2,FALSE),"-") &amp; " / " &amp; IFERROR(VLOOKUP(MID(T120,U120,V120-U120),[5]skilldef!$A:$B,2,FALSE),"-")</f>
        <v>- / -</v>
      </c>
      <c r="Z120" s="50"/>
      <c r="AA120" s="52"/>
      <c r="AB120" s="50"/>
    </row>
    <row r="121" spans="1:28" ht="30" customHeight="1" x14ac:dyDescent="0.15">
      <c r="A121" s="131">
        <v>40025963</v>
      </c>
      <c r="B121" s="132" t="s">
        <v>380</v>
      </c>
      <c r="C121" s="50">
        <v>3</v>
      </c>
      <c r="D121" s="133" t="s">
        <v>128</v>
      </c>
      <c r="E121" s="134" t="s">
        <v>438</v>
      </c>
      <c r="F121" s="134" t="s">
        <v>395</v>
      </c>
      <c r="G121" s="64" t="str">
        <f t="shared" ref="G121" si="269">IFERROR(LEFT(B121,FIND("],",B121)),B121)</f>
        <v>[effect:enemy_message, val1:2.5, val2:3.5]</v>
      </c>
      <c r="H121" s="64">
        <f t="shared" ref="H121" si="270">FIND("effect:",G121)+7</f>
        <v>9</v>
      </c>
      <c r="I121" s="64">
        <f t="shared" ref="I121" si="271">IFERROR(FIND(",",G121),LEN(G121))</f>
        <v>22</v>
      </c>
      <c r="J121" s="64" t="e">
        <f t="shared" ref="J121" si="272">FIND("target:",G121)+7</f>
        <v>#VALUE!</v>
      </c>
      <c r="K121" s="64">
        <f t="shared" ref="K121" si="273">FIND(",",G121,I121+1)</f>
        <v>32</v>
      </c>
      <c r="L121" s="64" t="str">
        <f>IFERROR(VLOOKUP(MID(G121,J121,K121-J121),[5]skilldef!$C:$D,2,FALSE),"-") &amp; " / " &amp; IFERROR(VLOOKUP(MID(G121,H121,I121-H121),[5]skilldef!$A:$B,2,FALSE),"-")</f>
        <v>- / -</v>
      </c>
      <c r="M121" s="64" t="str">
        <f t="shared" ref="M121" si="274">IFERROR(RIGHT(B121,LEN(B121)-FIND("],",B121)-1),"none")</f>
        <v>none</v>
      </c>
      <c r="N121" s="48" t="str">
        <f>IFERROR(LEFT(M121,FIND("],",M121)+S132),M121)</f>
        <v>none</v>
      </c>
      <c r="O121" s="64" t="e">
        <f t="shared" ref="O121" si="275">FIND("effect:",N121)+7</f>
        <v>#VALUE!</v>
      </c>
      <c r="P121" s="64">
        <f t="shared" ref="P121" si="276">IFERROR(FIND(",",N121),LEN(N121))</f>
        <v>4</v>
      </c>
      <c r="Q121" s="64" t="e">
        <f t="shared" ref="Q121" si="277">FIND("target:",N121)+7</f>
        <v>#VALUE!</v>
      </c>
      <c r="R121" s="64" t="e">
        <f t="shared" ref="R121" si="278">FIND(",",N121,P121+1)</f>
        <v>#VALUE!</v>
      </c>
      <c r="S121" s="64" t="str">
        <f>IFERROR(VLOOKUP(MID(N121,Q121,R121-Q121),[5]skilldef!$C:$D,2,FALSE),"-") &amp; " / " &amp; IFERROR(VLOOKUP(MID(N121,O121,P121-O121),[5]skilldef!$A:$B,2,FALSE),"-")</f>
        <v>- / -</v>
      </c>
      <c r="T121" s="48" t="str">
        <f t="shared" ref="T121" si="279">IFERROR(RIGHT(M121,LEN(M121)-FIND("],",M121)-1),"none")</f>
        <v>none</v>
      </c>
      <c r="U121" s="64" t="e">
        <f t="shared" ref="U121" si="280">FIND("effect:",T121)+7</f>
        <v>#VALUE!</v>
      </c>
      <c r="V121" s="64">
        <f t="shared" ref="V121" si="281">IFERROR(FIND(",",T121),LEN(T121))</f>
        <v>4</v>
      </c>
      <c r="W121" s="64" t="e">
        <f t="shared" ref="W121" si="282">FIND("target:",T121)+7</f>
        <v>#VALUE!</v>
      </c>
      <c r="X121" s="64" t="e">
        <f t="shared" ref="X121" si="283">FIND(",",T121,V121+1)</f>
        <v>#VALUE!</v>
      </c>
      <c r="Y121" s="64" t="str">
        <f>IFERROR(VLOOKUP(MID(T121,W121,X121-W121),[5]skilldef!$C:$D,2,FALSE),"-") &amp; " / " &amp; IFERROR(VLOOKUP(MID(T121,U121,V121-U121),[5]skilldef!$A:$B,2,FALSE),"-")</f>
        <v>- / -</v>
      </c>
      <c r="Z121" s="50"/>
      <c r="AA121" s="52"/>
      <c r="AB121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</sheetPr>
  <dimension ref="A1:K139"/>
  <sheetViews>
    <sheetView showGridLines="0" workbookViewId="0">
      <pane ySplit="1" topLeftCell="A113" activePane="bottomLeft" state="frozenSplit"/>
      <selection pane="bottomLeft" activeCell="C66" sqref="C66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40025111</v>
      </c>
      <c r="B2" s="47">
        <v>1</v>
      </c>
      <c r="C2" s="47" t="s">
        <v>89</v>
      </c>
      <c r="D2" s="47">
        <v>100</v>
      </c>
      <c r="E2" s="47" t="s">
        <v>53</v>
      </c>
      <c r="F2" s="47" t="s">
        <v>90</v>
      </c>
      <c r="G2" s="47" t="s">
        <v>260</v>
      </c>
      <c r="H2" s="47" t="s">
        <v>53</v>
      </c>
      <c r="I2" s="47" t="s">
        <v>90</v>
      </c>
      <c r="J2" s="48">
        <f t="shared" ref="J2:J3" si="0">D2</f>
        <v>100</v>
      </c>
    </row>
    <row r="3" spans="1:11" ht="21" customHeight="1" x14ac:dyDescent="0.15">
      <c r="A3" s="47">
        <v>40025112</v>
      </c>
      <c r="B3" s="47">
        <v>0</v>
      </c>
      <c r="C3" s="47">
        <v>100</v>
      </c>
      <c r="D3" s="47">
        <v>100</v>
      </c>
      <c r="E3" s="47" t="s">
        <v>53</v>
      </c>
      <c r="F3" s="47" t="s">
        <v>90</v>
      </c>
      <c r="G3" s="47" t="s">
        <v>260</v>
      </c>
      <c r="H3" s="47">
        <v>1</v>
      </c>
      <c r="I3" s="47" t="s">
        <v>90</v>
      </c>
      <c r="J3" s="48">
        <f t="shared" si="0"/>
        <v>100</v>
      </c>
    </row>
    <row r="4" spans="1:11" ht="21" customHeight="1" x14ac:dyDescent="0.15">
      <c r="A4" s="47">
        <v>40025113</v>
      </c>
      <c r="B4" s="47">
        <v>0</v>
      </c>
      <c r="C4" s="47">
        <v>120</v>
      </c>
      <c r="D4" s="47">
        <v>100</v>
      </c>
      <c r="E4" s="47" t="s">
        <v>53</v>
      </c>
      <c r="F4" s="47" t="s">
        <v>90</v>
      </c>
      <c r="G4" s="47" t="s">
        <v>260</v>
      </c>
      <c r="H4" s="47">
        <v>2</v>
      </c>
      <c r="I4" s="47" t="s">
        <v>90</v>
      </c>
      <c r="J4" s="48">
        <f t="shared" ref="J4:J11" si="1">D4</f>
        <v>100</v>
      </c>
    </row>
    <row r="5" spans="1:11" ht="21" customHeight="1" x14ac:dyDescent="0.15">
      <c r="A5" s="47">
        <v>40025114</v>
      </c>
      <c r="B5" s="47">
        <v>0</v>
      </c>
      <c r="C5" s="47">
        <v>130</v>
      </c>
      <c r="D5" s="47">
        <v>100</v>
      </c>
      <c r="E5" s="47">
        <v>10</v>
      </c>
      <c r="F5" s="47" t="s">
        <v>90</v>
      </c>
      <c r="G5" s="47">
        <v>1</v>
      </c>
      <c r="H5" s="47">
        <v>1</v>
      </c>
      <c r="I5" s="47" t="s">
        <v>90</v>
      </c>
      <c r="J5" s="48">
        <f t="shared" si="1"/>
        <v>100</v>
      </c>
    </row>
    <row r="6" spans="1:11" ht="21" customHeight="1" x14ac:dyDescent="0.15">
      <c r="A6" s="47">
        <v>40025131</v>
      </c>
      <c r="B6" s="126">
        <v>1</v>
      </c>
      <c r="C6" s="126">
        <v>140</v>
      </c>
      <c r="D6" s="126">
        <v>100</v>
      </c>
      <c r="E6" s="126" t="s">
        <v>53</v>
      </c>
      <c r="F6" s="126" t="s">
        <v>53</v>
      </c>
      <c r="G6" s="126" t="s">
        <v>53</v>
      </c>
      <c r="H6" s="126" t="s">
        <v>53</v>
      </c>
      <c r="I6" s="126" t="s">
        <v>53</v>
      </c>
      <c r="J6" s="48">
        <f t="shared" ref="J6" si="2">D6</f>
        <v>100</v>
      </c>
    </row>
    <row r="7" spans="1:11" ht="21" customHeight="1" x14ac:dyDescent="0.15">
      <c r="A7" s="47">
        <v>40025132</v>
      </c>
      <c r="B7" s="126">
        <v>0</v>
      </c>
      <c r="C7" s="126">
        <v>100</v>
      </c>
      <c r="D7" s="126">
        <v>100</v>
      </c>
      <c r="E7" s="126" t="s">
        <v>53</v>
      </c>
      <c r="F7" s="126" t="s">
        <v>90</v>
      </c>
      <c r="G7" s="126" t="s">
        <v>260</v>
      </c>
      <c r="H7" s="126">
        <v>1</v>
      </c>
      <c r="I7" s="126" t="s">
        <v>90</v>
      </c>
      <c r="J7" s="48">
        <f t="shared" si="1"/>
        <v>100</v>
      </c>
    </row>
    <row r="8" spans="1:11" ht="21" customHeight="1" x14ac:dyDescent="0.15">
      <c r="A8" s="47">
        <v>40025133</v>
      </c>
      <c r="B8" s="126">
        <v>0</v>
      </c>
      <c r="C8" s="126">
        <v>110</v>
      </c>
      <c r="D8" s="126">
        <v>100</v>
      </c>
      <c r="E8" s="126" t="s">
        <v>53</v>
      </c>
      <c r="F8" s="126" t="s">
        <v>90</v>
      </c>
      <c r="G8" s="126" t="s">
        <v>260</v>
      </c>
      <c r="H8" s="126">
        <v>2</v>
      </c>
      <c r="I8" s="126" t="s">
        <v>90</v>
      </c>
      <c r="J8" s="48">
        <f t="shared" si="1"/>
        <v>100</v>
      </c>
    </row>
    <row r="9" spans="1:11" ht="21" customHeight="1" x14ac:dyDescent="0.15">
      <c r="A9" s="47">
        <v>40025134</v>
      </c>
      <c r="B9" s="126">
        <v>0</v>
      </c>
      <c r="C9" s="126">
        <v>120</v>
      </c>
      <c r="D9" s="126">
        <v>100</v>
      </c>
      <c r="E9" s="126" t="s">
        <v>53</v>
      </c>
      <c r="F9" s="126" t="s">
        <v>90</v>
      </c>
      <c r="G9" s="126">
        <v>1</v>
      </c>
      <c r="H9" s="126">
        <v>3</v>
      </c>
      <c r="I9" s="126" t="s">
        <v>90</v>
      </c>
      <c r="J9" s="48">
        <f t="shared" si="1"/>
        <v>100</v>
      </c>
    </row>
    <row r="10" spans="1:11" ht="21" customHeight="1" x14ac:dyDescent="0.15">
      <c r="A10" s="47">
        <v>40025135</v>
      </c>
      <c r="B10" s="126">
        <v>0</v>
      </c>
      <c r="C10" s="126">
        <v>130</v>
      </c>
      <c r="D10" s="126">
        <v>100</v>
      </c>
      <c r="E10" s="126">
        <v>70</v>
      </c>
      <c r="F10" s="126">
        <v>40</v>
      </c>
      <c r="G10" s="126">
        <v>1</v>
      </c>
      <c r="H10" s="126">
        <v>1</v>
      </c>
      <c r="I10" s="126" t="s">
        <v>90</v>
      </c>
      <c r="J10" s="48">
        <f t="shared" si="1"/>
        <v>100</v>
      </c>
    </row>
    <row r="11" spans="1:11" ht="21" customHeight="1" x14ac:dyDescent="0.15">
      <c r="A11" s="47">
        <v>40025136</v>
      </c>
      <c r="B11" s="126">
        <v>0</v>
      </c>
      <c r="C11" s="126">
        <v>140</v>
      </c>
      <c r="D11" s="126">
        <v>100</v>
      </c>
      <c r="E11" s="126">
        <v>40</v>
      </c>
      <c r="F11" s="126" t="s">
        <v>90</v>
      </c>
      <c r="G11" s="126">
        <v>1</v>
      </c>
      <c r="H11" s="126">
        <v>1</v>
      </c>
      <c r="I11" s="126" t="s">
        <v>90</v>
      </c>
      <c r="J11" s="48">
        <f t="shared" si="1"/>
        <v>100</v>
      </c>
    </row>
    <row r="12" spans="1:11" ht="21" customHeight="1" x14ac:dyDescent="0.15">
      <c r="A12" s="129">
        <v>40025211</v>
      </c>
      <c r="B12" s="47">
        <v>1</v>
      </c>
      <c r="C12" s="47">
        <v>100</v>
      </c>
      <c r="D12" s="47">
        <v>100</v>
      </c>
      <c r="E12" s="47" t="s">
        <v>264</v>
      </c>
      <c r="F12" s="47" t="s">
        <v>89</v>
      </c>
      <c r="G12" s="47" t="s">
        <v>261</v>
      </c>
      <c r="H12" s="47" t="s">
        <v>261</v>
      </c>
      <c r="I12" s="47" t="s">
        <v>89</v>
      </c>
      <c r="J12" s="48">
        <f t="shared" ref="J12:J23" si="3">D12</f>
        <v>100</v>
      </c>
    </row>
    <row r="13" spans="1:11" ht="21" customHeight="1" x14ac:dyDescent="0.15">
      <c r="A13" s="129">
        <v>40025212</v>
      </c>
      <c r="B13" s="47">
        <v>0</v>
      </c>
      <c r="C13" s="47">
        <v>100</v>
      </c>
      <c r="D13" s="47">
        <v>100</v>
      </c>
      <c r="E13" s="47" t="s">
        <v>264</v>
      </c>
      <c r="F13" s="47" t="s">
        <v>89</v>
      </c>
      <c r="G13" s="47" t="s">
        <v>261</v>
      </c>
      <c r="H13" s="47">
        <v>1</v>
      </c>
      <c r="I13" s="47" t="s">
        <v>89</v>
      </c>
      <c r="J13" s="48">
        <f t="shared" si="3"/>
        <v>100</v>
      </c>
    </row>
    <row r="14" spans="1:11" ht="21" customHeight="1" x14ac:dyDescent="0.15">
      <c r="A14" s="129">
        <v>40025213</v>
      </c>
      <c r="B14" s="47">
        <v>0</v>
      </c>
      <c r="C14" s="47">
        <v>110</v>
      </c>
      <c r="D14" s="47">
        <v>100</v>
      </c>
      <c r="E14" s="47" t="s">
        <v>264</v>
      </c>
      <c r="F14" s="47" t="s">
        <v>89</v>
      </c>
      <c r="G14" s="47" t="s">
        <v>261</v>
      </c>
      <c r="H14" s="47">
        <v>2</v>
      </c>
      <c r="I14" s="47" t="s">
        <v>89</v>
      </c>
      <c r="J14" s="48">
        <f t="shared" si="3"/>
        <v>100</v>
      </c>
    </row>
    <row r="15" spans="1:11" ht="21" customHeight="1" x14ac:dyDescent="0.15">
      <c r="A15" s="129">
        <v>40025214</v>
      </c>
      <c r="B15" s="47">
        <v>0</v>
      </c>
      <c r="C15" s="47">
        <v>120</v>
      </c>
      <c r="D15" s="47">
        <v>100</v>
      </c>
      <c r="E15" s="47" t="s">
        <v>264</v>
      </c>
      <c r="F15" s="47" t="s">
        <v>89</v>
      </c>
      <c r="G15" s="47" t="s">
        <v>261</v>
      </c>
      <c r="H15" s="47">
        <v>4</v>
      </c>
      <c r="I15" s="47" t="s">
        <v>89</v>
      </c>
      <c r="J15" s="48">
        <f t="shared" si="3"/>
        <v>100</v>
      </c>
    </row>
    <row r="16" spans="1:11" ht="21" customHeight="1" x14ac:dyDescent="0.15">
      <c r="A16" s="129">
        <v>40025231</v>
      </c>
      <c r="B16" s="126">
        <v>1</v>
      </c>
      <c r="C16" s="126">
        <v>100</v>
      </c>
      <c r="D16" s="126">
        <v>100</v>
      </c>
      <c r="E16" s="126" t="s">
        <v>264</v>
      </c>
      <c r="F16" s="126" t="s">
        <v>89</v>
      </c>
      <c r="G16" s="126" t="s">
        <v>262</v>
      </c>
      <c r="H16" s="126" t="s">
        <v>263</v>
      </c>
      <c r="I16" s="126" t="s">
        <v>89</v>
      </c>
      <c r="J16" s="48">
        <f t="shared" si="3"/>
        <v>100</v>
      </c>
    </row>
    <row r="17" spans="1:10" ht="21" customHeight="1" x14ac:dyDescent="0.15">
      <c r="A17" s="129">
        <v>40025232</v>
      </c>
      <c r="B17" s="126">
        <v>0</v>
      </c>
      <c r="C17" s="126">
        <v>100</v>
      </c>
      <c r="D17" s="126">
        <v>100</v>
      </c>
      <c r="E17" s="126" t="s">
        <v>264</v>
      </c>
      <c r="F17" s="126" t="s">
        <v>89</v>
      </c>
      <c r="G17" s="126" t="s">
        <v>262</v>
      </c>
      <c r="H17" s="126">
        <v>1</v>
      </c>
      <c r="I17" s="126" t="s">
        <v>89</v>
      </c>
      <c r="J17" s="48">
        <f t="shared" si="3"/>
        <v>100</v>
      </c>
    </row>
    <row r="18" spans="1:10" ht="21" customHeight="1" x14ac:dyDescent="0.15">
      <c r="A18" s="129">
        <v>40025233</v>
      </c>
      <c r="B18" s="126">
        <v>0</v>
      </c>
      <c r="C18" s="126">
        <v>110</v>
      </c>
      <c r="D18" s="126">
        <v>100</v>
      </c>
      <c r="E18" s="126" t="s">
        <v>264</v>
      </c>
      <c r="F18" s="126" t="s">
        <v>89</v>
      </c>
      <c r="G18" s="126" t="s">
        <v>262</v>
      </c>
      <c r="H18" s="126">
        <v>2</v>
      </c>
      <c r="I18" s="126" t="s">
        <v>89</v>
      </c>
      <c r="J18" s="48">
        <f t="shared" si="3"/>
        <v>100</v>
      </c>
    </row>
    <row r="19" spans="1:10" ht="21" customHeight="1" x14ac:dyDescent="0.15">
      <c r="A19" s="129">
        <v>40025234</v>
      </c>
      <c r="B19" s="126">
        <v>0</v>
      </c>
      <c r="C19" s="126">
        <v>120</v>
      </c>
      <c r="D19" s="126">
        <v>100</v>
      </c>
      <c r="E19" s="126" t="s">
        <v>264</v>
      </c>
      <c r="F19" s="126" t="s">
        <v>89</v>
      </c>
      <c r="G19" s="126" t="s">
        <v>262</v>
      </c>
      <c r="H19" s="126">
        <v>3</v>
      </c>
      <c r="I19" s="126" t="s">
        <v>89</v>
      </c>
      <c r="J19" s="48">
        <f t="shared" si="3"/>
        <v>100</v>
      </c>
    </row>
    <row r="20" spans="1:10" ht="21" customHeight="1" x14ac:dyDescent="0.15">
      <c r="A20" s="129">
        <v>40025251</v>
      </c>
      <c r="B20" s="47">
        <v>1</v>
      </c>
      <c r="C20" s="47">
        <v>100</v>
      </c>
      <c r="D20" s="47">
        <v>100</v>
      </c>
      <c r="E20" s="47" t="s">
        <v>264</v>
      </c>
      <c r="F20" s="47" t="s">
        <v>89</v>
      </c>
      <c r="G20" s="47" t="s">
        <v>261</v>
      </c>
      <c r="H20" s="47" t="s">
        <v>89</v>
      </c>
      <c r="I20" s="47" t="s">
        <v>89</v>
      </c>
      <c r="J20" s="48">
        <f t="shared" si="3"/>
        <v>100</v>
      </c>
    </row>
    <row r="21" spans="1:10" ht="21" customHeight="1" x14ac:dyDescent="0.15">
      <c r="A21" s="129">
        <v>40025252</v>
      </c>
      <c r="B21" s="47">
        <v>0</v>
      </c>
      <c r="C21" s="47">
        <v>100</v>
      </c>
      <c r="D21" s="47">
        <v>100</v>
      </c>
      <c r="E21" s="47" t="s">
        <v>264</v>
      </c>
      <c r="F21" s="47" t="s">
        <v>89</v>
      </c>
      <c r="G21" s="47" t="s">
        <v>261</v>
      </c>
      <c r="H21" s="47">
        <v>1</v>
      </c>
      <c r="I21" s="47" t="s">
        <v>89</v>
      </c>
      <c r="J21" s="48">
        <f t="shared" si="3"/>
        <v>100</v>
      </c>
    </row>
    <row r="22" spans="1:10" ht="21" customHeight="1" x14ac:dyDescent="0.15">
      <c r="A22" s="129">
        <v>40025253</v>
      </c>
      <c r="B22" s="47">
        <v>0</v>
      </c>
      <c r="C22" s="47">
        <v>110</v>
      </c>
      <c r="D22" s="47">
        <v>100</v>
      </c>
      <c r="E22" s="47" t="s">
        <v>264</v>
      </c>
      <c r="F22" s="47" t="s">
        <v>89</v>
      </c>
      <c r="G22" s="47" t="s">
        <v>261</v>
      </c>
      <c r="H22" s="47">
        <v>2</v>
      </c>
      <c r="I22" s="47" t="s">
        <v>89</v>
      </c>
      <c r="J22" s="48">
        <f t="shared" si="3"/>
        <v>100</v>
      </c>
    </row>
    <row r="23" spans="1:10" ht="21" customHeight="1" x14ac:dyDescent="0.15">
      <c r="A23" s="129">
        <v>40025254</v>
      </c>
      <c r="B23" s="47">
        <v>0</v>
      </c>
      <c r="C23" s="47">
        <v>120</v>
      </c>
      <c r="D23" s="47">
        <v>100</v>
      </c>
      <c r="E23" s="47" t="s">
        <v>264</v>
      </c>
      <c r="F23" s="47" t="s">
        <v>89</v>
      </c>
      <c r="G23" s="47" t="s">
        <v>261</v>
      </c>
      <c r="H23" s="47">
        <v>3</v>
      </c>
      <c r="I23" s="47" t="s">
        <v>89</v>
      </c>
      <c r="J23" s="48">
        <f t="shared" si="3"/>
        <v>100</v>
      </c>
    </row>
    <row r="24" spans="1:10" ht="21" customHeight="1" x14ac:dyDescent="0.15">
      <c r="A24" s="130">
        <v>40025311</v>
      </c>
      <c r="B24" s="126">
        <v>1</v>
      </c>
      <c r="C24" s="126">
        <v>100</v>
      </c>
      <c r="D24" s="126">
        <v>100</v>
      </c>
      <c r="E24" s="126" t="s">
        <v>264</v>
      </c>
      <c r="F24" s="126" t="s">
        <v>89</v>
      </c>
      <c r="G24" s="126" t="s">
        <v>53</v>
      </c>
      <c r="H24" s="126" t="s">
        <v>261</v>
      </c>
      <c r="I24" s="126" t="s">
        <v>89</v>
      </c>
      <c r="J24" s="48">
        <f t="shared" ref="J24" si="4">D24</f>
        <v>100</v>
      </c>
    </row>
    <row r="25" spans="1:10" ht="21" customHeight="1" x14ac:dyDescent="0.15">
      <c r="A25" s="130">
        <v>40025312</v>
      </c>
      <c r="B25" s="126">
        <v>0</v>
      </c>
      <c r="C25" s="126">
        <v>110</v>
      </c>
      <c r="D25" s="126">
        <v>100</v>
      </c>
      <c r="E25" s="126" t="s">
        <v>264</v>
      </c>
      <c r="F25" s="126">
        <v>100</v>
      </c>
      <c r="G25" s="126">
        <v>3</v>
      </c>
      <c r="H25" s="126">
        <v>1</v>
      </c>
      <c r="I25" s="126" t="s">
        <v>89</v>
      </c>
      <c r="J25" s="48">
        <f t="shared" ref="J25:J62" si="5">D25</f>
        <v>100</v>
      </c>
    </row>
    <row r="26" spans="1:10" ht="21" customHeight="1" x14ac:dyDescent="0.15">
      <c r="A26" s="130">
        <v>40025313</v>
      </c>
      <c r="B26" s="126">
        <v>0</v>
      </c>
      <c r="C26" s="126">
        <v>100</v>
      </c>
      <c r="D26" s="126">
        <v>100</v>
      </c>
      <c r="E26" s="126" t="s">
        <v>89</v>
      </c>
      <c r="F26" s="126" t="s">
        <v>89</v>
      </c>
      <c r="G26" s="126">
        <v>3</v>
      </c>
      <c r="H26" s="126">
        <v>1</v>
      </c>
      <c r="I26" s="126" t="s">
        <v>89</v>
      </c>
      <c r="J26" s="48">
        <f t="shared" si="5"/>
        <v>100</v>
      </c>
    </row>
    <row r="27" spans="1:10" ht="21" customHeight="1" x14ac:dyDescent="0.15">
      <c r="A27" s="130">
        <v>40025314</v>
      </c>
      <c r="B27" s="126">
        <v>0</v>
      </c>
      <c r="C27" s="126">
        <v>111</v>
      </c>
      <c r="D27" s="126">
        <v>100</v>
      </c>
      <c r="E27" s="126" t="s">
        <v>53</v>
      </c>
      <c r="F27" s="126">
        <v>100</v>
      </c>
      <c r="G27" s="126">
        <v>1</v>
      </c>
      <c r="H27" s="126">
        <v>4</v>
      </c>
      <c r="I27" s="126" t="s">
        <v>53</v>
      </c>
      <c r="J27" s="48">
        <f t="shared" ref="J27:J28" si="6">D27</f>
        <v>100</v>
      </c>
    </row>
    <row r="28" spans="1:10" ht="21" customHeight="1" x14ac:dyDescent="0.15">
      <c r="A28" s="130">
        <v>40025315</v>
      </c>
      <c r="B28" s="126">
        <v>0</v>
      </c>
      <c r="C28" s="126">
        <v>101</v>
      </c>
      <c r="D28" s="126">
        <v>100</v>
      </c>
      <c r="E28" s="126" t="s">
        <v>53</v>
      </c>
      <c r="F28" s="126" t="s">
        <v>53</v>
      </c>
      <c r="G28" s="126">
        <v>1</v>
      </c>
      <c r="H28" s="126">
        <v>4</v>
      </c>
      <c r="I28" s="126" t="s">
        <v>53</v>
      </c>
      <c r="J28" s="48">
        <f t="shared" si="6"/>
        <v>100</v>
      </c>
    </row>
    <row r="29" spans="1:10" ht="21" customHeight="1" x14ac:dyDescent="0.15">
      <c r="A29" s="130">
        <v>40025316</v>
      </c>
      <c r="B29" s="126">
        <v>0</v>
      </c>
      <c r="C29" s="126">
        <v>130</v>
      </c>
      <c r="D29" s="126">
        <v>100</v>
      </c>
      <c r="E29" s="126" t="s">
        <v>264</v>
      </c>
      <c r="F29" s="126">
        <v>100</v>
      </c>
      <c r="G29" s="126" t="s">
        <v>261</v>
      </c>
      <c r="H29" s="126">
        <v>5</v>
      </c>
      <c r="I29" s="126" t="s">
        <v>89</v>
      </c>
      <c r="J29" s="48">
        <f t="shared" si="5"/>
        <v>100</v>
      </c>
    </row>
    <row r="30" spans="1:10" ht="21" customHeight="1" x14ac:dyDescent="0.15">
      <c r="A30" s="130">
        <v>40025317</v>
      </c>
      <c r="B30" s="126">
        <v>0</v>
      </c>
      <c r="C30" s="126">
        <v>120</v>
      </c>
      <c r="D30" s="126">
        <v>100</v>
      </c>
      <c r="E30" s="126" t="s">
        <v>264</v>
      </c>
      <c r="F30" s="126" t="s">
        <v>89</v>
      </c>
      <c r="G30" s="126" t="s">
        <v>261</v>
      </c>
      <c r="H30" s="126">
        <v>5</v>
      </c>
      <c r="I30" s="126" t="s">
        <v>89</v>
      </c>
      <c r="J30" s="48">
        <f t="shared" si="5"/>
        <v>100</v>
      </c>
    </row>
    <row r="31" spans="1:10" ht="21" customHeight="1" x14ac:dyDescent="0.15">
      <c r="A31" s="130">
        <v>40025331</v>
      </c>
      <c r="B31" s="47">
        <v>1</v>
      </c>
      <c r="C31" s="47">
        <v>100</v>
      </c>
      <c r="D31" s="47">
        <v>100</v>
      </c>
      <c r="E31" s="47" t="s">
        <v>264</v>
      </c>
      <c r="F31" s="47" t="s">
        <v>89</v>
      </c>
      <c r="G31" s="47">
        <v>1</v>
      </c>
      <c r="H31" s="47" t="s">
        <v>261</v>
      </c>
      <c r="I31" s="47" t="s">
        <v>89</v>
      </c>
      <c r="J31" s="48">
        <f t="shared" si="5"/>
        <v>100</v>
      </c>
    </row>
    <row r="32" spans="1:10" ht="21" customHeight="1" x14ac:dyDescent="0.15">
      <c r="A32" s="130">
        <v>40025332</v>
      </c>
      <c r="B32" s="47">
        <v>0</v>
      </c>
      <c r="C32" s="47">
        <v>100</v>
      </c>
      <c r="D32" s="47">
        <v>100</v>
      </c>
      <c r="E32" s="47" t="s">
        <v>264</v>
      </c>
      <c r="F32" s="47" t="s">
        <v>89</v>
      </c>
      <c r="G32" s="47" t="s">
        <v>261</v>
      </c>
      <c r="H32" s="47">
        <v>1</v>
      </c>
      <c r="I32" s="47" t="s">
        <v>89</v>
      </c>
      <c r="J32" s="48">
        <f t="shared" si="5"/>
        <v>100</v>
      </c>
    </row>
    <row r="33" spans="1:10" ht="21" customHeight="1" x14ac:dyDescent="0.15">
      <c r="A33" s="130">
        <v>40025333</v>
      </c>
      <c r="B33" s="47">
        <v>0</v>
      </c>
      <c r="C33" s="47">
        <v>110</v>
      </c>
      <c r="D33" s="47">
        <v>100</v>
      </c>
      <c r="E33" s="47" t="s">
        <v>264</v>
      </c>
      <c r="F33" s="47" t="s">
        <v>89</v>
      </c>
      <c r="G33" s="47">
        <v>1</v>
      </c>
      <c r="H33" s="47">
        <v>1</v>
      </c>
      <c r="I33" s="47">
        <v>858</v>
      </c>
      <c r="J33" s="48">
        <f t="shared" si="5"/>
        <v>100</v>
      </c>
    </row>
    <row r="34" spans="1:10" ht="21" customHeight="1" x14ac:dyDescent="0.15">
      <c r="A34" s="130">
        <v>40025351</v>
      </c>
      <c r="B34" s="126">
        <v>1</v>
      </c>
      <c r="C34" s="126">
        <v>100</v>
      </c>
      <c r="D34" s="126">
        <v>100</v>
      </c>
      <c r="E34" s="126" t="s">
        <v>264</v>
      </c>
      <c r="F34" s="126" t="s">
        <v>89</v>
      </c>
      <c r="G34" s="126" t="s">
        <v>53</v>
      </c>
      <c r="H34" s="126" t="s">
        <v>261</v>
      </c>
      <c r="I34" s="126" t="s">
        <v>89</v>
      </c>
      <c r="J34" s="48">
        <f t="shared" si="5"/>
        <v>100</v>
      </c>
    </row>
    <row r="35" spans="1:10" ht="21" customHeight="1" x14ac:dyDescent="0.15">
      <c r="A35" s="130">
        <v>40025352</v>
      </c>
      <c r="B35" s="126">
        <v>0</v>
      </c>
      <c r="C35" s="126">
        <v>100</v>
      </c>
      <c r="D35" s="126">
        <v>100</v>
      </c>
      <c r="E35" s="126" t="s">
        <v>264</v>
      </c>
      <c r="F35" s="126" t="s">
        <v>89</v>
      </c>
      <c r="G35" s="126" t="s">
        <v>261</v>
      </c>
      <c r="H35" s="126">
        <v>1</v>
      </c>
      <c r="I35" s="126" t="s">
        <v>89</v>
      </c>
      <c r="J35" s="48">
        <f t="shared" si="5"/>
        <v>100</v>
      </c>
    </row>
    <row r="36" spans="1:10" ht="21" customHeight="1" x14ac:dyDescent="0.15">
      <c r="A36" s="131">
        <v>40025411</v>
      </c>
      <c r="B36" s="47">
        <v>1</v>
      </c>
      <c r="C36" s="47">
        <v>100</v>
      </c>
      <c r="D36" s="47">
        <v>100</v>
      </c>
      <c r="E36" s="47" t="s">
        <v>264</v>
      </c>
      <c r="F36" s="47" t="s">
        <v>89</v>
      </c>
      <c r="G36" s="47" t="s">
        <v>261</v>
      </c>
      <c r="H36" s="47" t="s">
        <v>261</v>
      </c>
      <c r="I36" s="47" t="s">
        <v>89</v>
      </c>
      <c r="J36" s="48">
        <f t="shared" si="5"/>
        <v>100</v>
      </c>
    </row>
    <row r="37" spans="1:10" ht="21" customHeight="1" x14ac:dyDescent="0.15">
      <c r="A37" s="131">
        <v>40025412</v>
      </c>
      <c r="B37" s="47">
        <v>0</v>
      </c>
      <c r="C37" s="47">
        <v>100</v>
      </c>
      <c r="D37" s="47">
        <v>100</v>
      </c>
      <c r="E37" s="47" t="s">
        <v>264</v>
      </c>
      <c r="F37" s="47" t="s">
        <v>89</v>
      </c>
      <c r="G37" s="47" t="s">
        <v>261</v>
      </c>
      <c r="H37" s="47">
        <v>1</v>
      </c>
      <c r="I37" s="47" t="s">
        <v>89</v>
      </c>
      <c r="J37" s="48">
        <f t="shared" si="5"/>
        <v>100</v>
      </c>
    </row>
    <row r="38" spans="1:10" ht="21" customHeight="1" x14ac:dyDescent="0.15">
      <c r="A38" s="131">
        <v>40025413</v>
      </c>
      <c r="B38" s="47">
        <v>0</v>
      </c>
      <c r="C38" s="47">
        <v>110</v>
      </c>
      <c r="D38" s="47">
        <v>100</v>
      </c>
      <c r="E38" s="47" t="s">
        <v>264</v>
      </c>
      <c r="F38" s="47" t="s">
        <v>89</v>
      </c>
      <c r="G38" s="47" t="s">
        <v>261</v>
      </c>
      <c r="H38" s="47">
        <v>2</v>
      </c>
      <c r="I38" s="47" t="s">
        <v>89</v>
      </c>
      <c r="J38" s="48">
        <f t="shared" si="5"/>
        <v>100</v>
      </c>
    </row>
    <row r="39" spans="1:10" ht="21" customHeight="1" x14ac:dyDescent="0.15">
      <c r="A39" s="131">
        <v>40025414</v>
      </c>
      <c r="B39" s="47">
        <v>0</v>
      </c>
      <c r="C39" s="47">
        <v>120</v>
      </c>
      <c r="D39" s="47">
        <v>100</v>
      </c>
      <c r="E39" s="47" t="s">
        <v>264</v>
      </c>
      <c r="F39" s="47" t="s">
        <v>89</v>
      </c>
      <c r="G39" s="47" t="s">
        <v>261</v>
      </c>
      <c r="H39" s="47">
        <v>3</v>
      </c>
      <c r="I39" s="47" t="s">
        <v>89</v>
      </c>
      <c r="J39" s="48">
        <f t="shared" si="5"/>
        <v>100</v>
      </c>
    </row>
    <row r="40" spans="1:10" ht="21" customHeight="1" x14ac:dyDescent="0.15">
      <c r="A40" s="131">
        <v>40025415</v>
      </c>
      <c r="B40" s="47">
        <v>0</v>
      </c>
      <c r="C40" s="47">
        <v>130</v>
      </c>
      <c r="D40" s="47">
        <v>100</v>
      </c>
      <c r="E40" s="47">
        <v>80</v>
      </c>
      <c r="F40" s="47">
        <v>55</v>
      </c>
      <c r="G40" s="47">
        <v>1</v>
      </c>
      <c r="H40" s="47">
        <v>1</v>
      </c>
      <c r="I40" s="47" t="s">
        <v>89</v>
      </c>
      <c r="J40" s="48">
        <f t="shared" si="5"/>
        <v>100</v>
      </c>
    </row>
    <row r="41" spans="1:10" ht="21" customHeight="1" x14ac:dyDescent="0.15">
      <c r="A41" s="131">
        <v>40025416</v>
      </c>
      <c r="B41" s="47">
        <v>0</v>
      </c>
      <c r="C41" s="47">
        <v>140</v>
      </c>
      <c r="D41" s="47">
        <v>100</v>
      </c>
      <c r="E41" s="47">
        <v>55</v>
      </c>
      <c r="F41" s="47">
        <v>30</v>
      </c>
      <c r="G41" s="47">
        <v>1</v>
      </c>
      <c r="H41" s="47">
        <v>1</v>
      </c>
      <c r="I41" s="47" t="s">
        <v>89</v>
      </c>
      <c r="J41" s="48">
        <f t="shared" si="5"/>
        <v>100</v>
      </c>
    </row>
    <row r="42" spans="1:10" ht="21" customHeight="1" x14ac:dyDescent="0.15">
      <c r="A42" s="131">
        <v>40025417</v>
      </c>
      <c r="B42" s="47">
        <v>0</v>
      </c>
      <c r="C42" s="47">
        <v>150</v>
      </c>
      <c r="D42" s="47">
        <v>100</v>
      </c>
      <c r="E42" s="47">
        <v>30</v>
      </c>
      <c r="F42" s="47">
        <v>10</v>
      </c>
      <c r="G42" s="47">
        <v>1</v>
      </c>
      <c r="H42" s="47">
        <v>1</v>
      </c>
      <c r="I42" s="47" t="s">
        <v>89</v>
      </c>
      <c r="J42" s="48">
        <f t="shared" si="5"/>
        <v>100</v>
      </c>
    </row>
    <row r="43" spans="1:10" ht="21" customHeight="1" x14ac:dyDescent="0.15">
      <c r="A43" s="131">
        <v>40025418</v>
      </c>
      <c r="B43" s="47">
        <v>0</v>
      </c>
      <c r="C43" s="47">
        <v>160</v>
      </c>
      <c r="D43" s="47">
        <v>100</v>
      </c>
      <c r="E43" s="47">
        <v>10</v>
      </c>
      <c r="F43" s="47" t="s">
        <v>89</v>
      </c>
      <c r="G43" s="47" t="s">
        <v>261</v>
      </c>
      <c r="H43" s="47">
        <v>1</v>
      </c>
      <c r="I43" s="47" t="s">
        <v>89</v>
      </c>
      <c r="J43" s="48">
        <f t="shared" si="5"/>
        <v>100</v>
      </c>
    </row>
    <row r="44" spans="1:10" ht="21" customHeight="1" x14ac:dyDescent="0.15">
      <c r="A44" s="131">
        <v>40025419</v>
      </c>
      <c r="B44" s="47">
        <v>1</v>
      </c>
      <c r="C44" s="132">
        <v>170</v>
      </c>
      <c r="D44" s="132">
        <v>100</v>
      </c>
      <c r="E44" s="132" t="s">
        <v>53</v>
      </c>
      <c r="F44" s="132" t="s">
        <v>53</v>
      </c>
      <c r="G44" s="132">
        <v>1</v>
      </c>
      <c r="H44" s="132" t="s">
        <v>261</v>
      </c>
      <c r="I44" s="132">
        <v>1074</v>
      </c>
      <c r="J44" s="48">
        <f t="shared" ref="J44" si="7">D44</f>
        <v>100</v>
      </c>
    </row>
    <row r="45" spans="1:10" ht="21" customHeight="1" x14ac:dyDescent="0.15">
      <c r="A45" s="131">
        <v>40025420</v>
      </c>
      <c r="B45" s="47">
        <v>1</v>
      </c>
      <c r="C45" s="132">
        <v>169</v>
      </c>
      <c r="D45" s="132">
        <v>100</v>
      </c>
      <c r="E45" s="132" t="s">
        <v>53</v>
      </c>
      <c r="F45" s="132" t="s">
        <v>53</v>
      </c>
      <c r="G45" s="132">
        <v>1</v>
      </c>
      <c r="H45" s="132" t="s">
        <v>261</v>
      </c>
      <c r="I45" s="132">
        <v>1075</v>
      </c>
      <c r="J45" s="48">
        <f t="shared" ref="J45" si="8">D45</f>
        <v>100</v>
      </c>
    </row>
    <row r="46" spans="1:10" ht="21" customHeight="1" x14ac:dyDescent="0.15">
      <c r="A46" s="131">
        <v>40025421</v>
      </c>
      <c r="B46" s="47">
        <v>1</v>
      </c>
      <c r="C46" s="132">
        <v>168</v>
      </c>
      <c r="D46" s="132">
        <v>100</v>
      </c>
      <c r="E46" s="132" t="s">
        <v>53</v>
      </c>
      <c r="F46" s="132" t="s">
        <v>53</v>
      </c>
      <c r="G46" s="132">
        <v>1</v>
      </c>
      <c r="H46" s="132" t="s">
        <v>261</v>
      </c>
      <c r="I46" s="132">
        <v>1069</v>
      </c>
      <c r="J46" s="48">
        <f t="shared" ref="J46:J48" si="9">D46</f>
        <v>100</v>
      </c>
    </row>
    <row r="47" spans="1:10" ht="21" customHeight="1" x14ac:dyDescent="0.15">
      <c r="A47" s="131">
        <v>40025422</v>
      </c>
      <c r="B47" s="47">
        <v>1</v>
      </c>
      <c r="C47" s="132">
        <v>167</v>
      </c>
      <c r="D47" s="132">
        <v>100</v>
      </c>
      <c r="E47" s="132" t="s">
        <v>53</v>
      </c>
      <c r="F47" s="132" t="s">
        <v>53</v>
      </c>
      <c r="G47" s="132">
        <v>1</v>
      </c>
      <c r="H47" s="132" t="s">
        <v>261</v>
      </c>
      <c r="I47" s="132">
        <v>1070</v>
      </c>
      <c r="J47" s="48">
        <f t="shared" si="9"/>
        <v>100</v>
      </c>
    </row>
    <row r="48" spans="1:10" ht="21" customHeight="1" x14ac:dyDescent="0.15">
      <c r="A48" s="131">
        <v>40025423</v>
      </c>
      <c r="B48" s="47">
        <v>1</v>
      </c>
      <c r="C48" s="132">
        <v>166</v>
      </c>
      <c r="D48" s="132">
        <v>100</v>
      </c>
      <c r="E48" s="132" t="s">
        <v>53</v>
      </c>
      <c r="F48" s="132" t="s">
        <v>53</v>
      </c>
      <c r="G48" s="132">
        <v>1</v>
      </c>
      <c r="H48" s="132" t="s">
        <v>261</v>
      </c>
      <c r="I48" s="132">
        <v>1071</v>
      </c>
      <c r="J48" s="48">
        <f t="shared" si="9"/>
        <v>100</v>
      </c>
    </row>
    <row r="49" spans="1:10" ht="21" customHeight="1" x14ac:dyDescent="0.15">
      <c r="A49" s="131">
        <v>40025424</v>
      </c>
      <c r="B49" s="47">
        <v>1</v>
      </c>
      <c r="C49" s="132">
        <v>165</v>
      </c>
      <c r="D49" s="132">
        <v>100</v>
      </c>
      <c r="E49" s="132" t="s">
        <v>53</v>
      </c>
      <c r="F49" s="132" t="s">
        <v>53</v>
      </c>
      <c r="G49" s="132">
        <v>1</v>
      </c>
      <c r="H49" s="132" t="s">
        <v>53</v>
      </c>
      <c r="I49" s="132">
        <v>1061</v>
      </c>
      <c r="J49" s="48">
        <f t="shared" ref="J49" si="10">D49</f>
        <v>100</v>
      </c>
    </row>
    <row r="50" spans="1:10" ht="21" customHeight="1" x14ac:dyDescent="0.15">
      <c r="A50" s="131">
        <v>40025425</v>
      </c>
      <c r="B50" s="47">
        <v>1</v>
      </c>
      <c r="C50" s="132">
        <v>164</v>
      </c>
      <c r="D50" s="132">
        <v>100</v>
      </c>
      <c r="E50" s="132" t="s">
        <v>53</v>
      </c>
      <c r="F50" s="132" t="s">
        <v>53</v>
      </c>
      <c r="G50" s="132">
        <v>1</v>
      </c>
      <c r="H50" s="132" t="s">
        <v>53</v>
      </c>
      <c r="I50" s="132">
        <v>1062</v>
      </c>
      <c r="J50" s="48">
        <f t="shared" ref="J50" si="11">D50</f>
        <v>100</v>
      </c>
    </row>
    <row r="51" spans="1:10" ht="21" customHeight="1" x14ac:dyDescent="0.15">
      <c r="A51" s="131">
        <v>40025431</v>
      </c>
      <c r="B51" s="126">
        <v>1</v>
      </c>
      <c r="C51" s="126">
        <v>100</v>
      </c>
      <c r="D51" s="126">
        <v>100</v>
      </c>
      <c r="E51" s="126" t="s">
        <v>264</v>
      </c>
      <c r="F51" s="126" t="s">
        <v>89</v>
      </c>
      <c r="G51" s="126" t="s">
        <v>261</v>
      </c>
      <c r="H51" s="126" t="s">
        <v>261</v>
      </c>
      <c r="I51" s="126" t="s">
        <v>89</v>
      </c>
      <c r="J51" s="48">
        <f t="shared" si="5"/>
        <v>100</v>
      </c>
    </row>
    <row r="52" spans="1:10" ht="21" customHeight="1" x14ac:dyDescent="0.15">
      <c r="A52" s="131">
        <v>40025432</v>
      </c>
      <c r="B52" s="126">
        <v>0</v>
      </c>
      <c r="C52" s="126">
        <v>100</v>
      </c>
      <c r="D52" s="126">
        <v>100</v>
      </c>
      <c r="E52" s="126" t="s">
        <v>264</v>
      </c>
      <c r="F52" s="126" t="s">
        <v>89</v>
      </c>
      <c r="G52" s="126" t="s">
        <v>261</v>
      </c>
      <c r="H52" s="126">
        <v>1</v>
      </c>
      <c r="I52" s="126" t="s">
        <v>89</v>
      </c>
      <c r="J52" s="48">
        <f t="shared" si="5"/>
        <v>100</v>
      </c>
    </row>
    <row r="53" spans="1:10" ht="21" customHeight="1" x14ac:dyDescent="0.15">
      <c r="A53" s="131">
        <v>40025433</v>
      </c>
      <c r="B53" s="126">
        <v>0</v>
      </c>
      <c r="C53" s="126">
        <v>110</v>
      </c>
      <c r="D53" s="126">
        <v>100</v>
      </c>
      <c r="E53" s="126" t="s">
        <v>264</v>
      </c>
      <c r="F53" s="126" t="s">
        <v>89</v>
      </c>
      <c r="G53" s="126" t="s">
        <v>261</v>
      </c>
      <c r="H53" s="126">
        <v>2</v>
      </c>
      <c r="I53" s="126" t="s">
        <v>89</v>
      </c>
      <c r="J53" s="48">
        <f t="shared" si="5"/>
        <v>100</v>
      </c>
    </row>
    <row r="54" spans="1:10" ht="21" customHeight="1" x14ac:dyDescent="0.15">
      <c r="A54" s="131">
        <v>40025434</v>
      </c>
      <c r="B54" s="126">
        <v>0</v>
      </c>
      <c r="C54" s="126">
        <v>120</v>
      </c>
      <c r="D54" s="126">
        <v>100</v>
      </c>
      <c r="E54" s="126" t="s">
        <v>264</v>
      </c>
      <c r="F54" s="126" t="s">
        <v>89</v>
      </c>
      <c r="G54" s="126" t="s">
        <v>261</v>
      </c>
      <c r="H54" s="126">
        <v>4</v>
      </c>
      <c r="I54" s="126" t="s">
        <v>89</v>
      </c>
      <c r="J54" s="48">
        <f t="shared" si="5"/>
        <v>100</v>
      </c>
    </row>
    <row r="55" spans="1:10" ht="21" customHeight="1" x14ac:dyDescent="0.15">
      <c r="A55" s="131">
        <v>40025435</v>
      </c>
      <c r="B55" s="126">
        <v>1</v>
      </c>
      <c r="C55" s="132">
        <v>129</v>
      </c>
      <c r="D55" s="132">
        <v>100</v>
      </c>
      <c r="E55" s="132" t="s">
        <v>53</v>
      </c>
      <c r="F55" s="132" t="s">
        <v>53</v>
      </c>
      <c r="G55" s="132">
        <v>1</v>
      </c>
      <c r="H55" s="132" t="s">
        <v>261</v>
      </c>
      <c r="I55" s="132">
        <v>1074</v>
      </c>
      <c r="J55" s="48">
        <f t="shared" ref="J55" si="12">D55</f>
        <v>100</v>
      </c>
    </row>
    <row r="56" spans="1:10" ht="21" customHeight="1" x14ac:dyDescent="0.15">
      <c r="A56" s="131">
        <v>40025436</v>
      </c>
      <c r="B56" s="126">
        <v>1</v>
      </c>
      <c r="C56" s="132">
        <v>130</v>
      </c>
      <c r="D56" s="132">
        <v>100</v>
      </c>
      <c r="E56" s="132" t="s">
        <v>53</v>
      </c>
      <c r="F56" s="132" t="s">
        <v>53</v>
      </c>
      <c r="G56" s="132">
        <v>1</v>
      </c>
      <c r="H56" s="132" t="s">
        <v>261</v>
      </c>
      <c r="I56" s="132">
        <v>1075</v>
      </c>
      <c r="J56" s="48">
        <f t="shared" ref="J56" si="13">D56</f>
        <v>100</v>
      </c>
    </row>
    <row r="57" spans="1:10" ht="21" customHeight="1" x14ac:dyDescent="0.15">
      <c r="A57" s="131">
        <v>40025451</v>
      </c>
      <c r="B57" s="47">
        <v>1</v>
      </c>
      <c r="C57" s="47">
        <v>100</v>
      </c>
      <c r="D57" s="47">
        <v>100</v>
      </c>
      <c r="E57" s="47" t="s">
        <v>264</v>
      </c>
      <c r="F57" s="47" t="s">
        <v>89</v>
      </c>
      <c r="G57" s="47" t="s">
        <v>261</v>
      </c>
      <c r="H57" s="47" t="s">
        <v>261</v>
      </c>
      <c r="I57" s="47" t="s">
        <v>89</v>
      </c>
      <c r="J57" s="48">
        <f t="shared" si="5"/>
        <v>100</v>
      </c>
    </row>
    <row r="58" spans="1:10" ht="21" customHeight="1" x14ac:dyDescent="0.15">
      <c r="A58" s="131">
        <v>40025452</v>
      </c>
      <c r="B58" s="47">
        <v>0</v>
      </c>
      <c r="C58" s="47">
        <v>100</v>
      </c>
      <c r="D58" s="47">
        <v>100</v>
      </c>
      <c r="E58" s="47" t="s">
        <v>264</v>
      </c>
      <c r="F58" s="47" t="s">
        <v>89</v>
      </c>
      <c r="G58" s="47" t="s">
        <v>261</v>
      </c>
      <c r="H58" s="47">
        <v>1</v>
      </c>
      <c r="I58" s="47" t="s">
        <v>89</v>
      </c>
      <c r="J58" s="48">
        <f t="shared" si="5"/>
        <v>100</v>
      </c>
    </row>
    <row r="59" spans="1:10" ht="21" customHeight="1" x14ac:dyDescent="0.15">
      <c r="A59" s="131">
        <v>40025453</v>
      </c>
      <c r="B59" s="47">
        <v>0</v>
      </c>
      <c r="C59" s="47">
        <v>110</v>
      </c>
      <c r="D59" s="47">
        <v>100</v>
      </c>
      <c r="E59" s="47" t="s">
        <v>264</v>
      </c>
      <c r="F59" s="47" t="s">
        <v>89</v>
      </c>
      <c r="G59" s="47" t="s">
        <v>261</v>
      </c>
      <c r="H59" s="47">
        <v>2</v>
      </c>
      <c r="I59" s="47" t="s">
        <v>89</v>
      </c>
      <c r="J59" s="48">
        <f t="shared" si="5"/>
        <v>100</v>
      </c>
    </row>
    <row r="60" spans="1:10" ht="21" customHeight="1" x14ac:dyDescent="0.15">
      <c r="A60" s="131">
        <v>40025454</v>
      </c>
      <c r="B60" s="47">
        <v>0</v>
      </c>
      <c r="C60" s="47">
        <v>120</v>
      </c>
      <c r="D60" s="47">
        <v>100</v>
      </c>
      <c r="E60" s="47" t="s">
        <v>264</v>
      </c>
      <c r="F60" s="47" t="s">
        <v>89</v>
      </c>
      <c r="G60" s="47" t="s">
        <v>261</v>
      </c>
      <c r="H60" s="47">
        <v>3</v>
      </c>
      <c r="I60" s="47" t="s">
        <v>89</v>
      </c>
      <c r="J60" s="48">
        <f t="shared" si="5"/>
        <v>100</v>
      </c>
    </row>
    <row r="61" spans="1:10" ht="21" customHeight="1" x14ac:dyDescent="0.15">
      <c r="A61" s="131">
        <v>40025455</v>
      </c>
      <c r="B61" s="47">
        <v>0</v>
      </c>
      <c r="C61" s="47">
        <v>140</v>
      </c>
      <c r="D61" s="47">
        <v>100</v>
      </c>
      <c r="E61" s="47">
        <v>50</v>
      </c>
      <c r="F61" s="47" t="s">
        <v>89</v>
      </c>
      <c r="G61" s="47">
        <v>1</v>
      </c>
      <c r="H61" s="47">
        <v>1</v>
      </c>
      <c r="I61" s="47" t="s">
        <v>89</v>
      </c>
      <c r="J61" s="48">
        <f t="shared" si="5"/>
        <v>100</v>
      </c>
    </row>
    <row r="62" spans="1:10" ht="21" customHeight="1" x14ac:dyDescent="0.15">
      <c r="A62" s="131">
        <v>40025456</v>
      </c>
      <c r="B62" s="47">
        <v>0</v>
      </c>
      <c r="C62" s="47">
        <v>130</v>
      </c>
      <c r="D62" s="47">
        <v>100</v>
      </c>
      <c r="E62" s="47">
        <v>50</v>
      </c>
      <c r="F62" s="47" t="s">
        <v>89</v>
      </c>
      <c r="G62" s="47">
        <v>1</v>
      </c>
      <c r="H62" s="47">
        <v>3</v>
      </c>
      <c r="I62" s="47" t="s">
        <v>89</v>
      </c>
      <c r="J62" s="48">
        <f t="shared" si="5"/>
        <v>100</v>
      </c>
    </row>
    <row r="63" spans="1:10" ht="21" customHeight="1" x14ac:dyDescent="0.15">
      <c r="A63" s="131">
        <v>40025457</v>
      </c>
      <c r="B63" s="47">
        <v>1</v>
      </c>
      <c r="C63" s="132">
        <v>164</v>
      </c>
      <c r="D63" s="132">
        <v>100</v>
      </c>
      <c r="E63" s="132" t="s">
        <v>53</v>
      </c>
      <c r="F63" s="132" t="s">
        <v>53</v>
      </c>
      <c r="G63" s="132">
        <v>1</v>
      </c>
      <c r="H63" s="132" t="s">
        <v>261</v>
      </c>
      <c r="I63" s="132">
        <v>1074</v>
      </c>
      <c r="J63" s="48">
        <f t="shared" ref="J63" si="14">D63</f>
        <v>100</v>
      </c>
    </row>
    <row r="64" spans="1:10" ht="21" customHeight="1" x14ac:dyDescent="0.15">
      <c r="A64" s="131">
        <v>40025458</v>
      </c>
      <c r="B64" s="47">
        <v>1</v>
      </c>
      <c r="C64" s="132">
        <v>165</v>
      </c>
      <c r="D64" s="132">
        <v>100</v>
      </c>
      <c r="E64" s="132" t="s">
        <v>53</v>
      </c>
      <c r="F64" s="132" t="s">
        <v>53</v>
      </c>
      <c r="G64" s="132">
        <v>1</v>
      </c>
      <c r="H64" s="132" t="s">
        <v>261</v>
      </c>
      <c r="I64" s="132">
        <v>1075</v>
      </c>
      <c r="J64" s="48">
        <f t="shared" ref="J64:J66" si="15">D64</f>
        <v>100</v>
      </c>
    </row>
    <row r="65" spans="1:11" ht="21" customHeight="1" x14ac:dyDescent="0.15">
      <c r="A65" s="131">
        <v>40025459</v>
      </c>
      <c r="B65" s="47">
        <v>0</v>
      </c>
      <c r="C65" s="132" t="s">
        <v>53</v>
      </c>
      <c r="D65" s="132">
        <v>100</v>
      </c>
      <c r="E65" s="132" t="s">
        <v>53</v>
      </c>
      <c r="F65" s="132" t="s">
        <v>53</v>
      </c>
      <c r="G65" s="132">
        <v>0</v>
      </c>
      <c r="H65" s="132" t="s">
        <v>53</v>
      </c>
      <c r="I65" s="132">
        <v>0</v>
      </c>
      <c r="J65" s="48">
        <f t="shared" si="15"/>
        <v>100</v>
      </c>
    </row>
    <row r="66" spans="1:11" ht="21" customHeight="1" x14ac:dyDescent="0.15">
      <c r="A66" s="131">
        <v>40025460</v>
      </c>
      <c r="B66" s="47">
        <v>0</v>
      </c>
      <c r="C66" s="132">
        <v>166</v>
      </c>
      <c r="D66" s="132">
        <v>100</v>
      </c>
      <c r="E66" s="132" t="s">
        <v>53</v>
      </c>
      <c r="F66" s="132" t="s">
        <v>53</v>
      </c>
      <c r="G66" s="132">
        <v>0</v>
      </c>
      <c r="H66" s="132" t="s">
        <v>53</v>
      </c>
      <c r="I66" s="132">
        <v>1069</v>
      </c>
      <c r="J66" s="48">
        <f t="shared" si="15"/>
        <v>100</v>
      </c>
    </row>
    <row r="67" spans="1:11" ht="21" customHeight="1" x14ac:dyDescent="0.15">
      <c r="A67" s="131">
        <v>40025461</v>
      </c>
      <c r="B67" s="47">
        <v>0</v>
      </c>
      <c r="C67" s="132">
        <v>167</v>
      </c>
      <c r="D67" s="132">
        <v>100</v>
      </c>
      <c r="E67" s="132" t="s">
        <v>53</v>
      </c>
      <c r="F67" s="132" t="s">
        <v>53</v>
      </c>
      <c r="G67" s="132">
        <v>0</v>
      </c>
      <c r="H67" s="132" t="s">
        <v>53</v>
      </c>
      <c r="I67" s="132">
        <v>1070</v>
      </c>
      <c r="J67" s="48">
        <f t="shared" ref="J67:J68" si="16">D67</f>
        <v>100</v>
      </c>
    </row>
    <row r="68" spans="1:11" ht="21" customHeight="1" x14ac:dyDescent="0.15">
      <c r="A68" s="131">
        <v>40025462</v>
      </c>
      <c r="B68" s="47">
        <v>0</v>
      </c>
      <c r="C68" s="132">
        <v>168</v>
      </c>
      <c r="D68" s="132">
        <v>100</v>
      </c>
      <c r="E68" s="132" t="s">
        <v>53</v>
      </c>
      <c r="F68" s="132" t="s">
        <v>53</v>
      </c>
      <c r="G68" s="132">
        <v>0</v>
      </c>
      <c r="H68" s="132" t="s">
        <v>53</v>
      </c>
      <c r="I68" s="132">
        <v>1071</v>
      </c>
      <c r="J68" s="48">
        <f t="shared" si="16"/>
        <v>100</v>
      </c>
    </row>
    <row r="69" spans="1:11" ht="21" customHeight="1" x14ac:dyDescent="0.15">
      <c r="A69" s="135">
        <v>40025463</v>
      </c>
      <c r="B69" s="136">
        <v>0</v>
      </c>
      <c r="C69" s="132">
        <v>169</v>
      </c>
      <c r="D69" s="157">
        <v>100</v>
      </c>
      <c r="E69" s="157" t="s">
        <v>53</v>
      </c>
      <c r="F69" s="157" t="s">
        <v>53</v>
      </c>
      <c r="G69" s="157">
        <v>0</v>
      </c>
      <c r="H69" s="157" t="s">
        <v>53</v>
      </c>
      <c r="I69" s="157">
        <v>1074</v>
      </c>
      <c r="J69" s="138">
        <f t="shared" ref="J69:J132" si="17">D69</f>
        <v>100</v>
      </c>
    </row>
    <row r="70" spans="1:11" ht="21" customHeight="1" thickBot="1" x14ac:dyDescent="0.2">
      <c r="A70" s="143">
        <v>40025464</v>
      </c>
      <c r="B70" s="144">
        <v>0</v>
      </c>
      <c r="C70" s="151">
        <v>170</v>
      </c>
      <c r="D70" s="151">
        <v>100</v>
      </c>
      <c r="E70" s="151" t="s">
        <v>53</v>
      </c>
      <c r="F70" s="151" t="s">
        <v>53</v>
      </c>
      <c r="G70" s="151">
        <v>0</v>
      </c>
      <c r="H70" s="151" t="s">
        <v>53</v>
      </c>
      <c r="I70" s="151">
        <v>1075</v>
      </c>
      <c r="J70" s="146">
        <f t="shared" si="17"/>
        <v>100</v>
      </c>
      <c r="K70" s="142"/>
    </row>
    <row r="71" spans="1:11" ht="21" customHeight="1" thickTop="1" x14ac:dyDescent="0.15">
      <c r="A71" s="139">
        <v>40025611</v>
      </c>
      <c r="B71" s="139">
        <v>1</v>
      </c>
      <c r="C71" s="139" t="s">
        <v>89</v>
      </c>
      <c r="D71" s="139">
        <v>100</v>
      </c>
      <c r="E71" s="139" t="s">
        <v>53</v>
      </c>
      <c r="F71" s="139" t="s">
        <v>90</v>
      </c>
      <c r="G71" s="139" t="s">
        <v>89</v>
      </c>
      <c r="H71" s="139" t="s">
        <v>53</v>
      </c>
      <c r="I71" s="139" t="s">
        <v>90</v>
      </c>
      <c r="J71" s="141">
        <f t="shared" si="17"/>
        <v>100</v>
      </c>
    </row>
    <row r="72" spans="1:11" ht="21" customHeight="1" x14ac:dyDescent="0.15">
      <c r="A72" s="139">
        <v>40025612</v>
      </c>
      <c r="B72" s="47">
        <v>0</v>
      </c>
      <c r="C72" s="47">
        <v>100</v>
      </c>
      <c r="D72" s="47">
        <v>100</v>
      </c>
      <c r="E72" s="47" t="s">
        <v>53</v>
      </c>
      <c r="F72" s="47" t="s">
        <v>90</v>
      </c>
      <c r="G72" s="47" t="s">
        <v>89</v>
      </c>
      <c r="H72" s="47">
        <v>1</v>
      </c>
      <c r="I72" s="47" t="s">
        <v>90</v>
      </c>
      <c r="J72" s="48">
        <f t="shared" si="17"/>
        <v>100</v>
      </c>
    </row>
    <row r="73" spans="1:11" ht="21" customHeight="1" x14ac:dyDescent="0.15">
      <c r="A73" s="139">
        <v>40025613</v>
      </c>
      <c r="B73" s="47">
        <v>0</v>
      </c>
      <c r="C73" s="47">
        <v>120</v>
      </c>
      <c r="D73" s="47">
        <v>100</v>
      </c>
      <c r="E73" s="47" t="s">
        <v>53</v>
      </c>
      <c r="F73" s="47" t="s">
        <v>90</v>
      </c>
      <c r="G73" s="47" t="s">
        <v>89</v>
      </c>
      <c r="H73" s="47">
        <v>2</v>
      </c>
      <c r="I73" s="47" t="s">
        <v>90</v>
      </c>
      <c r="J73" s="48">
        <f t="shared" si="17"/>
        <v>100</v>
      </c>
    </row>
    <row r="74" spans="1:11" ht="21" customHeight="1" x14ac:dyDescent="0.15">
      <c r="A74" s="139">
        <v>40025614</v>
      </c>
      <c r="B74" s="47">
        <v>0</v>
      </c>
      <c r="C74" s="47">
        <v>130</v>
      </c>
      <c r="D74" s="47">
        <v>100</v>
      </c>
      <c r="E74" s="47">
        <v>10</v>
      </c>
      <c r="F74" s="47" t="s">
        <v>90</v>
      </c>
      <c r="G74" s="47">
        <v>1</v>
      </c>
      <c r="H74" s="47">
        <v>1</v>
      </c>
      <c r="I74" s="47" t="s">
        <v>90</v>
      </c>
      <c r="J74" s="48">
        <f t="shared" si="17"/>
        <v>100</v>
      </c>
    </row>
    <row r="75" spans="1:11" ht="21" customHeight="1" x14ac:dyDescent="0.15">
      <c r="A75" s="47">
        <v>40025631</v>
      </c>
      <c r="B75" s="126">
        <v>1</v>
      </c>
      <c r="C75" s="126">
        <v>140</v>
      </c>
      <c r="D75" s="126">
        <v>100</v>
      </c>
      <c r="E75" s="126" t="s">
        <v>53</v>
      </c>
      <c r="F75" s="126" t="s">
        <v>53</v>
      </c>
      <c r="G75" s="126" t="s">
        <v>53</v>
      </c>
      <c r="H75" s="126" t="s">
        <v>53</v>
      </c>
      <c r="I75" s="126" t="s">
        <v>53</v>
      </c>
      <c r="J75" s="48">
        <f t="shared" si="17"/>
        <v>100</v>
      </c>
    </row>
    <row r="76" spans="1:11" ht="21" customHeight="1" x14ac:dyDescent="0.15">
      <c r="A76" s="47">
        <v>40025632</v>
      </c>
      <c r="B76" s="126">
        <v>0</v>
      </c>
      <c r="C76" s="126">
        <v>100</v>
      </c>
      <c r="D76" s="126">
        <v>100</v>
      </c>
      <c r="E76" s="126" t="s">
        <v>53</v>
      </c>
      <c r="F76" s="126" t="s">
        <v>90</v>
      </c>
      <c r="G76" s="126" t="s">
        <v>89</v>
      </c>
      <c r="H76" s="126">
        <v>1</v>
      </c>
      <c r="I76" s="126" t="s">
        <v>90</v>
      </c>
      <c r="J76" s="48">
        <f t="shared" si="17"/>
        <v>100</v>
      </c>
    </row>
    <row r="77" spans="1:11" ht="21" customHeight="1" x14ac:dyDescent="0.15">
      <c r="A77" s="47">
        <v>40025633</v>
      </c>
      <c r="B77" s="126">
        <v>0</v>
      </c>
      <c r="C77" s="126">
        <v>110</v>
      </c>
      <c r="D77" s="126">
        <v>100</v>
      </c>
      <c r="E77" s="126" t="s">
        <v>53</v>
      </c>
      <c r="F77" s="126" t="s">
        <v>90</v>
      </c>
      <c r="G77" s="126" t="s">
        <v>89</v>
      </c>
      <c r="H77" s="126">
        <v>2</v>
      </c>
      <c r="I77" s="126" t="s">
        <v>90</v>
      </c>
      <c r="J77" s="48">
        <f t="shared" si="17"/>
        <v>100</v>
      </c>
    </row>
    <row r="78" spans="1:11" ht="21" customHeight="1" x14ac:dyDescent="0.15">
      <c r="A78" s="47">
        <v>40025634</v>
      </c>
      <c r="B78" s="126">
        <v>0</v>
      </c>
      <c r="C78" s="126">
        <v>120</v>
      </c>
      <c r="D78" s="126">
        <v>100</v>
      </c>
      <c r="E78" s="126" t="s">
        <v>53</v>
      </c>
      <c r="F78" s="126" t="s">
        <v>90</v>
      </c>
      <c r="G78" s="126">
        <v>1</v>
      </c>
      <c r="H78" s="126">
        <v>3</v>
      </c>
      <c r="I78" s="126" t="s">
        <v>90</v>
      </c>
      <c r="J78" s="48">
        <f t="shared" si="17"/>
        <v>100</v>
      </c>
    </row>
    <row r="79" spans="1:11" ht="21" customHeight="1" x14ac:dyDescent="0.15">
      <c r="A79" s="47">
        <v>40025635</v>
      </c>
      <c r="B79" s="126">
        <v>0</v>
      </c>
      <c r="C79" s="126">
        <v>130</v>
      </c>
      <c r="D79" s="126">
        <v>100</v>
      </c>
      <c r="E79" s="126">
        <v>70</v>
      </c>
      <c r="F79" s="126">
        <v>40</v>
      </c>
      <c r="G79" s="126">
        <v>1</v>
      </c>
      <c r="H79" s="126">
        <v>1</v>
      </c>
      <c r="I79" s="126" t="s">
        <v>90</v>
      </c>
      <c r="J79" s="48">
        <f t="shared" si="17"/>
        <v>100</v>
      </c>
    </row>
    <row r="80" spans="1:11" ht="21" customHeight="1" x14ac:dyDescent="0.15">
      <c r="A80" s="47">
        <v>40025636</v>
      </c>
      <c r="B80" s="126">
        <v>0</v>
      </c>
      <c r="C80" s="126">
        <v>140</v>
      </c>
      <c r="D80" s="126">
        <v>100</v>
      </c>
      <c r="E80" s="126">
        <v>40</v>
      </c>
      <c r="F80" s="126" t="s">
        <v>90</v>
      </c>
      <c r="G80" s="126">
        <v>1</v>
      </c>
      <c r="H80" s="126">
        <v>1</v>
      </c>
      <c r="I80" s="126" t="s">
        <v>90</v>
      </c>
      <c r="J80" s="48">
        <f t="shared" si="17"/>
        <v>100</v>
      </c>
    </row>
    <row r="81" spans="1:10" ht="21" customHeight="1" x14ac:dyDescent="0.15">
      <c r="A81" s="129">
        <v>40025711</v>
      </c>
      <c r="B81" s="47">
        <v>1</v>
      </c>
      <c r="C81" s="47">
        <v>100</v>
      </c>
      <c r="D81" s="47">
        <v>100</v>
      </c>
      <c r="E81" s="47" t="s">
        <v>264</v>
      </c>
      <c r="F81" s="47" t="s">
        <v>89</v>
      </c>
      <c r="G81" s="47" t="s">
        <v>89</v>
      </c>
      <c r="H81" s="47" t="s">
        <v>89</v>
      </c>
      <c r="I81" s="47" t="s">
        <v>89</v>
      </c>
      <c r="J81" s="48">
        <f t="shared" si="17"/>
        <v>100</v>
      </c>
    </row>
    <row r="82" spans="1:10" ht="21" customHeight="1" x14ac:dyDescent="0.15">
      <c r="A82" s="129">
        <v>40025712</v>
      </c>
      <c r="B82" s="47">
        <v>0</v>
      </c>
      <c r="C82" s="47">
        <v>100</v>
      </c>
      <c r="D82" s="47">
        <v>100</v>
      </c>
      <c r="E82" s="47" t="s">
        <v>264</v>
      </c>
      <c r="F82" s="47" t="s">
        <v>89</v>
      </c>
      <c r="G82" s="47" t="s">
        <v>89</v>
      </c>
      <c r="H82" s="47">
        <v>1</v>
      </c>
      <c r="I82" s="47" t="s">
        <v>89</v>
      </c>
      <c r="J82" s="48">
        <f t="shared" si="17"/>
        <v>100</v>
      </c>
    </row>
    <row r="83" spans="1:10" ht="21" customHeight="1" x14ac:dyDescent="0.15">
      <c r="A83" s="129">
        <v>40025713</v>
      </c>
      <c r="B83" s="47">
        <v>0</v>
      </c>
      <c r="C83" s="47">
        <v>110</v>
      </c>
      <c r="D83" s="47">
        <v>100</v>
      </c>
      <c r="E83" s="47" t="s">
        <v>264</v>
      </c>
      <c r="F83" s="47" t="s">
        <v>89</v>
      </c>
      <c r="G83" s="47" t="s">
        <v>89</v>
      </c>
      <c r="H83" s="47">
        <v>2</v>
      </c>
      <c r="I83" s="47" t="s">
        <v>89</v>
      </c>
      <c r="J83" s="48">
        <f t="shared" si="17"/>
        <v>100</v>
      </c>
    </row>
    <row r="84" spans="1:10" ht="21" customHeight="1" x14ac:dyDescent="0.15">
      <c r="A84" s="129">
        <v>40025714</v>
      </c>
      <c r="B84" s="47">
        <v>0</v>
      </c>
      <c r="C84" s="47">
        <v>120</v>
      </c>
      <c r="D84" s="47">
        <v>100</v>
      </c>
      <c r="E84" s="47" t="s">
        <v>264</v>
      </c>
      <c r="F84" s="47" t="s">
        <v>89</v>
      </c>
      <c r="G84" s="47" t="s">
        <v>89</v>
      </c>
      <c r="H84" s="47">
        <v>4</v>
      </c>
      <c r="I84" s="47" t="s">
        <v>89</v>
      </c>
      <c r="J84" s="48">
        <f t="shared" si="17"/>
        <v>100</v>
      </c>
    </row>
    <row r="85" spans="1:10" ht="21" customHeight="1" x14ac:dyDescent="0.15">
      <c r="A85" s="129">
        <v>40025731</v>
      </c>
      <c r="B85" s="126">
        <v>1</v>
      </c>
      <c r="C85" s="126">
        <v>100</v>
      </c>
      <c r="D85" s="126">
        <v>100</v>
      </c>
      <c r="E85" s="126" t="s">
        <v>264</v>
      </c>
      <c r="F85" s="126" t="s">
        <v>89</v>
      </c>
      <c r="G85" s="126" t="s">
        <v>89</v>
      </c>
      <c r="H85" s="126" t="s">
        <v>263</v>
      </c>
      <c r="I85" s="126" t="s">
        <v>89</v>
      </c>
      <c r="J85" s="48">
        <f t="shared" si="17"/>
        <v>100</v>
      </c>
    </row>
    <row r="86" spans="1:10" ht="21" customHeight="1" x14ac:dyDescent="0.15">
      <c r="A86" s="129">
        <v>40025732</v>
      </c>
      <c r="B86" s="126">
        <v>0</v>
      </c>
      <c r="C86" s="126">
        <v>100</v>
      </c>
      <c r="D86" s="126">
        <v>100</v>
      </c>
      <c r="E86" s="126" t="s">
        <v>264</v>
      </c>
      <c r="F86" s="126" t="s">
        <v>89</v>
      </c>
      <c r="G86" s="126" t="s">
        <v>89</v>
      </c>
      <c r="H86" s="126">
        <v>1</v>
      </c>
      <c r="I86" s="126" t="s">
        <v>89</v>
      </c>
      <c r="J86" s="48">
        <f t="shared" si="17"/>
        <v>100</v>
      </c>
    </row>
    <row r="87" spans="1:10" ht="21" customHeight="1" x14ac:dyDescent="0.15">
      <c r="A87" s="129">
        <v>40025733</v>
      </c>
      <c r="B87" s="126">
        <v>0</v>
      </c>
      <c r="C87" s="126">
        <v>110</v>
      </c>
      <c r="D87" s="126">
        <v>100</v>
      </c>
      <c r="E87" s="126" t="s">
        <v>264</v>
      </c>
      <c r="F87" s="126" t="s">
        <v>89</v>
      </c>
      <c r="G87" s="126" t="s">
        <v>89</v>
      </c>
      <c r="H87" s="126">
        <v>2</v>
      </c>
      <c r="I87" s="126" t="s">
        <v>89</v>
      </c>
      <c r="J87" s="48">
        <f t="shared" si="17"/>
        <v>100</v>
      </c>
    </row>
    <row r="88" spans="1:10" ht="21" customHeight="1" x14ac:dyDescent="0.15">
      <c r="A88" s="129">
        <v>40025734</v>
      </c>
      <c r="B88" s="126">
        <v>0</v>
      </c>
      <c r="C88" s="126">
        <v>120</v>
      </c>
      <c r="D88" s="126">
        <v>100</v>
      </c>
      <c r="E88" s="126" t="s">
        <v>264</v>
      </c>
      <c r="F88" s="126" t="s">
        <v>89</v>
      </c>
      <c r="G88" s="126" t="s">
        <v>89</v>
      </c>
      <c r="H88" s="126">
        <v>3</v>
      </c>
      <c r="I88" s="126" t="s">
        <v>89</v>
      </c>
      <c r="J88" s="48">
        <f t="shared" si="17"/>
        <v>100</v>
      </c>
    </row>
    <row r="89" spans="1:10" ht="21" customHeight="1" x14ac:dyDescent="0.15">
      <c r="A89" s="129">
        <v>40025751</v>
      </c>
      <c r="B89" s="47">
        <v>1</v>
      </c>
      <c r="C89" s="47">
        <v>100</v>
      </c>
      <c r="D89" s="47">
        <v>100</v>
      </c>
      <c r="E89" s="47" t="s">
        <v>264</v>
      </c>
      <c r="F89" s="47" t="s">
        <v>89</v>
      </c>
      <c r="G89" s="47" t="s">
        <v>89</v>
      </c>
      <c r="H89" s="47" t="s">
        <v>89</v>
      </c>
      <c r="I89" s="47" t="s">
        <v>89</v>
      </c>
      <c r="J89" s="48">
        <f t="shared" si="17"/>
        <v>100</v>
      </c>
    </row>
    <row r="90" spans="1:10" ht="21" customHeight="1" x14ac:dyDescent="0.15">
      <c r="A90" s="129">
        <v>40025752</v>
      </c>
      <c r="B90" s="47">
        <v>0</v>
      </c>
      <c r="C90" s="47">
        <v>100</v>
      </c>
      <c r="D90" s="47">
        <v>100</v>
      </c>
      <c r="E90" s="47" t="s">
        <v>264</v>
      </c>
      <c r="F90" s="47" t="s">
        <v>89</v>
      </c>
      <c r="G90" s="47" t="s">
        <v>89</v>
      </c>
      <c r="H90" s="47">
        <v>1</v>
      </c>
      <c r="I90" s="47" t="s">
        <v>89</v>
      </c>
      <c r="J90" s="48">
        <f t="shared" si="17"/>
        <v>100</v>
      </c>
    </row>
    <row r="91" spans="1:10" ht="21" customHeight="1" x14ac:dyDescent="0.15">
      <c r="A91" s="129">
        <v>40025753</v>
      </c>
      <c r="B91" s="47">
        <v>0</v>
      </c>
      <c r="C91" s="47">
        <v>110</v>
      </c>
      <c r="D91" s="47">
        <v>100</v>
      </c>
      <c r="E91" s="47" t="s">
        <v>264</v>
      </c>
      <c r="F91" s="47" t="s">
        <v>89</v>
      </c>
      <c r="G91" s="47" t="s">
        <v>89</v>
      </c>
      <c r="H91" s="47">
        <v>2</v>
      </c>
      <c r="I91" s="47" t="s">
        <v>89</v>
      </c>
      <c r="J91" s="48">
        <f t="shared" si="17"/>
        <v>100</v>
      </c>
    </row>
    <row r="92" spans="1:10" ht="21" customHeight="1" x14ac:dyDescent="0.15">
      <c r="A92" s="129">
        <v>40025754</v>
      </c>
      <c r="B92" s="47">
        <v>0</v>
      </c>
      <c r="C92" s="47">
        <v>120</v>
      </c>
      <c r="D92" s="47">
        <v>100</v>
      </c>
      <c r="E92" s="47" t="s">
        <v>264</v>
      </c>
      <c r="F92" s="47" t="s">
        <v>89</v>
      </c>
      <c r="G92" s="47" t="s">
        <v>89</v>
      </c>
      <c r="H92" s="47">
        <v>3</v>
      </c>
      <c r="I92" s="47" t="s">
        <v>89</v>
      </c>
      <c r="J92" s="48">
        <f t="shared" si="17"/>
        <v>100</v>
      </c>
    </row>
    <row r="93" spans="1:10" ht="21" customHeight="1" x14ac:dyDescent="0.15">
      <c r="A93" s="130">
        <v>40025811</v>
      </c>
      <c r="B93" s="126">
        <v>1</v>
      </c>
      <c r="C93" s="126">
        <v>100</v>
      </c>
      <c r="D93" s="126">
        <v>100</v>
      </c>
      <c r="E93" s="126" t="s">
        <v>264</v>
      </c>
      <c r="F93" s="126" t="s">
        <v>89</v>
      </c>
      <c r="G93" s="126" t="s">
        <v>53</v>
      </c>
      <c r="H93" s="126" t="s">
        <v>89</v>
      </c>
      <c r="I93" s="126" t="s">
        <v>89</v>
      </c>
      <c r="J93" s="48">
        <f t="shared" si="17"/>
        <v>100</v>
      </c>
    </row>
    <row r="94" spans="1:10" ht="21" customHeight="1" x14ac:dyDescent="0.15">
      <c r="A94" s="130">
        <v>40025812</v>
      </c>
      <c r="B94" s="126">
        <v>0</v>
      </c>
      <c r="C94" s="126">
        <v>110</v>
      </c>
      <c r="D94" s="126">
        <v>100</v>
      </c>
      <c r="E94" s="126" t="s">
        <v>264</v>
      </c>
      <c r="F94" s="126">
        <v>100</v>
      </c>
      <c r="G94" s="126">
        <v>3</v>
      </c>
      <c r="H94" s="126">
        <v>1</v>
      </c>
      <c r="I94" s="126" t="s">
        <v>89</v>
      </c>
      <c r="J94" s="48">
        <f t="shared" si="17"/>
        <v>100</v>
      </c>
    </row>
    <row r="95" spans="1:10" ht="21" customHeight="1" x14ac:dyDescent="0.15">
      <c r="A95" s="130">
        <v>40025813</v>
      </c>
      <c r="B95" s="126">
        <v>0</v>
      </c>
      <c r="C95" s="126">
        <v>100</v>
      </c>
      <c r="D95" s="126">
        <v>100</v>
      </c>
      <c r="E95" s="126" t="s">
        <v>89</v>
      </c>
      <c r="F95" s="126" t="s">
        <v>89</v>
      </c>
      <c r="G95" s="126">
        <v>3</v>
      </c>
      <c r="H95" s="126">
        <v>1</v>
      </c>
      <c r="I95" s="126" t="s">
        <v>89</v>
      </c>
      <c r="J95" s="48">
        <f t="shared" si="17"/>
        <v>100</v>
      </c>
    </row>
    <row r="96" spans="1:10" ht="21" customHeight="1" x14ac:dyDescent="0.15">
      <c r="A96" s="130">
        <v>40025814</v>
      </c>
      <c r="B96" s="126">
        <v>0</v>
      </c>
      <c r="C96" s="126">
        <v>111</v>
      </c>
      <c r="D96" s="126">
        <v>100</v>
      </c>
      <c r="E96" s="126" t="s">
        <v>53</v>
      </c>
      <c r="F96" s="126">
        <v>100</v>
      </c>
      <c r="G96" s="126">
        <v>1</v>
      </c>
      <c r="H96" s="126">
        <v>4</v>
      </c>
      <c r="I96" s="126" t="s">
        <v>53</v>
      </c>
      <c r="J96" s="48">
        <f t="shared" si="17"/>
        <v>100</v>
      </c>
    </row>
    <row r="97" spans="1:10" ht="21" customHeight="1" x14ac:dyDescent="0.15">
      <c r="A97" s="130">
        <v>40025815</v>
      </c>
      <c r="B97" s="126">
        <v>0</v>
      </c>
      <c r="C97" s="126">
        <v>101</v>
      </c>
      <c r="D97" s="126">
        <v>100</v>
      </c>
      <c r="E97" s="126" t="s">
        <v>53</v>
      </c>
      <c r="F97" s="126" t="s">
        <v>53</v>
      </c>
      <c r="G97" s="126">
        <v>1</v>
      </c>
      <c r="H97" s="126">
        <v>4</v>
      </c>
      <c r="I97" s="126" t="s">
        <v>53</v>
      </c>
      <c r="J97" s="48">
        <f t="shared" si="17"/>
        <v>100</v>
      </c>
    </row>
    <row r="98" spans="1:10" ht="21" customHeight="1" x14ac:dyDescent="0.15">
      <c r="A98" s="130">
        <v>40025816</v>
      </c>
      <c r="B98" s="126">
        <v>0</v>
      </c>
      <c r="C98" s="126">
        <v>130</v>
      </c>
      <c r="D98" s="126">
        <v>100</v>
      </c>
      <c r="E98" s="126" t="s">
        <v>264</v>
      </c>
      <c r="F98" s="126">
        <v>100</v>
      </c>
      <c r="G98" s="126" t="s">
        <v>89</v>
      </c>
      <c r="H98" s="126">
        <v>5</v>
      </c>
      <c r="I98" s="126" t="s">
        <v>89</v>
      </c>
      <c r="J98" s="48">
        <f t="shared" si="17"/>
        <v>100</v>
      </c>
    </row>
    <row r="99" spans="1:10" ht="21" customHeight="1" x14ac:dyDescent="0.15">
      <c r="A99" s="130">
        <v>40025817</v>
      </c>
      <c r="B99" s="126">
        <v>0</v>
      </c>
      <c r="C99" s="126">
        <v>120</v>
      </c>
      <c r="D99" s="126">
        <v>100</v>
      </c>
      <c r="E99" s="126" t="s">
        <v>264</v>
      </c>
      <c r="F99" s="126" t="s">
        <v>89</v>
      </c>
      <c r="G99" s="126" t="s">
        <v>89</v>
      </c>
      <c r="H99" s="126">
        <v>5</v>
      </c>
      <c r="I99" s="126" t="s">
        <v>89</v>
      </c>
      <c r="J99" s="48">
        <f t="shared" si="17"/>
        <v>100</v>
      </c>
    </row>
    <row r="100" spans="1:10" ht="21" customHeight="1" x14ac:dyDescent="0.15">
      <c r="A100" s="130">
        <v>40025831</v>
      </c>
      <c r="B100" s="47">
        <v>1</v>
      </c>
      <c r="C100" s="47">
        <v>100</v>
      </c>
      <c r="D100" s="47">
        <v>100</v>
      </c>
      <c r="E100" s="47" t="s">
        <v>264</v>
      </c>
      <c r="F100" s="47" t="s">
        <v>89</v>
      </c>
      <c r="G100" s="47">
        <v>1</v>
      </c>
      <c r="H100" s="47" t="s">
        <v>89</v>
      </c>
      <c r="I100" s="47" t="s">
        <v>89</v>
      </c>
      <c r="J100" s="48">
        <f t="shared" si="17"/>
        <v>100</v>
      </c>
    </row>
    <row r="101" spans="1:10" ht="21" customHeight="1" x14ac:dyDescent="0.15">
      <c r="A101" s="130">
        <v>40025832</v>
      </c>
      <c r="B101" s="47">
        <v>0</v>
      </c>
      <c r="C101" s="47">
        <v>100</v>
      </c>
      <c r="D101" s="47">
        <v>100</v>
      </c>
      <c r="E101" s="47" t="s">
        <v>264</v>
      </c>
      <c r="F101" s="47" t="s">
        <v>89</v>
      </c>
      <c r="G101" s="47" t="s">
        <v>89</v>
      </c>
      <c r="H101" s="47">
        <v>1</v>
      </c>
      <c r="I101" s="47" t="s">
        <v>89</v>
      </c>
      <c r="J101" s="48">
        <f t="shared" si="17"/>
        <v>100</v>
      </c>
    </row>
    <row r="102" spans="1:10" ht="21" customHeight="1" x14ac:dyDescent="0.15">
      <c r="A102" s="130">
        <v>40025833</v>
      </c>
      <c r="B102" s="47">
        <v>0</v>
      </c>
      <c r="C102" s="47">
        <v>110</v>
      </c>
      <c r="D102" s="47">
        <v>100</v>
      </c>
      <c r="E102" s="47" t="s">
        <v>264</v>
      </c>
      <c r="F102" s="47" t="s">
        <v>89</v>
      </c>
      <c r="G102" s="47">
        <v>1</v>
      </c>
      <c r="H102" s="47">
        <v>1</v>
      </c>
      <c r="I102" s="47">
        <v>858</v>
      </c>
      <c r="J102" s="48">
        <f t="shared" si="17"/>
        <v>100</v>
      </c>
    </row>
    <row r="103" spans="1:10" ht="21" customHeight="1" x14ac:dyDescent="0.15">
      <c r="A103" s="130">
        <v>40025851</v>
      </c>
      <c r="B103" s="126">
        <v>1</v>
      </c>
      <c r="C103" s="126">
        <v>100</v>
      </c>
      <c r="D103" s="126">
        <v>100</v>
      </c>
      <c r="E103" s="126" t="s">
        <v>264</v>
      </c>
      <c r="F103" s="126" t="s">
        <v>89</v>
      </c>
      <c r="G103" s="126" t="s">
        <v>53</v>
      </c>
      <c r="H103" s="126" t="s">
        <v>89</v>
      </c>
      <c r="I103" s="126" t="s">
        <v>89</v>
      </c>
      <c r="J103" s="48">
        <f t="shared" si="17"/>
        <v>100</v>
      </c>
    </row>
    <row r="104" spans="1:10" ht="21" customHeight="1" x14ac:dyDescent="0.15">
      <c r="A104" s="130">
        <v>40025852</v>
      </c>
      <c r="B104" s="126">
        <v>0</v>
      </c>
      <c r="C104" s="126">
        <v>100</v>
      </c>
      <c r="D104" s="126">
        <v>100</v>
      </c>
      <c r="E104" s="126" t="s">
        <v>264</v>
      </c>
      <c r="F104" s="126" t="s">
        <v>89</v>
      </c>
      <c r="G104" s="126" t="s">
        <v>89</v>
      </c>
      <c r="H104" s="126">
        <v>1</v>
      </c>
      <c r="I104" s="126" t="s">
        <v>89</v>
      </c>
      <c r="J104" s="48">
        <f t="shared" si="17"/>
        <v>100</v>
      </c>
    </row>
    <row r="105" spans="1:10" ht="21" customHeight="1" x14ac:dyDescent="0.15">
      <c r="A105" s="131">
        <v>40025911</v>
      </c>
      <c r="B105" s="47">
        <v>1</v>
      </c>
      <c r="C105" s="47">
        <v>100</v>
      </c>
      <c r="D105" s="47">
        <v>100</v>
      </c>
      <c r="E105" s="47" t="s">
        <v>264</v>
      </c>
      <c r="F105" s="47" t="s">
        <v>89</v>
      </c>
      <c r="G105" s="47" t="s">
        <v>89</v>
      </c>
      <c r="H105" s="47" t="s">
        <v>89</v>
      </c>
      <c r="I105" s="47" t="s">
        <v>89</v>
      </c>
      <c r="J105" s="48">
        <f t="shared" si="17"/>
        <v>100</v>
      </c>
    </row>
    <row r="106" spans="1:10" ht="21" customHeight="1" x14ac:dyDescent="0.15">
      <c r="A106" s="131">
        <v>40025912</v>
      </c>
      <c r="B106" s="47">
        <v>0</v>
      </c>
      <c r="C106" s="47">
        <v>100</v>
      </c>
      <c r="D106" s="47">
        <v>100</v>
      </c>
      <c r="E106" s="47" t="s">
        <v>264</v>
      </c>
      <c r="F106" s="47" t="s">
        <v>89</v>
      </c>
      <c r="G106" s="47" t="s">
        <v>89</v>
      </c>
      <c r="H106" s="47">
        <v>1</v>
      </c>
      <c r="I106" s="47" t="s">
        <v>89</v>
      </c>
      <c r="J106" s="48">
        <f t="shared" si="17"/>
        <v>100</v>
      </c>
    </row>
    <row r="107" spans="1:10" ht="21" customHeight="1" x14ac:dyDescent="0.15">
      <c r="A107" s="131">
        <v>40025913</v>
      </c>
      <c r="B107" s="47">
        <v>0</v>
      </c>
      <c r="C107" s="47">
        <v>110</v>
      </c>
      <c r="D107" s="47">
        <v>100</v>
      </c>
      <c r="E107" s="47" t="s">
        <v>264</v>
      </c>
      <c r="F107" s="47" t="s">
        <v>89</v>
      </c>
      <c r="G107" s="47" t="s">
        <v>89</v>
      </c>
      <c r="H107" s="47">
        <v>2</v>
      </c>
      <c r="I107" s="47" t="s">
        <v>89</v>
      </c>
      <c r="J107" s="48">
        <f t="shared" si="17"/>
        <v>100</v>
      </c>
    </row>
    <row r="108" spans="1:10" ht="21" customHeight="1" x14ac:dyDescent="0.15">
      <c r="A108" s="131">
        <v>40025914</v>
      </c>
      <c r="B108" s="47">
        <v>0</v>
      </c>
      <c r="C108" s="47">
        <v>120</v>
      </c>
      <c r="D108" s="47">
        <v>100</v>
      </c>
      <c r="E108" s="47" t="s">
        <v>264</v>
      </c>
      <c r="F108" s="47" t="s">
        <v>89</v>
      </c>
      <c r="G108" s="47" t="s">
        <v>89</v>
      </c>
      <c r="H108" s="47">
        <v>3</v>
      </c>
      <c r="I108" s="47" t="s">
        <v>89</v>
      </c>
      <c r="J108" s="48">
        <f t="shared" si="17"/>
        <v>100</v>
      </c>
    </row>
    <row r="109" spans="1:10" ht="21" customHeight="1" x14ac:dyDescent="0.15">
      <c r="A109" s="131">
        <v>40025915</v>
      </c>
      <c r="B109" s="47">
        <v>0</v>
      </c>
      <c r="C109" s="47">
        <v>130</v>
      </c>
      <c r="D109" s="47">
        <v>100</v>
      </c>
      <c r="E109" s="47">
        <v>80</v>
      </c>
      <c r="F109" s="47">
        <v>55</v>
      </c>
      <c r="G109" s="47">
        <v>1</v>
      </c>
      <c r="H109" s="47">
        <v>1</v>
      </c>
      <c r="I109" s="47" t="s">
        <v>89</v>
      </c>
      <c r="J109" s="48">
        <f t="shared" si="17"/>
        <v>100</v>
      </c>
    </row>
    <row r="110" spans="1:10" ht="21" customHeight="1" x14ac:dyDescent="0.15">
      <c r="A110" s="131">
        <v>40025916</v>
      </c>
      <c r="B110" s="47">
        <v>0</v>
      </c>
      <c r="C110" s="47">
        <v>140</v>
      </c>
      <c r="D110" s="47">
        <v>100</v>
      </c>
      <c r="E110" s="47">
        <v>55</v>
      </c>
      <c r="F110" s="47">
        <v>30</v>
      </c>
      <c r="G110" s="47">
        <v>1</v>
      </c>
      <c r="H110" s="47">
        <v>1</v>
      </c>
      <c r="I110" s="47" t="s">
        <v>89</v>
      </c>
      <c r="J110" s="48">
        <f t="shared" si="17"/>
        <v>100</v>
      </c>
    </row>
    <row r="111" spans="1:10" ht="21" customHeight="1" x14ac:dyDescent="0.15">
      <c r="A111" s="131">
        <v>40025917</v>
      </c>
      <c r="B111" s="47">
        <v>0</v>
      </c>
      <c r="C111" s="47">
        <v>150</v>
      </c>
      <c r="D111" s="47">
        <v>100</v>
      </c>
      <c r="E111" s="47">
        <v>30</v>
      </c>
      <c r="F111" s="47">
        <v>10</v>
      </c>
      <c r="G111" s="47">
        <v>1</v>
      </c>
      <c r="H111" s="47">
        <v>1</v>
      </c>
      <c r="I111" s="47" t="s">
        <v>89</v>
      </c>
      <c r="J111" s="48">
        <f t="shared" si="17"/>
        <v>100</v>
      </c>
    </row>
    <row r="112" spans="1:10" ht="21" customHeight="1" x14ac:dyDescent="0.15">
      <c r="A112" s="131">
        <v>40025918</v>
      </c>
      <c r="B112" s="47">
        <v>0</v>
      </c>
      <c r="C112" s="47">
        <v>160</v>
      </c>
      <c r="D112" s="47">
        <v>100</v>
      </c>
      <c r="E112" s="47">
        <v>10</v>
      </c>
      <c r="F112" s="47" t="s">
        <v>89</v>
      </c>
      <c r="G112" s="47" t="s">
        <v>89</v>
      </c>
      <c r="H112" s="47">
        <v>1</v>
      </c>
      <c r="I112" s="47" t="s">
        <v>89</v>
      </c>
      <c r="J112" s="48">
        <f t="shared" si="17"/>
        <v>100</v>
      </c>
    </row>
    <row r="113" spans="1:10" ht="21" customHeight="1" x14ac:dyDescent="0.15">
      <c r="A113" s="131">
        <v>40025919</v>
      </c>
      <c r="B113" s="47">
        <v>1</v>
      </c>
      <c r="C113" s="132">
        <v>170</v>
      </c>
      <c r="D113" s="132">
        <v>100</v>
      </c>
      <c r="E113" s="132" t="s">
        <v>53</v>
      </c>
      <c r="F113" s="132" t="s">
        <v>53</v>
      </c>
      <c r="G113" s="132">
        <v>1</v>
      </c>
      <c r="H113" s="132" t="s">
        <v>89</v>
      </c>
      <c r="I113" s="132">
        <v>1074</v>
      </c>
      <c r="J113" s="48">
        <f t="shared" si="17"/>
        <v>100</v>
      </c>
    </row>
    <row r="114" spans="1:10" ht="21" customHeight="1" x14ac:dyDescent="0.15">
      <c r="A114" s="131">
        <v>40025920</v>
      </c>
      <c r="B114" s="47">
        <v>1</v>
      </c>
      <c r="C114" s="132">
        <v>169</v>
      </c>
      <c r="D114" s="132">
        <v>100</v>
      </c>
      <c r="E114" s="132" t="s">
        <v>53</v>
      </c>
      <c r="F114" s="132" t="s">
        <v>53</v>
      </c>
      <c r="G114" s="132">
        <v>1</v>
      </c>
      <c r="H114" s="132" t="s">
        <v>89</v>
      </c>
      <c r="I114" s="132">
        <v>1075</v>
      </c>
      <c r="J114" s="48">
        <f t="shared" si="17"/>
        <v>100</v>
      </c>
    </row>
    <row r="115" spans="1:10" ht="21" customHeight="1" x14ac:dyDescent="0.15">
      <c r="A115" s="131">
        <v>40025921</v>
      </c>
      <c r="B115" s="47">
        <v>1</v>
      </c>
      <c r="C115" s="132">
        <v>168</v>
      </c>
      <c r="D115" s="132">
        <v>100</v>
      </c>
      <c r="E115" s="132" t="s">
        <v>53</v>
      </c>
      <c r="F115" s="132" t="s">
        <v>53</v>
      </c>
      <c r="G115" s="132">
        <v>1</v>
      </c>
      <c r="H115" s="132" t="s">
        <v>89</v>
      </c>
      <c r="I115" s="132">
        <v>1069</v>
      </c>
      <c r="J115" s="48">
        <f t="shared" si="17"/>
        <v>100</v>
      </c>
    </row>
    <row r="116" spans="1:10" ht="21" customHeight="1" x14ac:dyDescent="0.15">
      <c r="A116" s="131">
        <v>40025922</v>
      </c>
      <c r="B116" s="47">
        <v>1</v>
      </c>
      <c r="C116" s="132">
        <v>167</v>
      </c>
      <c r="D116" s="132">
        <v>100</v>
      </c>
      <c r="E116" s="132" t="s">
        <v>53</v>
      </c>
      <c r="F116" s="132" t="s">
        <v>53</v>
      </c>
      <c r="G116" s="132">
        <v>1</v>
      </c>
      <c r="H116" s="132" t="s">
        <v>89</v>
      </c>
      <c r="I116" s="132">
        <v>1070</v>
      </c>
      <c r="J116" s="48">
        <f t="shared" si="17"/>
        <v>100</v>
      </c>
    </row>
    <row r="117" spans="1:10" ht="21" customHeight="1" x14ac:dyDescent="0.15">
      <c r="A117" s="131">
        <v>40025923</v>
      </c>
      <c r="B117" s="47">
        <v>1</v>
      </c>
      <c r="C117" s="132">
        <v>166</v>
      </c>
      <c r="D117" s="132">
        <v>100</v>
      </c>
      <c r="E117" s="132" t="s">
        <v>53</v>
      </c>
      <c r="F117" s="132" t="s">
        <v>53</v>
      </c>
      <c r="G117" s="132">
        <v>1</v>
      </c>
      <c r="H117" s="132" t="s">
        <v>89</v>
      </c>
      <c r="I117" s="132">
        <v>1071</v>
      </c>
      <c r="J117" s="48">
        <f t="shared" si="17"/>
        <v>100</v>
      </c>
    </row>
    <row r="118" spans="1:10" ht="21" customHeight="1" x14ac:dyDescent="0.15">
      <c r="A118" s="131">
        <v>40025924</v>
      </c>
      <c r="B118" s="47">
        <v>1</v>
      </c>
      <c r="C118" s="132">
        <v>165</v>
      </c>
      <c r="D118" s="132">
        <v>100</v>
      </c>
      <c r="E118" s="132" t="s">
        <v>53</v>
      </c>
      <c r="F118" s="132" t="s">
        <v>53</v>
      </c>
      <c r="G118" s="132">
        <v>1</v>
      </c>
      <c r="H118" s="132" t="s">
        <v>53</v>
      </c>
      <c r="I118" s="132">
        <v>1061</v>
      </c>
      <c r="J118" s="48">
        <f t="shared" si="17"/>
        <v>100</v>
      </c>
    </row>
    <row r="119" spans="1:10" ht="21" customHeight="1" x14ac:dyDescent="0.15">
      <c r="A119" s="131">
        <v>40025925</v>
      </c>
      <c r="B119" s="47">
        <v>1</v>
      </c>
      <c r="C119" s="132">
        <v>164</v>
      </c>
      <c r="D119" s="132">
        <v>100</v>
      </c>
      <c r="E119" s="132" t="s">
        <v>53</v>
      </c>
      <c r="F119" s="132" t="s">
        <v>53</v>
      </c>
      <c r="G119" s="132">
        <v>1</v>
      </c>
      <c r="H119" s="132" t="s">
        <v>53</v>
      </c>
      <c r="I119" s="132">
        <v>1062</v>
      </c>
      <c r="J119" s="48">
        <f t="shared" si="17"/>
        <v>100</v>
      </c>
    </row>
    <row r="120" spans="1:10" ht="21" customHeight="1" x14ac:dyDescent="0.15">
      <c r="A120" s="131">
        <v>40025931</v>
      </c>
      <c r="B120" s="126">
        <v>1</v>
      </c>
      <c r="C120" s="126">
        <v>100</v>
      </c>
      <c r="D120" s="126">
        <v>100</v>
      </c>
      <c r="E120" s="126" t="s">
        <v>264</v>
      </c>
      <c r="F120" s="126" t="s">
        <v>89</v>
      </c>
      <c r="G120" s="126" t="s">
        <v>89</v>
      </c>
      <c r="H120" s="126" t="s">
        <v>89</v>
      </c>
      <c r="I120" s="126" t="s">
        <v>89</v>
      </c>
      <c r="J120" s="48">
        <f t="shared" si="17"/>
        <v>100</v>
      </c>
    </row>
    <row r="121" spans="1:10" ht="21" customHeight="1" x14ac:dyDescent="0.15">
      <c r="A121" s="131">
        <v>40025932</v>
      </c>
      <c r="B121" s="126">
        <v>0</v>
      </c>
      <c r="C121" s="126">
        <v>100</v>
      </c>
      <c r="D121" s="126">
        <v>100</v>
      </c>
      <c r="E121" s="126" t="s">
        <v>264</v>
      </c>
      <c r="F121" s="126" t="s">
        <v>89</v>
      </c>
      <c r="G121" s="126" t="s">
        <v>89</v>
      </c>
      <c r="H121" s="126">
        <v>1</v>
      </c>
      <c r="I121" s="126" t="s">
        <v>89</v>
      </c>
      <c r="J121" s="48">
        <f t="shared" si="17"/>
        <v>100</v>
      </c>
    </row>
    <row r="122" spans="1:10" ht="21" customHeight="1" x14ac:dyDescent="0.15">
      <c r="A122" s="131">
        <v>40025933</v>
      </c>
      <c r="B122" s="126">
        <v>0</v>
      </c>
      <c r="C122" s="126">
        <v>110</v>
      </c>
      <c r="D122" s="126">
        <v>100</v>
      </c>
      <c r="E122" s="126" t="s">
        <v>264</v>
      </c>
      <c r="F122" s="126" t="s">
        <v>89</v>
      </c>
      <c r="G122" s="126" t="s">
        <v>89</v>
      </c>
      <c r="H122" s="126">
        <v>2</v>
      </c>
      <c r="I122" s="126" t="s">
        <v>89</v>
      </c>
      <c r="J122" s="48">
        <f t="shared" si="17"/>
        <v>100</v>
      </c>
    </row>
    <row r="123" spans="1:10" ht="21" customHeight="1" x14ac:dyDescent="0.15">
      <c r="A123" s="131">
        <v>40025934</v>
      </c>
      <c r="B123" s="126">
        <v>0</v>
      </c>
      <c r="C123" s="126">
        <v>120</v>
      </c>
      <c r="D123" s="126">
        <v>100</v>
      </c>
      <c r="E123" s="126" t="s">
        <v>264</v>
      </c>
      <c r="F123" s="126" t="s">
        <v>89</v>
      </c>
      <c r="G123" s="126" t="s">
        <v>89</v>
      </c>
      <c r="H123" s="126">
        <v>4</v>
      </c>
      <c r="I123" s="126" t="s">
        <v>89</v>
      </c>
      <c r="J123" s="48">
        <f t="shared" si="17"/>
        <v>100</v>
      </c>
    </row>
    <row r="124" spans="1:10" ht="21" customHeight="1" x14ac:dyDescent="0.15">
      <c r="A124" s="131">
        <v>40025935</v>
      </c>
      <c r="B124" s="126">
        <v>1</v>
      </c>
      <c r="C124" s="132">
        <v>129</v>
      </c>
      <c r="D124" s="132">
        <v>100</v>
      </c>
      <c r="E124" s="132" t="s">
        <v>53</v>
      </c>
      <c r="F124" s="132" t="s">
        <v>53</v>
      </c>
      <c r="G124" s="132">
        <v>1</v>
      </c>
      <c r="H124" s="132" t="s">
        <v>89</v>
      </c>
      <c r="I124" s="132">
        <v>1074</v>
      </c>
      <c r="J124" s="48">
        <f t="shared" si="17"/>
        <v>100</v>
      </c>
    </row>
    <row r="125" spans="1:10" ht="21" customHeight="1" x14ac:dyDescent="0.15">
      <c r="A125" s="131">
        <v>40025936</v>
      </c>
      <c r="B125" s="126">
        <v>1</v>
      </c>
      <c r="C125" s="132">
        <v>130</v>
      </c>
      <c r="D125" s="132">
        <v>100</v>
      </c>
      <c r="E125" s="132" t="s">
        <v>53</v>
      </c>
      <c r="F125" s="132" t="s">
        <v>53</v>
      </c>
      <c r="G125" s="132">
        <v>1</v>
      </c>
      <c r="H125" s="132" t="s">
        <v>89</v>
      </c>
      <c r="I125" s="132">
        <v>1075</v>
      </c>
      <c r="J125" s="48">
        <f t="shared" si="17"/>
        <v>100</v>
      </c>
    </row>
    <row r="126" spans="1:10" ht="21" customHeight="1" x14ac:dyDescent="0.15">
      <c r="A126" s="131">
        <v>40025951</v>
      </c>
      <c r="B126" s="47">
        <v>1</v>
      </c>
      <c r="C126" s="47">
        <v>100</v>
      </c>
      <c r="D126" s="47">
        <v>100</v>
      </c>
      <c r="E126" s="47" t="s">
        <v>264</v>
      </c>
      <c r="F126" s="47" t="s">
        <v>89</v>
      </c>
      <c r="G126" s="47" t="s">
        <v>89</v>
      </c>
      <c r="H126" s="47" t="s">
        <v>89</v>
      </c>
      <c r="I126" s="47" t="s">
        <v>89</v>
      </c>
      <c r="J126" s="48">
        <f t="shared" si="17"/>
        <v>100</v>
      </c>
    </row>
    <row r="127" spans="1:10" ht="21" customHeight="1" x14ac:dyDescent="0.15">
      <c r="A127" s="131">
        <v>40025952</v>
      </c>
      <c r="B127" s="47">
        <v>0</v>
      </c>
      <c r="C127" s="47">
        <v>100</v>
      </c>
      <c r="D127" s="47">
        <v>100</v>
      </c>
      <c r="E127" s="47" t="s">
        <v>264</v>
      </c>
      <c r="F127" s="47" t="s">
        <v>89</v>
      </c>
      <c r="G127" s="47" t="s">
        <v>89</v>
      </c>
      <c r="H127" s="47">
        <v>1</v>
      </c>
      <c r="I127" s="47" t="s">
        <v>89</v>
      </c>
      <c r="J127" s="48">
        <f t="shared" si="17"/>
        <v>100</v>
      </c>
    </row>
    <row r="128" spans="1:10" ht="21" customHeight="1" x14ac:dyDescent="0.15">
      <c r="A128" s="131">
        <v>40025953</v>
      </c>
      <c r="B128" s="47">
        <v>0</v>
      </c>
      <c r="C128" s="47">
        <v>110</v>
      </c>
      <c r="D128" s="47">
        <v>100</v>
      </c>
      <c r="E128" s="47" t="s">
        <v>264</v>
      </c>
      <c r="F128" s="47" t="s">
        <v>89</v>
      </c>
      <c r="G128" s="47" t="s">
        <v>89</v>
      </c>
      <c r="H128" s="47">
        <v>2</v>
      </c>
      <c r="I128" s="47" t="s">
        <v>89</v>
      </c>
      <c r="J128" s="48">
        <f t="shared" si="17"/>
        <v>100</v>
      </c>
    </row>
    <row r="129" spans="1:10" ht="21" customHeight="1" x14ac:dyDescent="0.15">
      <c r="A129" s="131">
        <v>40025954</v>
      </c>
      <c r="B129" s="47">
        <v>0</v>
      </c>
      <c r="C129" s="47">
        <v>120</v>
      </c>
      <c r="D129" s="47">
        <v>100</v>
      </c>
      <c r="E129" s="47" t="s">
        <v>264</v>
      </c>
      <c r="F129" s="47" t="s">
        <v>89</v>
      </c>
      <c r="G129" s="47" t="s">
        <v>89</v>
      </c>
      <c r="H129" s="47">
        <v>3</v>
      </c>
      <c r="I129" s="47" t="s">
        <v>89</v>
      </c>
      <c r="J129" s="48">
        <f t="shared" si="17"/>
        <v>100</v>
      </c>
    </row>
    <row r="130" spans="1:10" ht="21" customHeight="1" x14ac:dyDescent="0.15">
      <c r="A130" s="131">
        <v>40025955</v>
      </c>
      <c r="B130" s="47">
        <v>0</v>
      </c>
      <c r="C130" s="47">
        <v>140</v>
      </c>
      <c r="D130" s="47">
        <v>100</v>
      </c>
      <c r="E130" s="47">
        <v>50</v>
      </c>
      <c r="F130" s="47" t="s">
        <v>89</v>
      </c>
      <c r="G130" s="47">
        <v>1</v>
      </c>
      <c r="H130" s="47">
        <v>1</v>
      </c>
      <c r="I130" s="47" t="s">
        <v>89</v>
      </c>
      <c r="J130" s="48">
        <f t="shared" si="17"/>
        <v>100</v>
      </c>
    </row>
    <row r="131" spans="1:10" ht="21" customHeight="1" x14ac:dyDescent="0.15">
      <c r="A131" s="131">
        <v>40025956</v>
      </c>
      <c r="B131" s="47">
        <v>0</v>
      </c>
      <c r="C131" s="47">
        <v>130</v>
      </c>
      <c r="D131" s="47">
        <v>100</v>
      </c>
      <c r="E131" s="47">
        <v>50</v>
      </c>
      <c r="F131" s="47" t="s">
        <v>89</v>
      </c>
      <c r="G131" s="47">
        <v>1</v>
      </c>
      <c r="H131" s="47">
        <v>3</v>
      </c>
      <c r="I131" s="47" t="s">
        <v>89</v>
      </c>
      <c r="J131" s="48">
        <f t="shared" si="17"/>
        <v>100</v>
      </c>
    </row>
    <row r="132" spans="1:10" ht="21" customHeight="1" x14ac:dyDescent="0.15">
      <c r="A132" s="131">
        <v>40025957</v>
      </c>
      <c r="B132" s="47">
        <v>1</v>
      </c>
      <c r="C132" s="132">
        <v>164</v>
      </c>
      <c r="D132" s="132">
        <v>100</v>
      </c>
      <c r="E132" s="132" t="s">
        <v>53</v>
      </c>
      <c r="F132" s="132" t="s">
        <v>53</v>
      </c>
      <c r="G132" s="132">
        <v>1</v>
      </c>
      <c r="H132" s="132" t="s">
        <v>89</v>
      </c>
      <c r="I132" s="132">
        <v>1074</v>
      </c>
      <c r="J132" s="48">
        <f t="shared" si="17"/>
        <v>100</v>
      </c>
    </row>
    <row r="133" spans="1:10" ht="21" customHeight="1" x14ac:dyDescent="0.15">
      <c r="A133" s="131">
        <v>40025958</v>
      </c>
      <c r="B133" s="47">
        <v>1</v>
      </c>
      <c r="C133" s="132">
        <v>165</v>
      </c>
      <c r="D133" s="132">
        <v>100</v>
      </c>
      <c r="E133" s="132" t="s">
        <v>53</v>
      </c>
      <c r="F133" s="132" t="s">
        <v>53</v>
      </c>
      <c r="G133" s="132">
        <v>1</v>
      </c>
      <c r="H133" s="132" t="s">
        <v>89</v>
      </c>
      <c r="I133" s="132">
        <v>1075</v>
      </c>
      <c r="J133" s="48">
        <f t="shared" ref="J133:J139" si="18">D133</f>
        <v>100</v>
      </c>
    </row>
    <row r="134" spans="1:10" ht="21" customHeight="1" x14ac:dyDescent="0.15">
      <c r="A134" s="131">
        <v>40025959</v>
      </c>
      <c r="B134" s="47">
        <v>0</v>
      </c>
      <c r="C134" s="132" t="s">
        <v>53</v>
      </c>
      <c r="D134" s="132">
        <v>100</v>
      </c>
      <c r="E134" s="132" t="s">
        <v>53</v>
      </c>
      <c r="F134" s="132" t="s">
        <v>53</v>
      </c>
      <c r="G134" s="132">
        <v>0</v>
      </c>
      <c r="H134" s="132" t="s">
        <v>53</v>
      </c>
      <c r="I134" s="132">
        <v>0</v>
      </c>
      <c r="J134" s="48">
        <f t="shared" si="18"/>
        <v>100</v>
      </c>
    </row>
    <row r="135" spans="1:10" ht="21" customHeight="1" x14ac:dyDescent="0.15">
      <c r="A135" s="131">
        <v>40025960</v>
      </c>
      <c r="B135" s="47">
        <v>0</v>
      </c>
      <c r="C135" s="132">
        <v>166</v>
      </c>
      <c r="D135" s="132">
        <v>100</v>
      </c>
      <c r="E135" s="132" t="s">
        <v>53</v>
      </c>
      <c r="F135" s="132" t="s">
        <v>53</v>
      </c>
      <c r="G135" s="132">
        <v>0</v>
      </c>
      <c r="H135" s="132" t="s">
        <v>53</v>
      </c>
      <c r="I135" s="132">
        <v>1069</v>
      </c>
      <c r="J135" s="48">
        <f t="shared" si="18"/>
        <v>100</v>
      </c>
    </row>
    <row r="136" spans="1:10" ht="21" customHeight="1" x14ac:dyDescent="0.15">
      <c r="A136" s="131">
        <v>40025961</v>
      </c>
      <c r="B136" s="47">
        <v>0</v>
      </c>
      <c r="C136" s="132">
        <v>167</v>
      </c>
      <c r="D136" s="132">
        <v>100</v>
      </c>
      <c r="E136" s="132" t="s">
        <v>53</v>
      </c>
      <c r="F136" s="132" t="s">
        <v>53</v>
      </c>
      <c r="G136" s="132">
        <v>0</v>
      </c>
      <c r="H136" s="132" t="s">
        <v>53</v>
      </c>
      <c r="I136" s="132">
        <v>1070</v>
      </c>
      <c r="J136" s="48">
        <f t="shared" si="18"/>
        <v>100</v>
      </c>
    </row>
    <row r="137" spans="1:10" ht="21" customHeight="1" x14ac:dyDescent="0.15">
      <c r="A137" s="131">
        <v>40025962</v>
      </c>
      <c r="B137" s="47">
        <v>0</v>
      </c>
      <c r="C137" s="132">
        <v>168</v>
      </c>
      <c r="D137" s="132">
        <v>100</v>
      </c>
      <c r="E137" s="132" t="s">
        <v>53</v>
      </c>
      <c r="F137" s="132" t="s">
        <v>53</v>
      </c>
      <c r="G137" s="132">
        <v>0</v>
      </c>
      <c r="H137" s="132" t="s">
        <v>53</v>
      </c>
      <c r="I137" s="132">
        <v>1071</v>
      </c>
      <c r="J137" s="48">
        <f t="shared" si="18"/>
        <v>100</v>
      </c>
    </row>
    <row r="138" spans="1:10" ht="21" customHeight="1" x14ac:dyDescent="0.15">
      <c r="A138" s="131">
        <v>40025963</v>
      </c>
      <c r="B138" s="47">
        <v>0</v>
      </c>
      <c r="C138" s="132">
        <v>169</v>
      </c>
      <c r="D138" s="132">
        <v>100</v>
      </c>
      <c r="E138" s="132" t="s">
        <v>53</v>
      </c>
      <c r="F138" s="132" t="s">
        <v>53</v>
      </c>
      <c r="G138" s="132">
        <v>0</v>
      </c>
      <c r="H138" s="132" t="s">
        <v>53</v>
      </c>
      <c r="I138" s="132">
        <v>1074</v>
      </c>
      <c r="J138" s="48">
        <f t="shared" si="18"/>
        <v>100</v>
      </c>
    </row>
    <row r="139" spans="1:10" ht="21" customHeight="1" x14ac:dyDescent="0.15">
      <c r="A139" s="131">
        <v>40025964</v>
      </c>
      <c r="B139" s="47">
        <v>0</v>
      </c>
      <c r="C139" s="132">
        <v>170</v>
      </c>
      <c r="D139" s="132">
        <v>100</v>
      </c>
      <c r="E139" s="132" t="s">
        <v>53</v>
      </c>
      <c r="F139" s="132" t="s">
        <v>53</v>
      </c>
      <c r="G139" s="132">
        <v>0</v>
      </c>
      <c r="H139" s="132" t="s">
        <v>53</v>
      </c>
      <c r="I139" s="132">
        <v>1075</v>
      </c>
      <c r="J139" s="48">
        <f t="shared" si="18"/>
        <v>100</v>
      </c>
    </row>
  </sheetData>
  <autoFilter ref="A1:G1"/>
  <phoneticPr fontId="5"/>
  <conditionalFormatting sqref="K140:K1048576 K57:K63 K1:K2 K4:K5 K7:K11 K24:K26 K51:K55 K29:K44">
    <cfRule type="duplicateValues" dxfId="29" priority="32"/>
  </conditionalFormatting>
  <conditionalFormatting sqref="K3">
    <cfRule type="duplicateValues" dxfId="28" priority="31"/>
  </conditionalFormatting>
  <conditionalFormatting sqref="K6">
    <cfRule type="duplicateValues" dxfId="27" priority="30"/>
  </conditionalFormatting>
  <conditionalFormatting sqref="K12:K23">
    <cfRule type="duplicateValues" dxfId="26" priority="29"/>
  </conditionalFormatting>
  <conditionalFormatting sqref="K45">
    <cfRule type="duplicateValues" dxfId="25" priority="28"/>
  </conditionalFormatting>
  <conditionalFormatting sqref="K56">
    <cfRule type="duplicateValues" dxfId="24" priority="27"/>
  </conditionalFormatting>
  <conditionalFormatting sqref="K64">
    <cfRule type="duplicateValues" dxfId="23" priority="26"/>
  </conditionalFormatting>
  <conditionalFormatting sqref="K65">
    <cfRule type="duplicateValues" dxfId="22" priority="24"/>
  </conditionalFormatting>
  <conditionalFormatting sqref="K46:K48">
    <cfRule type="duplicateValues" dxfId="21" priority="23"/>
  </conditionalFormatting>
  <conditionalFormatting sqref="K66">
    <cfRule type="duplicateValues" dxfId="20" priority="39"/>
  </conditionalFormatting>
  <conditionalFormatting sqref="K67:K68">
    <cfRule type="duplicateValues" dxfId="19" priority="20"/>
  </conditionalFormatting>
  <conditionalFormatting sqref="K69:K70">
    <cfRule type="duplicateValues" dxfId="18" priority="19"/>
  </conditionalFormatting>
  <conditionalFormatting sqref="K27:K28">
    <cfRule type="duplicateValues" dxfId="17" priority="18"/>
  </conditionalFormatting>
  <conditionalFormatting sqref="K49">
    <cfRule type="duplicateValues" dxfId="16" priority="17"/>
  </conditionalFormatting>
  <conditionalFormatting sqref="K50">
    <cfRule type="duplicateValues" dxfId="15" priority="16"/>
  </conditionalFormatting>
  <conditionalFormatting sqref="K126:K132 K71 K73:K74 K76:K80 K93:K95 K120:K124 K98:K113">
    <cfRule type="duplicateValues" dxfId="14" priority="14"/>
  </conditionalFormatting>
  <conditionalFormatting sqref="K72">
    <cfRule type="duplicateValues" dxfId="13" priority="13"/>
  </conditionalFormatting>
  <conditionalFormatting sqref="K75">
    <cfRule type="duplicateValues" dxfId="12" priority="12"/>
  </conditionalFormatting>
  <conditionalFormatting sqref="K81:K92">
    <cfRule type="duplicateValues" dxfId="11" priority="11"/>
  </conditionalFormatting>
  <conditionalFormatting sqref="K114">
    <cfRule type="duplicateValues" dxfId="10" priority="10"/>
  </conditionalFormatting>
  <conditionalFormatting sqref="K125">
    <cfRule type="duplicateValues" dxfId="9" priority="9"/>
  </conditionalFormatting>
  <conditionalFormatting sqref="K133">
    <cfRule type="duplicateValues" dxfId="8" priority="8"/>
  </conditionalFormatting>
  <conditionalFormatting sqref="K134">
    <cfRule type="duplicateValues" dxfId="7" priority="7"/>
  </conditionalFormatting>
  <conditionalFormatting sqref="K115:K117">
    <cfRule type="duplicateValues" dxfId="6" priority="6"/>
  </conditionalFormatting>
  <conditionalFormatting sqref="K135">
    <cfRule type="duplicateValues" dxfId="5" priority="15"/>
  </conditionalFormatting>
  <conditionalFormatting sqref="K136:K137">
    <cfRule type="duplicateValues" dxfId="4" priority="5"/>
  </conditionalFormatting>
  <conditionalFormatting sqref="K138:K139">
    <cfRule type="duplicateValues" dxfId="3" priority="4"/>
  </conditionalFormatting>
  <conditionalFormatting sqref="K96:K97">
    <cfRule type="duplicateValues" dxfId="2" priority="3"/>
  </conditionalFormatting>
  <conditionalFormatting sqref="K118">
    <cfRule type="duplicateValues" dxfId="1" priority="2"/>
  </conditionalFormatting>
  <conditionalFormatting sqref="K11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R18"/>
  <sheetViews>
    <sheetView workbookViewId="0">
      <selection activeCell="D15" sqref="D1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3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111">
        <f>floors!$C$6</f>
        <v>40025</v>
      </c>
      <c r="B2" s="106">
        <v>1</v>
      </c>
      <c r="C2" s="107" t="str">
        <f>A2&amp; "_"&amp;B2</f>
        <v>40025_1</v>
      </c>
      <c r="D2" s="10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06">
        <v>1</v>
      </c>
      <c r="F2" s="106" t="s">
        <v>169</v>
      </c>
      <c r="G2" s="109">
        <v>40000</v>
      </c>
      <c r="H2" s="106" t="s">
        <v>255</v>
      </c>
      <c r="I2" s="106">
        <v>1</v>
      </c>
      <c r="J2" s="106">
        <v>1</v>
      </c>
      <c r="K2" s="106">
        <v>0</v>
      </c>
      <c r="L2" s="106">
        <v>0</v>
      </c>
      <c r="M2" s="106">
        <v>0</v>
      </c>
      <c r="N2" s="106">
        <v>0</v>
      </c>
      <c r="O2" s="106">
        <v>1</v>
      </c>
      <c r="P2" s="106">
        <v>150</v>
      </c>
      <c r="Q2" s="106" t="s">
        <v>170</v>
      </c>
      <c r="R2" s="110" t="s">
        <v>171</v>
      </c>
    </row>
    <row r="3" spans="1:18" x14ac:dyDescent="0.15">
      <c r="A3" s="111">
        <f>floors!$C$6</f>
        <v>40025</v>
      </c>
      <c r="B3" s="57">
        <v>1</v>
      </c>
      <c r="C3" s="72" t="str">
        <f t="shared" ref="C3:C18" si="0">A3&amp; "_"&amp;B3</f>
        <v>40025_1</v>
      </c>
      <c r="D3" s="10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258</v>
      </c>
      <c r="G3" s="112">
        <v>30</v>
      </c>
      <c r="H3" s="57" t="s">
        <v>255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170</v>
      </c>
      <c r="R3" s="113" t="s">
        <v>171</v>
      </c>
    </row>
    <row r="4" spans="1:18" x14ac:dyDescent="0.15">
      <c r="A4" s="111">
        <f>floors!$C$6</f>
        <v>40025</v>
      </c>
      <c r="B4" s="57">
        <v>1</v>
      </c>
      <c r="C4" s="72" t="str">
        <f t="shared" si="0"/>
        <v>40025_1</v>
      </c>
      <c r="D4" s="10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259</v>
      </c>
      <c r="G4" s="112">
        <v>341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28</v>
      </c>
      <c r="Q4" s="57" t="s">
        <v>170</v>
      </c>
      <c r="R4" s="113" t="s">
        <v>171</v>
      </c>
    </row>
    <row r="5" spans="1:18" x14ac:dyDescent="0.15">
      <c r="A5" s="111">
        <f>floors!$C$6</f>
        <v>40025</v>
      </c>
      <c r="B5" s="57">
        <v>1</v>
      </c>
      <c r="C5" s="72" t="str">
        <f t="shared" si="0"/>
        <v>40025_1</v>
      </c>
      <c r="D5" s="10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259</v>
      </c>
      <c r="G5" s="112">
        <v>342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112</v>
      </c>
      <c r="Q5" s="57" t="s">
        <v>170</v>
      </c>
      <c r="R5" s="113" t="s">
        <v>171</v>
      </c>
    </row>
    <row r="6" spans="1:18" x14ac:dyDescent="0.15">
      <c r="A6" s="111">
        <f>floors!$C$6</f>
        <v>40025</v>
      </c>
      <c r="B6" s="57">
        <v>1</v>
      </c>
      <c r="C6" s="72" t="str">
        <f t="shared" si="0"/>
        <v>40025_1</v>
      </c>
      <c r="D6" s="10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259</v>
      </c>
      <c r="G6" s="112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118">
        <v>100</v>
      </c>
      <c r="Q6" s="57" t="s">
        <v>170</v>
      </c>
      <c r="R6" s="113" t="s">
        <v>171</v>
      </c>
    </row>
    <row r="7" spans="1:18" x14ac:dyDescent="0.15">
      <c r="A7" s="111">
        <f>floors!$C$6</f>
        <v>40025</v>
      </c>
      <c r="B7" s="57">
        <v>1</v>
      </c>
      <c r="C7" s="72" t="str">
        <f t="shared" si="0"/>
        <v>40025_1</v>
      </c>
      <c r="D7" s="10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259</v>
      </c>
      <c r="G7" s="112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118">
        <v>100</v>
      </c>
      <c r="Q7" s="57" t="s">
        <v>170</v>
      </c>
      <c r="R7" s="113" t="s">
        <v>171</v>
      </c>
    </row>
    <row r="8" spans="1:18" x14ac:dyDescent="0.15">
      <c r="A8" s="111">
        <f>floors!$C$6</f>
        <v>40025</v>
      </c>
      <c r="B8" s="57">
        <v>1</v>
      </c>
      <c r="C8" s="72" t="str">
        <f t="shared" si="0"/>
        <v>40025_1</v>
      </c>
      <c r="D8" s="10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259</v>
      </c>
      <c r="G8" s="112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118">
        <v>100</v>
      </c>
      <c r="Q8" s="57" t="s">
        <v>170</v>
      </c>
      <c r="R8" s="113" t="s">
        <v>171</v>
      </c>
    </row>
    <row r="9" spans="1:18" x14ac:dyDescent="0.15">
      <c r="A9" s="111">
        <f>floors!$C$6</f>
        <v>40025</v>
      </c>
      <c r="B9" s="57">
        <v>1</v>
      </c>
      <c r="C9" s="72" t="str">
        <f t="shared" si="0"/>
        <v>40025_1</v>
      </c>
      <c r="D9" s="10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259</v>
      </c>
      <c r="G9" s="112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118">
        <v>10</v>
      </c>
      <c r="Q9" s="57" t="s">
        <v>170</v>
      </c>
      <c r="R9" s="113" t="s">
        <v>171</v>
      </c>
    </row>
    <row r="10" spans="1:18" x14ac:dyDescent="0.15">
      <c r="A10" s="111">
        <f>floors!$C$6</f>
        <v>40025</v>
      </c>
      <c r="B10" s="57">
        <v>1</v>
      </c>
      <c r="C10" s="72" t="str">
        <f t="shared" si="0"/>
        <v>40025_1</v>
      </c>
      <c r="D10" s="10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259</v>
      </c>
      <c r="G10" s="119">
        <v>1063</v>
      </c>
      <c r="H10" s="120">
        <v>1</v>
      </c>
      <c r="I10" s="120">
        <v>1</v>
      </c>
      <c r="J10" s="120">
        <v>1</v>
      </c>
      <c r="K10" s="120">
        <v>0</v>
      </c>
      <c r="L10" s="120">
        <v>0</v>
      </c>
      <c r="M10" s="120">
        <v>0</v>
      </c>
      <c r="N10" s="120">
        <v>0</v>
      </c>
      <c r="O10" s="120">
        <v>1</v>
      </c>
      <c r="P10" s="120">
        <v>100</v>
      </c>
      <c r="Q10" s="57" t="s">
        <v>170</v>
      </c>
      <c r="R10" s="113" t="s">
        <v>171</v>
      </c>
    </row>
    <row r="11" spans="1:18" ht="16" thickBot="1" x14ac:dyDescent="0.2">
      <c r="A11" s="111">
        <f>floors!$C$6</f>
        <v>40025</v>
      </c>
      <c r="B11" s="114">
        <v>1</v>
      </c>
      <c r="C11" s="115" t="str">
        <f t="shared" si="0"/>
        <v>40025_1</v>
      </c>
      <c r="D11" s="10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4">
        <v>10</v>
      </c>
      <c r="F11" s="114" t="s">
        <v>259</v>
      </c>
      <c r="G11" s="116">
        <v>352</v>
      </c>
      <c r="H11" s="114">
        <v>1</v>
      </c>
      <c r="I11" s="114">
        <v>1</v>
      </c>
      <c r="J11" s="114">
        <v>1</v>
      </c>
      <c r="K11" s="114">
        <v>0</v>
      </c>
      <c r="L11" s="114">
        <v>0</v>
      </c>
      <c r="M11" s="114">
        <v>0</v>
      </c>
      <c r="N11" s="114">
        <v>0</v>
      </c>
      <c r="O11" s="114">
        <v>1</v>
      </c>
      <c r="P11" s="114">
        <v>150</v>
      </c>
      <c r="Q11" s="114" t="s">
        <v>170</v>
      </c>
      <c r="R11" s="117" t="s">
        <v>171</v>
      </c>
    </row>
    <row r="12" spans="1:18" x14ac:dyDescent="0.15">
      <c r="A12" s="111">
        <f>floors!$C$6</f>
        <v>40025</v>
      </c>
      <c r="B12" s="106">
        <v>2</v>
      </c>
      <c r="C12" s="107" t="str">
        <f t="shared" si="0"/>
        <v>40025_2</v>
      </c>
      <c r="D12" s="10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06">
        <v>1</v>
      </c>
      <c r="F12" s="106" t="s">
        <v>259</v>
      </c>
      <c r="G12" s="109">
        <v>342</v>
      </c>
      <c r="H12" s="106">
        <v>1</v>
      </c>
      <c r="I12" s="106">
        <v>1</v>
      </c>
      <c r="J12" s="106">
        <v>1</v>
      </c>
      <c r="K12" s="106">
        <v>0</v>
      </c>
      <c r="L12" s="106">
        <v>0</v>
      </c>
      <c r="M12" s="106">
        <v>0</v>
      </c>
      <c r="N12" s="106">
        <v>0</v>
      </c>
      <c r="O12" s="106">
        <v>1</v>
      </c>
      <c r="P12" s="106">
        <v>50</v>
      </c>
      <c r="Q12" s="106" t="s">
        <v>170</v>
      </c>
      <c r="R12" s="110" t="s">
        <v>171</v>
      </c>
    </row>
    <row r="13" spans="1:18" x14ac:dyDescent="0.15">
      <c r="A13" s="111">
        <f>floors!$C$6</f>
        <v>40025</v>
      </c>
      <c r="B13" s="57">
        <v>2</v>
      </c>
      <c r="C13" s="72" t="str">
        <f t="shared" si="0"/>
        <v>40025_2</v>
      </c>
      <c r="D13" s="10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2</v>
      </c>
      <c r="F13" s="57" t="s">
        <v>259</v>
      </c>
      <c r="G13" s="112">
        <v>607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100</v>
      </c>
      <c r="Q13" s="57" t="s">
        <v>170</v>
      </c>
      <c r="R13" s="113" t="s">
        <v>171</v>
      </c>
    </row>
    <row r="14" spans="1:18" x14ac:dyDescent="0.15">
      <c r="A14" s="111">
        <f>floors!$C$6</f>
        <v>40025</v>
      </c>
      <c r="B14" s="57">
        <v>2</v>
      </c>
      <c r="C14" s="72" t="str">
        <f t="shared" si="0"/>
        <v>40025_2</v>
      </c>
      <c r="D14" s="10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3</v>
      </c>
      <c r="F14" s="57" t="s">
        <v>259</v>
      </c>
      <c r="G14" s="112">
        <v>608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100</v>
      </c>
      <c r="Q14" s="57" t="s">
        <v>170</v>
      </c>
      <c r="R14" s="113" t="s">
        <v>171</v>
      </c>
    </row>
    <row r="15" spans="1:18" x14ac:dyDescent="0.15">
      <c r="A15" s="111">
        <f>floors!$C$6</f>
        <v>40025</v>
      </c>
      <c r="B15" s="57">
        <v>2</v>
      </c>
      <c r="C15" s="72" t="str">
        <f t="shared" si="0"/>
        <v>40025_2</v>
      </c>
      <c r="D15" s="10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4</v>
      </c>
      <c r="F15" s="57" t="s">
        <v>259</v>
      </c>
      <c r="G15" s="112">
        <v>609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100</v>
      </c>
      <c r="Q15" s="57" t="s">
        <v>170</v>
      </c>
      <c r="R15" s="113" t="s">
        <v>171</v>
      </c>
    </row>
    <row r="16" spans="1:18" x14ac:dyDescent="0.15">
      <c r="A16" s="111">
        <f>floors!$C$6</f>
        <v>40025</v>
      </c>
      <c r="B16" s="57">
        <v>2</v>
      </c>
      <c r="C16" s="72" t="str">
        <f t="shared" si="0"/>
        <v>40025_2</v>
      </c>
      <c r="D16" s="10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5</v>
      </c>
      <c r="F16" s="57" t="s">
        <v>259</v>
      </c>
      <c r="G16" s="112">
        <v>125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30</v>
      </c>
      <c r="Q16" s="57" t="s">
        <v>170</v>
      </c>
      <c r="R16" s="113" t="s">
        <v>171</v>
      </c>
    </row>
    <row r="17" spans="1:18" x14ac:dyDescent="0.15">
      <c r="A17" s="111">
        <f>floors!$C$6</f>
        <v>40025</v>
      </c>
      <c r="B17" s="57">
        <v>2</v>
      </c>
      <c r="C17" s="72" t="str">
        <f t="shared" si="0"/>
        <v>40025_2</v>
      </c>
      <c r="D17" s="10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6</v>
      </c>
      <c r="F17" s="57" t="s">
        <v>259</v>
      </c>
      <c r="G17" s="119">
        <v>1063</v>
      </c>
      <c r="H17" s="120">
        <v>1</v>
      </c>
      <c r="I17" s="120">
        <v>1</v>
      </c>
      <c r="J17" s="120">
        <v>1</v>
      </c>
      <c r="K17" s="120">
        <v>0</v>
      </c>
      <c r="L17" s="120">
        <v>0</v>
      </c>
      <c r="M17" s="120">
        <v>0</v>
      </c>
      <c r="N17" s="120">
        <v>0</v>
      </c>
      <c r="O17" s="120">
        <v>1</v>
      </c>
      <c r="P17" s="120">
        <v>500</v>
      </c>
      <c r="Q17" s="57" t="s">
        <v>170</v>
      </c>
      <c r="R17" s="113" t="s">
        <v>171</v>
      </c>
    </row>
    <row r="18" spans="1:18" ht="16" thickBot="1" x14ac:dyDescent="0.2">
      <c r="A18" s="111">
        <f>floors!$C$6</f>
        <v>40025</v>
      </c>
      <c r="B18" s="114">
        <v>2</v>
      </c>
      <c r="C18" s="115" t="str">
        <f t="shared" si="0"/>
        <v>40025_2</v>
      </c>
      <c r="D18" s="10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14">
        <v>7</v>
      </c>
      <c r="F18" s="114" t="s">
        <v>259</v>
      </c>
      <c r="G18" s="116">
        <v>352</v>
      </c>
      <c r="H18" s="114">
        <v>1</v>
      </c>
      <c r="I18" s="114">
        <v>1</v>
      </c>
      <c r="J18" s="114">
        <v>1</v>
      </c>
      <c r="K18" s="114">
        <v>0</v>
      </c>
      <c r="L18" s="114">
        <v>0</v>
      </c>
      <c r="M18" s="114">
        <v>0</v>
      </c>
      <c r="N18" s="114">
        <v>0</v>
      </c>
      <c r="O18" s="114">
        <v>1</v>
      </c>
      <c r="P18" s="114">
        <v>120</v>
      </c>
      <c r="Q18" s="114" t="s">
        <v>170</v>
      </c>
      <c r="R18" s="117" t="s">
        <v>171</v>
      </c>
    </row>
  </sheetData>
  <phoneticPr fontId="5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K9" sqref="K9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188</v>
      </c>
      <c r="B1" s="74" t="s">
        <v>189</v>
      </c>
      <c r="C1" s="78" t="s">
        <v>190</v>
      </c>
      <c r="D1" s="78" t="s">
        <v>33</v>
      </c>
      <c r="E1" s="74" t="s">
        <v>191</v>
      </c>
      <c r="F1" s="78" t="s">
        <v>192</v>
      </c>
      <c r="G1" s="78" t="s">
        <v>33</v>
      </c>
      <c r="H1" s="74" t="s">
        <v>193</v>
      </c>
      <c r="I1" s="92" t="s">
        <v>195</v>
      </c>
      <c r="J1" s="80" t="s">
        <v>127</v>
      </c>
      <c r="K1" s="79" t="s">
        <v>187</v>
      </c>
      <c r="L1" s="93" t="s">
        <v>186</v>
      </c>
      <c r="M1" s="81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N23"/>
  <sheetViews>
    <sheetView showGridLines="0" workbookViewId="0">
      <pane ySplit="1" topLeftCell="A7" activePane="bottomLeft" state="frozen"/>
      <selection pane="bottomLeft" activeCell="M13" sqref="M13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188</v>
      </c>
      <c r="B1" s="74" t="s">
        <v>151</v>
      </c>
      <c r="C1" s="78" t="s">
        <v>190</v>
      </c>
      <c r="D1" s="78" t="s">
        <v>33</v>
      </c>
      <c r="E1" s="74" t="s">
        <v>191</v>
      </c>
      <c r="F1" s="78" t="s">
        <v>18</v>
      </c>
      <c r="G1" s="78" t="s">
        <v>33</v>
      </c>
      <c r="H1" s="74" t="s">
        <v>193</v>
      </c>
      <c r="I1" s="90" t="s">
        <v>194</v>
      </c>
      <c r="J1" s="92" t="s">
        <v>195</v>
      </c>
      <c r="K1" s="80" t="s">
        <v>127</v>
      </c>
      <c r="L1" s="79" t="s">
        <v>187</v>
      </c>
      <c r="M1" s="93" t="s">
        <v>186</v>
      </c>
      <c r="N1" s="81" t="s">
        <v>196</v>
      </c>
    </row>
    <row r="2" spans="1:14" ht="42" x14ac:dyDescent="0.15">
      <c r="A2" s="123" t="s">
        <v>197</v>
      </c>
      <c r="B2" s="124">
        <f>floors!$C$6</f>
        <v>40025</v>
      </c>
      <c r="C2" s="125" t="str">
        <f ca="1">VLOOKUP($B2,OFFSET([2]quests!$A$1,0,0,COUNTA([2]quests!$A:$A),MATCH(C$1,[2]quests!$1:$1,0)-MATCH($B$1,[2]quests!$1:$1,0)+1),MATCH(C$1,[2]quests!$1:$1,0)-MATCH($B$1,[2]quests!$1:$1,0)+1,FALSE)</f>
        <v>ティアマト襲来！</v>
      </c>
      <c r="D2" s="125" t="str">
        <f ca="1">VLOOKUP($B2,OFFSET([2]quests!$A$1,0,0,COUNTA([2]quests!$A:$A),MATCH(D$1,[2]quests!$1:$1,0)-MATCH($B$1,[2]quests!$1:$1,0)+1),MATCH(D$1,[2]quests!$1:$1,0)-MATCH($B$1,[2]quests!$1:$1,0)+1,FALSE)</f>
        <v>降臨25</v>
      </c>
      <c r="E2" s="121">
        <v>1</v>
      </c>
      <c r="F2" s="125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【超絶級】ティアマト襲来</v>
      </c>
      <c r="G2" s="125" t="str">
        <f ca="1">VLOOKUP($B2&amp;"_"&amp;$E2,OFFSET([2]stages!$A$1,0,0,COUNTA([2]stages!$A:$A),MATCH(G$1,[2]stages!$2:$2,0)-MATCH("temp_stage",[2]stages!$2:$2,0)+1),MATCH(G$1,[2]stages!$2:$2,0)-MATCH("temp_stage",[2]stages!$2:$2,0)+1,FALSE)</f>
        <v>降臨25</v>
      </c>
      <c r="H2" s="125">
        <v>1</v>
      </c>
      <c r="I2" s="91">
        <f>ROW()-1</f>
        <v>1</v>
      </c>
      <c r="J2" s="87" t="str">
        <f>B2&amp;TEXT(I2,"00")</f>
        <v>4002501</v>
      </c>
      <c r="K2" s="121" t="s">
        <v>198</v>
      </c>
      <c r="L2" s="122" t="s">
        <v>199</v>
      </c>
      <c r="M2" s="164" t="s">
        <v>424</v>
      </c>
      <c r="N2" s="57" t="s">
        <v>200</v>
      </c>
    </row>
    <row r="3" spans="1:14" ht="28" x14ac:dyDescent="0.15">
      <c r="A3" s="123" t="s">
        <v>197</v>
      </c>
      <c r="B3" s="124">
        <f>floors!$C$6</f>
        <v>40025</v>
      </c>
      <c r="C3" s="125" t="str">
        <f ca="1">VLOOKUP($B3,OFFSET([2]quests!$A$1,0,0,COUNTA([2]quests!$A:$A),MATCH(C$1,[2]quests!$1:$1,0)-MATCH($B$1,[2]quests!$1:$1,0)+1),MATCH(C$1,[2]quests!$1:$1,0)-MATCH($B$1,[2]quests!$1:$1,0)+1,FALSE)</f>
        <v>ティアマト襲来！</v>
      </c>
      <c r="D3" s="125" t="str">
        <f ca="1">VLOOKUP($B3,OFFSET([2]quests!$A$1,0,0,COUNTA([2]quests!$A:$A),MATCH(D$1,[2]quests!$1:$1,0)-MATCH($B$1,[2]quests!$1:$1,0)+1),MATCH(D$1,[2]quests!$1:$1,0)-MATCH($B$1,[2]quests!$1:$1,0)+1,FALSE)</f>
        <v>降臨25</v>
      </c>
      <c r="E3" s="121">
        <v>1</v>
      </c>
      <c r="F3" s="125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【超絶級】ティアマト襲来</v>
      </c>
      <c r="G3" s="125" t="str">
        <f ca="1">VLOOKUP($B3&amp;"_"&amp;$E3,OFFSET([2]stages!$A$1,0,0,COUNTA([2]stages!$A:$A),MATCH(G$1,[2]stages!$2:$2,0)-MATCH("temp_stage",[2]stages!$2:$2,0)+1),MATCH(G$1,[2]stages!$2:$2,0)-MATCH("temp_stage",[2]stages!$2:$2,0)+1,FALSE)</f>
        <v>降臨25</v>
      </c>
      <c r="H3" s="125">
        <v>3</v>
      </c>
      <c r="I3" s="91">
        <f t="shared" ref="I3:I23" si="0">ROW()-1</f>
        <v>2</v>
      </c>
      <c r="J3" s="87" t="str">
        <f t="shared" ref="J3:J5" si="1">B3&amp;TEXT(I3,"00")</f>
        <v>4002502</v>
      </c>
      <c r="K3" s="121" t="s">
        <v>198</v>
      </c>
      <c r="L3" s="122" t="s">
        <v>199</v>
      </c>
      <c r="M3" s="164" t="s">
        <v>430</v>
      </c>
      <c r="N3" s="57" t="s">
        <v>200</v>
      </c>
    </row>
    <row r="4" spans="1:14" ht="28" x14ac:dyDescent="0.15">
      <c r="A4" s="123" t="s">
        <v>197</v>
      </c>
      <c r="B4" s="124">
        <f>floors!$C$6</f>
        <v>40025</v>
      </c>
      <c r="C4" s="125" t="str">
        <f ca="1">VLOOKUP($B4,OFFSET([2]quests!$A$1,0,0,COUNTA([2]quests!$A:$A),MATCH(C$1,[2]quests!$1:$1,0)-MATCH($B$1,[2]quests!$1:$1,0)+1),MATCH(C$1,[2]quests!$1:$1,0)-MATCH($B$1,[2]quests!$1:$1,0)+1,FALSE)</f>
        <v>ティアマト襲来！</v>
      </c>
      <c r="D4" s="125" t="str">
        <f ca="1">VLOOKUP($B4,OFFSET([2]quests!$A$1,0,0,COUNTA([2]quests!$A:$A),MATCH(D$1,[2]quests!$1:$1,0)-MATCH($B$1,[2]quests!$1:$1,0)+1),MATCH(D$1,[2]quests!$1:$1,0)-MATCH($B$1,[2]quests!$1:$1,0)+1,FALSE)</f>
        <v>降臨25</v>
      </c>
      <c r="E4" s="121">
        <v>1</v>
      </c>
      <c r="F4" s="125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【超絶級】ティアマト襲来</v>
      </c>
      <c r="G4" s="125" t="str">
        <f ca="1">VLOOKUP($B4&amp;"_"&amp;$E4,OFFSET([2]stages!$A$1,0,0,COUNTA([2]stages!$A:$A),MATCH(G$1,[2]stages!$2:$2,0)-MATCH("temp_stage",[2]stages!$2:$2,0)+1),MATCH(G$1,[2]stages!$2:$2,0)-MATCH("temp_stage",[2]stages!$2:$2,0)+1,FALSE)</f>
        <v>降臨25</v>
      </c>
      <c r="H4" s="125">
        <v>4</v>
      </c>
      <c r="I4" s="91">
        <f t="shared" si="0"/>
        <v>3</v>
      </c>
      <c r="J4" s="87" t="str">
        <f t="shared" si="1"/>
        <v>4002503</v>
      </c>
      <c r="K4" s="121" t="s">
        <v>198</v>
      </c>
      <c r="L4" s="122" t="s">
        <v>199</v>
      </c>
      <c r="M4" s="164" t="s">
        <v>425</v>
      </c>
      <c r="N4" s="57" t="s">
        <v>200</v>
      </c>
    </row>
    <row r="5" spans="1:14" ht="42" x14ac:dyDescent="0.15">
      <c r="A5" s="123" t="s">
        <v>197</v>
      </c>
      <c r="B5" s="124">
        <f>floors!$C$6</f>
        <v>40025</v>
      </c>
      <c r="C5" s="125" t="str">
        <f ca="1">VLOOKUP($B5,OFFSET([2]quests!$A$1,0,0,COUNTA([2]quests!$A:$A),MATCH(C$1,[2]quests!$1:$1,0)-MATCH($B$1,[2]quests!$1:$1,0)+1),MATCH(C$1,[2]quests!$1:$1,0)-MATCH($B$1,[2]quests!$1:$1,0)+1,FALSE)</f>
        <v>ティアマト襲来！</v>
      </c>
      <c r="D5" s="125" t="str">
        <f ca="1">VLOOKUP($B5,OFFSET([2]quests!$A$1,0,0,COUNTA([2]quests!$A:$A),MATCH(D$1,[2]quests!$1:$1,0)-MATCH($B$1,[2]quests!$1:$1,0)+1),MATCH(D$1,[2]quests!$1:$1,0)-MATCH($B$1,[2]quests!$1:$1,0)+1,FALSE)</f>
        <v>降臨25</v>
      </c>
      <c r="E5" s="121">
        <v>1</v>
      </c>
      <c r="F5" s="125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【超絶級】ティアマト襲来</v>
      </c>
      <c r="G5" s="125" t="str">
        <f ca="1">VLOOKUP($B5&amp;"_"&amp;$E5,OFFSET([2]stages!$A$1,0,0,COUNTA([2]stages!$A:$A),MATCH(G$1,[2]stages!$2:$2,0)-MATCH("temp_stage",[2]stages!$2:$2,0)+1),MATCH(G$1,[2]stages!$2:$2,0)-MATCH("temp_stage",[2]stages!$2:$2,0)+1,FALSE)</f>
        <v>降臨25</v>
      </c>
      <c r="H5" s="125">
        <v>4</v>
      </c>
      <c r="I5" s="91">
        <f t="shared" si="0"/>
        <v>4</v>
      </c>
      <c r="J5" s="87" t="str">
        <f t="shared" si="1"/>
        <v>4002504</v>
      </c>
      <c r="K5" s="121" t="s">
        <v>198</v>
      </c>
      <c r="L5" s="122" t="s">
        <v>199</v>
      </c>
      <c r="M5" s="164" t="s">
        <v>426</v>
      </c>
      <c r="N5" s="57" t="s">
        <v>200</v>
      </c>
    </row>
    <row r="6" spans="1:14" ht="42" x14ac:dyDescent="0.15">
      <c r="A6" s="123" t="s">
        <v>197</v>
      </c>
      <c r="B6" s="124">
        <f>floors!$C$6</f>
        <v>40025</v>
      </c>
      <c r="C6" s="125" t="str">
        <f ca="1">VLOOKUP($B6,OFFSET([2]quests!$A$1,0,0,COUNTA([2]quests!$A:$A),MATCH(C$1,[2]quests!$1:$1,0)-MATCH($B$1,[2]quests!$1:$1,0)+1),MATCH(C$1,[2]quests!$1:$1,0)-MATCH($B$1,[2]quests!$1:$1,0)+1,FALSE)</f>
        <v>ティアマト襲来！</v>
      </c>
      <c r="D6" s="125" t="str">
        <f ca="1">VLOOKUP($B6,OFFSET([2]quests!$A$1,0,0,COUNTA([2]quests!$A:$A),MATCH(D$1,[2]quests!$1:$1,0)-MATCH($B$1,[2]quests!$1:$1,0)+1),MATCH(D$1,[2]quests!$1:$1,0)-MATCH($B$1,[2]quests!$1:$1,0)+1,FALSE)</f>
        <v>降臨25</v>
      </c>
      <c r="E6" s="121">
        <v>1</v>
      </c>
      <c r="F6" s="125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【超絶級】ティアマト襲来</v>
      </c>
      <c r="G6" s="125" t="str">
        <f ca="1">VLOOKUP($B6&amp;"_"&amp;$E6,OFFSET([2]stages!$A$1,0,0,COUNTA([2]stages!$A:$A),MATCH(G$1,[2]stages!$2:$2,0)-MATCH("temp_stage",[2]stages!$2:$2,0)+1),MATCH(G$1,[2]stages!$2:$2,0)-MATCH("temp_stage",[2]stages!$2:$2,0)+1,FALSE)</f>
        <v>降臨25</v>
      </c>
      <c r="H6" s="125">
        <v>4</v>
      </c>
      <c r="I6" s="91">
        <f t="shared" si="0"/>
        <v>5</v>
      </c>
      <c r="J6" s="87" t="str">
        <f t="shared" ref="J6:J15" si="2">B6&amp;TEXT(I6,"00")</f>
        <v>4002505</v>
      </c>
      <c r="K6" s="121" t="s">
        <v>198</v>
      </c>
      <c r="L6" s="122" t="s">
        <v>199</v>
      </c>
      <c r="M6" s="164" t="s">
        <v>427</v>
      </c>
      <c r="N6" s="57" t="s">
        <v>200</v>
      </c>
    </row>
    <row r="7" spans="1:14" ht="56" x14ac:dyDescent="0.15">
      <c r="A7" s="123" t="s">
        <v>197</v>
      </c>
      <c r="B7" s="124">
        <f>floors!$C$6</f>
        <v>40025</v>
      </c>
      <c r="C7" s="125" t="str">
        <f ca="1">VLOOKUP($B7,OFFSET([2]quests!$A$1,0,0,COUNTA([2]quests!$A:$A),MATCH(C$1,[2]quests!$1:$1,0)-MATCH($B$1,[2]quests!$1:$1,0)+1),MATCH(C$1,[2]quests!$1:$1,0)-MATCH($B$1,[2]quests!$1:$1,0)+1,FALSE)</f>
        <v>ティアマト襲来！</v>
      </c>
      <c r="D7" s="125" t="str">
        <f ca="1">VLOOKUP($B7,OFFSET([2]quests!$A$1,0,0,COUNTA([2]quests!$A:$A),MATCH(D$1,[2]quests!$1:$1,0)-MATCH($B$1,[2]quests!$1:$1,0)+1),MATCH(D$1,[2]quests!$1:$1,0)-MATCH($B$1,[2]quests!$1:$1,0)+1,FALSE)</f>
        <v>降臨25</v>
      </c>
      <c r="E7" s="121">
        <v>1</v>
      </c>
      <c r="F7" s="125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【超絶級】ティアマト襲来</v>
      </c>
      <c r="G7" s="125" t="str">
        <f ca="1">VLOOKUP($B7&amp;"_"&amp;$E7,OFFSET([2]stages!$A$1,0,0,COUNTA([2]stages!$A:$A),MATCH(G$1,[2]stages!$2:$2,0)-MATCH("temp_stage",[2]stages!$2:$2,0)+1),MATCH(G$1,[2]stages!$2:$2,0)-MATCH("temp_stage",[2]stages!$2:$2,0)+1,FALSE)</f>
        <v>降臨25</v>
      </c>
      <c r="H7" s="125">
        <v>4</v>
      </c>
      <c r="I7" s="91">
        <f t="shared" si="0"/>
        <v>6</v>
      </c>
      <c r="J7" s="87" t="str">
        <f t="shared" si="2"/>
        <v>4002506</v>
      </c>
      <c r="K7" s="121" t="s">
        <v>198</v>
      </c>
      <c r="L7" s="122" t="s">
        <v>199</v>
      </c>
      <c r="M7" s="164" t="s">
        <v>428</v>
      </c>
      <c r="N7" s="57" t="s">
        <v>200</v>
      </c>
    </row>
    <row r="8" spans="1:14" ht="42" x14ac:dyDescent="0.15">
      <c r="A8" s="123" t="s">
        <v>197</v>
      </c>
      <c r="B8" s="124">
        <f>floors!$C$6</f>
        <v>40025</v>
      </c>
      <c r="C8" s="125" t="str">
        <f ca="1">VLOOKUP($B8,OFFSET([2]quests!$A$1,0,0,COUNTA([2]quests!$A:$A),MATCH(C$1,[2]quests!$1:$1,0)-MATCH($B$1,[2]quests!$1:$1,0)+1),MATCH(C$1,[2]quests!$1:$1,0)-MATCH($B$1,[2]quests!$1:$1,0)+1,FALSE)</f>
        <v>ティアマト襲来！</v>
      </c>
      <c r="D8" s="125" t="str">
        <f ca="1">VLOOKUP($B8,OFFSET([2]quests!$A$1,0,0,COUNTA([2]quests!$A:$A),MATCH(D$1,[2]quests!$1:$1,0)-MATCH($B$1,[2]quests!$1:$1,0)+1),MATCH(D$1,[2]quests!$1:$1,0)-MATCH($B$1,[2]quests!$1:$1,0)+1,FALSE)</f>
        <v>降臨25</v>
      </c>
      <c r="E8" s="121">
        <v>1</v>
      </c>
      <c r="F8" s="125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【超絶級】ティアマト襲来</v>
      </c>
      <c r="G8" s="125" t="str">
        <f ca="1">VLOOKUP($B8&amp;"_"&amp;$E8,OFFSET([2]stages!$A$1,0,0,COUNTA([2]stages!$A:$A),MATCH(G$1,[2]stages!$2:$2,0)-MATCH("temp_stage",[2]stages!$2:$2,0)+1),MATCH(G$1,[2]stages!$2:$2,0)-MATCH("temp_stage",[2]stages!$2:$2,0)+1,FALSE)</f>
        <v>降臨25</v>
      </c>
      <c r="H8" s="125">
        <v>4</v>
      </c>
      <c r="I8" s="91">
        <f t="shared" si="0"/>
        <v>7</v>
      </c>
      <c r="J8" s="87" t="str">
        <f t="shared" si="2"/>
        <v>4002507</v>
      </c>
      <c r="K8" s="121" t="s">
        <v>198</v>
      </c>
      <c r="L8" s="122" t="s">
        <v>199</v>
      </c>
      <c r="M8" s="164" t="s">
        <v>432</v>
      </c>
      <c r="N8" s="57" t="s">
        <v>200</v>
      </c>
    </row>
    <row r="9" spans="1:14" ht="42" x14ac:dyDescent="0.15">
      <c r="A9" s="123" t="s">
        <v>197</v>
      </c>
      <c r="B9" s="124">
        <f>floors!$C$6</f>
        <v>40025</v>
      </c>
      <c r="C9" s="125" t="str">
        <f ca="1">VLOOKUP($B9,OFFSET([2]quests!$A$1,0,0,COUNTA([2]quests!$A:$A),MATCH(C$1,[2]quests!$1:$1,0)-MATCH($B$1,[2]quests!$1:$1,0)+1),MATCH(C$1,[2]quests!$1:$1,0)-MATCH($B$1,[2]quests!$1:$1,0)+1,FALSE)</f>
        <v>ティアマト襲来！</v>
      </c>
      <c r="D9" s="125" t="str">
        <f ca="1">VLOOKUP($B9,OFFSET([2]quests!$A$1,0,0,COUNTA([2]quests!$A:$A),MATCH(D$1,[2]quests!$1:$1,0)-MATCH($B$1,[2]quests!$1:$1,0)+1),MATCH(D$1,[2]quests!$1:$1,0)-MATCH($B$1,[2]quests!$1:$1,0)+1,FALSE)</f>
        <v>降臨25</v>
      </c>
      <c r="E9" s="121">
        <v>2</v>
      </c>
      <c r="F9" s="125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【ウィザード級】ティアマト襲来</v>
      </c>
      <c r="G9" s="125" t="str">
        <f ca="1">VLOOKUP($B9&amp;"_"&amp;$E9,OFFSET([2]stages!$A$1,0,0,COUNTA([2]stages!$A:$A),MATCH(G$1,[2]stages!$2:$2,0)-MATCH("temp_stage",[2]stages!$2:$2,0)+1),MATCH(G$1,[2]stages!$2:$2,0)-MATCH("temp_stage",[2]stages!$2:$2,0)+1,FALSE)</f>
        <v>降臨25</v>
      </c>
      <c r="H9" s="125">
        <v>1</v>
      </c>
      <c r="I9" s="91">
        <f t="shared" si="0"/>
        <v>8</v>
      </c>
      <c r="J9" s="87" t="str">
        <f t="shared" si="2"/>
        <v>4002508</v>
      </c>
      <c r="K9" s="121" t="s">
        <v>198</v>
      </c>
      <c r="L9" s="122" t="s">
        <v>199</v>
      </c>
      <c r="M9" s="164" t="s">
        <v>424</v>
      </c>
      <c r="N9" s="57" t="s">
        <v>200</v>
      </c>
    </row>
    <row r="10" spans="1:14" ht="28" x14ac:dyDescent="0.15">
      <c r="A10" s="123" t="s">
        <v>197</v>
      </c>
      <c r="B10" s="124">
        <f>floors!$C$6</f>
        <v>40025</v>
      </c>
      <c r="C10" s="125" t="str">
        <f ca="1">VLOOKUP($B10,OFFSET([2]quests!$A$1,0,0,COUNTA([2]quests!$A:$A),MATCH(C$1,[2]quests!$1:$1,0)-MATCH($B$1,[2]quests!$1:$1,0)+1),MATCH(C$1,[2]quests!$1:$1,0)-MATCH($B$1,[2]quests!$1:$1,0)+1,FALSE)</f>
        <v>ティアマト襲来！</v>
      </c>
      <c r="D10" s="125" t="str">
        <f ca="1">VLOOKUP($B10,OFFSET([2]quests!$A$1,0,0,COUNTA([2]quests!$A:$A),MATCH(D$1,[2]quests!$1:$1,0)-MATCH($B$1,[2]quests!$1:$1,0)+1),MATCH(D$1,[2]quests!$1:$1,0)-MATCH($B$1,[2]quests!$1:$1,0)+1,FALSE)</f>
        <v>降臨25</v>
      </c>
      <c r="E10" s="121">
        <v>2</v>
      </c>
      <c r="F10" s="125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【ウィザード級】ティアマト襲来</v>
      </c>
      <c r="G10" s="125" t="str">
        <f ca="1">VLOOKUP($B10&amp;"_"&amp;$E10,OFFSET([2]stages!$A$1,0,0,COUNTA([2]stages!$A:$A),MATCH(G$1,[2]stages!$2:$2,0)-MATCH("temp_stage",[2]stages!$2:$2,0)+1),MATCH(G$1,[2]stages!$2:$2,0)-MATCH("temp_stage",[2]stages!$2:$2,0)+1,FALSE)</f>
        <v>降臨25</v>
      </c>
      <c r="H10" s="125">
        <v>3</v>
      </c>
      <c r="I10" s="91">
        <f t="shared" si="0"/>
        <v>9</v>
      </c>
      <c r="J10" s="87" t="str">
        <f t="shared" si="2"/>
        <v>4002509</v>
      </c>
      <c r="K10" s="121" t="s">
        <v>198</v>
      </c>
      <c r="L10" s="122" t="s">
        <v>199</v>
      </c>
      <c r="M10" s="164" t="s">
        <v>431</v>
      </c>
      <c r="N10" s="57" t="s">
        <v>200</v>
      </c>
    </row>
    <row r="11" spans="1:14" ht="28" x14ac:dyDescent="0.15">
      <c r="A11" s="123" t="s">
        <v>197</v>
      </c>
      <c r="B11" s="124">
        <f>floors!$C$6</f>
        <v>40025</v>
      </c>
      <c r="C11" s="125" t="str">
        <f ca="1">VLOOKUP($B11,OFFSET([2]quests!$A$1,0,0,COUNTA([2]quests!$A:$A),MATCH(C$1,[2]quests!$1:$1,0)-MATCH($B$1,[2]quests!$1:$1,0)+1),MATCH(C$1,[2]quests!$1:$1,0)-MATCH($B$1,[2]quests!$1:$1,0)+1,FALSE)</f>
        <v>ティアマト襲来！</v>
      </c>
      <c r="D11" s="125" t="str">
        <f ca="1">VLOOKUP($B11,OFFSET([2]quests!$A$1,0,0,COUNTA([2]quests!$A:$A),MATCH(D$1,[2]quests!$1:$1,0)-MATCH($B$1,[2]quests!$1:$1,0)+1),MATCH(D$1,[2]quests!$1:$1,0)-MATCH($B$1,[2]quests!$1:$1,0)+1,FALSE)</f>
        <v>降臨25</v>
      </c>
      <c r="E11" s="121">
        <v>2</v>
      </c>
      <c r="F11" s="125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【ウィザード級】ティアマト襲来</v>
      </c>
      <c r="G11" s="125" t="str">
        <f ca="1">VLOOKUP($B11&amp;"_"&amp;$E11,OFFSET([2]stages!$A$1,0,0,COUNTA([2]stages!$A:$A),MATCH(G$1,[2]stages!$2:$2,0)-MATCH("temp_stage",[2]stages!$2:$2,0)+1),MATCH(G$1,[2]stages!$2:$2,0)-MATCH("temp_stage",[2]stages!$2:$2,0)+1,FALSE)</f>
        <v>降臨25</v>
      </c>
      <c r="H11" s="125">
        <v>4</v>
      </c>
      <c r="I11" s="91">
        <f t="shared" si="0"/>
        <v>10</v>
      </c>
      <c r="J11" s="87" t="str">
        <f t="shared" si="2"/>
        <v>4002510</v>
      </c>
      <c r="K11" s="121" t="s">
        <v>198</v>
      </c>
      <c r="L11" s="122" t="s">
        <v>199</v>
      </c>
      <c r="M11" s="164" t="s">
        <v>425</v>
      </c>
      <c r="N11" s="57" t="s">
        <v>200</v>
      </c>
    </row>
    <row r="12" spans="1:14" ht="42" x14ac:dyDescent="0.15">
      <c r="A12" s="123" t="s">
        <v>197</v>
      </c>
      <c r="B12" s="124">
        <f>floors!$C$6</f>
        <v>40025</v>
      </c>
      <c r="C12" s="125" t="str">
        <f ca="1">VLOOKUP($B12,OFFSET([2]quests!$A$1,0,0,COUNTA([2]quests!$A:$A),MATCH(C$1,[2]quests!$1:$1,0)-MATCH($B$1,[2]quests!$1:$1,0)+1),MATCH(C$1,[2]quests!$1:$1,0)-MATCH($B$1,[2]quests!$1:$1,0)+1,FALSE)</f>
        <v>ティアマト襲来！</v>
      </c>
      <c r="D12" s="125" t="str">
        <f ca="1">VLOOKUP($B12,OFFSET([2]quests!$A$1,0,0,COUNTA([2]quests!$A:$A),MATCH(D$1,[2]quests!$1:$1,0)-MATCH($B$1,[2]quests!$1:$1,0)+1),MATCH(D$1,[2]quests!$1:$1,0)-MATCH($B$1,[2]quests!$1:$1,0)+1,FALSE)</f>
        <v>降臨25</v>
      </c>
      <c r="E12" s="121">
        <v>2</v>
      </c>
      <c r="F12" s="125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【ウィザード級】ティアマト襲来</v>
      </c>
      <c r="G12" s="125" t="str">
        <f ca="1">VLOOKUP($B12&amp;"_"&amp;$E12,OFFSET([2]stages!$A$1,0,0,COUNTA([2]stages!$A:$A),MATCH(G$1,[2]stages!$2:$2,0)-MATCH("temp_stage",[2]stages!$2:$2,0)+1),MATCH(G$1,[2]stages!$2:$2,0)-MATCH("temp_stage",[2]stages!$2:$2,0)+1,FALSE)</f>
        <v>降臨25</v>
      </c>
      <c r="H12" s="125">
        <v>4</v>
      </c>
      <c r="I12" s="91">
        <f t="shared" si="0"/>
        <v>11</v>
      </c>
      <c r="J12" s="87" t="str">
        <f t="shared" si="2"/>
        <v>4002511</v>
      </c>
      <c r="K12" s="121" t="s">
        <v>198</v>
      </c>
      <c r="L12" s="122" t="s">
        <v>199</v>
      </c>
      <c r="M12" s="164" t="s">
        <v>426</v>
      </c>
      <c r="N12" s="57" t="s">
        <v>200</v>
      </c>
    </row>
    <row r="13" spans="1:14" ht="42" x14ac:dyDescent="0.15">
      <c r="A13" s="123" t="s">
        <v>197</v>
      </c>
      <c r="B13" s="124">
        <f>floors!$C$6</f>
        <v>40025</v>
      </c>
      <c r="C13" s="125" t="str">
        <f ca="1">VLOOKUP($B13,OFFSET([2]quests!$A$1,0,0,COUNTA([2]quests!$A:$A),MATCH(C$1,[2]quests!$1:$1,0)-MATCH($B$1,[2]quests!$1:$1,0)+1),MATCH(C$1,[2]quests!$1:$1,0)-MATCH($B$1,[2]quests!$1:$1,0)+1,FALSE)</f>
        <v>ティアマト襲来！</v>
      </c>
      <c r="D13" s="125" t="str">
        <f ca="1">VLOOKUP($B13,OFFSET([2]quests!$A$1,0,0,COUNTA([2]quests!$A:$A),MATCH(D$1,[2]quests!$1:$1,0)-MATCH($B$1,[2]quests!$1:$1,0)+1),MATCH(D$1,[2]quests!$1:$1,0)-MATCH($B$1,[2]quests!$1:$1,0)+1,FALSE)</f>
        <v>降臨25</v>
      </c>
      <c r="E13" s="121">
        <v>2</v>
      </c>
      <c r="F13" s="125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【ウィザード級】ティアマト襲来</v>
      </c>
      <c r="G13" s="125" t="str">
        <f ca="1">VLOOKUP($B13&amp;"_"&amp;$E13,OFFSET([2]stages!$A$1,0,0,COUNTA([2]stages!$A:$A),MATCH(G$1,[2]stages!$2:$2,0)-MATCH("temp_stage",[2]stages!$2:$2,0)+1),MATCH(G$1,[2]stages!$2:$2,0)-MATCH("temp_stage",[2]stages!$2:$2,0)+1,FALSE)</f>
        <v>降臨25</v>
      </c>
      <c r="H13" s="125">
        <v>4</v>
      </c>
      <c r="I13" s="91">
        <f t="shared" si="0"/>
        <v>12</v>
      </c>
      <c r="J13" s="87" t="str">
        <f t="shared" si="2"/>
        <v>4002512</v>
      </c>
      <c r="K13" s="121" t="s">
        <v>198</v>
      </c>
      <c r="L13" s="122" t="s">
        <v>199</v>
      </c>
      <c r="M13" s="164" t="s">
        <v>427</v>
      </c>
      <c r="N13" s="57" t="s">
        <v>200</v>
      </c>
    </row>
    <row r="14" spans="1:14" ht="56" x14ac:dyDescent="0.15">
      <c r="A14" s="123" t="s">
        <v>197</v>
      </c>
      <c r="B14" s="124">
        <f>floors!$C$6</f>
        <v>40025</v>
      </c>
      <c r="C14" s="125" t="str">
        <f ca="1">VLOOKUP($B14,OFFSET([2]quests!$A$1,0,0,COUNTA([2]quests!$A:$A),MATCH(C$1,[2]quests!$1:$1,0)-MATCH($B$1,[2]quests!$1:$1,0)+1),MATCH(C$1,[2]quests!$1:$1,0)-MATCH($B$1,[2]quests!$1:$1,0)+1,FALSE)</f>
        <v>ティアマト襲来！</v>
      </c>
      <c r="D14" s="125" t="str">
        <f ca="1">VLOOKUP($B14,OFFSET([2]quests!$A$1,0,0,COUNTA([2]quests!$A:$A),MATCH(D$1,[2]quests!$1:$1,0)-MATCH($B$1,[2]quests!$1:$1,0)+1),MATCH(D$1,[2]quests!$1:$1,0)-MATCH($B$1,[2]quests!$1:$1,0)+1,FALSE)</f>
        <v>降臨25</v>
      </c>
      <c r="E14" s="121">
        <v>2</v>
      </c>
      <c r="F14" s="125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【ウィザード級】ティアマト襲来</v>
      </c>
      <c r="G14" s="125" t="str">
        <f ca="1">VLOOKUP($B14&amp;"_"&amp;$E14,OFFSET([2]stages!$A$1,0,0,COUNTA([2]stages!$A:$A),MATCH(G$1,[2]stages!$2:$2,0)-MATCH("temp_stage",[2]stages!$2:$2,0)+1),MATCH(G$1,[2]stages!$2:$2,0)-MATCH("temp_stage",[2]stages!$2:$2,0)+1,FALSE)</f>
        <v>降臨25</v>
      </c>
      <c r="H14" s="125">
        <v>4</v>
      </c>
      <c r="I14" s="91">
        <f t="shared" si="0"/>
        <v>13</v>
      </c>
      <c r="J14" s="87" t="str">
        <f t="shared" si="2"/>
        <v>4002513</v>
      </c>
      <c r="K14" s="121" t="s">
        <v>198</v>
      </c>
      <c r="L14" s="122" t="s">
        <v>199</v>
      </c>
      <c r="M14" s="164" t="s">
        <v>428</v>
      </c>
      <c r="N14" s="57" t="s">
        <v>200</v>
      </c>
    </row>
    <row r="15" spans="1:14" ht="42" x14ac:dyDescent="0.15">
      <c r="A15" s="123" t="s">
        <v>197</v>
      </c>
      <c r="B15" s="124">
        <f>floors!$C$6</f>
        <v>40025</v>
      </c>
      <c r="C15" s="125" t="str">
        <f ca="1">VLOOKUP($B15,OFFSET([2]quests!$A$1,0,0,COUNTA([2]quests!$A:$A),MATCH(C$1,[2]quests!$1:$1,0)-MATCH($B$1,[2]quests!$1:$1,0)+1),MATCH(C$1,[2]quests!$1:$1,0)-MATCH($B$1,[2]quests!$1:$1,0)+1,FALSE)</f>
        <v>ティアマト襲来！</v>
      </c>
      <c r="D15" s="125" t="str">
        <f ca="1">VLOOKUP($B15,OFFSET([2]quests!$A$1,0,0,COUNTA([2]quests!$A:$A),MATCH(D$1,[2]quests!$1:$1,0)-MATCH($B$1,[2]quests!$1:$1,0)+1),MATCH(D$1,[2]quests!$1:$1,0)-MATCH($B$1,[2]quests!$1:$1,0)+1,FALSE)</f>
        <v>降臨25</v>
      </c>
      <c r="E15" s="121">
        <v>2</v>
      </c>
      <c r="F15" s="125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【ウィザード級】ティアマト襲来</v>
      </c>
      <c r="G15" s="125" t="str">
        <f ca="1">VLOOKUP($B15&amp;"_"&amp;$E15,OFFSET([2]stages!$A$1,0,0,COUNTA([2]stages!$A:$A),MATCH(G$1,[2]stages!$2:$2,0)-MATCH("temp_stage",[2]stages!$2:$2,0)+1),MATCH(G$1,[2]stages!$2:$2,0)-MATCH("temp_stage",[2]stages!$2:$2,0)+1,FALSE)</f>
        <v>降臨25</v>
      </c>
      <c r="H15" s="125">
        <v>4</v>
      </c>
      <c r="I15" s="91">
        <f t="shared" si="0"/>
        <v>14</v>
      </c>
      <c r="J15" s="87" t="str">
        <f t="shared" si="2"/>
        <v>4002514</v>
      </c>
      <c r="K15" s="121" t="s">
        <v>198</v>
      </c>
      <c r="L15" s="122" t="s">
        <v>199</v>
      </c>
      <c r="M15" s="164" t="s">
        <v>432</v>
      </c>
      <c r="N15" s="57" t="s">
        <v>200</v>
      </c>
    </row>
    <row r="16" spans="1:14" ht="42" x14ac:dyDescent="0.15">
      <c r="A16" s="82" t="s">
        <v>257</v>
      </c>
      <c r="B16" s="83">
        <f>floors!$C$6</f>
        <v>40025</v>
      </c>
      <c r="C16" s="84" t="str">
        <f ca="1">VLOOKUP($B16,OFFSET([2]quests!$A$1,0,0,COUNTA([2]quests!$A:$A),MATCH(C$1,[2]quests!$1:$1,0)-MATCH($B$1,[2]quests!$1:$1,0)+1),MATCH(C$1,[2]quests!$1:$1,0)-MATCH($B$1,[2]quests!$1:$1,0)+1,FALSE)</f>
        <v>ティアマト襲来！</v>
      </c>
      <c r="D16" s="84" t="str">
        <f ca="1">VLOOKUP($B16,OFFSET([2]quests!$A$1,0,0,COUNTA([2]quests!$A:$A),MATCH(D$1,[2]quests!$1:$1,0)-MATCH($B$1,[2]quests!$1:$1,0)+1),MATCH(D$1,[2]quests!$1:$1,0)-MATCH($B$1,[2]quests!$1:$1,0)+1,FALSE)</f>
        <v>降臨25</v>
      </c>
      <c r="E16" s="85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【超絶級】ティアマト襲来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降臨25</v>
      </c>
      <c r="H16" s="86">
        <v>0</v>
      </c>
      <c r="I16" s="91">
        <f t="shared" si="0"/>
        <v>15</v>
      </c>
      <c r="J16" s="87" t="str">
        <f t="shared" ref="J16" si="3">B16&amp;TEXT(I16,"00")</f>
        <v>4002515</v>
      </c>
      <c r="K16" s="85" t="s">
        <v>198</v>
      </c>
      <c r="L16" s="88" t="s">
        <v>420</v>
      </c>
      <c r="M16" s="163" t="s">
        <v>433</v>
      </c>
      <c r="N16" s="57" t="s">
        <v>200</v>
      </c>
    </row>
    <row r="17" spans="1:14" ht="56" x14ac:dyDescent="0.15">
      <c r="A17" s="82" t="s">
        <v>257</v>
      </c>
      <c r="B17" s="83">
        <f>floors!$C$6</f>
        <v>40025</v>
      </c>
      <c r="C17" s="84" t="str">
        <f ca="1">VLOOKUP($B17,OFFSET([2]quests!$A$1,0,0,COUNTA([2]quests!$A:$A),MATCH(C$1,[2]quests!$1:$1,0)-MATCH($B$1,[2]quests!$1:$1,0)+1),MATCH(C$1,[2]quests!$1:$1,0)-MATCH($B$1,[2]quests!$1:$1,0)+1,FALSE)</f>
        <v>ティアマト襲来！</v>
      </c>
      <c r="D17" s="84" t="str">
        <f ca="1">VLOOKUP($B17,OFFSET([2]quests!$A$1,0,0,COUNTA([2]quests!$A:$A),MATCH(D$1,[2]quests!$1:$1,0)-MATCH($B$1,[2]quests!$1:$1,0)+1),MATCH(D$1,[2]quests!$1:$1,0)-MATCH($B$1,[2]quests!$1:$1,0)+1,FALSE)</f>
        <v>降臨25</v>
      </c>
      <c r="E17" s="85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【超絶級】ティアマト襲来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降臨25</v>
      </c>
      <c r="H17" s="86">
        <v>0</v>
      </c>
      <c r="I17" s="91">
        <f t="shared" si="0"/>
        <v>16</v>
      </c>
      <c r="J17" s="87" t="str">
        <f t="shared" ref="J17:J23" si="4">B17&amp;TEXT(I17,"00")</f>
        <v>4002516</v>
      </c>
      <c r="K17" s="85" t="s">
        <v>198</v>
      </c>
      <c r="L17" s="88" t="s">
        <v>421</v>
      </c>
      <c r="M17" s="163" t="s">
        <v>434</v>
      </c>
      <c r="N17" s="57" t="s">
        <v>200</v>
      </c>
    </row>
    <row r="18" spans="1:14" ht="56" x14ac:dyDescent="0.15">
      <c r="A18" s="82" t="s">
        <v>257</v>
      </c>
      <c r="B18" s="83">
        <f>floors!$C$6</f>
        <v>40025</v>
      </c>
      <c r="C18" s="84" t="str">
        <f ca="1">VLOOKUP($B18,OFFSET([2]quests!$A$1,0,0,COUNTA([2]quests!$A:$A),MATCH(C$1,[2]quests!$1:$1,0)-MATCH($B$1,[2]quests!$1:$1,0)+1),MATCH(C$1,[2]quests!$1:$1,0)-MATCH($B$1,[2]quests!$1:$1,0)+1,FALSE)</f>
        <v>ティアマト襲来！</v>
      </c>
      <c r="D18" s="84" t="str">
        <f ca="1">VLOOKUP($B18,OFFSET([2]quests!$A$1,0,0,COUNTA([2]quests!$A:$A),MATCH(D$1,[2]quests!$1:$1,0)-MATCH($B$1,[2]quests!$1:$1,0)+1),MATCH(D$1,[2]quests!$1:$1,0)-MATCH($B$1,[2]quests!$1:$1,0)+1,FALSE)</f>
        <v>降臨25</v>
      </c>
      <c r="E18" s="85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【超絶級】ティアマト襲来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降臨25</v>
      </c>
      <c r="H18" s="86">
        <v>0</v>
      </c>
      <c r="I18" s="91">
        <f t="shared" si="0"/>
        <v>17</v>
      </c>
      <c r="J18" s="87" t="str">
        <f t="shared" si="4"/>
        <v>4002517</v>
      </c>
      <c r="K18" s="85" t="s">
        <v>198</v>
      </c>
      <c r="L18" s="88" t="s">
        <v>422</v>
      </c>
      <c r="M18" s="163" t="s">
        <v>435</v>
      </c>
      <c r="N18" s="57" t="s">
        <v>200</v>
      </c>
    </row>
    <row r="19" spans="1:14" ht="42" x14ac:dyDescent="0.15">
      <c r="A19" s="82" t="s">
        <v>257</v>
      </c>
      <c r="B19" s="83">
        <f>floors!$C$6</f>
        <v>40025</v>
      </c>
      <c r="C19" s="84" t="str">
        <f ca="1">VLOOKUP($B19,OFFSET([2]quests!$A$1,0,0,COUNTA([2]quests!$A:$A),MATCH(C$1,[2]quests!$1:$1,0)-MATCH($B$1,[2]quests!$1:$1,0)+1),MATCH(C$1,[2]quests!$1:$1,0)-MATCH($B$1,[2]quests!$1:$1,0)+1,FALSE)</f>
        <v>ティアマト襲来！</v>
      </c>
      <c r="D19" s="84" t="str">
        <f ca="1">VLOOKUP($B19,OFFSET([2]quests!$A$1,0,0,COUNTA([2]quests!$A:$A),MATCH(D$1,[2]quests!$1:$1,0)-MATCH($B$1,[2]quests!$1:$1,0)+1),MATCH(D$1,[2]quests!$1:$1,0)-MATCH($B$1,[2]quests!$1:$1,0)+1,FALSE)</f>
        <v>降臨25</v>
      </c>
      <c r="E19" s="85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【超絶級】ティアマト襲来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降臨25</v>
      </c>
      <c r="H19" s="86">
        <v>0</v>
      </c>
      <c r="I19" s="91">
        <f t="shared" si="0"/>
        <v>18</v>
      </c>
      <c r="J19" s="87" t="str">
        <f t="shared" si="4"/>
        <v>4002518</v>
      </c>
      <c r="K19" s="85" t="s">
        <v>198</v>
      </c>
      <c r="L19" s="88" t="s">
        <v>423</v>
      </c>
      <c r="M19" s="163" t="s">
        <v>436</v>
      </c>
      <c r="N19" s="57" t="s">
        <v>200</v>
      </c>
    </row>
    <row r="20" spans="1:14" ht="42" x14ac:dyDescent="0.15">
      <c r="A20" s="82" t="s">
        <v>257</v>
      </c>
      <c r="B20" s="83">
        <f>floors!$C$6</f>
        <v>40025</v>
      </c>
      <c r="C20" s="84" t="str">
        <f ca="1">VLOOKUP($B20,OFFSET([2]quests!$A$1,0,0,COUNTA([2]quests!$A:$A),MATCH(C$1,[2]quests!$1:$1,0)-MATCH($B$1,[2]quests!$1:$1,0)+1),MATCH(C$1,[2]quests!$1:$1,0)-MATCH($B$1,[2]quests!$1:$1,0)+1,FALSE)</f>
        <v>ティアマト襲来！</v>
      </c>
      <c r="D20" s="84" t="str">
        <f ca="1">VLOOKUP($B20,OFFSET([2]quests!$A$1,0,0,COUNTA([2]quests!$A:$A),MATCH(D$1,[2]quests!$1:$1,0)-MATCH($B$1,[2]quests!$1:$1,0)+1),MATCH(D$1,[2]quests!$1:$1,0)-MATCH($B$1,[2]quests!$1:$1,0)+1,FALSE)</f>
        <v>降臨25</v>
      </c>
      <c r="E20" s="85">
        <v>2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【ウィザード級】ティアマト襲来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降臨25</v>
      </c>
      <c r="H20" s="86">
        <v>0</v>
      </c>
      <c r="I20" s="91">
        <f t="shared" si="0"/>
        <v>19</v>
      </c>
      <c r="J20" s="87" t="str">
        <f t="shared" si="4"/>
        <v>4002519</v>
      </c>
      <c r="K20" s="85" t="s">
        <v>198</v>
      </c>
      <c r="L20" s="88" t="s">
        <v>420</v>
      </c>
      <c r="M20" s="163" t="s">
        <v>433</v>
      </c>
      <c r="N20" s="57" t="s">
        <v>200</v>
      </c>
    </row>
    <row r="21" spans="1:14" ht="56" x14ac:dyDescent="0.15">
      <c r="A21" s="82" t="s">
        <v>257</v>
      </c>
      <c r="B21" s="83">
        <f>floors!$C$6</f>
        <v>40025</v>
      </c>
      <c r="C21" s="84" t="str">
        <f ca="1">VLOOKUP($B21,OFFSET([2]quests!$A$1,0,0,COUNTA([2]quests!$A:$A),MATCH(C$1,[2]quests!$1:$1,0)-MATCH($B$1,[2]quests!$1:$1,0)+1),MATCH(C$1,[2]quests!$1:$1,0)-MATCH($B$1,[2]quests!$1:$1,0)+1,FALSE)</f>
        <v>ティアマト襲来！</v>
      </c>
      <c r="D21" s="84" t="str">
        <f ca="1">VLOOKUP($B21,OFFSET([2]quests!$A$1,0,0,COUNTA([2]quests!$A:$A),MATCH(D$1,[2]quests!$1:$1,0)-MATCH($B$1,[2]quests!$1:$1,0)+1),MATCH(D$1,[2]quests!$1:$1,0)-MATCH($B$1,[2]quests!$1:$1,0)+1,FALSE)</f>
        <v>降臨25</v>
      </c>
      <c r="E21" s="85">
        <v>2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【ウィザード級】ティアマト襲来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降臨25</v>
      </c>
      <c r="H21" s="86">
        <v>0</v>
      </c>
      <c r="I21" s="91">
        <f t="shared" si="0"/>
        <v>20</v>
      </c>
      <c r="J21" s="87" t="str">
        <f t="shared" si="4"/>
        <v>4002520</v>
      </c>
      <c r="K21" s="85" t="s">
        <v>198</v>
      </c>
      <c r="L21" s="88" t="s">
        <v>421</v>
      </c>
      <c r="M21" s="163" t="s">
        <v>434</v>
      </c>
      <c r="N21" s="57" t="s">
        <v>200</v>
      </c>
    </row>
    <row r="22" spans="1:14" ht="56" x14ac:dyDescent="0.15">
      <c r="A22" s="82" t="s">
        <v>257</v>
      </c>
      <c r="B22" s="83">
        <f>floors!$C$6</f>
        <v>40025</v>
      </c>
      <c r="C22" s="84" t="str">
        <f ca="1">VLOOKUP($B22,OFFSET([2]quests!$A$1,0,0,COUNTA([2]quests!$A:$A),MATCH(C$1,[2]quests!$1:$1,0)-MATCH($B$1,[2]quests!$1:$1,0)+1),MATCH(C$1,[2]quests!$1:$1,0)-MATCH($B$1,[2]quests!$1:$1,0)+1,FALSE)</f>
        <v>ティアマト襲来！</v>
      </c>
      <c r="D22" s="84" t="str">
        <f ca="1">VLOOKUP($B22,OFFSET([2]quests!$A$1,0,0,COUNTA([2]quests!$A:$A),MATCH(D$1,[2]quests!$1:$1,0)-MATCH($B$1,[2]quests!$1:$1,0)+1),MATCH(D$1,[2]quests!$1:$1,0)-MATCH($B$1,[2]quests!$1:$1,0)+1,FALSE)</f>
        <v>降臨25</v>
      </c>
      <c r="E22" s="85">
        <v>2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【ウィザード級】ティアマト襲来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降臨25</v>
      </c>
      <c r="H22" s="86">
        <v>0</v>
      </c>
      <c r="I22" s="91">
        <f t="shared" si="0"/>
        <v>21</v>
      </c>
      <c r="J22" s="87" t="str">
        <f t="shared" si="4"/>
        <v>4002521</v>
      </c>
      <c r="K22" s="85" t="s">
        <v>198</v>
      </c>
      <c r="L22" s="88" t="s">
        <v>422</v>
      </c>
      <c r="M22" s="163" t="s">
        <v>435</v>
      </c>
      <c r="N22" s="57" t="s">
        <v>200</v>
      </c>
    </row>
    <row r="23" spans="1:14" ht="42" x14ac:dyDescent="0.15">
      <c r="A23" s="82" t="s">
        <v>257</v>
      </c>
      <c r="B23" s="83">
        <f>floors!$C$6</f>
        <v>40025</v>
      </c>
      <c r="C23" s="84" t="str">
        <f ca="1">VLOOKUP($B23,OFFSET([2]quests!$A$1,0,0,COUNTA([2]quests!$A:$A),MATCH(C$1,[2]quests!$1:$1,0)-MATCH($B$1,[2]quests!$1:$1,0)+1),MATCH(C$1,[2]quests!$1:$1,0)-MATCH($B$1,[2]quests!$1:$1,0)+1,FALSE)</f>
        <v>ティアマト襲来！</v>
      </c>
      <c r="D23" s="84" t="str">
        <f ca="1">VLOOKUP($B23,OFFSET([2]quests!$A$1,0,0,COUNTA([2]quests!$A:$A),MATCH(D$1,[2]quests!$1:$1,0)-MATCH($B$1,[2]quests!$1:$1,0)+1),MATCH(D$1,[2]quests!$1:$1,0)-MATCH($B$1,[2]quests!$1:$1,0)+1,FALSE)</f>
        <v>降臨25</v>
      </c>
      <c r="E23" s="85">
        <v>2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【ウィザード級】ティアマト襲来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降臨25</v>
      </c>
      <c r="H23" s="86">
        <v>0</v>
      </c>
      <c r="I23" s="91">
        <f t="shared" si="0"/>
        <v>22</v>
      </c>
      <c r="J23" s="87" t="str">
        <f t="shared" si="4"/>
        <v>4002522</v>
      </c>
      <c r="K23" s="85" t="s">
        <v>198</v>
      </c>
      <c r="L23" s="88" t="s">
        <v>423</v>
      </c>
      <c r="M23" s="163" t="s">
        <v>436</v>
      </c>
      <c r="N23" s="57" t="s">
        <v>200</v>
      </c>
    </row>
  </sheetData>
  <phoneticPr fontId="5"/>
  <dataValidations count="1">
    <dataValidation type="list" allowBlank="1" showInputMessage="1" showErrorMessage="1" sqref="A2:A2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0000FF"/>
    <outlinePr summaryBelow="0" summaryRight="0"/>
  </sheetPr>
  <dimension ref="A1:X2"/>
  <sheetViews>
    <sheetView showGridLines="0" topLeftCell="B1" workbookViewId="0">
      <pane ySplit="1" topLeftCell="A2" activePane="bottomLeft" state="frozen"/>
      <selection pane="bottomLeft" activeCell="C10" sqref="C10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212</v>
      </c>
      <c r="B1" s="96" t="s">
        <v>213</v>
      </c>
      <c r="C1" s="78" t="s">
        <v>214</v>
      </c>
      <c r="D1" s="78" t="s">
        <v>33</v>
      </c>
      <c r="E1" s="96" t="s">
        <v>215</v>
      </c>
      <c r="F1" s="78" t="s">
        <v>216</v>
      </c>
      <c r="G1" s="78" t="s">
        <v>33</v>
      </c>
      <c r="H1" s="96" t="s">
        <v>217</v>
      </c>
      <c r="I1" s="96" t="s">
        <v>218</v>
      </c>
      <c r="J1" s="96" t="s">
        <v>219</v>
      </c>
      <c r="K1" s="74" t="s">
        <v>220</v>
      </c>
      <c r="L1" s="74" t="s">
        <v>221</v>
      </c>
      <c r="M1" s="74" t="s">
        <v>157</v>
      </c>
      <c r="N1" s="78" t="s">
        <v>16</v>
      </c>
      <c r="O1" s="74" t="s">
        <v>222</v>
      </c>
      <c r="P1" s="74" t="s">
        <v>57</v>
      </c>
      <c r="Q1" s="74" t="s">
        <v>223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224</v>
      </c>
      <c r="X1" s="74" t="s">
        <v>225</v>
      </c>
    </row>
    <row r="2" spans="1:24" x14ac:dyDescent="0.15">
      <c r="A2" s="97" t="str">
        <f>B2&amp;"_"&amp;E2&amp;"_"&amp;H2&amp;"_"&amp;I2&amp;"_"&amp;J2</f>
        <v>40025_2_everyone_no_continue_1</v>
      </c>
      <c r="B2" s="83">
        <v>40025</v>
      </c>
      <c r="C2" s="84" t="str">
        <f ca="1">VLOOKUP($B2,OFFSET([2]quests!$A$1,0,0,COUNTA([2]quests!$A:$A),MATCH(C$1,[2]quests!$1:$1,0)-MATCH($B$1,[2]quests!$1:$1,0)+1),MATCH(C$1,[2]quests!$1:$1,0)-MATCH($B$1,[2]quests!$1:$1,0)+1,FALSE)</f>
        <v>ティアマト襲来！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降臨25</v>
      </c>
      <c r="E2" s="85">
        <v>2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【ウィザード級】ティアマト襲来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降臨25</v>
      </c>
      <c r="H2" s="86" t="s">
        <v>226</v>
      </c>
      <c r="I2" s="85" t="s">
        <v>230</v>
      </c>
      <c r="J2" s="85">
        <v>1</v>
      </c>
      <c r="K2" s="85">
        <v>100</v>
      </c>
      <c r="L2" s="85" t="s">
        <v>227</v>
      </c>
      <c r="M2" s="85">
        <v>1063</v>
      </c>
      <c r="N2" s="9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ティアマト</v>
      </c>
      <c r="O2" s="85">
        <v>1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99" t="s">
        <v>228</v>
      </c>
      <c r="X2" s="100" t="s">
        <v>229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2017-04-04T09:01:38Z</dcterms:modified>
</cp:coreProperties>
</file>