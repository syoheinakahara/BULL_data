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8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settle_7111100" sheetId="130" r:id="rId4"/>
    <sheet name="tables_settle_7111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tables_settle_7111100!$A$1:$V$275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5" i="131" l="1"/>
  <c r="N35" i="131"/>
  <c r="M35" i="131"/>
  <c r="L35" i="131"/>
  <c r="K35" i="131"/>
  <c r="J35" i="131"/>
  <c r="I35" i="131"/>
  <c r="H35" i="131"/>
  <c r="F35" i="131"/>
  <c r="E35" i="131"/>
  <c r="D35" i="131"/>
  <c r="C35" i="131"/>
  <c r="A2" i="130"/>
  <c r="A35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A34" i="131"/>
  <c r="A31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A32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A33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A29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A30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<sst xmlns="http://schemas.openxmlformats.org/spreadsheetml/2006/main" count="304" uniqueCount="211">
  <si>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</si>
  <si>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</si>
  <si>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</si>
  <si>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</si>
  <si>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</si>
  <si>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</si>
  <si>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</si>
  <si>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</si>
  <si>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</si>
  <si>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</si>
  <si>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</si>
  <si>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</si>
  <si>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</si>
  <si>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</si>
  <si>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</si>
  <si>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</si>
  <si>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</si>
  <si>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</si>
  <si>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</si>
  <si>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</si>
  <si>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</si>
  <si>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</si>
  <si>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</si>
  <si>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</si>
  <si>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</si>
  <si>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</si>
  <si>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</si>
  <si>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</si>
  <si>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</si>
  <si>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</si>
  <si>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</si>
  <si>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</si>
  <si>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</si>
  <si>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</si>
  <si>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</si>
  <si>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</si>
  <si>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</si>
  <si>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</si>
  <si>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</si>
  <si>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</si>
  <si>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</si>
  <si>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</si>
  <si>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</si>
  <si>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</si>
  <si>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</si>
  <si>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</si>
  <si>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</si>
  <si>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</si>
  <si>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</si>
  <si>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</si>
  <si>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</si>
  <si>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</si>
  <si>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</si>
  <si>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</si>
  <si>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</si>
  <si>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</si>
  <si>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</si>
  <si>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</si>
  <si>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</si>
  <si>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</si>
  <si>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</si>
  <si>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</si>
  <si>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</si>
  <si>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</si>
  <si>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</si>
  <si>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</si>
  <si>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</si>
  <si>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</si>
  <si>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</si>
  <si>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</si>
  <si>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</si>
  <si>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</si>
  <si>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</si>
  <si>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</si>
  <si>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</si>
  <si>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</si>
  <si>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</si>
  <si>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</si>
  <si>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</si>
  <si>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</si>
  <si>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</si>
  <si>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</si>
  <si>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</si>
  <si>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</si>
  <si>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</si>
  <si>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</si>
  <si>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</si>
  <si>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</si>
  <si>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</si>
  <si>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</si>
  <si>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</si>
  <si>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</si>
  <si>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</si>
  <si>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</si>
  <si>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</si>
  <si>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</si>
  <si>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</si>
  <si>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</si>
  <si>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</si>
  <si>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</si>
  <si>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</si>
  <si>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</si>
  <si>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</si>
  <si>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</si>
  <si>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</si>
  <si>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</si>
  <si>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</si>
  <si>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</si>
  <si>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</si>
  <si>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</si>
  <si>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</si>
  <si>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</si>
  <si>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</si>
  <si>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</si>
  <si>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</si>
  <si>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</si>
  <si>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</si>
  <si>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</si>
  <si>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</si>
  <si>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</si>
  <si>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</si>
  <si>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</si>
  <si>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</si>
  <si>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</si>
  <si>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</si>
  <si>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</si>
  <si>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</si>
  <si>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</si>
  <si>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</si>
  <si>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</si>
  <si>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</si>
  <si>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</si>
  <si>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</si>
  <si>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</si>
  <si>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</si>
  <si>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</si>
  <si>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</si>
  <si>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</si>
  <si>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</si>
  <si>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</si>
  <si>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</si>
  <si>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</si>
  <si>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</si>
  <si>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</si>
  <si>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</si>
  <si>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</si>
  <si>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</si>
  <si>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</si>
  <si>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</si>
  <si>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</si>
  <si>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</si>
  <si>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</si>
  <si>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</si>
  <si>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</si>
  <si>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</si>
  <si>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</si>
  <si>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</si>
  <si>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</si>
  <si>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</si>
  <si>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</si>
  <si>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</si>
  <si>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</si>
  <si>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</si>
  <si>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</si>
  <si>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</si>
  <si>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</si>
  <si>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</si>
  <si>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</si>
  <si>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</si>
  <si>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</si>
  <si>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</si>
  <si>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</si>
  <si>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</si>
  <si>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</si>
  <si>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</si>
  <si>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</si>
  <si>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</si>
  <si>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</si>
  <si>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</si>
  <si>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</si>
  <si>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</si>
  <si>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</si>
  <si>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</si>
  <si>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</si>
  <si>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</si>
  <si>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</si>
  <si>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</si>
  <si>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</si>
  <si>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</si>
  <si>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</si>
  <si>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</si>
  <si>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</si>
  <si>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</si>
  <si>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</si>
  <si>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</si>
  <si>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</si>
  <si>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</si>
  <si>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</si>
  <si>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</si>
  <si>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</si>
  <si>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</si>
  <si>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</si>
  <si>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</si>
  <si>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</si>
  <si>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</si>
  <si>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</si>
  <si>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</si>
  <si>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</si>
  <si>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</si>
  <si>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</si>
  <si>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tables_settle_7111100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</si>
</sst>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7111100</v>
      </c>
      <c r="D3" s="16" t="s">
        <v>32</v>
      </c>
      <c r="E3" s="14" t="str">
        <f t="shared" ref="E3" si="1">B3&amp;C3&amp;D3</f>
        <v>gacha_settle_tables_7111100.tmp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7111100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VLOOKUP(L3,tables_settle_7111100!B:C,2,FALSE)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VLOOKUP(L4,tables_settle_7111100!B:C,2,FALSE)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8.8235294117647051E-4</v>
      </c>
      <c r="F5">
        <f>(COUNTIF(tables_settle_7111100!C:C,input_settle_7111100!A26)+COUNTIF(tables_settle_7111100!C:C,input_settle_7111100!A28)+COUNTIF(tables_settle_7111100!C:C,input_settle_7111100!A29))</f>
        <v>34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VLOOKUP(L5,tables_settle_7111100!B:C,2,FALSE)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(COUNTIF(tables_settle_7111100!C:C,input_settle_7111100!A18)+COUNTIF(tables_settle_7111100!C:C,input_settle_7111100!A20)+COUNTIF(tables_settle_7111100!C:C,input_settle_7111100!A22))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VLOOKUP(L6,tables_settle_7111100!B:C,2,FALSE)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VLOOKUP(L7,tables_settle_7111100!B:C,2,FALSE)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VLOOKUP(L8,tables_settle_7111100!B:C,2,FALSE)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VLOOKUP(L9,tables_settle_7111100!B:C,2,FALSE)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VLOOKUP(L10,tables_settle_7111100!B:C,2,FALSE)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VLOOKUP(L11,tables_settle_7111100!B:C,2,FALSE)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VLOOKUP(L12,tables_settle_7111100!B:C,2,FALSE)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VLOOKUP(L13,tables_settle_7111100!B:C,2,FALSE)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VLOOKUP(L14,tables_settle_7111100!B:C,2,FALSE)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VLOOKUP(L15,tables_settle_7111100!B:C,2,FALSE)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VLOOKUP(L16,tables_settle_7111100!B:C,2,FALSE)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COUNTIF(tables_settle_7111100!C:C,input_settle_7111100!A17)-COUNTIF(Q:Q,A17)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VLOOKUP(L17,tables_settle_7111100!B:C,2,FALSE)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COUNTIF(tables_settle_7111100!C:C,input_settle_7111100!A18)-COUNTIF(Q:Q,A18)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VLOOKUP(L18,tables_settle_7111100!B:C,2,FALSE)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COUNTIF(tables_settle_7111100!C:C,input_settle_7111100!A19)-COUNTIF(Q:Q,A19)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VLOOKUP(L19,tables_settle_7111100!B:C,2,FALSE)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COUNTIF(tables_settle_7111100!C:C,input_settle_7111100!A20)-COUNTIF(Q:Q,A20)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VLOOKUP(L20,tables_settle_7111100!B:C,2,FALSE)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COUNTIF(tables_settle_7111100!C:C,input_settle_7111100!A21)-COUNTIF(Q:Q,A21)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COUNTIF(tables_settle_7111100!C:C,input_settle_7111100!A22)-COUNTIF(Q:Q,A22)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COUNTIF(tables_settle_7111100!C:C,input_settle_7111100!A23)-COUNTIF(Q:Q,A23)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COUNTIF(tables_settle_7111100!C:C,input_settle_7111100!A24)-COUNTIF(Q:Q,A24)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COUNTIF(tables_settle_7111100!C:C,input_settle_7111100!A25)-COUNTIF(Q:Q,A25)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COUNTIF(tables_settle_7111100!C:C,input_settle_7111100!A26)-COUNTIF(Q:Q,A26)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COUNTIF(tables_settle_7111100!C:C,input_settle_7111100!A27)-COUNTIF(Q:Q,A27)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COUNTIF(tables_settle_7111100!C:C,input_settle_7111100!A28)-COUNTIF(Q:Q,A28)</f>
        <v>16</v>
      </c>
      <c r="F28" s="40">
        <f t="shared" si="7"/>
        <v>3.2812499999999999E-3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COUNTIF(tables_settle_7111100!C:C,input_settle_7111100!A29)-COUNTIF(Q:Q,A29)</f>
        <v>14</v>
      </c>
      <c r="F29" s="40">
        <f>IFERROR(B29/E29,0)</f>
        <v>2.6785714285714287E-4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COUNTIF(tables_settle_7111100!C:C,input_settle_7111100!A30)-COUNTIF(Q:Q,A30)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COUNTIF(tables_settle_7111100!C:C,input_settle_7111100!A31)-COUNTIF(Q:Q,A31)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SUMIF(tables_settle_7111100!C:C,input_settle_7111100!A40,tables_settle_7111100!O:O)</f>
        <v>0</v>
      </c>
      <c r="C40" s="49">
        <f t="shared" ref="C40:C46" si="9">B40/B$47</f>
        <v>0</v>
      </c>
      <c r="E40">
        <v>3</v>
      </c>
      <c r="F40">
        <f>SUMIF(tables_settle_7111100!J:J,input_settle_7111100!E40,tables_settle_7111100!O:O)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SUMIF(tables_settle_7111100!C:C,input_settle_7111100!A41,tables_settle_7111100!O:O)</f>
        <v>0</v>
      </c>
      <c r="C41" s="49">
        <f t="shared" si="9"/>
        <v>0</v>
      </c>
      <c r="E41">
        <v>4</v>
      </c>
      <c r="F41">
        <f>SUMIF(tables_settle_7111100!J:J,input_settle_7111100!E41,tables_settle_7111100!O:O)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SUMIF(tables_settle_7111100!C:C,input_settle_7111100!A42,tables_settle_7111100!O:O)</f>
        <v>0</v>
      </c>
      <c r="C42" s="49">
        <f t="shared" si="9"/>
        <v>0</v>
      </c>
      <c r="E42">
        <v>5</v>
      </c>
      <c r="F42">
        <f>SUMIF(tables_settle_7111100!J:J,input_settle_7111100!E42,tables_settle_7111100!O:O)</f>
        <v>340</v>
      </c>
      <c r="G42" t="e">
        <f>F42/A36</f>
        <v>#DIV/0!</v>
      </c>
    </row>
    <row r="43" spans="1:7" x14ac:dyDescent="0.15">
      <c r="A43" s="29" t="s">
        <v>86</v>
      </c>
      <c r="B43">
        <f>SUMIF(tables_settle_7111100!C:C,input_settle_7111100!A43,tables_settle_7111100!O:O)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SUMIF(tables_settle_7111100!C:C,input_settle_7111100!A44,tables_settle_7111100!O:O)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SUMIF(tables_settle_7111100!C:C,input_settle_7111100!A45,tables_settle_7111100!O:O)</f>
        <v>160</v>
      </c>
      <c r="C45" s="49">
        <f t="shared" si="9"/>
        <v>1</v>
      </c>
      <c r="E45" t="s">
        <v>183</v>
      </c>
      <c r="F45" s="50">
        <f>SUMIF(tables_settle_7111100!I:I,input_settle_7111100!E45,tables_settle_7111100!P:P)</f>
        <v>0</v>
      </c>
    </row>
    <row r="46" spans="1:7" x14ac:dyDescent="0.15">
      <c r="A46" s="29" t="s">
        <v>88</v>
      </c>
      <c r="B46">
        <f>SUMIF(tables_settle_7111100!C:C,input_settle_7111100!A46,tables_settle_7111100!O:O)</f>
        <v>0</v>
      </c>
      <c r="C46" s="49">
        <f t="shared" si="9"/>
        <v>0</v>
      </c>
      <c r="E46" t="s">
        <v>184</v>
      </c>
      <c r="F46" s="50">
        <f>SUMIF(tables_settle_7111100!I:I,input_settle_7111100!E46,tables_settle_7111100!P:P)</f>
        <v>8.8235294117647051E-2</v>
      </c>
    </row>
    <row r="47" spans="1:7" x14ac:dyDescent="0.15">
      <c r="A47" s="36" t="s">
        <v>45</v>
      </c>
      <c r="B47">
        <f>SUM(B40:B46)</f>
        <v>160</v>
      </c>
      <c r="C47" s="50">
        <f>SUM(C40:C46)</f>
        <v>1</v>
      </c>
      <c r="E47" t="s">
        <v>185</v>
      </c>
      <c r="F47" s="50">
        <f>SUMIF(tables_settle_7111100!I:I,input_settle_7111100!E47,tables_settle_7111100!P:P)</f>
        <v>2.9411764705882353E-2</v>
      </c>
    </row>
    <row r="48" spans="1:7" x14ac:dyDescent="0.15">
      <c r="E48" t="s">
        <v>186</v>
      </c>
      <c r="F48" s="50">
        <f>SUMIF(tables_settle_7111100!I:I,input_settle_7111100!E48,tables_settle_7111100!P:P)</f>
        <v>0.88235294117647067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1"/>
  <sheetViews>
    <sheetView showGridLines="0" tabSelected="1" zoomScale="75" zoomScaleNormal="75" zoomScalePageLayoutView="75" workbookViewId="0">
      <pane ySplit="1" topLeftCell="A20" activePane="bottomLeft" state="frozen"/>
      <selection activeCell="E6" sqref="E6"/>
      <selection pane="bottomLeft" activeCell="H20" sqref="H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input_settle_7111100!A$2</f>
        <v>7111100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19" si="2">O2/SUM(O:O)</f>
        <v>2.9411764705882353E-2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input_settle_7111100!A$2</f>
        <v>7111100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2.9411764705882353E-2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input_settle_7111100!A$2</f>
        <v>7111100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2.9411764705882353E-2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input_settle_7111100!A$2</f>
        <v>7111100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2.9411764705882353E-2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input_settle_7111100!A$2</f>
        <v>7111100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2.9411764705882353E-2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input_settle_7111100!A$2</f>
        <v>7111100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2.9411764705882353E-2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input_settle_7111100!A$2</f>
        <v>7111100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2.9411764705882353E-2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input_settle_7111100!A$2</f>
        <v>7111100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2.9411764705882353E-2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input_settle_7111100!A$2</f>
        <v>7111100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2"/>
        <v>2.9411764705882353E-2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input_settle_7111100!A$2</f>
        <v>7111100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2"/>
        <v>2.9411764705882353E-2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input_settle_7111100!A$2</f>
        <v>7111100</v>
      </c>
      <c r="B12" s="55">
        <v>404</v>
      </c>
      <c r="C12" s="7" t="str">
        <f t="shared" ref="C12:C13" si="5">D12&amp;J12&amp;E12&amp;F12&amp;G12</f>
        <v>PremiumSS5</v>
      </c>
      <c r="D12" s="7" t="str">
        <f t="shared" ref="D12:D13" si="6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2"/>
        <v>2.9411764705882353E-2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input_settle_7111100!A$2</f>
        <v>7111100</v>
      </c>
      <c r="B13" s="55">
        <v>399</v>
      </c>
      <c r="C13" s="7" t="str">
        <f t="shared" si="5"/>
        <v>PremiumSS5</v>
      </c>
      <c r="D13" s="7" t="str">
        <f t="shared" si="6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2"/>
        <v>2.9411764705882353E-2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input_settle_7111100!A$2</f>
        <v>7111100</v>
      </c>
      <c r="B14" s="55">
        <v>866</v>
      </c>
      <c r="C14" s="7" t="str">
        <f t="shared" ref="C14:C15" si="7">D14&amp;J14&amp;E14&amp;F14&amp;G14</f>
        <v>PremiumSS5R5only</v>
      </c>
      <c r="D14" s="7" t="str">
        <f t="shared" ref="D14:D15" si="8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2"/>
        <v>2.9411764705882353E-2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input_settle_7111100!A$2</f>
        <v>7111100</v>
      </c>
      <c r="B15" s="55">
        <v>868</v>
      </c>
      <c r="C15" s="7" t="str">
        <f t="shared" si="7"/>
        <v>PremiumSS5R5only</v>
      </c>
      <c r="D15" s="7" t="str">
        <f t="shared" si="8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2"/>
        <v>2.9411764705882353E-2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input_settle_7111100!A$2</f>
        <v>7111100</v>
      </c>
      <c r="B16" s="82">
        <v>435</v>
      </c>
      <c r="C16" s="7" t="str">
        <f t="shared" ref="C16:C17" si="9">D16&amp;J16&amp;E16&amp;F16&amp;G16</f>
        <v>PremiumSS5</v>
      </c>
      <c r="D16" s="7" t="str">
        <f t="shared" ref="D16:D17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2"/>
        <v>2.9411764705882353E-2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input_settle_7111100!A$2</f>
        <v>7111100</v>
      </c>
      <c r="B17" s="82">
        <v>468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2"/>
        <v>2.9411764705882353E-2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input_settle_7111100!A$2</f>
        <v>7111100</v>
      </c>
      <c r="B18" s="82">
        <v>493</v>
      </c>
      <c r="C18" s="7" t="str">
        <f t="shared" ref="C18:C19" si="11">D18&amp;J18&amp;E18&amp;F18&amp;G18</f>
        <v>PremiumSS5</v>
      </c>
      <c r="D18" s="7" t="str">
        <f t="shared" ref="D18:D19" si="12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2"/>
        <v>2.9411764705882353E-2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input_settle_7111100!A$2</f>
        <v>7111100</v>
      </c>
      <c r="B19" s="82">
        <v>495</v>
      </c>
      <c r="C19" s="7" t="str">
        <f t="shared" si="11"/>
        <v>PremiumSS5</v>
      </c>
      <c r="D19" s="7" t="str">
        <f t="shared" si="12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2"/>
        <v>2.9411764705882353E-2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input_settle_7111100!A$2</f>
        <v>7111100</v>
      </c>
      <c r="B20" s="82">
        <v>659</v>
      </c>
      <c r="C20" s="7" t="str">
        <f t="shared" ref="C20:C23" si="13">D20&amp;J20&amp;E20&amp;F20&amp;G20</f>
        <v>PremiumSS5</v>
      </c>
      <c r="D20" s="7" t="str">
        <f t="shared" ref="D20:D23" si="14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ref="P20:P23" si="15">O20/SUM(O:O)</f>
        <v>2.9411764705882353E-2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input_settle_7111100!A$2</f>
        <v>7111100</v>
      </c>
      <c r="B21" s="82">
        <v>661</v>
      </c>
      <c r="C21" s="7" t="str">
        <f t="shared" si="13"/>
        <v>PremiumSS5</v>
      </c>
      <c r="D21" s="7" t="str">
        <f t="shared" si="14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5"/>
        <v>2.9411764705882353E-2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input_settle_7111100!A$2</f>
        <v>7111100</v>
      </c>
      <c r="B22" s="82">
        <v>500</v>
      </c>
      <c r="C22" s="7" t="str">
        <f t="shared" si="13"/>
        <v>PremiumSS5</v>
      </c>
      <c r="D22" s="7" t="str">
        <f t="shared" si="14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5"/>
        <v>2.9411764705882353E-2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input_settle_7111100!A$2</f>
        <v>7111100</v>
      </c>
      <c r="B23" s="82">
        <v>603</v>
      </c>
      <c r="C23" s="7" t="str">
        <f t="shared" si="13"/>
        <v>PremiumSS5</v>
      </c>
      <c r="D23" s="7" t="str">
        <f t="shared" si="14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5"/>
        <v>2.9411764705882353E-2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input_settle_7111100!A$2</f>
        <v>7111100</v>
      </c>
      <c r="B24" s="82">
        <v>742</v>
      </c>
      <c r="C24" s="7" t="str">
        <f t="shared" ref="C24:C25" si="16">D24&amp;J24&amp;E24&amp;F24&amp;G24</f>
        <v>PremiumSS5R5only</v>
      </c>
      <c r="D24" s="7" t="str">
        <f t="shared" ref="D24:D25" si="17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2.9411764705882353E-2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input_settle_7111100!A$2</f>
        <v>7111100</v>
      </c>
      <c r="B25" s="82">
        <v>744</v>
      </c>
      <c r="C25" s="7" t="str">
        <f t="shared" si="16"/>
        <v>PremiumSS5R5only</v>
      </c>
      <c r="D25" s="7" t="str">
        <f t="shared" si="17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2.9411764705882353E-2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input_settle_7111100!A$2</f>
        <v>7111100</v>
      </c>
      <c r="B26" s="82">
        <v>937</v>
      </c>
      <c r="C26" s="7" t="str">
        <f t="shared" ref="C26:C27" si="18">D26&amp;J26&amp;E26&amp;F26&amp;G26</f>
        <v>PremiumSS5R5only</v>
      </c>
      <c r="D26" s="7" t="str">
        <f t="shared" ref="D26:D27" si="19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2.9411764705882353E-2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input_settle_7111100!A$2</f>
        <v>7111100</v>
      </c>
      <c r="B27" s="82">
        <v>941</v>
      </c>
      <c r="C27" s="7" t="str">
        <f t="shared" si="18"/>
        <v>PremiumSS5R5only</v>
      </c>
      <c r="D27" s="7" t="str">
        <f t="shared" si="19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2.9411764705882353E-2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input_settle_7111100!A$2</f>
        <v>7111100</v>
      </c>
      <c r="B28" s="82">
        <v>943</v>
      </c>
      <c r="C28" s="7" t="str">
        <f t="shared" ref="C28" si="20">D28&amp;J28&amp;E28&amp;F28&amp;G28</f>
        <v>PremiumSS5R5only</v>
      </c>
      <c r="D28" s="7" t="str">
        <f t="shared" ref="D28" si="21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2.9411764705882353E-2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input_settle_7111100!A$2</f>
        <v>7111100</v>
      </c>
      <c r="B29" s="82">
        <v>321</v>
      </c>
      <c r="C29" s="7" t="str">
        <f t="shared" ref="C29:C30" si="22">D29&amp;J29&amp;E29&amp;F29&amp;G29</f>
        <v>PremiumSS5</v>
      </c>
      <c r="D29" s="7" t="str">
        <f t="shared" ref="D29:D30" si="23">IF(I29="PremiumSS",I29,IF(I29="PremiumSSS",I29,IF(I29="PremiumW",I29,"Premium")))</f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ref="P29:P30" si="24">O29/SUM(O:O)</f>
        <v>2.9411764705882353E-2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input_settle_7111100!A$2</f>
        <v>7111100</v>
      </c>
      <c r="B30" s="82">
        <v>466</v>
      </c>
      <c r="C30" s="7" t="str">
        <f t="shared" si="22"/>
        <v>PremiumSS5</v>
      </c>
      <c r="D30" s="7" t="str">
        <f t="shared" si="23"/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24"/>
        <v>2.9411764705882353E-2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input_settle_7111100!A$2</f>
        <v>7111100</v>
      </c>
      <c r="B31" s="82">
        <v>1012</v>
      </c>
      <c r="C31" s="7" t="str">
        <f t="shared" ref="C31:C33" si="25">D31&amp;J31&amp;E31&amp;F31&amp;G31</f>
        <v>PremiumSS5R5only</v>
      </c>
      <c r="D31" s="7" t="str">
        <f t="shared" ref="D31:D33" si="26">IF(I31="PremiumSS",I31,IF(I31="PremiumSSS",I31,IF(I31="PremiumW",I31,"Premium")))</f>
        <v>PremiumSS</v>
      </c>
      <c r="E31" s="7" t="str">
        <f>IF(COUNTIF('R6追加前'!A:A,B31)=0,IF(I31="PremiumSS","R5only","R3less"),"")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ref="P31:P33" si="27">O31/SUM(O:O)</f>
        <v>2.9411764705882353E-2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input_settle_7111100!A$2</f>
        <v>7111100</v>
      </c>
      <c r="B32" s="82">
        <v>1014</v>
      </c>
      <c r="C32" s="7" t="str">
        <f t="shared" si="25"/>
        <v>PremiumSS5R5only</v>
      </c>
      <c r="D32" s="7" t="str">
        <f t="shared" si="26"/>
        <v>PremiumSS</v>
      </c>
      <c r="E32" s="7" t="str">
        <f>IF(COUNTIF('R6追加前'!A:A,B32)=0,IF(I32="PremiumSS","R5only","R3less"),"")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27"/>
        <v>2.9411764705882353E-2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input_settle_7111100!A$2</f>
        <v>7111100</v>
      </c>
      <c r="B33" s="82">
        <v>1018</v>
      </c>
      <c r="C33" s="7" t="str">
        <f t="shared" si="25"/>
        <v>PremiumSS5R5only</v>
      </c>
      <c r="D33" s="7" t="str">
        <f t="shared" si="26"/>
        <v>PremiumSS</v>
      </c>
      <c r="E33" s="7" t="str">
        <f>IF(COUNTIF('R6追加前'!A:A,B33)=0,IF(I33="PremiumSS","R5only","R3less"),"")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27"/>
        <v>2.9411764705882353E-2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input_settle_7111100!A$2</f>
        <v>7111100</v>
      </c>
      <c r="B34" s="82">
        <v>677</v>
      </c>
      <c r="C34" s="7" t="str">
        <f t="shared" ref="C34:C35" si="28">D34&amp;J34&amp;E34&amp;F34&amp;G34</f>
        <v>PremiumSS5</v>
      </c>
      <c r="D34" s="7" t="str">
        <f t="shared" ref="D34:D35" si="29">IF(I34="PremiumSS",I34,IF(I34="PremiumSSS",I34,IF(I34="PremiumW",I34,"Premium")))</f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ref="P34:P35" si="30">O34/SUM(O:O)</f>
        <v>2.9411764705882353E-2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input_settle_7111100!A$2</f>
        <v>7111100</v>
      </c>
      <c r="B35" s="82">
        <v>675</v>
      </c>
      <c r="C35" s="7" t="str">
        <f t="shared" si="28"/>
        <v>PremiumSS5</v>
      </c>
      <c r="D35" s="7" t="str">
        <f t="shared" si="29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30"/>
        <v>2.9411764705882353E-2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K36" s="1"/>
    </row>
    <row r="37" spans="1:22" ht="21" customHeight="1" x14ac:dyDescent="0.15">
      <c r="K37" s="1"/>
    </row>
    <row r="38" spans="1:22" ht="21" customHeight="1" x14ac:dyDescent="0.15">
      <c r="K38" s="1"/>
    </row>
    <row r="39" spans="1:22" ht="21" customHeight="1" x14ac:dyDescent="0.15">
      <c r="K39" s="1"/>
    </row>
    <row r="40" spans="1:22" ht="21" customHeight="1" x14ac:dyDescent="0.15">
      <c r="K40" s="1"/>
    </row>
    <row r="41" spans="1:22" ht="21" customHeight="1" x14ac:dyDescent="0.15">
      <c r="K41" s="1"/>
    </row>
    <row r="42" spans="1:22" ht="21" customHeight="1" x14ac:dyDescent="0.15">
      <c r="K42" s="1"/>
    </row>
    <row r="43" spans="1:22" ht="21" customHeight="1" x14ac:dyDescent="0.15">
      <c r="K43" s="1"/>
    </row>
    <row r="44" spans="1:22" ht="21" customHeight="1" x14ac:dyDescent="0.15">
      <c r="K44" s="1"/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  <row r="281" spans="11:11" ht="21" customHeight="1" x14ac:dyDescent="0.15">
      <c r="K281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input_settle_7111100</vt:lpstr>
      <vt:lpstr>tables_settle_7111100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2016-08-03T11:32:58Z</dcterms:modified>
</cp:coreProperties>
</file>