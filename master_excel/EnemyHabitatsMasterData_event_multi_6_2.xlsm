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3180" yWindow="2020" windowWidth="23920" windowHeight="1438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failue" sheetId="19" r:id="rId9"/>
    <sheet name="stage_hints_complet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enemy_habitats!$B$1:$AH$13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9" hidden="1">stage_hints_complete!$C$1:$N$1</definedName>
    <definedName name="_xlnm._FilterDatabase" localSheetId="8" hidden="1">stage_hints_failue!$C$1:$N$8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1" l="1"/>
  <c r="AD7" i="1"/>
  <c r="AG7" i="1"/>
  <c r="AE7" i="1"/>
  <c r="AC7" i="1"/>
  <c r="E6" i="9"/>
  <c r="E35" i="9"/>
  <c r="V7" i="1"/>
  <c r="Q7" i="1"/>
  <c r="P7" i="1"/>
  <c r="O7" i="1"/>
  <c r="N7" i="1"/>
  <c r="M7" i="1"/>
  <c r="H7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1"/>
  <c r="I7" i="1"/>
  <c r="D7" i="1"/>
  <c r="F7" i="1"/>
  <c r="E7" i="1"/>
  <c r="A7" i="1"/>
  <c r="N27" i="20"/>
  <c r="M27" i="20"/>
  <c r="A27" i="20"/>
  <c r="N26" i="20"/>
  <c r="M26" i="20"/>
  <c r="A26" i="20"/>
  <c r="N25" i="20"/>
  <c r="M25" i="20"/>
  <c r="A25" i="20"/>
  <c r="N24" i="20"/>
  <c r="M24" i="20"/>
  <c r="A24" i="20"/>
  <c r="N23" i="20"/>
  <c r="M23" i="20"/>
  <c r="A23" i="20"/>
  <c r="N22" i="20"/>
  <c r="M22" i="20"/>
  <c r="A22" i="20"/>
  <c r="N21" i="20"/>
  <c r="M21" i="20"/>
  <c r="A21" i="20"/>
  <c r="N20" i="20"/>
  <c r="M20" i="20"/>
  <c r="A20" i="20"/>
  <c r="N19" i="20"/>
  <c r="M19" i="20"/>
  <c r="A19" i="20"/>
  <c r="N18" i="20"/>
  <c r="M18" i="20"/>
  <c r="A18" i="20"/>
  <c r="N17" i="20"/>
  <c r="M17" i="20"/>
  <c r="A17" i="20"/>
  <c r="N16" i="20"/>
  <c r="M16" i="20"/>
  <c r="A16" i="20"/>
  <c r="N15" i="20"/>
  <c r="M15" i="20"/>
  <c r="A15" i="20"/>
  <c r="N14" i="20"/>
  <c r="M14" i="20"/>
  <c r="A14" i="20"/>
  <c r="N13" i="20"/>
  <c r="M13" i="20"/>
  <c r="A13" i="20"/>
  <c r="N12" i="20"/>
  <c r="M12" i="20"/>
  <c r="A12" i="20"/>
  <c r="N11" i="20"/>
  <c r="M11" i="20"/>
  <c r="A11" i="20"/>
  <c r="N10" i="20"/>
  <c r="M10" i="20"/>
  <c r="A10" i="20"/>
  <c r="N9" i="20"/>
  <c r="M9" i="20"/>
  <c r="A9" i="20"/>
  <c r="N8" i="20"/>
  <c r="M8" i="20"/>
  <c r="A8" i="20"/>
  <c r="N7" i="20"/>
  <c r="M7" i="20"/>
  <c r="A7" i="20"/>
  <c r="N6" i="20"/>
  <c r="M6" i="20"/>
  <c r="A6" i="20"/>
  <c r="N5" i="20"/>
  <c r="M5" i="20"/>
  <c r="A5" i="20"/>
  <c r="N4" i="20"/>
  <c r="M4" i="20"/>
  <c r="A4" i="20"/>
  <c r="N3" i="20"/>
  <c r="M3" i="20"/>
  <c r="A3" i="20"/>
  <c r="N2" i="20"/>
  <c r="M2" i="20"/>
  <c r="A2" i="20"/>
  <c r="C9" i="16"/>
  <c r="C11" i="16"/>
  <c r="C12" i="16"/>
  <c r="E12" i="16"/>
  <c r="E11" i="16"/>
  <c r="C8" i="16"/>
  <c r="C10" i="16"/>
  <c r="E10" i="16"/>
  <c r="C7" i="19"/>
  <c r="J7" i="19"/>
  <c r="K7" i="19"/>
  <c r="H7" i="19"/>
  <c r="G7" i="19"/>
  <c r="E7" i="19"/>
  <c r="D7" i="19"/>
  <c r="A7" i="19"/>
  <c r="C6" i="19"/>
  <c r="J6" i="19"/>
  <c r="K6" i="19"/>
  <c r="H6" i="19"/>
  <c r="G6" i="19"/>
  <c r="E6" i="19"/>
  <c r="D6" i="19"/>
  <c r="A6" i="19"/>
  <c r="C5" i="19"/>
  <c r="J5" i="19"/>
  <c r="K5" i="19"/>
  <c r="H5" i="19"/>
  <c r="G5" i="19"/>
  <c r="E5" i="19"/>
  <c r="D5" i="19"/>
  <c r="A5" i="19"/>
  <c r="C4" i="19"/>
  <c r="J4" i="19"/>
  <c r="K4" i="19"/>
  <c r="H4" i="19"/>
  <c r="G4" i="19"/>
  <c r="E4" i="19"/>
  <c r="D4" i="19"/>
  <c r="A4" i="19"/>
  <c r="C3" i="19"/>
  <c r="J3" i="19"/>
  <c r="K3" i="19"/>
  <c r="H3" i="19"/>
  <c r="G3" i="19"/>
  <c r="E3" i="19"/>
  <c r="D3" i="19"/>
  <c r="A3" i="19"/>
  <c r="C2" i="19"/>
  <c r="J2" i="19"/>
  <c r="K2" i="19"/>
  <c r="H2" i="19"/>
  <c r="G2" i="19"/>
  <c r="E2" i="19"/>
  <c r="D2" i="19"/>
  <c r="A2" i="19"/>
  <c r="C13" i="19"/>
  <c r="J13" i="19"/>
  <c r="K13" i="19"/>
  <c r="H13" i="19"/>
  <c r="G13" i="19"/>
  <c r="E13" i="19"/>
  <c r="D13" i="19"/>
  <c r="A13" i="19"/>
  <c r="C14" i="19"/>
  <c r="J14" i="19"/>
  <c r="K14" i="19"/>
  <c r="H14" i="19"/>
  <c r="G14" i="19"/>
  <c r="E14" i="19"/>
  <c r="D14" i="19"/>
  <c r="A14" i="19"/>
  <c r="C12" i="19"/>
  <c r="J12" i="19"/>
  <c r="K12" i="19"/>
  <c r="H12" i="19"/>
  <c r="G12" i="19"/>
  <c r="E12" i="19"/>
  <c r="D12" i="19"/>
  <c r="A12" i="19"/>
  <c r="C11" i="19"/>
  <c r="J11" i="19"/>
  <c r="K11" i="19"/>
  <c r="H11" i="19"/>
  <c r="G11" i="19"/>
  <c r="E11" i="19"/>
  <c r="D11" i="19"/>
  <c r="A11" i="19"/>
  <c r="C10" i="19"/>
  <c r="J10" i="19"/>
  <c r="K10" i="19"/>
  <c r="H10" i="19"/>
  <c r="G10" i="19"/>
  <c r="E10" i="19"/>
  <c r="D10" i="19"/>
  <c r="A10" i="19"/>
  <c r="C9" i="19"/>
  <c r="J9" i="19"/>
  <c r="K9" i="19"/>
  <c r="H9" i="19"/>
  <c r="G9" i="19"/>
  <c r="E9" i="19"/>
  <c r="D9" i="19"/>
  <c r="A9" i="19"/>
  <c r="J34" i="11"/>
  <c r="O12" i="9"/>
  <c r="N12" i="9"/>
  <c r="M12" i="9"/>
  <c r="L12" i="9"/>
  <c r="K12" i="9"/>
  <c r="J12" i="9"/>
  <c r="I12" i="9"/>
  <c r="H12" i="9"/>
  <c r="G12" i="9"/>
  <c r="E12" i="9"/>
  <c r="D12" i="9"/>
  <c r="A12" i="9"/>
  <c r="J35" i="11"/>
  <c r="O18" i="9"/>
  <c r="N18" i="9"/>
  <c r="M18" i="9"/>
  <c r="L18" i="9"/>
  <c r="K18" i="9"/>
  <c r="J18" i="9"/>
  <c r="I18" i="9"/>
  <c r="H18" i="9"/>
  <c r="G18" i="9"/>
  <c r="E18" i="9"/>
  <c r="D18" i="9"/>
  <c r="A18" i="9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AB16" i="1"/>
  <c r="AD16" i="1"/>
  <c r="AG16" i="1"/>
  <c r="AE16" i="1"/>
  <c r="AC16" i="1"/>
  <c r="E7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J33" i="11"/>
  <c r="O36" i="9"/>
  <c r="N36" i="9"/>
  <c r="M36" i="9"/>
  <c r="L36" i="9"/>
  <c r="K36" i="9"/>
  <c r="J36" i="9"/>
  <c r="I36" i="9"/>
  <c r="H36" i="9"/>
  <c r="G36" i="9"/>
  <c r="E36" i="9"/>
  <c r="D36" i="9"/>
  <c r="A36" i="9"/>
  <c r="J7" i="11"/>
  <c r="O35" i="9"/>
  <c r="N35" i="9"/>
  <c r="M35" i="9"/>
  <c r="L35" i="9"/>
  <c r="K35" i="9"/>
  <c r="J35" i="9"/>
  <c r="I35" i="9"/>
  <c r="H35" i="9"/>
  <c r="G35" i="9"/>
  <c r="D35" i="9"/>
  <c r="A35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32" i="11"/>
  <c r="O17" i="9"/>
  <c r="N17" i="9"/>
  <c r="M17" i="9"/>
  <c r="L17" i="9"/>
  <c r="K17" i="9"/>
  <c r="J17" i="9"/>
  <c r="I17" i="9"/>
  <c r="H17" i="9"/>
  <c r="G17" i="9"/>
  <c r="E17" i="9"/>
  <c r="D17" i="9"/>
  <c r="A17" i="9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4" i="11"/>
  <c r="J5" i="11"/>
  <c r="J6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" i="11"/>
  <c r="J2" i="11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D7" i="9"/>
  <c r="A7" i="9"/>
  <c r="O6" i="9"/>
  <c r="D6" i="9"/>
  <c r="A6" i="9"/>
  <c r="E3" i="9"/>
  <c r="V3" i="1"/>
  <c r="E4" i="9"/>
  <c r="V4" i="1"/>
  <c r="E5" i="9"/>
  <c r="V5" i="1"/>
  <c r="V6" i="1"/>
  <c r="V8" i="1"/>
  <c r="V9" i="1"/>
  <c r="V10" i="1"/>
  <c r="E2" i="9"/>
  <c r="V2" i="1"/>
  <c r="V11" i="1"/>
  <c r="V13" i="1"/>
  <c r="V14" i="1"/>
  <c r="V15" i="1"/>
  <c r="V17" i="1"/>
  <c r="V18" i="1"/>
  <c r="V19" i="1"/>
  <c r="O5" i="9"/>
  <c r="D5" i="9"/>
  <c r="A5" i="9"/>
  <c r="O4" i="9"/>
  <c r="D4" i="9"/>
  <c r="A4" i="9"/>
  <c r="O3" i="9"/>
  <c r="D3" i="9"/>
  <c r="A3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10" i="1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Q2" i="1"/>
  <c r="P2" i="1"/>
  <c r="O2" i="1"/>
  <c r="N2" i="1"/>
  <c r="M2" i="1"/>
  <c r="H2" i="1"/>
  <c r="J2" i="1"/>
  <c r="I2" i="1"/>
  <c r="D2" i="1"/>
  <c r="F2" i="1"/>
  <c r="E2" i="1"/>
  <c r="A2" i="1"/>
  <c r="AD19" i="1"/>
  <c r="AG19" i="1"/>
  <c r="AE19" i="1"/>
  <c r="AC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Q17" i="1"/>
  <c r="P17" i="1"/>
  <c r="O17" i="1"/>
  <c r="N17" i="1"/>
  <c r="M17" i="1"/>
  <c r="H17" i="1"/>
  <c r="J17" i="1"/>
  <c r="I17" i="1"/>
  <c r="D17" i="1"/>
  <c r="F17" i="1"/>
  <c r="E17" i="1"/>
  <c r="A17" i="1"/>
  <c r="AB15" i="1"/>
  <c r="AD15" i="1"/>
  <c r="AG15" i="1"/>
  <c r="AE15" i="1"/>
  <c r="AC15" i="1"/>
  <c r="Q15" i="1"/>
  <c r="P15" i="1"/>
  <c r="O15" i="1"/>
  <c r="N15" i="1"/>
  <c r="M15" i="1"/>
  <c r="H15" i="1"/>
  <c r="J15" i="1"/>
  <c r="I15" i="1"/>
  <c r="D15" i="1"/>
  <c r="F15" i="1"/>
  <c r="E15" i="1"/>
  <c r="A15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Q11" i="1"/>
  <c r="P11" i="1"/>
  <c r="O11" i="1"/>
  <c r="N11" i="1"/>
  <c r="M11" i="1"/>
  <c r="H11" i="1"/>
  <c r="J11" i="1"/>
  <c r="I11" i="1"/>
  <c r="D11" i="1"/>
  <c r="F11" i="1"/>
  <c r="E11" i="1"/>
  <c r="A11" i="1"/>
  <c r="H9" i="2"/>
  <c r="E9" i="2"/>
  <c r="D9" i="2"/>
  <c r="H13" i="1"/>
  <c r="H14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J8" i="19"/>
  <c r="C8" i="19"/>
  <c r="K8" i="19"/>
  <c r="H8" i="19"/>
  <c r="G8" i="19"/>
  <c r="E8" i="19"/>
  <c r="D8" i="19"/>
  <c r="A8" i="19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3" i="16"/>
  <c r="E9" i="16"/>
  <c r="W2" i="7"/>
  <c r="R2" i="7"/>
  <c r="Q2" i="7"/>
  <c r="P2" i="7"/>
  <c r="O2" i="7"/>
  <c r="N2" i="7"/>
  <c r="AB14" i="1"/>
  <c r="AE14" i="1"/>
  <c r="AD14" i="1"/>
  <c r="AC14" i="1"/>
  <c r="AB13" i="1"/>
  <c r="AE13" i="1"/>
  <c r="AD13" i="1"/>
  <c r="AC13" i="1"/>
  <c r="AA14" i="1"/>
  <c r="AA13" i="1"/>
  <c r="Q14" i="1"/>
  <c r="P14" i="1"/>
  <c r="O14" i="1"/>
  <c r="N14" i="1"/>
  <c r="M14" i="1"/>
  <c r="Q13" i="1"/>
  <c r="P13" i="1"/>
  <c r="O13" i="1"/>
  <c r="N13" i="1"/>
  <c r="M1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13" i="1"/>
  <c r="H2" i="7"/>
  <c r="J2" i="7"/>
  <c r="E8" i="16"/>
  <c r="E7" i="16"/>
  <c r="E6" i="16"/>
  <c r="E5" i="16"/>
  <c r="E4" i="16"/>
  <c r="E3" i="16"/>
  <c r="E2" i="16"/>
  <c r="A14" i="1"/>
  <c r="A13" i="1"/>
  <c r="AG14" i="1"/>
  <c r="A2" i="9"/>
  <c r="J14" i="1"/>
  <c r="I14" i="1"/>
  <c r="D14" i="1"/>
  <c r="F14" i="1"/>
  <c r="E14" i="1"/>
  <c r="A2" i="7"/>
  <c r="I2" i="7"/>
  <c r="D2" i="7"/>
  <c r="F2" i="7"/>
  <c r="E2" i="7"/>
  <c r="J13" i="1"/>
  <c r="I13" i="1"/>
  <c r="D2" i="2"/>
  <c r="E2" i="2"/>
  <c r="H2" i="2"/>
  <c r="D13" i="1"/>
  <c r="E13" i="1"/>
  <c r="F13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<sst xmlns="http://schemas.openxmlformats.org/spreadsheetml/2006/main" count="973" uniqueCount="356">
  <si>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</si>
  <si>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</si>
  <si>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</si>
  <si>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</si>
  <si>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</si>
  <si>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</si>
  <si>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</si>
  <si>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</si>
  <si>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</si>
  <si>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</si>
  <si>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</si>
  <si>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</si>
  <si>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</si>
  <si>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</si>
  <si>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</si>
  <si>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</si>
  <si>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</si>
  <si>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</si>
  <si>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</si>
  <si>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</si>
  <si>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</si>
  <si>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</si>
  <si>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</si>
  <si>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</si>
  <si>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</si>
  <si>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</si>
  <si>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</si>
  <si>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</si>
  <si>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</si>
  <si>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</si>
  <si>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</si>
  <si>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</si>
  <si>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</si>
  <si>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</si>
  <si>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</si>
  <si>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</si>
  <si>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</si>
  <si>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</si>
  <si>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</si>
  <si>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</si>
  <si>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</si>
  <si>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</si>
  <si>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</si>
  <si>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</si>
  <si>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</si>
  <si>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</si>
  <si>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</si>
  <si>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</si>
  <si>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</si>
  <si>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</si>
  <si>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</si>
  <si>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</si>
  <si>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</si>
  <si>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</si>
  <si>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</si>
  <si>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</si>
  <si>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</si>
  <si>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</si>
  <si>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</si>
  <si>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</si>
  <si>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</si>
  <si>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</si>
  <si>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</si>
  <si>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</si>
  <si>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</si>
  <si>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</si>
  <si>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</si>
  <si>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</si>
  <si>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</si>
  <si>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</si>
  <si>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</si>
  <si>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</si>
  <si>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</si>
  <si>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</si>
  <si>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</si>
  <si>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</si>
  <si>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</si>
  <si>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</si>
  <si>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</si>
  <si>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</si>
  <si>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</si>
  <si>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</si>
  <si>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</si>
  <si>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</si>
  <si>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</si>
  <si>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</si>
  <si>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</si>
  <si>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</si>
  <si>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</si>
  <si>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</si>
  <si>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</si>
  <si>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</si>
  <si>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</si>
  <si>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</si>
  <si>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</si>
  <si>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</si>
  <si>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</si>
  <si>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</si>
  <si>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</si>
  <si>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</si>
  <si>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</si>
  <si>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</si>
  <si>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</si>
  <si>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</si>
  <si>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</si>
  <si>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</si>
  <si>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</si>
  <si>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</si>
  <si>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</si>
  <si>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</si>
  <si>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</si>
  <si>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</si>
  <si>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</si>
  <si>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</si>
  <si>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</si>
  <si>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</si>
  <si>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</si>
  <si>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</si>
  <si>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</si>
  <si>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</si>
  <si>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</si>
  <si>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</si>
  <si>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</si>
  <si>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</si>
  <si>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</si>
  <si>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</si>
  <si>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</si>
  <si>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</si>
  <si>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</si>
  <si>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</si>
  <si>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</si>
  <si>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</si>
  <si>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</si>
  <si>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</si>
  <si>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</si>
  <si>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</si>
  <si>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</si>
  <si>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</si>
  <si>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</si>
  <si>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</si>
  <si>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</si>
  <si>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</si>
  <si>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</si>
  <si>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</si>
  <si>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</si>
  <si>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</si>
  <si>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</si>
  <si>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</si>
  <si>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</si>
  <si>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</si>
  <si>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</si>
  <si>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</si>
  <si>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</si>
  <si>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</si>
  <si>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</si>
  <si>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</si>
  <si>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</si>
  <si>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</si>
  <si>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</si>
  <si>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</si>
  <si>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</si>
  <si>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</si>
  <si>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</si>
  <si>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</si>
  <si>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</si>
  <si>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</si>
  <si>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</si>
  <si>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</si>
  <si>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</si>
  <si>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</si>
  <si>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</si>
  <si>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</si>
  <si>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</si>
  <si>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</si>
  <si>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</si>
  <si>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</si>
  <si>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</si>
  <si>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</si>
  <si>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</si>
  <si>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</si>
  <si>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</si>
  <si>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t>quest_id</t>
    <phoneticPr fontId="6"/>
  </si>
  <si>
    <t>hint_id</t>
    <phoneticPr fontId="6"/>
  </si>
  <si>
    <t>hint_type</t>
    <phoneticPr fontId="6"/>
  </si>
  <si>
    <t>hint</t>
    <phoneticPr fontId="6"/>
  </si>
  <si>
    <t>filename</t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</si>
  <si>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</si>
  <si>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</si>
  <si>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</si>
  <si>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</si>
  <si>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</si>
  <si>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</si>
  <si>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</si>
  <si>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</si>
  <si>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</si>
  <si>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</si>
  <si>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</si>
  <si>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</si>
  <si>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</si>
  <si>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</si>
  <si>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null</t>
    <phoneticPr fontId="6"/>
  </si>
  <si>
    <t>強力な全体攻撃</t>
    <rPh sb="0" eb="2">
      <t>キョウリョク</t>
    </rPh>
    <rPh sb="3" eb="7">
      <t>ゼンタイコウゲキ</t>
    </rPh>
    <phoneticPr fontId="6"/>
  </si>
  <si>
    <t>全体回復</t>
    <rPh sb="0" eb="2">
      <t>ゼンタイ</t>
    </rPh>
    <rPh sb="2" eb="4">
      <t>カイフク</t>
    </rPh>
    <phoneticPr fontId="6"/>
  </si>
  <si>
    <t>攻撃力*1.5倍の攻撃</t>
    <rPh sb="0" eb="3">
      <t>コウゲキリョク</t>
    </rPh>
    <rPh sb="7" eb="8">
      <t>バイ</t>
    </rPh>
    <rPh sb="9" eb="11">
      <t>コウゲキ</t>
    </rPh>
    <phoneticPr fontId="6"/>
  </si>
  <si>
    <t>[effect:heal, target:enemy_all, val:0.4, animation:enemy_heal]</t>
    <phoneticPr fontId="6"/>
  </si>
  <si>
    <t>3ターン攻撃力UP</t>
    <phoneticPr fontId="6"/>
  </si>
  <si>
    <t>種族ヒューマンのユニットに大ダメージ</t>
    <phoneticPr fontId="6"/>
  </si>
  <si>
    <t>[effect:damage_anti_tribe, target:unit_all, tribe:human, val1:1, val2:0.3]</t>
    <phoneticPr fontId="6"/>
  </si>
  <si>
    <t>2ターンスキルバインド＋全体攻撃</t>
    <rPh sb="12" eb="14">
      <t>ゼンタイ</t>
    </rPh>
    <rPh sb="14" eb="16">
      <t>コウゲキ</t>
    </rPh>
    <phoneticPr fontId="6"/>
  </si>
  <si>
    <t>3ターンスキルバインド＋攻撃</t>
    <rPh sb="12" eb="14">
      <t>コウゲキ</t>
    </rPh>
    <phoneticPr fontId="6"/>
  </si>
  <si>
    <t>種族ヒューマンのユニットに大ダメージ</t>
    <phoneticPr fontId="6"/>
  </si>
  <si>
    <t>噛み砕き</t>
    <rPh sb="0" eb="1">
      <t>カ</t>
    </rPh>
    <rPh sb="2" eb="3">
      <t>クダ</t>
    </rPh>
    <phoneticPr fontId="6"/>
  </si>
  <si>
    <t>なんダ…その攻撃ハ？</t>
    <rPh sb="6" eb="8">
      <t>コウゲキ</t>
    </rPh>
    <phoneticPr fontId="6"/>
  </si>
  <si>
    <t>[effect:fix_speed,target:myself,turn:3]</t>
    <phoneticPr fontId="6"/>
  </si>
  <si>
    <t>グッ…！？</t>
    <phoneticPr fontId="6"/>
  </si>
  <si>
    <t>強力な一撃！</t>
    <rPh sb="0" eb="2">
      <t>キョウリョク</t>
    </rPh>
    <rPh sb="3" eb="4">
      <t>イチ</t>
    </rPh>
    <rPh sb="4" eb="5">
      <t>コウゲキ</t>
    </rPh>
    <phoneticPr fontId="6"/>
  </si>
  <si>
    <t>3ターン後に強力な一撃！</t>
    <rPh sb="4" eb="5">
      <t>ゴ</t>
    </rPh>
    <rPh sb="6" eb="8">
      <t>キョウリョク</t>
    </rPh>
    <rPh sb="9" eb="10">
      <t>イチ</t>
    </rPh>
    <rPh sb="10" eb="11">
      <t>コウゲキ</t>
    </rPh>
    <phoneticPr fontId="6"/>
  </si>
  <si>
    <t>攻撃トハ、こうヤルノダ！</t>
    <rPh sb="0" eb="2">
      <t>コウゲキ</t>
    </rPh>
    <phoneticPr fontId="6"/>
  </si>
  <si>
    <t>ソノ身デ償うがイイ！</t>
    <rPh sb="2" eb="3">
      <t>ミ</t>
    </rPh>
    <rPh sb="4" eb="5">
      <t>ツグナ</t>
    </rPh>
    <phoneticPr fontId="6"/>
  </si>
  <si>
    <t>全力で潰してヤル！</t>
    <rPh sb="0" eb="2">
      <t>ゼンリョク</t>
    </rPh>
    <rPh sb="3" eb="4">
      <t>ツブ</t>
    </rPh>
    <phoneticPr fontId="6"/>
  </si>
  <si>
    <t>絶望の波動</t>
    <rPh sb="0" eb="2">
      <t>ゼツボウ</t>
    </rPh>
    <rPh sb="3" eb="5">
      <t>ハドウ</t>
    </rPh>
    <phoneticPr fontId="6"/>
  </si>
  <si>
    <t>強力な全体攻撃！</t>
    <rPh sb="0" eb="2">
      <t>キョウリョク</t>
    </rPh>
    <rPh sb="3" eb="7">
      <t>ゼンタイコウゲキ</t>
    </rPh>
    <phoneticPr fontId="6"/>
  </si>
  <si>
    <t>3ターン後に強力な全体攻撃！</t>
    <rPh sb="4" eb="5">
      <t>ゴ</t>
    </rPh>
    <rPh sb="6" eb="8">
      <t>キョウリョク</t>
    </rPh>
    <rPh sb="9" eb="11">
      <t>ゼンタイ</t>
    </rPh>
    <rPh sb="11" eb="13">
      <t>コウゲキ</t>
    </rPh>
    <phoneticPr fontId="6"/>
  </si>
  <si>
    <t>[effect:fix_speed,target:myself,turn:3]</t>
    <phoneticPr fontId="6"/>
  </si>
  <si>
    <t>緑パネルを全て時限パネルに変換</t>
    <rPh sb="0" eb="1">
      <t>ミドリ</t>
    </rPh>
    <rPh sb="5" eb="6">
      <t>スベ</t>
    </rPh>
    <rPh sb="7" eb="9">
      <t>ジゲン</t>
    </rPh>
    <rPh sb="13" eb="15">
      <t>ヘンカン</t>
    </rPh>
    <phoneticPr fontId="6"/>
  </si>
  <si>
    <t>時限パネル出現</t>
    <rPh sb="0" eb="2">
      <t>ジゲン</t>
    </rPh>
    <rPh sb="5" eb="7">
      <t>シュツゲン</t>
    </rPh>
    <phoneticPr fontId="6"/>
  </si>
  <si>
    <t>時限パネル出現＋攻撃</t>
    <rPh sb="0" eb="2">
      <t>ジゲン</t>
    </rPh>
    <rPh sb="5" eb="7">
      <t>シュツゲン</t>
    </rPh>
    <rPh sb="8" eb="10">
      <t>コウゲキ</t>
    </rPh>
    <phoneticPr fontId="6"/>
  </si>
  <si>
    <t>[effect:fix_speed,target:myself,turn:1]</t>
    <phoneticPr fontId="6"/>
  </si>
  <si>
    <t>[effect:change_block, new_block:time_bomb, target:block_green, count:0, val:0.5, animation:change_block]</t>
    <phoneticPr fontId="6"/>
  </si>
  <si>
    <t>酸化マヨビーム</t>
    <rPh sb="0" eb="2">
      <t>サンカ</t>
    </rPh>
    <phoneticPr fontId="6"/>
  </si>
  <si>
    <t>ネックハンター</t>
    <phoneticPr fontId="6"/>
  </si>
  <si>
    <t>災禍の奔流</t>
    <rPh sb="0" eb="2">
      <t>サイカ</t>
    </rPh>
    <rPh sb="3" eb="5">
      <t>ホンリュウ</t>
    </rPh>
    <phoneticPr fontId="6"/>
  </si>
  <si>
    <t>ぼつ</t>
    <phoneticPr fontId="6"/>
  </si>
  <si>
    <t>災禍の激流</t>
    <rPh sb="0" eb="2">
      <t>サイカ</t>
    </rPh>
    <rPh sb="3" eb="5">
      <t>ゲキリュウ</t>
    </rPh>
    <phoneticPr fontId="6"/>
  </si>
  <si>
    <t>[effect:critical, val:1.5]</t>
    <phoneticPr fontId="6"/>
  </si>
  <si>
    <t>種族ヒューマンのユニットに大ダメージ</t>
    <phoneticPr fontId="6"/>
  </si>
  <si>
    <t>ヌアァァァッ！！</t>
    <phoneticPr fontId="6"/>
  </si>
  <si>
    <t>null</t>
    <phoneticPr fontId="6"/>
  </si>
  <si>
    <t>エネルギー生産</t>
    <rPh sb="5" eb="7">
      <t>セイサン</t>
    </rPh>
    <phoneticPr fontId="6"/>
  </si>
  <si>
    <t>活性化パルス</t>
    <rPh sb="0" eb="2">
      <t>カッセイ</t>
    </rPh>
    <rPh sb="2" eb="3">
      <t>カ</t>
    </rPh>
    <phoneticPr fontId="6"/>
  </si>
  <si>
    <t>[effect:enhance_enemy, target:enemy_all, turn:3, status:attack, val:0.3, animation:enemy_enhance_attack]</t>
    <phoneticPr fontId="6"/>
  </si>
  <si>
    <t>null</t>
    <phoneticPr fontId="6"/>
  </si>
  <si>
    <t>オレヲ怒らせたナ…！</t>
    <rPh sb="3" eb="4">
      <t>オコ</t>
    </rPh>
    <phoneticPr fontId="6"/>
  </si>
  <si>
    <t>ビリビリあたっく！</t>
    <phoneticPr fontId="6"/>
  </si>
  <si>
    <t>全体攻撃</t>
    <rPh sb="0" eb="4">
      <t>ゼンタイコウゲキ</t>
    </rPh>
    <phoneticPr fontId="6"/>
  </si>
  <si>
    <t>3ターン全属性カウンター</t>
    <rPh sb="4" eb="7">
      <t>ゼンゾクセイ</t>
    </rPh>
    <phoneticPr fontId="6"/>
  </si>
  <si>
    <t>しびれちゃえ♪</t>
    <phoneticPr fontId="6"/>
  </si>
  <si>
    <t>3ターン黄色パネルが使えない！＋攻撃</t>
    <rPh sb="4" eb="5">
      <t>キイロ</t>
    </rPh>
    <rPh sb="5" eb="6">
      <t>イロ</t>
    </rPh>
    <rPh sb="10" eb="11">
      <t>ツカ</t>
    </rPh>
    <rPh sb="16" eb="18">
      <t>コウゲキ</t>
    </rPh>
    <phoneticPr fontId="6"/>
  </si>
  <si>
    <t>3ターンタップ回数を2減少</t>
    <rPh sb="7" eb="9">
      <t>カイスウ</t>
    </rPh>
    <rPh sb="11" eb="13">
      <t>ゲンショウ</t>
    </rPh>
    <phoneticPr fontId="6"/>
  </si>
  <si>
    <t>[effect:degrade_unit, target:unit_all, turn:3, status:action, val:2.0,animation:enemy_tap_down]</t>
    <phoneticPr fontId="6"/>
  </si>
  <si>
    <t>も〜乱暴しないでよっ</t>
    <rPh sb="2" eb="4">
      <t>ランボウ</t>
    </rPh>
    <phoneticPr fontId="6"/>
  </si>
  <si>
    <t>ほーら！プレゼントだよ！</t>
    <phoneticPr fontId="6"/>
  </si>
  <si>
    <t>[effect:dis_panel, target:block_yellow, turn:3, animation:enemy_dis_yellow],[effect:rush, count:1, val:1.0]</t>
    <phoneticPr fontId="6"/>
  </si>
  <si>
    <t>[effect:fix_speed,target:enemy_all,turn:2]</t>
    <phoneticPr fontId="6"/>
  </si>
  <si>
    <t>囚人たちが解放されている！</t>
    <rPh sb="0" eb="2">
      <t>シュウジン</t>
    </rPh>
    <rPh sb="5" eb="7">
      <t>カイホウ</t>
    </rPh>
    <phoneticPr fontId="6"/>
  </si>
  <si>
    <t>いいわね…その表情…</t>
    <rPh sb="7" eb="9">
      <t>ヒョウジョウ</t>
    </rPh>
    <phoneticPr fontId="6"/>
  </si>
  <si>
    <t>[effect:hungup, target:unit_one, turn:3, rate:1, animation:hungup03],[effect:rush, count:1, val:1.0]</t>
    <phoneticPr fontId="6"/>
  </si>
  <si>
    <t>[effect:hungup, target:unit_all, turn:2, rate:1, animation:hungup03],[effect:spread, val:0.3]</t>
    <phoneticPr fontId="6"/>
  </si>
  <si>
    <t>[effect:spread, val:0.5]</t>
    <phoneticPr fontId="6"/>
  </si>
  <si>
    <t>シャバの空気は久しぶり〜♪</t>
    <rPh sb="4" eb="6">
      <t>クウキ</t>
    </rPh>
    <rPh sb="7" eb="8">
      <t>ヒサ</t>
    </rPh>
    <phoneticPr fontId="6"/>
  </si>
  <si>
    <t>強力な時限パネル5つ出現</t>
    <rPh sb="0" eb="2">
      <t>キョウリョク</t>
    </rPh>
    <rPh sb="3" eb="5">
      <t>ジゲン</t>
    </rPh>
    <rPh sb="10" eb="12">
      <t>シュツゲン</t>
    </rPh>
    <phoneticPr fontId="6"/>
  </si>
  <si>
    <t>[effect:change_block, new_block:time_bomb, target:block_all, count:5, val:0.5, min_time_count:3, max_time_count:3, animation:change_block]</t>
    <phoneticPr fontId="6"/>
  </si>
  <si>
    <t>[effect:kamikaze, val:0.4]</t>
    <phoneticPr fontId="6"/>
  </si>
  <si>
    <t>[effect:kamikaze, val:0.3]</t>
    <phoneticPr fontId="6"/>
  </si>
  <si>
    <t>自爆攻撃</t>
    <phoneticPr fontId="6"/>
  </si>
  <si>
    <t>自爆攻撃</t>
    <rPh sb="0" eb="2">
      <t>ジバク</t>
    </rPh>
    <rPh sb="2" eb="4">
      <t>コウゲキ</t>
    </rPh>
    <phoneticPr fontId="6"/>
  </si>
  <si>
    <t>[effect:spread, val:0.3]</t>
    <phoneticPr fontId="6"/>
  </si>
  <si>
    <t>[effect:damage_anti_tribe, target:unit_one, tribe:human, val1:2.0, val2:1.0]</t>
    <phoneticPr fontId="6"/>
  </si>
  <si>
    <t>[effect:fix_speed,target:enemy_all,turn:4]</t>
    <phoneticPr fontId="6"/>
  </si>
  <si>
    <t>ピピッ…ガピー！</t>
    <phoneticPr fontId="6"/>
  </si>
  <si>
    <t>ガ……ガガガ……</t>
    <phoneticPr fontId="6"/>
  </si>
  <si>
    <t>もっと苦痛を聞かせて…！</t>
    <rPh sb="3" eb="5">
      <t>クツウ</t>
    </rPh>
    <rPh sb="6" eb="7">
      <t>キ</t>
    </rPh>
    <phoneticPr fontId="6"/>
  </si>
  <si>
    <t>何者かの手によって暴走している！</t>
    <rPh sb="0" eb="2">
      <t>ナニモノ</t>
    </rPh>
    <rPh sb="4" eb="5">
      <t>テ</t>
    </rPh>
    <rPh sb="9" eb="11">
      <t>ボウソウ</t>
    </rPh>
    <phoneticPr fontId="6"/>
  </si>
  <si>
    <t>オーガの強大な力が溢れ出してくる！</t>
    <rPh sb="4" eb="6">
      <t>キョウダイ</t>
    </rPh>
    <rPh sb="7" eb="8">
      <t>チカラ</t>
    </rPh>
    <rPh sb="9" eb="10">
      <t>アフ</t>
    </rPh>
    <rPh sb="11" eb="12">
      <t>ダ</t>
    </rPh>
    <phoneticPr fontId="6"/>
  </si>
  <si>
    <t>フフ…逃がさないわよ…♪</t>
    <rPh sb="3" eb="4">
      <t>ニ</t>
    </rPh>
    <phoneticPr fontId="6"/>
  </si>
  <si>
    <t>これで動けないでしょう…？</t>
    <rPh sb="3" eb="4">
      <t>ミウゴ</t>
    </rPh>
    <phoneticPr fontId="6"/>
  </si>
  <si>
    <t>[effect:enemy_counter, target:myself,invoke_condition:unit_all,counter_target:attacker,turn:3,val:2.0,animation:enemy_counter]</t>
    <phoneticPr fontId="6"/>
  </si>
  <si>
    <t>null</t>
    <phoneticPr fontId="6"/>
  </si>
  <si>
    <t>null</t>
    <phoneticPr fontId="6"/>
  </si>
  <si>
    <t>この戦闘の間攻撃頻度が1ターンにUP</t>
    <phoneticPr fontId="6"/>
  </si>
  <si>
    <t>[effect:suicide, val:1, dead_type:escape, target:myself]</t>
    <phoneticPr fontId="6"/>
  </si>
  <si>
    <t>[effect:freq_turn, target:myself, turn:-1, val:1, animation:enemy_freq_turn]</t>
  </si>
  <si>
    <t>グハハ…次はオマエらダ！</t>
    <rPh sb="4" eb="5">
      <t>ツギ</t>
    </rPh>
    <phoneticPr fontId="6"/>
  </si>
  <si>
    <t>[effect:change_block, new_block:block_heart, target:block_all, count:20, val:0, animation:change_block],[effect:fix_speed,target:myself,turn:1]</t>
    <phoneticPr fontId="6"/>
  </si>
  <si>
    <t>old</t>
  </si>
  <si>
    <t>5ターン攻撃力UP</t>
    <rPh sb="4" eb="7">
      <t>コウゲキリョク</t>
    </rPh>
    <phoneticPr fontId="6"/>
  </si>
  <si>
    <t>[effect:enhance_enemy, target:myself, turn:5, status:attack, val:0.3, animation:enemy_enhance_attack],[effect:fix_speed,target:myself,turn:1]</t>
    <phoneticPr fontId="6"/>
  </si>
  <si>
    <t>[effect:kamikaze, val:0.9]</t>
    <phoneticPr fontId="6"/>
  </si>
  <si>
    <t>[effect:spread, val:0.8],[effect:fix_speed,target:myself,turn:1]</t>
    <phoneticPr fontId="6"/>
  </si>
  <si>
    <t>リサぁ　もうバテたの？</t>
    <phoneticPr fontId="6"/>
  </si>
  <si>
    <t>オーバーヒート！</t>
    <phoneticPr fontId="6"/>
  </si>
  <si>
    <t>[effect:damage_anti_tribe, target:unit_all, tribe:human, val1:1.5, val2:0.3]</t>
    <phoneticPr fontId="6"/>
  </si>
  <si>
    <t>[effect:damage_anti_tribe, target:unit_all, tribe:human, val1:1.5, val2:0.3]</t>
    <phoneticPr fontId="6"/>
  </si>
  <si>
    <t>everyone</t>
  </si>
  <si>
    <t>null</t>
  </si>
  <si>
    <t>link</t>
  </si>
  <si>
    <t>unit</t>
  </si>
  <si>
    <t>5ターン防御力UP</t>
    <rPh sb="4" eb="7">
      <t>ボウギョリョク</t>
    </rPh>
    <phoneticPr fontId="6"/>
  </si>
  <si>
    <t>[effect:enhance_enemy, target:myself, turn:5, status:defense, val:1500, calc:add, animation:enemy_enhance_enemy],[effect:fix_speed,target:myself,turn:1]</t>
    <phoneticPr fontId="6"/>
  </si>
  <si>
    <t>[effect:change_block, new_block:time_bomb, target:block_all, count:5, val:0.1, min_time_count:1, max_time_count:2, animation:change_block]</t>
    <phoneticPr fontId="6"/>
  </si>
  <si>
    <t>[effect:change_block, new_block:time_bomb, target:block_all, count:8, val:0.1, min_time_count:1, max_time_count:2, animation:change_block],[effect:rush, count:1, val:0.5]</t>
    <phoneticPr fontId="6"/>
  </si>
  <si>
    <t>チカラヲ出し過ぎタ…制御ガガガガ！！</t>
    <rPh sb="4" eb="5">
      <t>ダ</t>
    </rPh>
    <rPh sb="6" eb="7">
      <t>ス</t>
    </rPh>
    <rPh sb="10" eb="12">
      <t>セイギョ</t>
    </rPh>
    <phoneticPr fontId="6"/>
  </si>
  <si>
    <t>30022_1</t>
  </si>
  <si>
    <t>30022_1</t>
    <phoneticPr fontId="6"/>
  </si>
  <si>
    <t>30022_2</t>
  </si>
  <si>
    <t>30022_1</t>
    <phoneticPr fontId="6"/>
  </si>
  <si>
    <t>30022_2</t>
    <phoneticPr fontId="6"/>
  </si>
  <si>
    <t>old</t>
    <phoneticPr fontId="6"/>
  </si>
  <si>
    <t>stage_hints_data_c_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</si>
  <si>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</si>
  <si>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stage_hints_data_f_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</si>
  <si>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6"/>
  </si>
  <si>
    <t>stage_hints_i18n_f_</t>
    <phoneticPr fontId="6"/>
  </si>
  <si>
    <t>language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</si>
  <si>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</si>
  <si>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</si>
  <si>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</si>
  <si>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</si>
  <si>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</si>
  <si>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</si>
  <si>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</si>
  <si>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</si>
  <si>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language</t>
    <phoneticPr fontId="6"/>
  </si>
  <si>
    <t>title</t>
    <phoneticPr fontId="6"/>
  </si>
  <si>
    <t>hint</t>
    <phoneticPr fontId="6"/>
  </si>
  <si>
    <t>filename</t>
    <phoneticPr fontId="6"/>
  </si>
  <si>
    <t>complete</t>
  </si>
  <si>
    <t>復活の捕食者</t>
  </si>
  <si>
    <t>ドロップイベント3（マルチ専用）</t>
  </si>
  <si>
    <t>【超絶級】復活の捕食者</t>
  </si>
  <si>
    <t>ja</t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</si>
  <si>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</si>
  <si>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</si>
  <si>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</si>
  <si>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</si>
  <si>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</si>
  <si>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</si>
  <si>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</si>
  <si>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</si>
  <si>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ドロップイベント4（マルチ専用）</t>
  </si>
  <si>
    <t>ドロップイベント5（マルチ専用）</t>
  </si>
  <si>
    <t>ドロップイベント6（マルチ専用）</t>
  </si>
  <si>
    <t>ひとりじゃ回らないし帰ろ〜っと</t>
    <rPh sb="5" eb="6">
      <t>マワ</t>
    </rPh>
    <rPh sb="10" eb="11">
      <t>カエ</t>
    </rPh>
    <phoneticPr fontId="6"/>
  </si>
  <si>
    <t>オーガは耐えられず大爆発した！</t>
    <rPh sb="4" eb="5">
      <t>タ</t>
    </rPh>
    <rPh sb="9" eb="10">
      <t>ダイ</t>
    </rPh>
    <rPh sb="10" eb="12">
      <t>ダイバクハツ</t>
    </rPh>
    <phoneticPr fontId="6"/>
  </si>
  <si>
    <t>破滅のオーラ</t>
    <rPh sb="0" eb="2">
      <t>ハメツ</t>
    </rPh>
    <phoneticPr fontId="6"/>
  </si>
  <si>
    <t>チエちゃん…その顔ステキ…</t>
    <rPh sb="8" eb="9">
      <t>カオ</t>
    </rPh>
    <phoneticPr fontId="6"/>
  </si>
  <si>
    <t>攻撃力*3倍の攻撃</t>
    <phoneticPr fontId="6"/>
  </si>
  <si>
    <t>このフロアに登場する敵ユニットは
それぞれ特徴的なスキルを使用します
厄介な相手を先に倒しましょう</t>
    <rPh sb="6" eb="8">
      <t>トウジョウ</t>
    </rPh>
    <rPh sb="10" eb="11">
      <t>テキ</t>
    </rPh>
    <rPh sb="21" eb="24">
      <t>トクチョウテキ</t>
    </rPh>
    <rPh sb="29" eb="31">
      <t>シヨウ</t>
    </rPh>
    <rPh sb="36" eb="38">
      <t>ヤッカイ</t>
    </rPh>
    <rPh sb="39" eb="41">
      <t>アイテ</t>
    </rPh>
    <rPh sb="42" eb="43">
      <t>サキ</t>
    </rPh>
    <rPh sb="44" eb="45">
      <t>タオ</t>
    </rPh>
    <phoneticPr fontId="6"/>
  </si>
  <si>
    <t>このフロアのF2は暴走していて
4ターン経過すると必ず自爆します
自爆される前に倒す作戦が有効です</t>
    <rPh sb="9" eb="11">
      <t>ボウソウ</t>
    </rPh>
    <rPh sb="20" eb="22">
      <t>ケイカ</t>
    </rPh>
    <rPh sb="25" eb="26">
      <t>カナラ</t>
    </rPh>
    <rPh sb="27" eb="29">
      <t>ジバク</t>
    </rPh>
    <rPh sb="34" eb="36">
      <t>ジバク</t>
    </rPh>
    <rPh sb="39" eb="40">
      <t>マエ</t>
    </rPh>
    <rPh sb="41" eb="42">
      <t>タオ</t>
    </rPh>
    <rPh sb="43" eb="45">
      <t>サクセン</t>
    </rPh>
    <rPh sb="46" eb="48">
      <t>ユウコウ</t>
    </rPh>
    <phoneticPr fontId="6"/>
  </si>
  <si>
    <t>リサはチエミが倒されると
逆にテンションアップする厄介な相手です
チエミよりもリサを優先的に狙いましょう</t>
    <rPh sb="7" eb="8">
      <t>タオ</t>
    </rPh>
    <rPh sb="13" eb="14">
      <t>ギャク</t>
    </rPh>
    <rPh sb="25" eb="27">
      <t>ヤッカイ</t>
    </rPh>
    <rPh sb="28" eb="30">
      <t>アイテ</t>
    </rPh>
    <rPh sb="43" eb="46">
      <t>ユウセンテキ</t>
    </rPh>
    <rPh sb="47" eb="48">
      <t>ネラ</t>
    </rPh>
    <phoneticPr fontId="6"/>
  </si>
  <si>
    <t>オーガは種族ヒューマンのユニットに対して
大ダメージを与えるスキルを使用します
なるべく他の種族で編成を固めましょう</t>
    <rPh sb="4" eb="6">
      <t>シュゾク</t>
    </rPh>
    <rPh sb="17" eb="18">
      <t>タイ</t>
    </rPh>
    <rPh sb="21" eb="22">
      <t>ダイ</t>
    </rPh>
    <rPh sb="27" eb="28">
      <t>アタ</t>
    </rPh>
    <rPh sb="34" eb="36">
      <t>シヨウ</t>
    </rPh>
    <rPh sb="45" eb="46">
      <t>ホカ</t>
    </rPh>
    <rPh sb="47" eb="49">
      <t>シュゾク</t>
    </rPh>
    <rPh sb="50" eb="52">
      <t>ヘンセイ</t>
    </rPh>
    <rPh sb="53" eb="54">
      <t>カタ</t>
    </rPh>
    <phoneticPr fontId="6"/>
  </si>
  <si>
    <t>オーガが何らかの予兆を見せたら
直後に強力な攻撃がくる可能性が高いです
HPを十分に確保して何とか耐えましょう</t>
    <rPh sb="4" eb="5">
      <t>ナン</t>
    </rPh>
    <rPh sb="8" eb="10">
      <t>ヨチョウ</t>
    </rPh>
    <rPh sb="11" eb="12">
      <t>ミ</t>
    </rPh>
    <rPh sb="16" eb="18">
      <t>チョクゴ</t>
    </rPh>
    <rPh sb="19" eb="21">
      <t>キョウリョク</t>
    </rPh>
    <rPh sb="22" eb="24">
      <t>コウゲキ</t>
    </rPh>
    <rPh sb="27" eb="30">
      <t>カノウセイ</t>
    </rPh>
    <rPh sb="31" eb="32">
      <t>タカ</t>
    </rPh>
    <rPh sb="40" eb="42">
      <t>ジュウブン</t>
    </rPh>
    <rPh sb="43" eb="45">
      <t>カクホ</t>
    </rPh>
    <rPh sb="47" eb="48">
      <t>ナン</t>
    </rPh>
    <rPh sb="50" eb="51">
      <t>タ</t>
    </rPh>
    <phoneticPr fontId="6"/>
  </si>
  <si>
    <t>チエミはリサが倒されると
あきらめて勝手に帰っていくようです
チエミよりもリサを優先的に狙いましょう</t>
    <rPh sb="7" eb="8">
      <t>タオ</t>
    </rPh>
    <rPh sb="18" eb="20">
      <t>カッテ</t>
    </rPh>
    <rPh sb="21" eb="22">
      <t>カエ</t>
    </rPh>
    <rPh sb="41" eb="44">
      <t>ユウセンテキ</t>
    </rPh>
    <rPh sb="45" eb="46">
      <t>ネラ</t>
    </rPh>
    <phoneticPr fontId="6"/>
  </si>
  <si>
    <t>オーガは特定のタイミング以降
時限パネルを際限なく連発してきます
フィーバーを使うタイミングが重要です</t>
    <rPh sb="4" eb="6">
      <t>トクテイ</t>
    </rPh>
    <rPh sb="12" eb="14">
      <t>イコウ</t>
    </rPh>
    <rPh sb="15" eb="17">
      <t>ジゲン</t>
    </rPh>
    <rPh sb="21" eb="23">
      <t>サイゲン</t>
    </rPh>
    <rPh sb="25" eb="27">
      <t>レンパツ</t>
    </rPh>
    <rPh sb="40" eb="41">
      <t>ツカ</t>
    </rPh>
    <rPh sb="48" eb="50">
      <t>ジュウヨウ</t>
    </rPh>
    <phoneticPr fontId="6"/>
  </si>
  <si>
    <t>[effect:damage_anti_color, target:unit_one, color:red, val1:3.6, val2:3.6],[effect:fix_speed,target:myself,turn:1]</t>
    <phoneticPr fontId="6"/>
  </si>
  <si>
    <t>[effect:damage_anti_color, target:unit_one, color:red, val1:3.0, val2:3.0]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</si>
</sst>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charset val="128"/>
      <scheme val="minor"/>
    </font>
    <font>
      <sz val="10"/>
      <color rgb="FF3366FF"/>
      <name val="ＭＳ Ｐゴシック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CCFFCC"/>
        <bgColor indexed="64"/>
      </patternFill>
    </fill>
    <fill>
      <patternFill patternType="solid">
        <fgColor rgb="FFDBDBDB"/>
        <bgColor rgb="FF000000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indexed="8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83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9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14" fillId="7" borderId="0" xfId="0" applyFont="1" applyFill="1" applyAlignment="1">
      <alignment horizontal="center"/>
    </xf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56" fontId="17" fillId="15" borderId="7" xfId="0" applyNumberFormat="1" applyFont="1" applyFill="1" applyBorder="1" applyAlignment="1">
      <alignment horizontal="center"/>
    </xf>
    <xf numFmtId="0" fontId="0" fillId="15" borderId="7" xfId="0" applyFill="1" applyBorder="1"/>
    <xf numFmtId="0" fontId="14" fillId="7" borderId="0" xfId="0" applyFont="1" applyFill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2" fillId="0" borderId="7" xfId="0" applyFont="1" applyBorder="1" applyAlignment="1">
      <alignment vertical="center"/>
    </xf>
    <xf numFmtId="0" fontId="13" fillId="7" borderId="23" xfId="0" applyFont="1" applyFill="1" applyBorder="1" applyAlignment="1">
      <alignment vertical="center"/>
    </xf>
    <xf numFmtId="0" fontId="5" fillId="0" borderId="24" xfId="0" applyFont="1" applyFill="1" applyBorder="1" applyAlignment="1">
      <alignment vertical="center"/>
    </xf>
    <xf numFmtId="0" fontId="7" fillId="5" borderId="24" xfId="0" applyFont="1" applyFill="1" applyBorder="1" applyAlignment="1">
      <alignment vertical="center"/>
    </xf>
    <xf numFmtId="0" fontId="5" fillId="0" borderId="24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vertical="center"/>
    </xf>
    <xf numFmtId="0" fontId="5" fillId="3" borderId="24" xfId="0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vertical="center"/>
    </xf>
    <xf numFmtId="0" fontId="13" fillId="7" borderId="25" xfId="0" applyFont="1" applyFill="1" applyBorder="1" applyAlignment="1">
      <alignment vertical="center"/>
    </xf>
    <xf numFmtId="0" fontId="5" fillId="0" borderId="26" xfId="0" applyFont="1" applyFill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5" fillId="0" borderId="26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vertical="center"/>
    </xf>
    <xf numFmtId="0" fontId="5" fillId="3" borderId="26" xfId="0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vertical="center"/>
    </xf>
    <xf numFmtId="0" fontId="7" fillId="31" borderId="9" xfId="0" applyFont="1" applyFill="1" applyBorder="1" applyAlignment="1">
      <alignment vertical="center"/>
    </xf>
    <xf numFmtId="176" fontId="5" fillId="0" borderId="27" xfId="0" applyNumberFormat="1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7" fillId="5" borderId="28" xfId="0" applyFont="1" applyFill="1" applyBorder="1" applyAlignment="1">
      <alignment vertical="center"/>
    </xf>
    <xf numFmtId="0" fontId="9" fillId="0" borderId="29" xfId="0" applyFont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7" fillId="31" borderId="28" xfId="0" applyFont="1" applyFill="1" applyBorder="1" applyAlignment="1">
      <alignment vertical="center"/>
    </xf>
    <xf numFmtId="0" fontId="5" fillId="3" borderId="24" xfId="0" applyFont="1" applyFill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176" fontId="5" fillId="0" borderId="32" xfId="0" applyNumberFormat="1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vertical="center"/>
    </xf>
    <xf numFmtId="0" fontId="5" fillId="0" borderId="26" xfId="0" applyFont="1" applyBorder="1" applyAlignment="1">
      <alignment horizontal="center" vertical="center"/>
    </xf>
    <xf numFmtId="0" fontId="7" fillId="5" borderId="33" xfId="0" applyFont="1" applyFill="1" applyBorder="1" applyAlignment="1">
      <alignment vertical="center"/>
    </xf>
    <xf numFmtId="0" fontId="9" fillId="0" borderId="34" xfId="0" applyFont="1" applyBorder="1" applyAlignment="1">
      <alignment vertical="center"/>
    </xf>
    <xf numFmtId="177" fontId="9" fillId="0" borderId="34" xfId="0" applyNumberFormat="1" applyFont="1" applyBorder="1" applyAlignment="1">
      <alignment vertical="center"/>
    </xf>
    <xf numFmtId="0" fontId="5" fillId="0" borderId="32" xfId="0" applyFont="1" applyBorder="1" applyAlignment="1">
      <alignment vertical="center"/>
    </xf>
    <xf numFmtId="0" fontId="5" fillId="3" borderId="26" xfId="0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32" borderId="1" xfId="0" applyFont="1" applyFill="1" applyBorder="1" applyAlignment="1">
      <alignment horizontal="center" vertical="center"/>
    </xf>
    <xf numFmtId="0" fontId="5" fillId="32" borderId="24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vertical="center"/>
    </xf>
    <xf numFmtId="0" fontId="52" fillId="0" borderId="7" xfId="0" applyFont="1" applyBorder="1" applyAlignment="1">
      <alignment vertical="center"/>
    </xf>
    <xf numFmtId="0" fontId="7" fillId="5" borderId="36" xfId="0" applyFont="1" applyFill="1" applyBorder="1" applyAlignment="1">
      <alignment vertical="center"/>
    </xf>
    <xf numFmtId="0" fontId="7" fillId="5" borderId="37" xfId="0" applyFont="1" applyFill="1" applyBorder="1" applyAlignment="1">
      <alignment vertical="center"/>
    </xf>
    <xf numFmtId="0" fontId="7" fillId="31" borderId="3" xfId="0" applyFont="1" applyFill="1" applyBorder="1" applyAlignment="1">
      <alignment vertical="center"/>
    </xf>
    <xf numFmtId="0" fontId="7" fillId="31" borderId="27" xfId="0" applyFont="1" applyFill="1" applyBorder="1" applyAlignment="1">
      <alignment vertical="center"/>
    </xf>
    <xf numFmtId="0" fontId="7" fillId="31" borderId="32" xfId="0" applyFont="1" applyFill="1" applyBorder="1" applyAlignment="1">
      <alignment vertical="center"/>
    </xf>
    <xf numFmtId="0" fontId="13" fillId="7" borderId="38" xfId="0" applyFont="1" applyFill="1" applyBorder="1" applyAlignment="1">
      <alignment vertical="center"/>
    </xf>
    <xf numFmtId="176" fontId="5" fillId="0" borderId="37" xfId="0" applyNumberFormat="1" applyFont="1" applyFill="1" applyBorder="1" applyAlignment="1">
      <alignment horizontal="center" vertical="center"/>
    </xf>
    <xf numFmtId="0" fontId="5" fillId="0" borderId="39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0" fontId="7" fillId="0" borderId="39" xfId="0" applyFont="1" applyFill="1" applyBorder="1" applyAlignment="1">
      <alignment vertical="center"/>
    </xf>
    <xf numFmtId="0" fontId="5" fillId="0" borderId="39" xfId="0" applyFont="1" applyBorder="1" applyAlignment="1">
      <alignment horizontal="center" vertical="center"/>
    </xf>
    <xf numFmtId="0" fontId="7" fillId="5" borderId="40" xfId="0" applyFont="1" applyFill="1" applyBorder="1" applyAlignment="1">
      <alignment vertical="center"/>
    </xf>
    <xf numFmtId="0" fontId="9" fillId="0" borderId="41" xfId="0" applyFont="1" applyBorder="1" applyAlignment="1">
      <alignment vertical="center"/>
    </xf>
    <xf numFmtId="177" fontId="9" fillId="0" borderId="41" xfId="0" applyNumberFormat="1" applyFont="1" applyBorder="1" applyAlignment="1">
      <alignment vertical="center"/>
    </xf>
    <xf numFmtId="0" fontId="7" fillId="31" borderId="37" xfId="0" applyFont="1" applyFill="1" applyBorder="1" applyAlignment="1">
      <alignment vertical="center"/>
    </xf>
    <xf numFmtId="0" fontId="7" fillId="31" borderId="42" xfId="0" applyFont="1" applyFill="1" applyBorder="1" applyAlignment="1">
      <alignment vertical="center"/>
    </xf>
    <xf numFmtId="0" fontId="5" fillId="0" borderId="38" xfId="0" applyFont="1" applyBorder="1" applyAlignment="1">
      <alignment vertical="center"/>
    </xf>
    <xf numFmtId="0" fontId="52" fillId="7" borderId="7" xfId="0" applyFont="1" applyFill="1" applyBorder="1" applyAlignment="1">
      <alignment vertical="center"/>
    </xf>
    <xf numFmtId="0" fontId="52" fillId="7" borderId="7" xfId="0" applyFont="1" applyFill="1" applyBorder="1" applyAlignment="1">
      <alignment horizontal="left" vertical="center"/>
    </xf>
    <xf numFmtId="0" fontId="52" fillId="7" borderId="7" xfId="0" applyFont="1" applyFill="1" applyBorder="1" applyAlignment="1">
      <alignment horizontal="left" vertical="center" wrapText="1"/>
    </xf>
    <xf numFmtId="0" fontId="12" fillId="0" borderId="2" xfId="0" applyFont="1" applyBorder="1" applyAlignment="1">
      <alignment vertical="center"/>
    </xf>
    <xf numFmtId="0" fontId="17" fillId="0" borderId="2" xfId="0" applyFont="1" applyFill="1" applyBorder="1" applyAlignment="1">
      <alignment vertical="center"/>
    </xf>
    <xf numFmtId="0" fontId="17" fillId="3" borderId="2" xfId="0" applyFont="1" applyFill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12" fillId="0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28" fillId="0" borderId="7" xfId="0" applyFont="1" applyBorder="1"/>
    <xf numFmtId="0" fontId="28" fillId="0" borderId="10" xfId="0" applyFont="1" applyBorder="1"/>
    <xf numFmtId="0" fontId="28" fillId="33" borderId="10" xfId="0" applyFont="1" applyFill="1" applyBorder="1"/>
    <xf numFmtId="49" fontId="27" fillId="0" borderId="10" xfId="0" applyNumberFormat="1" applyFont="1" applyBorder="1"/>
    <xf numFmtId="0" fontId="28" fillId="0" borderId="43" xfId="0" applyFont="1" applyBorder="1"/>
    <xf numFmtId="0" fontId="28" fillId="33" borderId="43" xfId="0" applyFont="1" applyFill="1" applyBorder="1"/>
    <xf numFmtId="49" fontId="27" fillId="0" borderId="43" xfId="0" applyNumberFormat="1" applyFont="1" applyBorder="1"/>
    <xf numFmtId="38" fontId="17" fillId="0" borderId="7" xfId="628" applyFont="1" applyFill="1" applyBorder="1" applyAlignment="1">
      <alignment wrapText="1"/>
    </xf>
    <xf numFmtId="0" fontId="5" fillId="13" borderId="1" xfId="0" applyFont="1" applyFill="1" applyBorder="1" applyAlignment="1">
      <alignment vertical="center"/>
    </xf>
    <xf numFmtId="0" fontId="28" fillId="0" borderId="24" xfId="0" applyFont="1" applyFill="1" applyBorder="1"/>
    <xf numFmtId="0" fontId="14" fillId="7" borderId="25" xfId="0" applyFont="1" applyFill="1" applyBorder="1"/>
    <xf numFmtId="0" fontId="28" fillId="0" borderId="26" xfId="0" applyFont="1" applyFill="1" applyBorder="1"/>
    <xf numFmtId="0" fontId="29" fillId="0" borderId="26" xfId="0" applyFont="1" applyFill="1" applyBorder="1"/>
    <xf numFmtId="0" fontId="30" fillId="3" borderId="26" xfId="0" applyFont="1" applyFill="1" applyBorder="1" applyAlignment="1">
      <alignment vertical="center"/>
    </xf>
    <xf numFmtId="0" fontId="31" fillId="0" borderId="26" xfId="0" applyFont="1" applyFill="1" applyBorder="1"/>
    <xf numFmtId="0" fontId="30" fillId="0" borderId="26" xfId="0" applyFont="1" applyFill="1" applyBorder="1" applyAlignment="1">
      <alignment vertical="center"/>
    </xf>
    <xf numFmtId="0" fontId="31" fillId="30" borderId="26" xfId="0" applyFont="1" applyFill="1" applyBorder="1"/>
    <xf numFmtId="0" fontId="31" fillId="14" borderId="26" xfId="0" applyFont="1" applyFill="1" applyBorder="1"/>
    <xf numFmtId="0" fontId="32" fillId="0" borderId="26" xfId="0" applyFont="1" applyFill="1" applyBorder="1"/>
    <xf numFmtId="38" fontId="17" fillId="0" borderId="26" xfId="628" applyFont="1" applyFill="1" applyBorder="1" applyAlignment="1">
      <alignment wrapText="1"/>
    </xf>
    <xf numFmtId="0" fontId="0" fillId="0" borderId="26" xfId="0" applyBorder="1"/>
    <xf numFmtId="0" fontId="28" fillId="0" borderId="24" xfId="0" applyFont="1" applyBorder="1"/>
    <xf numFmtId="0" fontId="28" fillId="0" borderId="44" xfId="0" applyFont="1" applyBorder="1"/>
    <xf numFmtId="0" fontId="28" fillId="33" borderId="44" xfId="0" applyFont="1" applyFill="1" applyBorder="1"/>
    <xf numFmtId="49" fontId="27" fillId="0" borderId="44" xfId="0" applyNumberFormat="1" applyFont="1" applyBorder="1"/>
    <xf numFmtId="0" fontId="28" fillId="0" borderId="26" xfId="0" applyFont="1" applyBorder="1"/>
    <xf numFmtId="0" fontId="28" fillId="0" borderId="45" xfId="0" applyFont="1" applyBorder="1"/>
    <xf numFmtId="0" fontId="28" fillId="33" borderId="45" xfId="0" applyFont="1" applyFill="1" applyBorder="1"/>
    <xf numFmtId="49" fontId="27" fillId="0" borderId="45" xfId="0" applyNumberFormat="1" applyFont="1" applyBorder="1"/>
    <xf numFmtId="0" fontId="28" fillId="33" borderId="26" xfId="0" applyFont="1" applyFill="1" applyBorder="1"/>
    <xf numFmtId="0" fontId="28" fillId="33" borderId="7" xfId="0" applyFont="1" applyFill="1" applyBorder="1"/>
    <xf numFmtId="0" fontId="32" fillId="14" borderId="7" xfId="0" applyFont="1" applyFill="1" applyBorder="1"/>
    <xf numFmtId="38" fontId="17" fillId="14" borderId="7" xfId="822" applyFont="1" applyFill="1" applyBorder="1" applyAlignment="1"/>
  </cellXfs>
  <cellStyles count="83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桁区切り 2" xfId="429"/>
    <cellStyle name="桁区切り 2 2" xfId="628"/>
    <cellStyle name="桁区切り 2 2 2" xfId="822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D41" sqref="D4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284</v>
      </c>
      <c r="B2" s="57" t="s">
        <v>107</v>
      </c>
      <c r="C2" s="62">
        <v>30022</v>
      </c>
      <c r="D2" s="57" t="s">
        <v>108</v>
      </c>
      <c r="E2" s="56" t="str">
        <f>B2&amp;C2&amp;D2</f>
        <v>floors_30022.tmp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284</v>
      </c>
      <c r="B3" s="57" t="s">
        <v>110</v>
      </c>
      <c r="C3" s="62">
        <f>C$2</f>
        <v>30022</v>
      </c>
      <c r="D3" s="57" t="s">
        <v>108</v>
      </c>
      <c r="E3" s="56" t="str">
        <f>B3&amp;C3&amp;D3</f>
        <v>enemy_habitats_30022.tmp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284</v>
      </c>
      <c r="B4" s="57" t="s">
        <v>112</v>
      </c>
      <c r="C4" s="62">
        <f t="shared" ref="C4:C9" si="0">C$2</f>
        <v>30022</v>
      </c>
      <c r="D4" s="57" t="s">
        <v>108</v>
      </c>
      <c r="E4" s="56" t="str">
        <f>B4&amp;C4&amp;D4</f>
        <v>enemy_habitat_S_30022.tmp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284</v>
      </c>
      <c r="B5" s="57" t="s">
        <v>114</v>
      </c>
      <c r="C5" s="62">
        <f t="shared" si="0"/>
        <v>30022</v>
      </c>
      <c r="D5" s="57" t="s">
        <v>108</v>
      </c>
      <c r="E5" s="56" t="str">
        <f>B5&amp;C5&amp;D5</f>
        <v>enemy_skill_sets_30022.tmp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284</v>
      </c>
      <c r="B6" s="57" t="s">
        <v>116</v>
      </c>
      <c r="C6" s="62">
        <f t="shared" si="0"/>
        <v>30022</v>
      </c>
      <c r="D6" s="57" t="s">
        <v>117</v>
      </c>
      <c r="E6" s="56" t="str">
        <f t="shared" ref="E6:E12" si="1">B6&amp;C6&amp;D6</f>
        <v>enemy_skills_tmp_30022.tmp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284</v>
      </c>
      <c r="B7" s="57" t="s">
        <v>118</v>
      </c>
      <c r="C7" s="62">
        <f t="shared" si="0"/>
        <v>30022</v>
      </c>
      <c r="D7" s="57" t="s">
        <v>108</v>
      </c>
      <c r="E7" s="56" t="str">
        <f>B7&amp;C7&amp;D7</f>
        <v>enemy_skills_i18n_30022.tmp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284</v>
      </c>
      <c r="B8" s="57" t="s">
        <v>120</v>
      </c>
      <c r="C8" s="62">
        <f t="shared" si="0"/>
        <v>30022</v>
      </c>
      <c r="D8" s="57" t="s">
        <v>121</v>
      </c>
      <c r="E8" s="56" t="str">
        <f t="shared" si="1"/>
        <v>enemy_skill_triggers_30022.tmp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284</v>
      </c>
      <c r="B9" s="67" t="s">
        <v>178</v>
      </c>
      <c r="C9" s="62">
        <f t="shared" si="0"/>
        <v>30022</v>
      </c>
      <c r="D9" s="67" t="s">
        <v>172</v>
      </c>
      <c r="E9" s="68" t="str">
        <f t="shared" si="1"/>
        <v>stage_bug_bonuses_30022.tmp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4" customFormat="1" x14ac:dyDescent="0.15">
      <c r="A10" s="61" t="s">
        <v>307</v>
      </c>
      <c r="B10" s="67" t="s">
        <v>308</v>
      </c>
      <c r="C10" s="62">
        <f>C8</f>
        <v>30022</v>
      </c>
      <c r="D10" s="67" t="s">
        <v>172</v>
      </c>
      <c r="E10" s="68" t="str">
        <f t="shared" si="1"/>
        <v>stage_hints_data_c_30022.tmp</v>
      </c>
      <c r="F10" s="67" t="s">
        <v>309</v>
      </c>
      <c r="G10" s="71" t="s">
        <v>181</v>
      </c>
      <c r="H10" s="71" t="s">
        <v>174</v>
      </c>
      <c r="I10" s="72" t="s">
        <v>182</v>
      </c>
      <c r="J10" s="66" t="s">
        <v>19</v>
      </c>
      <c r="K10" s="73" t="s">
        <v>183</v>
      </c>
    </row>
    <row r="11" spans="1:30" s="74" customFormat="1" x14ac:dyDescent="0.15">
      <c r="A11" s="61" t="s">
        <v>307</v>
      </c>
      <c r="B11" s="67" t="s">
        <v>310</v>
      </c>
      <c r="C11" s="62">
        <f>C9</f>
        <v>30022</v>
      </c>
      <c r="D11" s="67" t="s">
        <v>172</v>
      </c>
      <c r="E11" s="68" t="str">
        <f t="shared" si="1"/>
        <v>stage_hints_data_f_30022.tmp</v>
      </c>
      <c r="F11" s="67" t="s">
        <v>311</v>
      </c>
      <c r="G11" s="71" t="s">
        <v>181</v>
      </c>
      <c r="H11" s="71" t="s">
        <v>174</v>
      </c>
      <c r="I11" s="72" t="s">
        <v>182</v>
      </c>
      <c r="J11" s="66" t="s">
        <v>19</v>
      </c>
      <c r="K11" s="73" t="s">
        <v>183</v>
      </c>
    </row>
    <row r="12" spans="1:30" s="74" customFormat="1" x14ac:dyDescent="0.15">
      <c r="A12" s="61" t="s">
        <v>307</v>
      </c>
      <c r="B12" s="67" t="s">
        <v>312</v>
      </c>
      <c r="C12" s="62">
        <f t="shared" ref="C12" si="2">C11</f>
        <v>30022</v>
      </c>
      <c r="D12" s="67" t="s">
        <v>172</v>
      </c>
      <c r="E12" s="68" t="str">
        <f t="shared" si="1"/>
        <v>stage_hints_i18n_f_30022.tmp</v>
      </c>
      <c r="F12" s="67" t="s">
        <v>311</v>
      </c>
      <c r="G12" s="72" t="s">
        <v>182</v>
      </c>
      <c r="H12" s="75" t="s">
        <v>313</v>
      </c>
      <c r="I12" s="71" t="s">
        <v>184</v>
      </c>
      <c r="J12" s="76" t="s">
        <v>185</v>
      </c>
      <c r="K12" s="73" t="s">
        <v>186</v>
      </c>
    </row>
  </sheetData>
  <phoneticPr fontId="6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K8" sqref="K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30022_1-1</v>
      </c>
      <c r="B2" s="16" t="str">
        <f>IF(COUNTIF(enemy_habitats!$H:$H,A2),"OK","NG")</f>
        <v>OK</v>
      </c>
      <c r="C2" s="7">
        <v>30022</v>
      </c>
      <c r="D2" s="11" t="str">
        <f ca="1">VLOOKUP($C2,OFFSET([2]quests!$A$1,0,0,COUNTA([2]quests!$A:$A),MATCH(D$1,[2]quests!$1:$1,0)-MATCH($C$1,[2]quests!$1:$1,0)+1),MATCH(D$1,[2]quests!$1:$1,0)-MATCH($C$1,[2]quests!$1:$1,0)+1,FALSE)</f>
        <v>凶鼠ネコを咬む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ドロップイベント6（マルチ専用）</v>
      </c>
      <c r="F2" s="21">
        <v>1</v>
      </c>
      <c r="G2" s="23" t="str">
        <f t="shared" ref="G2:G9" si="1">C2&amp;"_"&amp;F2</f>
        <v>30022_1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【超級】凶鼠ネコを咬む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30022_1-2</v>
      </c>
      <c r="B3" s="16" t="str">
        <f>IF(COUNTIF(enemy_habitats!$H:$H,A3),"OK","NG")</f>
        <v>OK</v>
      </c>
      <c r="C3" s="7">
        <v>30022</v>
      </c>
      <c r="D3" s="11" t="str">
        <f ca="1">VLOOKUP($C3,OFFSET([2]quests!$A$1,0,0,COUNTA([2]quests!$A:$A),MATCH(D$1,[2]quests!$1:$1,0)-MATCH($C$1,[2]quests!$1:$1,0)+1),MATCH(D$1,[2]quests!$1:$1,0)-MATCH($C$1,[2]quests!$1:$1,0)+1,FALSE)</f>
        <v>凶鼠ネコを咬む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ドロップイベント6（マルチ専用）</v>
      </c>
      <c r="F3" s="21">
        <v>1</v>
      </c>
      <c r="G3" s="23" t="str">
        <f t="shared" si="1"/>
        <v>30022_1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【超級】凶鼠ネコを咬む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30022_1-3</v>
      </c>
      <c r="B4" s="16" t="str">
        <f>IF(COUNTIF(enemy_habitats!$H:$H,A4),"OK","NG")</f>
        <v>OK</v>
      </c>
      <c r="C4" s="7">
        <v>30022</v>
      </c>
      <c r="D4" s="11" t="str">
        <f ca="1">VLOOKUP($C4,OFFSET([2]quests!$A$1,0,0,COUNTA([2]quests!$A:$A),MATCH(D$1,[2]quests!$1:$1,0)-MATCH($C$1,[2]quests!$1:$1,0)+1),MATCH(D$1,[2]quests!$1:$1,0)-MATCH($C$1,[2]quests!$1:$1,0)+1,FALSE)</f>
        <v>凶鼠ネコを咬む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ドロップイベント6（マルチ専用）</v>
      </c>
      <c r="F4" s="21">
        <v>1</v>
      </c>
      <c r="G4" s="23" t="str">
        <f t="shared" si="1"/>
        <v>30022_1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【超級】凶鼠ネコを咬む</v>
      </c>
      <c r="I4" s="21">
        <v>3</v>
      </c>
      <c r="J4" s="12">
        <v>40</v>
      </c>
      <c r="K4" s="12">
        <v>40</v>
      </c>
    </row>
    <row r="5" spans="1:11" ht="21" customHeight="1" thickBot="1" x14ac:dyDescent="0.2">
      <c r="A5" s="96" t="str">
        <f t="shared" si="0"/>
        <v>30022_1-4</v>
      </c>
      <c r="B5" s="96" t="str">
        <f>IF(COUNTIF(enemy_habitats!$H:$H,A5),"OK","NG")</f>
        <v>OK</v>
      </c>
      <c r="C5" s="97">
        <v>30022</v>
      </c>
      <c r="D5" s="98" t="str">
        <f ca="1">VLOOKUP($C5,OFFSET([2]quests!$A$1,0,0,COUNTA([2]quests!$A:$A),MATCH(D$1,[2]quests!$1:$1,0)-MATCH($C$1,[2]quests!$1:$1,0)+1),MATCH(D$1,[2]quests!$1:$1,0)-MATCH($C$1,[2]quests!$1:$1,0)+1,FALSE)</f>
        <v>凶鼠ネコを咬む</v>
      </c>
      <c r="E5" s="98" t="str">
        <f ca="1">VLOOKUP($C5,OFFSET([2]quests!$A$1,0,0,COUNTA([2]quests!$A:$A),MATCH(E$1,[2]quests!$1:$1,0)-MATCH($C$1,[2]quests!$1:$1,0)+1),MATCH(E$1,[2]quests!$1:$1,0)-MATCH($C$1,[2]quests!$1:$1,0)+1,FALSE)</f>
        <v>ドロップイベント6（マルチ専用）</v>
      </c>
      <c r="F5" s="99">
        <v>1</v>
      </c>
      <c r="G5" s="100" t="str">
        <f t="shared" si="1"/>
        <v>30022_1</v>
      </c>
      <c r="H5" s="101" t="str">
        <f ca="1">VLOOKUP($G5,OFFSET([2]stages!$A$1,0,0,COUNTA([2]stages!$A:$A),MATCH(H$1,[2]stages!$2:$2,0)-MATCH($G$1,[2]stages!$2:$2,0)+1),MATCH(H$1,[2]stages!$2:$2,0)-MATCH($G$1,[2]stages!$2:$2,0)+1,FALSE)</f>
        <v>【超級】凶鼠ネコを咬む</v>
      </c>
      <c r="I5" s="99">
        <v>4</v>
      </c>
      <c r="J5" s="102">
        <v>30</v>
      </c>
      <c r="K5" s="102">
        <v>30</v>
      </c>
    </row>
    <row r="6" spans="1:11" ht="21" customHeight="1" x14ac:dyDescent="0.15">
      <c r="A6" s="103" t="str">
        <f t="shared" si="0"/>
        <v>30022_2-1</v>
      </c>
      <c r="B6" s="103" t="str">
        <f>IF(COUNTIF(enemy_habitats!$H:$H,A6),"OK","NG")</f>
        <v>OK</v>
      </c>
      <c r="C6" s="104">
        <v>30022</v>
      </c>
      <c r="D6" s="105" t="str">
        <f ca="1">VLOOKUP($C6,OFFSET([2]quests!$A$1,0,0,COUNTA([2]quests!$A:$A),MATCH(D$1,[2]quests!$1:$1,0)-MATCH($C$1,[2]quests!$1:$1,0)+1),MATCH(D$1,[2]quests!$1:$1,0)-MATCH($C$1,[2]quests!$1:$1,0)+1,FALSE)</f>
        <v>凶鼠ネコを咬む</v>
      </c>
      <c r="E6" s="105" t="str">
        <f ca="1">VLOOKUP($C6,OFFSET([2]quests!$A$1,0,0,COUNTA([2]quests!$A:$A),MATCH(E$1,[2]quests!$1:$1,0)-MATCH($C$1,[2]quests!$1:$1,0)+1),MATCH(E$1,[2]quests!$1:$1,0)-MATCH($C$1,[2]quests!$1:$1,0)+1,FALSE)</f>
        <v>ドロップイベント6（マルチ専用）</v>
      </c>
      <c r="F6" s="106">
        <v>2</v>
      </c>
      <c r="G6" s="107" t="str">
        <f t="shared" si="1"/>
        <v>30022_2</v>
      </c>
      <c r="H6" s="108" t="str">
        <f ca="1">VLOOKUP($G6,OFFSET([2]stages!$A$1,0,0,COUNTA([2]stages!$A:$A),MATCH(H$1,[2]stages!$2:$2,0)-MATCH($G$1,[2]stages!$2:$2,0)+1),MATCH(H$1,[2]stages!$2:$2,0)-MATCH($G$1,[2]stages!$2:$2,0)+1,FALSE)</f>
        <v>【超絶級】凶鼠ネコを咬む</v>
      </c>
      <c r="I6" s="106">
        <v>1</v>
      </c>
      <c r="J6" s="109">
        <v>30</v>
      </c>
      <c r="K6" s="109">
        <v>30</v>
      </c>
    </row>
    <row r="7" spans="1:11" ht="21" customHeight="1" x14ac:dyDescent="0.15">
      <c r="A7" s="16" t="str">
        <f t="shared" si="0"/>
        <v>30022_2-2</v>
      </c>
      <c r="B7" s="16" t="str">
        <f>IF(COUNTIF(enemy_habitats!$H:$H,A7),"OK","NG")</f>
        <v>OK</v>
      </c>
      <c r="C7" s="7">
        <v>30022</v>
      </c>
      <c r="D7" s="11" t="str">
        <f ca="1">VLOOKUP($C7,OFFSET([2]quests!$A$1,0,0,COUNTA([2]quests!$A:$A),MATCH(D$1,[2]quests!$1:$1,0)-MATCH($C$1,[2]quests!$1:$1,0)+1),MATCH(D$1,[2]quests!$1:$1,0)-MATCH($C$1,[2]quests!$1:$1,0)+1,FALSE)</f>
        <v>凶鼠ネコを咬む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ドロップイベント6（マルチ専用）</v>
      </c>
      <c r="F7" s="21">
        <v>2</v>
      </c>
      <c r="G7" s="23" t="str">
        <f t="shared" si="1"/>
        <v>30022_2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【超絶級】凶鼠ネコを咬む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30022_2-3</v>
      </c>
      <c r="B8" s="16" t="str">
        <f>IF(COUNTIF(enemy_habitats!$H:$H,A8),"OK","NG")</f>
        <v>OK</v>
      </c>
      <c r="C8" s="7">
        <v>30022</v>
      </c>
      <c r="D8" s="11" t="str">
        <f ca="1">VLOOKUP($C8,OFFSET([2]quests!$A$1,0,0,COUNTA([2]quests!$A:$A),MATCH(D$1,[2]quests!$1:$1,0)-MATCH($C$1,[2]quests!$1:$1,0)+1),MATCH(D$1,[2]quests!$1:$1,0)-MATCH($C$1,[2]quests!$1:$1,0)+1,FALSE)</f>
        <v>凶鼠ネコを咬む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ドロップイベント6（マルチ専用）</v>
      </c>
      <c r="F8" s="21">
        <v>2</v>
      </c>
      <c r="G8" s="23" t="str">
        <f t="shared" si="1"/>
        <v>30022_2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【超絶級】凶鼠ネコを咬む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30022_2-4</v>
      </c>
      <c r="B9" s="16" t="str">
        <f>IF(COUNTIF(enemy_habitats!$H:$H,A9),"OK","NG")</f>
        <v>OK</v>
      </c>
      <c r="C9" s="7">
        <v>30022</v>
      </c>
      <c r="D9" s="11" t="str">
        <f ca="1">VLOOKUP($C9,OFFSET([2]quests!$A$1,0,0,COUNTA([2]quests!$A:$A),MATCH(D$1,[2]quests!$1:$1,0)-MATCH($C$1,[2]quests!$1:$1,0)+1),MATCH(D$1,[2]quests!$1:$1,0)-MATCH($C$1,[2]quests!$1:$1,0)+1,FALSE)</f>
        <v>凶鼠ネコを咬む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ドロップイベント6（マルチ専用）</v>
      </c>
      <c r="F9" s="21">
        <v>2</v>
      </c>
      <c r="G9" s="23" t="str">
        <f t="shared" si="1"/>
        <v>30022_2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【超絶級】凶鼠ネコを咬む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tabSelected="1" zoomScale="85" zoomScaleNormal="85" zoomScalePageLayoutView="85" workbookViewId="0">
      <pane xSplit="17" ySplit="1" topLeftCell="AE2" activePane="bottomRight" state="frozen"/>
      <selection pane="topRight" activeCell="N1" sqref="N1"/>
      <selection pane="bottomLeft" activeCell="A2" sqref="A2"/>
      <selection pane="bottomRight" activeCell="AH11" sqref="AH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19" ca="1" si="0">B2&amp;"_"&amp;C2&amp;"-"&amp;G2&amp;"/"&amp;L2&amp;"&lt;lv"&amp;R2&amp;"&gt;s"&amp;AA2</f>
        <v>30022_1-1/27&lt;lv30&gt;s1</v>
      </c>
      <c r="B2" s="22">
        <v>30022</v>
      </c>
      <c r="C2" s="21">
        <v>1</v>
      </c>
      <c r="D2" s="2" t="str">
        <f t="shared" ref="D2:D19" si="1">B2&amp;"_"&amp;C2</f>
        <v>30022_1</v>
      </c>
      <c r="E2" s="4" t="str">
        <f ca="1">VLOOKUP($B2,OFFSET([2]quests!$A$1,0,0,COUNTA([2]quests!$A:$A),MATCH(E$1,[2]quests!$1:$1,0)-MATCH($B$1,[2]quests!$1:$1,0)+1),MATCH(E$1,[2]quests!$1:$1,0)-MATCH($B$1,[2]quests!$1:$1,0)+1,FALSE)</f>
        <v>凶鼠ネコを咬む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【超級】凶鼠ネコを咬む</v>
      </c>
      <c r="G2" s="21">
        <v>1</v>
      </c>
      <c r="H2" s="15" t="str">
        <f t="shared" ref="H2:H19" si="2">B2&amp;"_"&amp;C2&amp;"-"&amp;G2</f>
        <v>30022_1-1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27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パトライン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1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全体回復</v>
      </c>
      <c r="W2" s="139">
        <v>30022000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 t="shared" ref="AB2:AB18" si="3">L2</f>
        <v>27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t="shared" ref="AG2:AG19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30022_1-1/31&lt;lv30&gt;s2</v>
      </c>
      <c r="B3" s="22">
        <v>30022</v>
      </c>
      <c r="C3" s="21">
        <v>1</v>
      </c>
      <c r="D3" s="2" t="str">
        <f t="shared" si="1"/>
        <v>30022_1</v>
      </c>
      <c r="E3" s="4" t="str">
        <f ca="1">VLOOKUP($B3,OFFSET([2]quests!$A$1,0,0,COUNTA([2]quests!$A:$A),MATCH(E$1,[2]quests!$1:$1,0)-MATCH($B$1,[2]quests!$1:$1,0)+1),MATCH(E$1,[2]quests!$1:$1,0)-MATCH($B$1,[2]quests!$1:$1,0)+1,FALSE)</f>
        <v>凶鼠ネコを咬む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【超級】凶鼠ネコを咬む</v>
      </c>
      <c r="G3" s="21">
        <v>1</v>
      </c>
      <c r="H3" s="15" t="str">
        <f t="shared" si="2"/>
        <v>30022_1-1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200</v>
      </c>
      <c r="L3" s="20">
        <v>31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マービー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2.8</v>
      </c>
      <c r="T3" s="25">
        <v>2.6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3" s="139">
        <v>30022001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31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30022_1-1/360&lt;lv30&gt;s3</v>
      </c>
      <c r="B4" s="22">
        <v>30022</v>
      </c>
      <c r="C4" s="21">
        <v>1</v>
      </c>
      <c r="D4" s="2" t="str">
        <f t="shared" si="1"/>
        <v>30022_1</v>
      </c>
      <c r="E4" s="4" t="str">
        <f ca="1">VLOOKUP($B4,OFFSET([2]quests!$A$1,0,0,COUNTA([2]quests!$A:$A),MATCH(E$1,[2]quests!$1:$1,0)-MATCH($B$1,[2]quests!$1:$1,0)+1),MATCH(E$1,[2]quests!$1:$1,0)-MATCH($B$1,[2]quests!$1:$1,0)+1,FALSE)</f>
        <v>凶鼠ネコを咬む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【超級】凶鼠ネコを咬む</v>
      </c>
      <c r="G4" s="21">
        <v>1</v>
      </c>
      <c r="H4" s="15" t="str">
        <f t="shared" si="2"/>
        <v>30022_1-1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360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ガンテツ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25">
        <v>2</v>
      </c>
      <c r="T4" s="25">
        <v>2.2999999999999998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種族ヒューマンのユニットに大ダメージ</v>
      </c>
      <c r="W4" s="139">
        <v>30022002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360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ca="1" si="4"/>
        <v>2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30022_1-1/364&lt;lv30&gt;s3</v>
      </c>
      <c r="B5" s="22">
        <v>30022</v>
      </c>
      <c r="C5" s="21">
        <v>1</v>
      </c>
      <c r="D5" s="2" t="str">
        <f t="shared" si="1"/>
        <v>30022_1</v>
      </c>
      <c r="E5" s="4" t="str">
        <f ca="1">VLOOKUP($B5,OFFSET([2]quests!$A$1,0,0,COUNTA([2]quests!$A:$A),MATCH(E$1,[2]quests!$1:$1,0)-MATCH($B$1,[2]quests!$1:$1,0)+1),MATCH(E$1,[2]quests!$1:$1,0)-MATCH($B$1,[2]quests!$1:$1,0)+1,FALSE)</f>
        <v>凶鼠ネコを咬む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【超級】凶鼠ネコを咬む</v>
      </c>
      <c r="G5" s="21">
        <v>1</v>
      </c>
      <c r="H5" s="15" t="str">
        <f t="shared" si="2"/>
        <v>30022_1-1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200</v>
      </c>
      <c r="L5" s="20">
        <v>364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ノエル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30</v>
      </c>
      <c r="S5" s="25">
        <v>2.2999999999999998</v>
      </c>
      <c r="T5" s="25">
        <v>1.5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種族ヒューマンのユニットに大ダメージ</v>
      </c>
      <c r="W5" s="139">
        <v>30022003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364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t="shared" ca="1" si="4"/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30022_1-2/35&lt;lv35&gt;s4</v>
      </c>
      <c r="B6" s="22">
        <v>30022</v>
      </c>
      <c r="C6" s="21">
        <v>1</v>
      </c>
      <c r="D6" s="2" t="str">
        <f t="shared" si="1"/>
        <v>30022_1</v>
      </c>
      <c r="E6" s="4" t="str">
        <f ca="1">VLOOKUP($B6,OFFSET([2]quests!$A$1,0,0,COUNTA([2]quests!$A:$A),MATCH(E$1,[2]quests!$1:$1,0)-MATCH($B$1,[2]quests!$1:$1,0)+1),MATCH(E$1,[2]quests!$1:$1,0)-MATCH($B$1,[2]quests!$1:$1,0)+1,FALSE)</f>
        <v>凶鼠ネコを咬む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【超級】凶鼠ネコを咬む</v>
      </c>
      <c r="G6" s="133">
        <v>2</v>
      </c>
      <c r="H6" s="15" t="str">
        <f t="shared" si="2"/>
        <v>30022_1-2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200</v>
      </c>
      <c r="L6" s="20">
        <v>35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F2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35</v>
      </c>
      <c r="S6" s="25">
        <v>1.5</v>
      </c>
      <c r="T6" s="25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自爆攻撃</v>
      </c>
      <c r="W6" s="139">
        <v>30022005</v>
      </c>
      <c r="X6" s="6">
        <v>2</v>
      </c>
      <c r="Y6" s="6">
        <v>100</v>
      </c>
      <c r="Z6" s="6">
        <v>0</v>
      </c>
      <c r="AA6" s="110">
        <v>4</v>
      </c>
      <c r="AB6" s="24">
        <f t="shared" si="3"/>
        <v>35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F2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ref="A7" si="5">B7&amp;"_"&amp;C7&amp;"-"&amp;G7&amp;"/"&amp;L7&amp;"&lt;lv"&amp;R7&amp;"&gt;s"&amp;AA7</f>
        <v>30022_1-2/35&lt;lv36&gt;s4</v>
      </c>
      <c r="B7" s="22">
        <v>30022</v>
      </c>
      <c r="C7" s="21">
        <v>1</v>
      </c>
      <c r="D7" s="2" t="str">
        <f t="shared" ref="D7" si="6">B7&amp;"_"&amp;C7</f>
        <v>30022_1</v>
      </c>
      <c r="E7" s="4" t="str">
        <f ca="1">VLOOKUP($B7,OFFSET([2]quests!$A$1,0,0,COUNTA([2]quests!$A:$A),MATCH(E$1,[2]quests!$1:$1,0)-MATCH($B$1,[2]quests!$1:$1,0)+1),MATCH(E$1,[2]quests!$1:$1,0)-MATCH($B$1,[2]quests!$1:$1,0)+1,FALSE)</f>
        <v>凶鼠ネコを咬む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【超級】凶鼠ネコを咬む</v>
      </c>
      <c r="G7" s="133">
        <v>2</v>
      </c>
      <c r="H7" s="15" t="str">
        <f t="shared" ref="H7" si="7">B7&amp;"_"&amp;C7&amp;"-"&amp;G7</f>
        <v>30022_1-2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200</v>
      </c>
      <c r="L7" s="20">
        <v>35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F2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36</v>
      </c>
      <c r="S7" s="25">
        <v>1.5</v>
      </c>
      <c r="T7" s="25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自爆攻撃</v>
      </c>
      <c r="W7" s="139">
        <v>30022011</v>
      </c>
      <c r="X7" s="6">
        <v>1</v>
      </c>
      <c r="Y7" s="6">
        <v>100</v>
      </c>
      <c r="Z7" s="6">
        <v>1</v>
      </c>
      <c r="AA7" s="110">
        <v>4</v>
      </c>
      <c r="AB7" s="24">
        <f t="shared" ref="AB7" si="8">L7</f>
        <v>35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F2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ref="AG7" ca="1" si="9">AD7</f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30022_1-3/303&lt;lv45&gt;s2</v>
      </c>
      <c r="B8" s="22">
        <v>30022</v>
      </c>
      <c r="C8" s="21">
        <v>1</v>
      </c>
      <c r="D8" s="2" t="str">
        <f t="shared" si="1"/>
        <v>30022_1</v>
      </c>
      <c r="E8" s="4" t="str">
        <f ca="1">VLOOKUP($B8,OFFSET([2]quests!$A$1,0,0,COUNTA([2]quests!$A:$A),MATCH(E$1,[2]quests!$1:$1,0)-MATCH($B$1,[2]quests!$1:$1,0)+1),MATCH(E$1,[2]quests!$1:$1,0)-MATCH($B$1,[2]quests!$1:$1,0)+1,FALSE)</f>
        <v>凶鼠ネコを咬む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【超級】凶鼠ネコを咬む</v>
      </c>
      <c r="G8" s="21">
        <v>3</v>
      </c>
      <c r="H8" s="15" t="str">
        <f t="shared" si="2"/>
        <v>30022_1-3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200</v>
      </c>
      <c r="L8" s="20">
        <v>303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哄笑の禁縛 リサ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45</v>
      </c>
      <c r="S8" s="25">
        <v>2.4</v>
      </c>
      <c r="T8" s="25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3ターンスキルバインド＋攻撃</v>
      </c>
      <c r="W8" s="139">
        <v>30022006</v>
      </c>
      <c r="X8" s="6">
        <v>1</v>
      </c>
      <c r="Y8" s="6">
        <v>100</v>
      </c>
      <c r="Z8" s="6">
        <v>1</v>
      </c>
      <c r="AA8" s="110">
        <v>2</v>
      </c>
      <c r="AB8" s="24">
        <f t="shared" si="3"/>
        <v>303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哄笑の禁縛 リサ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Drop2W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30022_1-3/305&lt;lv45&gt;s3</v>
      </c>
      <c r="B9" s="22">
        <v>30022</v>
      </c>
      <c r="C9" s="21">
        <v>1</v>
      </c>
      <c r="D9" s="2" t="str">
        <f t="shared" si="1"/>
        <v>30022_1</v>
      </c>
      <c r="E9" s="4" t="str">
        <f ca="1">VLOOKUP($B9,OFFSET([2]quests!$A$1,0,0,COUNTA([2]quests!$A:$A),MATCH(E$1,[2]quests!$1:$1,0)-MATCH($B$1,[2]quests!$1:$1,0)+1),MATCH(E$1,[2]quests!$1:$1,0)-MATCH($B$1,[2]quests!$1:$1,0)+1,FALSE)</f>
        <v>凶鼠ネコを咬む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【超級】凶鼠ネコを咬む</v>
      </c>
      <c r="G9" s="21">
        <v>3</v>
      </c>
      <c r="H9" s="15" t="str">
        <f t="shared" si="2"/>
        <v>30022_1-3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200</v>
      </c>
      <c r="L9" s="20">
        <v>305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螺旋の雷電 チエミ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45</v>
      </c>
      <c r="S9" s="25">
        <v>2.4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全体攻撃</v>
      </c>
      <c r="W9" s="139">
        <v>30022007</v>
      </c>
      <c r="X9" s="6">
        <v>1</v>
      </c>
      <c r="Y9" s="6">
        <v>100</v>
      </c>
      <c r="Z9" s="6">
        <v>2</v>
      </c>
      <c r="AA9" s="110">
        <v>3</v>
      </c>
      <c r="AB9" s="24">
        <f t="shared" si="3"/>
        <v>305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螺旋の雷電 チエミ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Drop2W</v>
      </c>
      <c r="AF9" s="7">
        <v>1</v>
      </c>
      <c r="AG9" s="24">
        <f t="shared" ca="1" si="4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s="121" customFormat="1" ht="21" customHeight="1" thickBot="1" x14ac:dyDescent="0.2">
      <c r="A10" s="96" t="str">
        <f t="shared" si="0"/>
        <v>30022_1-4/504&lt;lv60&gt;s1</v>
      </c>
      <c r="B10" s="111">
        <v>30022</v>
      </c>
      <c r="C10" s="21">
        <v>1</v>
      </c>
      <c r="D10" s="101" t="str">
        <f t="shared" si="1"/>
        <v>30022_1</v>
      </c>
      <c r="E10" s="112" t="str">
        <f ca="1">VLOOKUP($B10,OFFSET([2]quests!$A$1,0,0,COUNTA([2]quests!$A:$A),MATCH(E$1,[2]quests!$1:$1,0)-MATCH($B$1,[2]quests!$1:$1,0)+1),MATCH(E$1,[2]quests!$1:$1,0)-MATCH($B$1,[2]quests!$1:$1,0)+1,FALSE)</f>
        <v>凶鼠ネコを咬む</v>
      </c>
      <c r="F10" s="112" t="str">
        <f ca="1">VLOOKUP($D10,OFFSET([2]stages!$A$1,0,0,COUNTA([2]stages!$A:$A),MATCH(F$1,[2]stages!$2:$2,0)-MATCH($D$1,[2]stages!$2:$2,0)+1),MATCH(F$1,[2]stages!$2:$2,0)-MATCH($D$1,[2]stages!$2:$2,0)+1,FALSE)</f>
        <v>【超級】凶鼠ネコを咬む</v>
      </c>
      <c r="G10" s="134">
        <v>4</v>
      </c>
      <c r="H10" s="101" t="str">
        <f t="shared" si="2"/>
        <v>30022_1-4</v>
      </c>
      <c r="I10" s="112">
        <f ca="1">VLOOKUP($H10,OFFSET(floors!$A$1,0,0,COUNTA(floors!$A:$A),MATCH(I$1,floors!$1:$1,0)-MATCH($H$1,floors!$1:$1,0)+1),MATCH(I$1,floors!$1:$1,0)-MATCH($H$1,floors!$1:$1,0)+1,FALSE)</f>
        <v>30</v>
      </c>
      <c r="J10" s="112">
        <f ca="1">VLOOKUP($H10,OFFSET(floors!$A$1,0,0,COUNTA(floors!$A:$A),MATCH(J$1,floors!$1:$1,0)-MATCH($H$1,floors!$1:$1,0)+1),MATCH(J$1,floors!$1:$1,0)-MATCH($H$1,floors!$1:$1,0)+1,FALSE)</f>
        <v>30</v>
      </c>
      <c r="K10" s="102">
        <v>1</v>
      </c>
      <c r="L10" s="113">
        <v>504</v>
      </c>
      <c r="M10" s="114" t="str">
        <f ca="1">VLOOKUP($L10,OFFSET([3]enemies!$A$1,0,0,COUNTA([3]enemies!$A:$A),MATCH(M$1,[3]enemies!$1:$1,0)-MATCH($L$1,[3]enemies!$1:$1,0)+1),MATCH(M$1,[3]enemies!$1:$1,0)-MATCH($L$1,[3]enemies!$1:$1,0)+1,FALSE)</f>
        <v>ハイディン・オーガ</v>
      </c>
      <c r="N10" s="114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14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14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14">
        <f ca="1">VLOOKUP($L10,OFFSET([3]enemies!$A$1,0,0,COUNTA([3]enemies!$A:$A),MATCH(Q$1,[3]enemies!$1:$1,0)-MATCH($L$1,[3]enemies!$1:$1,0)+1),MATCH(Q$1,[3]enemies!$1:$1,0)-MATCH($L$1,[3]enemies!$1:$1,0)+1,FALSE)</f>
        <v>30</v>
      </c>
      <c r="R10" s="115">
        <v>60</v>
      </c>
      <c r="S10" s="25">
        <v>2.2000000000000002</v>
      </c>
      <c r="T10" s="25">
        <v>0.5</v>
      </c>
      <c r="U10" s="115">
        <v>0</v>
      </c>
      <c r="V10" s="137" t="str">
        <f ca="1">VLOOKUP($W10,OFFSET(enemy_skill_sets!$B$1,0,0,COUNTA(enemy_skill_sets!$B:$B),MATCH(M$1,enemy_skill_sets!$1:$1,0)-MATCH($W$1,enemy_skill_sets!$1:$1,0)+2),MATCH(M$1,enemy_skill_sets!$1:$1,0)-MATCH($W$1,enemy_skill_sets!$1:$1,0)+2,FALSE)</f>
        <v>5ターン攻撃力UP</v>
      </c>
      <c r="W10" s="140">
        <v>30022008</v>
      </c>
      <c r="X10" s="116">
        <v>1</v>
      </c>
      <c r="Y10" s="116">
        <v>100</v>
      </c>
      <c r="Z10" s="116">
        <v>1</v>
      </c>
      <c r="AA10" s="117">
        <v>1</v>
      </c>
      <c r="AB10" s="118">
        <f t="shared" si="3"/>
        <v>504</v>
      </c>
      <c r="AC10" s="112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ハイディン・オーガ</v>
      </c>
      <c r="AD10" s="112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112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97">
        <v>1</v>
      </c>
      <c r="AG10" s="118">
        <f t="shared" ca="1" si="4"/>
        <v>4</v>
      </c>
      <c r="AH10" s="119">
        <v>50</v>
      </c>
      <c r="AI10" s="97">
        <v>0</v>
      </c>
      <c r="AJ10" s="97">
        <v>0</v>
      </c>
      <c r="AK10" s="97">
        <v>0</v>
      </c>
      <c r="AL10" s="97">
        <v>0</v>
      </c>
      <c r="AM10" s="97">
        <v>1</v>
      </c>
      <c r="AN10" s="120">
        <v>1</v>
      </c>
    </row>
    <row r="11" spans="1:40" s="132" customFormat="1" ht="21" customHeight="1" x14ac:dyDescent="0.15">
      <c r="A11" s="103" t="str">
        <f t="shared" ca="1" si="0"/>
        <v>30022_2-1/27&lt;lv35&gt;s1</v>
      </c>
      <c r="B11" s="122">
        <v>30022</v>
      </c>
      <c r="C11" s="106">
        <v>2</v>
      </c>
      <c r="D11" s="108" t="str">
        <f t="shared" si="1"/>
        <v>30022_2</v>
      </c>
      <c r="E11" s="123" t="str">
        <f ca="1">VLOOKUP($B11,OFFSET([2]quests!$A$1,0,0,COUNTA([2]quests!$A:$A),MATCH(E$1,[2]quests!$1:$1,0)-MATCH($B$1,[2]quests!$1:$1,0)+1),MATCH(E$1,[2]quests!$1:$1,0)-MATCH($B$1,[2]quests!$1:$1,0)+1,FALSE)</f>
        <v>凶鼠ネコを咬む</v>
      </c>
      <c r="F11" s="123" t="str">
        <f ca="1">VLOOKUP($D11,OFFSET([2]stages!$A$1,0,0,COUNTA([2]stages!$A:$A),MATCH(F$1,[2]stages!$2:$2,0)-MATCH($D$1,[2]stages!$2:$2,0)+1),MATCH(F$1,[2]stages!$2:$2,0)-MATCH($D$1,[2]stages!$2:$2,0)+1,FALSE)</f>
        <v>【超絶級】凶鼠ネコを咬む</v>
      </c>
      <c r="G11" s="106">
        <v>1</v>
      </c>
      <c r="H11" s="108" t="str">
        <f t="shared" si="2"/>
        <v>30022_2-1</v>
      </c>
      <c r="I11" s="123">
        <f ca="1">VLOOKUP($H11,OFFSET(floors!$A$1,0,0,COUNTA(floors!$A:$A),MATCH(I$1,floors!$1:$1,0)-MATCH($H$1,floors!$1:$1,0)+1),MATCH(I$1,floors!$1:$1,0)-MATCH($H$1,floors!$1:$1,0)+1,FALSE)</f>
        <v>30</v>
      </c>
      <c r="J11" s="123">
        <f ca="1">VLOOKUP($H11,OFFSET(floors!$A$1,0,0,COUNTA(floors!$A:$A),MATCH(J$1,floors!$1:$1,0)-MATCH($H$1,floors!$1:$1,0)+1),MATCH(J$1,floors!$1:$1,0)-MATCH($H$1,floors!$1:$1,0)+1,FALSE)</f>
        <v>30</v>
      </c>
      <c r="K11" s="109" t="s">
        <v>53</v>
      </c>
      <c r="L11" s="124">
        <v>27</v>
      </c>
      <c r="M11" s="125" t="str">
        <f ca="1">VLOOKUP($L11,OFFSET([3]enemies!$A$1,0,0,COUNTA([3]enemies!$A:$A),MATCH(M$1,[3]enemies!$1:$1,0)-MATCH($L$1,[3]enemies!$1:$1,0)+1),MATCH(M$1,[3]enemies!$1:$1,0)-MATCH($L$1,[3]enemies!$1:$1,0)+1,FALSE)</f>
        <v>パトライン</v>
      </c>
      <c r="N11" s="125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25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25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25">
        <f ca="1">VLOOKUP($L11,OFFSET([3]enemies!$A$1,0,0,COUNTA([3]enemies!$A:$A),MATCH(Q$1,[3]enemies!$1:$1,0)-MATCH($L$1,[3]enemies!$1:$1,0)+1),MATCH(Q$1,[3]enemies!$1:$1,0)-MATCH($L$1,[3]enemies!$1:$1,0)+1,FALSE)</f>
        <v>15</v>
      </c>
      <c r="R11" s="126">
        <v>35</v>
      </c>
      <c r="S11" s="127">
        <v>3</v>
      </c>
      <c r="T11" s="127">
        <v>3</v>
      </c>
      <c r="U11" s="126">
        <v>0</v>
      </c>
      <c r="V11" s="138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全体回復</v>
      </c>
      <c r="W11" s="141">
        <v>30022000</v>
      </c>
      <c r="X11" s="128">
        <v>0</v>
      </c>
      <c r="Y11" s="128">
        <v>100</v>
      </c>
      <c r="Z11" s="128">
        <v>0</v>
      </c>
      <c r="AA11" s="125">
        <f ca="1">VLOOKUP($L11,OFFSET([3]enemies!$A$1,0,0,COUNTA([3]enemies!$A:$A),MATCH(AA$1,[3]enemies!$1:$1,0)-MATCH($L$1,[3]enemies!$1:$1,0)+1),MATCH(AA$1,[3]enemies!$1:$1,0)-MATCH($L$1,[3]enemies!$1:$1,0)+1,FALSE)</f>
        <v>1</v>
      </c>
      <c r="AB11" s="129">
        <f t="shared" si="3"/>
        <v>27</v>
      </c>
      <c r="AC11" s="12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1" s="123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12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104">
        <v>1</v>
      </c>
      <c r="AG11" s="129">
        <f t="shared" ca="1" si="4"/>
        <v>1</v>
      </c>
      <c r="AH11" s="130">
        <v>20</v>
      </c>
      <c r="AI11" s="104">
        <v>0</v>
      </c>
      <c r="AJ11" s="104">
        <v>0</v>
      </c>
      <c r="AK11" s="104">
        <v>0</v>
      </c>
      <c r="AL11" s="104">
        <v>0</v>
      </c>
      <c r="AM11" s="104">
        <v>1</v>
      </c>
      <c r="AN11" s="131">
        <v>1</v>
      </c>
    </row>
    <row r="12" spans="1:40" ht="21" customHeight="1" x14ac:dyDescent="0.15">
      <c r="A12" s="16" t="str">
        <f t="shared" ca="1" si="0"/>
        <v>30022_2-1/31&lt;lv35&gt;s2</v>
      </c>
      <c r="B12" s="22">
        <v>30022</v>
      </c>
      <c r="C12" s="21">
        <v>2</v>
      </c>
      <c r="D12" s="2" t="str">
        <f t="shared" si="1"/>
        <v>30022_2</v>
      </c>
      <c r="E12" s="4" t="str">
        <f ca="1">VLOOKUP($B12,OFFSET([2]quests!$A$1,0,0,COUNTA([2]quests!$A:$A),MATCH(E$1,[2]quests!$1:$1,0)-MATCH($B$1,[2]quests!$1:$1,0)+1),MATCH(E$1,[2]quests!$1:$1,0)-MATCH($B$1,[2]quests!$1:$1,0)+1,FALSE)</f>
        <v>凶鼠ネコを咬む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【超絶級】凶鼠ネコを咬む</v>
      </c>
      <c r="G12" s="21">
        <v>1</v>
      </c>
      <c r="H12" s="15" t="str">
        <f t="shared" si="2"/>
        <v>30022_2-1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 t="s">
        <v>200</v>
      </c>
      <c r="L12" s="20">
        <v>31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マービー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35</v>
      </c>
      <c r="S12" s="25">
        <v>2.8</v>
      </c>
      <c r="T12" s="25">
        <v>2.6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12" s="139">
        <v>30022001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f t="shared" si="3"/>
        <v>31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4"/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ca="1" si="0"/>
        <v>30022_2-1/360&lt;lv35&gt;s3</v>
      </c>
      <c r="B13" s="22">
        <v>30022</v>
      </c>
      <c r="C13" s="21">
        <v>2</v>
      </c>
      <c r="D13" s="2" t="str">
        <f t="shared" si="1"/>
        <v>30022_2</v>
      </c>
      <c r="E13" s="4" t="str">
        <f ca="1">VLOOKUP($B13,OFFSET([2]quests!$A$1,0,0,COUNTA([2]quests!$A:$A),MATCH(E$1,[2]quests!$1:$1,0)-MATCH($B$1,[2]quests!$1:$1,0)+1),MATCH(E$1,[2]quests!$1:$1,0)-MATCH($B$1,[2]quests!$1:$1,0)+1,FALSE)</f>
        <v>凶鼠ネコを咬む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【超絶級】凶鼠ネコを咬む</v>
      </c>
      <c r="G13" s="21">
        <v>1</v>
      </c>
      <c r="H13" s="15" t="str">
        <f t="shared" si="2"/>
        <v>30022_2-1</v>
      </c>
      <c r="I13" s="4">
        <f ca="1">VLOOKUP($H13,OFFSET(floors!$A$1,0,0,COUNTA(floors!$A:$A),MATCH(I$1,floors!$1:$1,0)-MATCH($H$1,floors!$1:$1,0)+1),MATCH(I$1,floors!$1:$1,0)-MATCH($H$1,floors!$1:$1,0)+1,FALSE)</f>
        <v>30</v>
      </c>
      <c r="J13" s="4">
        <f ca="1">VLOOKUP($H13,OFFSET(floors!$A$1,0,0,COUNTA(floors!$A:$A),MATCH(J$1,floors!$1:$1,0)-MATCH($H$1,floors!$1:$1,0)+1),MATCH(J$1,floors!$1:$1,0)-MATCH($H$1,floors!$1:$1,0)+1,FALSE)</f>
        <v>30</v>
      </c>
      <c r="K13" s="38" t="s">
        <v>53</v>
      </c>
      <c r="L13" s="20">
        <v>360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ガンテツ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35</v>
      </c>
      <c r="S13" s="25">
        <v>2</v>
      </c>
      <c r="T13" s="25">
        <v>2.2999999999999998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種族ヒューマンのユニットに大ダメージ</v>
      </c>
      <c r="W13" s="139">
        <v>30022002</v>
      </c>
      <c r="X13" s="6">
        <v>0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3</v>
      </c>
      <c r="AB13" s="24">
        <f t="shared" si="3"/>
        <v>360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4">
        <f t="shared" ca="1" si="4"/>
        <v>2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ca="1" si="0"/>
        <v>30022_2-1/364&lt;lv35&gt;s3</v>
      </c>
      <c r="B14" s="22">
        <v>30022</v>
      </c>
      <c r="C14" s="21">
        <v>2</v>
      </c>
      <c r="D14" s="2" t="str">
        <f t="shared" si="1"/>
        <v>30022_2</v>
      </c>
      <c r="E14" s="4" t="str">
        <f ca="1">VLOOKUP($B14,OFFSET([2]quests!$A$1,0,0,COUNTA([2]quests!$A:$A),MATCH(E$1,[2]quests!$1:$1,0)-MATCH($B$1,[2]quests!$1:$1,0)+1),MATCH(E$1,[2]quests!$1:$1,0)-MATCH($B$1,[2]quests!$1:$1,0)+1,FALSE)</f>
        <v>凶鼠ネコを咬む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【超絶級】凶鼠ネコを咬む</v>
      </c>
      <c r="G14" s="21">
        <v>1</v>
      </c>
      <c r="H14" s="15" t="str">
        <f t="shared" si="2"/>
        <v>30022_2-1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38" t="s">
        <v>200</v>
      </c>
      <c r="L14" s="20">
        <v>364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ノエル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35</v>
      </c>
      <c r="S14" s="25">
        <v>2.2999999999999998</v>
      </c>
      <c r="T14" s="25">
        <v>1.5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種族ヒューマンのユニットに大ダメージ</v>
      </c>
      <c r="W14" s="139">
        <v>30022003</v>
      </c>
      <c r="X14" s="6">
        <v>0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3</v>
      </c>
      <c r="AB14" s="24">
        <f t="shared" si="3"/>
        <v>364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7">
        <v>1</v>
      </c>
      <c r="AG14" s="24">
        <f t="shared" ca="1" si="4"/>
        <v>2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si="0"/>
        <v>30022_2-2/36&lt;lv35&gt;s4</v>
      </c>
      <c r="B15" s="22">
        <v>30022</v>
      </c>
      <c r="C15" s="21">
        <v>2</v>
      </c>
      <c r="D15" s="2" t="str">
        <f t="shared" si="1"/>
        <v>30022_2</v>
      </c>
      <c r="E15" s="4" t="str">
        <f ca="1">VLOOKUP($B15,OFFSET([2]quests!$A$1,0,0,COUNTA([2]quests!$A:$A),MATCH(E$1,[2]quests!$1:$1,0)-MATCH($B$1,[2]quests!$1:$1,0)+1),MATCH(E$1,[2]quests!$1:$1,0)-MATCH($B$1,[2]quests!$1:$1,0)+1,FALSE)</f>
        <v>凶鼠ネコを咬む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【超絶級】凶鼠ネコを咬む</v>
      </c>
      <c r="G15" s="133">
        <v>2</v>
      </c>
      <c r="H15" s="15" t="str">
        <f t="shared" si="2"/>
        <v>30022_2-2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200</v>
      </c>
      <c r="L15" s="20">
        <v>36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オフィス追尾型移動地雷F3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35</v>
      </c>
      <c r="S15" s="25">
        <v>1.5</v>
      </c>
      <c r="T15" s="25">
        <v>0.8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自爆攻撃</v>
      </c>
      <c r="W15" s="139">
        <v>30022005</v>
      </c>
      <c r="X15" s="6">
        <v>2</v>
      </c>
      <c r="Y15" s="6">
        <v>100</v>
      </c>
      <c r="Z15" s="6">
        <v>0</v>
      </c>
      <c r="AA15" s="110">
        <v>4</v>
      </c>
      <c r="AB15" s="24">
        <f t="shared" si="3"/>
        <v>36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7">
        <v>1</v>
      </c>
      <c r="AG15" s="24">
        <f t="shared" ca="1" si="4"/>
        <v>3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ref="A16" si="10">B16&amp;"_"&amp;C16&amp;"-"&amp;G16&amp;"/"&amp;L16&amp;"&lt;lv"&amp;R16&amp;"&gt;s"&amp;AA16</f>
        <v>30022_2-2/36&lt;lv36&gt;s4</v>
      </c>
      <c r="B16" s="22">
        <v>30022</v>
      </c>
      <c r="C16" s="21">
        <v>2</v>
      </c>
      <c r="D16" s="2" t="str">
        <f t="shared" ref="D16" si="11">B16&amp;"_"&amp;C16</f>
        <v>30022_2</v>
      </c>
      <c r="E16" s="4" t="str">
        <f ca="1">VLOOKUP($B16,OFFSET([2]quests!$A$1,0,0,COUNTA([2]quests!$A:$A),MATCH(E$1,[2]quests!$1:$1,0)-MATCH($B$1,[2]quests!$1:$1,0)+1),MATCH(E$1,[2]quests!$1:$1,0)-MATCH($B$1,[2]quests!$1:$1,0)+1,FALSE)</f>
        <v>凶鼠ネコを咬む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【超絶級】凶鼠ネコを咬む</v>
      </c>
      <c r="G16" s="133">
        <v>2</v>
      </c>
      <c r="H16" s="15" t="str">
        <f t="shared" ref="H16" si="12">B16&amp;"_"&amp;C16&amp;"-"&amp;G16</f>
        <v>30022_2-2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36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オフィス追尾型移動地雷F3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36</v>
      </c>
      <c r="S16" s="25">
        <v>1.5</v>
      </c>
      <c r="T16" s="25">
        <v>0.8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自爆攻撃</v>
      </c>
      <c r="W16" s="139">
        <v>30022011</v>
      </c>
      <c r="X16" s="6">
        <v>1</v>
      </c>
      <c r="Y16" s="6">
        <v>100</v>
      </c>
      <c r="Z16" s="6">
        <v>1</v>
      </c>
      <c r="AA16" s="110">
        <v>4</v>
      </c>
      <c r="AB16" s="24">
        <f t="shared" ref="AB16" si="13">L16</f>
        <v>36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4">
        <f t="shared" ref="AG16" ca="1" si="14">AD16</f>
        <v>3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si="0"/>
        <v>30022_2-3/303&lt;lv50&gt;s2</v>
      </c>
      <c r="B17" s="22">
        <v>30022</v>
      </c>
      <c r="C17" s="21">
        <v>2</v>
      </c>
      <c r="D17" s="2" t="str">
        <f t="shared" si="1"/>
        <v>30022_2</v>
      </c>
      <c r="E17" s="4" t="str">
        <f ca="1">VLOOKUP($B17,OFFSET([2]quests!$A$1,0,0,COUNTA([2]quests!$A:$A),MATCH(E$1,[2]quests!$1:$1,0)-MATCH($B$1,[2]quests!$1:$1,0)+1),MATCH(E$1,[2]quests!$1:$1,0)-MATCH($B$1,[2]quests!$1:$1,0)+1,FALSE)</f>
        <v>凶鼠ネコを咬む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【超絶級】凶鼠ネコを咬む</v>
      </c>
      <c r="G17" s="21">
        <v>3</v>
      </c>
      <c r="H17" s="15" t="str">
        <f t="shared" si="2"/>
        <v>30022_2-3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200</v>
      </c>
      <c r="L17" s="20">
        <v>303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哄笑の禁縛 リサ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50</v>
      </c>
      <c r="S17" s="25">
        <v>2.4</v>
      </c>
      <c r="T17" s="25">
        <v>0.8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3ターンスキルバインド＋攻撃</v>
      </c>
      <c r="W17" s="139">
        <v>30022006</v>
      </c>
      <c r="X17" s="6">
        <v>1</v>
      </c>
      <c r="Y17" s="6">
        <v>100</v>
      </c>
      <c r="Z17" s="6">
        <v>1</v>
      </c>
      <c r="AA17" s="110">
        <v>2</v>
      </c>
      <c r="AB17" s="24">
        <f t="shared" si="3"/>
        <v>303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哄笑の禁縛 リサ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Drop2W</v>
      </c>
      <c r="AF17" s="7">
        <v>1</v>
      </c>
      <c r="AG17" s="24">
        <f t="shared" ca="1" si="4"/>
        <v>4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si="0"/>
        <v>30022_2-3/305&lt;lv50&gt;s3</v>
      </c>
      <c r="B18" s="22">
        <v>30022</v>
      </c>
      <c r="C18" s="21">
        <v>2</v>
      </c>
      <c r="D18" s="2" t="str">
        <f t="shared" si="1"/>
        <v>30022_2</v>
      </c>
      <c r="E18" s="4" t="str">
        <f ca="1">VLOOKUP($B18,OFFSET([2]quests!$A$1,0,0,COUNTA([2]quests!$A:$A),MATCH(E$1,[2]quests!$1:$1,0)-MATCH($B$1,[2]quests!$1:$1,0)+1),MATCH(E$1,[2]quests!$1:$1,0)-MATCH($B$1,[2]quests!$1:$1,0)+1,FALSE)</f>
        <v>凶鼠ネコを咬む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【超絶級】凶鼠ネコを咬む</v>
      </c>
      <c r="G18" s="21">
        <v>3</v>
      </c>
      <c r="H18" s="15" t="str">
        <f t="shared" si="2"/>
        <v>30022_2-3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200</v>
      </c>
      <c r="L18" s="20">
        <v>305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螺旋の雷電 チエミ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50</v>
      </c>
      <c r="S18" s="25">
        <v>2.4</v>
      </c>
      <c r="T18" s="25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8" s="139">
        <v>30022007</v>
      </c>
      <c r="X18" s="6">
        <v>1</v>
      </c>
      <c r="Y18" s="6">
        <v>100</v>
      </c>
      <c r="Z18" s="6">
        <v>2</v>
      </c>
      <c r="AA18" s="110">
        <v>3</v>
      </c>
      <c r="AB18" s="24">
        <f t="shared" si="3"/>
        <v>305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螺旋の雷電 チエミ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Drop2W</v>
      </c>
      <c r="AF18" s="7">
        <v>1</v>
      </c>
      <c r="AG18" s="24">
        <f t="shared" ca="1" si="4"/>
        <v>4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si="0"/>
        <v>30022_2-4/505&lt;lv60&gt;s1</v>
      </c>
      <c r="B19" s="22">
        <v>30022</v>
      </c>
      <c r="C19" s="21">
        <v>2</v>
      </c>
      <c r="D19" s="2" t="str">
        <f t="shared" si="1"/>
        <v>30022_2</v>
      </c>
      <c r="E19" s="4" t="str">
        <f ca="1">VLOOKUP($B19,OFFSET([2]quests!$A$1,0,0,COUNTA([2]quests!$A:$A),MATCH(E$1,[2]quests!$1:$1,0)-MATCH($B$1,[2]quests!$1:$1,0)+1),MATCH(E$1,[2]quests!$1:$1,0)-MATCH($B$1,[2]quests!$1:$1,0)+1,FALSE)</f>
        <v>凶鼠ネコを咬む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【超絶級】凶鼠ネコを咬む</v>
      </c>
      <c r="G19" s="133">
        <v>4</v>
      </c>
      <c r="H19" s="15" t="str">
        <f t="shared" si="2"/>
        <v>30022_2-4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2</v>
      </c>
      <c r="L19" s="20">
        <v>505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暴虐の漏洩 ハイディン・オーガ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5">
        <v>2.1</v>
      </c>
      <c r="T19" s="25">
        <v>0.5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5ターン攻撃力UP</v>
      </c>
      <c r="W19" s="139">
        <v>30022008</v>
      </c>
      <c r="X19" s="6">
        <v>1</v>
      </c>
      <c r="Y19" s="6">
        <v>100</v>
      </c>
      <c r="Z19" s="6">
        <v>1</v>
      </c>
      <c r="AA19" s="110">
        <v>1</v>
      </c>
      <c r="AB19" s="173">
        <v>504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ハイディン・オーガ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4">
        <f t="shared" ca="1" si="4"/>
        <v>4</v>
      </c>
      <c r="AH19" s="8">
        <v>100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</sheetData>
  <sheetProtection selectLockedCells="1" selectUnlockedCells="1"/>
  <autoFilter ref="B1:AH13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O20" sqref="O2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thickBot="1" x14ac:dyDescent="0.2">
      <c r="A2" s="16" t="str">
        <f>B2&amp;"_"&amp;C2&amp;"-"&amp;G2&amp;"/"&amp;M2&amp;"&lt;lv"&amp;S2&amp;"&gt;sq"&amp;K2&amp;"st"&amp;L2</f>
        <v>30022_1-4/504&lt;lv60&gt;sq1st2</v>
      </c>
      <c r="B2" s="22">
        <v>30022</v>
      </c>
      <c r="C2" s="21">
        <v>1</v>
      </c>
      <c r="D2" s="2" t="str">
        <f>B2&amp;"_"&amp;C2</f>
        <v>30022_1</v>
      </c>
      <c r="E2" s="4" t="str">
        <f ca="1">VLOOKUP($B2,OFFSET([2]quests!$A$1,0,0,COUNTA([2]quests!$A:$A),MATCH(E$1,[2]quests!$1:$1,0)-MATCH($B$1,[2]quests!$1:$1,0)+1),MATCH(E$1,[2]quests!$1:$1,0)-MATCH($B$1,[2]quests!$1:$1,0)+1,FALSE)</f>
        <v>凶鼠ネコを咬む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【超級】凶鼠ネコを咬む</v>
      </c>
      <c r="G2" s="21">
        <v>4</v>
      </c>
      <c r="H2" s="15" t="str">
        <f>B2&amp;"_"&amp;C2&amp;"-"&amp;G2</f>
        <v>30022_1-4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504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ハイディン・オーガ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5">
        <v>4</v>
      </c>
      <c r="U2" s="25">
        <v>0.6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39">
        <v>30022009</v>
      </c>
      <c r="Y2" s="135">
        <v>1</v>
      </c>
    </row>
    <row r="3" spans="1:25" s="153" customFormat="1" ht="21" customHeight="1" x14ac:dyDescent="0.15">
      <c r="A3" s="142" t="str">
        <f>B3&amp;"_"&amp;C3&amp;"-"&amp;G3&amp;"/"&amp;M3&amp;"&lt;lv"&amp;S3&amp;"&gt;sq"&amp;K3&amp;"st"&amp;L3</f>
        <v>30022_2-4/505&lt;lv60&gt;sq2st2</v>
      </c>
      <c r="B3" s="143">
        <v>30022</v>
      </c>
      <c r="C3" s="144">
        <v>2</v>
      </c>
      <c r="D3" s="145" t="str">
        <f>B3&amp;"_"&amp;C3</f>
        <v>30022_2</v>
      </c>
      <c r="E3" s="138" t="str">
        <f ca="1">VLOOKUP($B3,OFFSET([2]quests!$A$1,0,0,COUNTA([2]quests!$A:$A),MATCH(E$1,[2]quests!$1:$1,0)-MATCH($B$1,[2]quests!$1:$1,0)+1),MATCH(E$1,[2]quests!$1:$1,0)-MATCH($B$1,[2]quests!$1:$1,0)+1,FALSE)</f>
        <v>凶鼠ネコを咬む</v>
      </c>
      <c r="F3" s="138" t="str">
        <f ca="1">VLOOKUP($D3,OFFSET([2]stages!$A$1,0,0,COUNTA([2]stages!$A:$A),MATCH(F$1,[2]stages!$2:$2,0)-MATCH($D$1,[2]stages!$2:$2,0)+1),MATCH(F$1,[2]stages!$2:$2,0)-MATCH($D$1,[2]stages!$2:$2,0)+1,FALSE)</f>
        <v>【超絶級】凶鼠ネコを咬む</v>
      </c>
      <c r="G3" s="144">
        <v>4</v>
      </c>
      <c r="H3" s="145" t="str">
        <f>B3&amp;"_"&amp;C3&amp;"-"&amp;G3</f>
        <v>30022_2-4</v>
      </c>
      <c r="I3" s="138">
        <f ca="1">VLOOKUP($H3,OFFSET(floors!$A$1,0,0,COUNTA(floors!$A:$A),MATCH(I$1,floors!$1:$1,0)-MATCH($H$1,floors!$1:$1,0)+1),MATCH(I$1,floors!$1:$1,0)-MATCH($H$1,floors!$1:$1,0)+1,FALSE)</f>
        <v>60</v>
      </c>
      <c r="J3" s="138">
        <f ca="1">VLOOKUP($H3,OFFSET(floors!$A$1,0,0,COUNTA(floors!$A:$A),MATCH(J$1,floors!$1:$1,0)-MATCH($H$1,floors!$1:$1,0)+1),MATCH(J$1,floors!$1:$1,0)-MATCH($H$1,floors!$1:$1,0)+1,FALSE)</f>
        <v>60</v>
      </c>
      <c r="K3" s="146">
        <v>2</v>
      </c>
      <c r="L3" s="146">
        <v>2</v>
      </c>
      <c r="M3" s="147">
        <v>505</v>
      </c>
      <c r="N3" s="148" t="str">
        <f ca="1">VLOOKUP($M3,OFFSET([3]enemies!$A$1,0,0,COUNTA([3]enemies!$A:$A),MATCH(N$1,[3]enemies!$1:$1,0)-MATCH($M$1,[3]enemies!$1:$1,0)+1),MATCH(N$1,[3]enemies!$1:$1,0)-MATCH($M$1,[3]enemies!$1:$1,0)+1,FALSE)</f>
        <v>暴虐の漏洩 ハイディン・オーガ</v>
      </c>
      <c r="O3" s="148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48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48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48">
        <f ca="1">VLOOKUP($M3,OFFSET([3]enemies!$A$1,0,0,COUNTA([3]enemies!$A:$A),MATCH(R$1,[3]enemies!$1:$1,0)-MATCH($M$1,[3]enemies!$1:$1,0)+1),MATCH(R$1,[3]enemies!$1:$1,0)-MATCH($M$1,[3]enemies!$1:$1,0)+1,FALSE)</f>
        <v>60</v>
      </c>
      <c r="S3" s="149">
        <v>60</v>
      </c>
      <c r="T3" s="150">
        <v>3.8</v>
      </c>
      <c r="U3" s="150">
        <v>0.6</v>
      </c>
      <c r="V3" s="149">
        <v>0</v>
      </c>
      <c r="W3" s="138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51">
        <v>30022009</v>
      </c>
      <c r="Y3" s="152">
        <v>1</v>
      </c>
    </row>
    <row r="4" spans="1:25" ht="21" customHeight="1" x14ac:dyDescent="0.15">
      <c r="A4" s="16" t="str">
        <f>B4&amp;"_"&amp;C4&amp;"-"&amp;G4&amp;"/"&amp;M4&amp;"&lt;lv"&amp;S4&amp;"&gt;sq"&amp;K4&amp;"st"&amp;L4</f>
        <v>30022_2-4/505&lt;lv60&gt;sq2st3</v>
      </c>
      <c r="B4" s="22">
        <v>30022</v>
      </c>
      <c r="C4" s="21">
        <v>2</v>
      </c>
      <c r="D4" s="2" t="str">
        <f>B4&amp;"_"&amp;C4</f>
        <v>30022_2</v>
      </c>
      <c r="E4" s="4" t="str">
        <f ca="1">VLOOKUP($B4,OFFSET([2]quests!$A$1,0,0,COUNTA([2]quests!$A:$A),MATCH(E$1,[2]quests!$1:$1,0)-MATCH($B$1,[2]quests!$1:$1,0)+1),MATCH(E$1,[2]quests!$1:$1,0)-MATCH($B$1,[2]quests!$1:$1,0)+1,FALSE)</f>
        <v>凶鼠ネコを咬む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【超絶級】凶鼠ネコを咬む</v>
      </c>
      <c r="G4" s="21">
        <v>4</v>
      </c>
      <c r="H4" s="15" t="str">
        <f>B4&amp;"_"&amp;C4&amp;"-"&amp;G4</f>
        <v>30022_2-4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505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暴虐の漏洩 ハイディン・オーガ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2.4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39">
        <v>30022010</v>
      </c>
      <c r="Y4" s="135">
        <v>1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6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H40" sqref="H4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30022000_30022000</v>
      </c>
      <c r="B2" s="47">
        <v>30022000</v>
      </c>
      <c r="C2" s="47">
        <v>30022000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エネルギー生産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全体回復</v>
      </c>
      <c r="F2" s="95">
        <v>30022000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30022001_30022001</v>
      </c>
      <c r="B3" s="47">
        <v>30022001</v>
      </c>
      <c r="C3" s="47">
        <v>30022001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活性化パルス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" s="162">
        <v>30022001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5" si="2">B4&amp;"_"&amp;C4</f>
        <v>30022002_30022002</v>
      </c>
      <c r="B4" s="47">
        <v>30022002</v>
      </c>
      <c r="C4" s="47">
        <v>30022002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酸化マヨビーム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4" s="162">
        <v>30022002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7"/>
      <c r="Q4" s="47"/>
      <c r="R4" s="47"/>
    </row>
    <row r="5" spans="1:18" ht="21" customHeight="1" x14ac:dyDescent="0.15">
      <c r="A5" s="39" t="str">
        <f t="shared" si="2"/>
        <v>30022003_30022003</v>
      </c>
      <c r="B5" s="47">
        <v>30022003</v>
      </c>
      <c r="C5" s="47">
        <v>30022003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ネックハンター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5" s="162">
        <v>30022003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" s="47"/>
      <c r="Q5" s="47"/>
      <c r="R5" s="47"/>
    </row>
    <row r="6" spans="1:18" ht="21" customHeight="1" x14ac:dyDescent="0.15">
      <c r="A6" s="39" t="str">
        <f t="shared" ref="A6:A7" si="3">B6&amp;"_"&amp;C6</f>
        <v>30022004_30022004</v>
      </c>
      <c r="B6" s="163">
        <v>30022004</v>
      </c>
      <c r="C6" s="163">
        <v>30022004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オーバーヒート！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自爆攻撃</v>
      </c>
      <c r="F6" s="162">
        <v>30022004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3"/>
        <v>30022005_30022005</v>
      </c>
      <c r="B7" s="47">
        <v>30022005</v>
      </c>
      <c r="C7" s="47">
        <v>30022005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オーバーヒート！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自爆攻撃</v>
      </c>
      <c r="F7" s="162">
        <v>30022005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4">B8&amp;"_"&amp;C8</f>
        <v>30022006_30022006</v>
      </c>
      <c r="B8" s="47">
        <v>30022006</v>
      </c>
      <c r="C8" s="47">
        <v>30022006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いいわね…その表情…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3ターンスキルバインド＋攻撃</v>
      </c>
      <c r="F8" s="162">
        <v>30022006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ref="A9:A10" si="5">B9&amp;"_"&amp;C9</f>
        <v>30022006_30022007</v>
      </c>
      <c r="B9" s="47">
        <v>30022006</v>
      </c>
      <c r="C9" s="47">
        <v>30022007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これで動けないでしょう…？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2ターンスキルバインド＋全体攻撃</v>
      </c>
      <c r="F9" s="162">
        <v>30022007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7"/>
      <c r="Q9" s="47"/>
      <c r="R9" s="47"/>
    </row>
    <row r="10" spans="1:18" ht="21" customHeight="1" x14ac:dyDescent="0.15">
      <c r="A10" s="39" t="str">
        <f t="shared" si="5"/>
        <v>30022006_30022008</v>
      </c>
      <c r="B10" s="47">
        <v>30022006</v>
      </c>
      <c r="C10" s="47">
        <v>30022008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もっと苦痛を聞かせて…！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0" s="162">
        <v>30022008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:A15" si="6">B11&amp;"_"&amp;C11</f>
        <v>30022006_30022009</v>
      </c>
      <c r="B11" s="47">
        <v>30022006</v>
      </c>
      <c r="C11" s="47">
        <v>30022009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フフ…逃がさないわよ…♪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3ターンタップ回数を2減少</v>
      </c>
      <c r="F11" s="162">
        <v>30022009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6"/>
        <v>30022006_30022032</v>
      </c>
      <c r="B12" s="164">
        <v>30022006</v>
      </c>
      <c r="C12" s="164">
        <v>30022032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チエちゃん…その顔ステキ…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12" s="162">
        <v>30022032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305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6"/>
        <v>30022007_30022010</v>
      </c>
      <c r="B13" s="47">
        <v>30022007</v>
      </c>
      <c r="C13" s="47">
        <v>30022010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ビリビリあたっく！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162">
        <v>30022010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6"/>
        <v>30022007_30022011</v>
      </c>
      <c r="B14" s="47">
        <v>30022007</v>
      </c>
      <c r="C14" s="47">
        <v>30022011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も〜乱暴しないでよっ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3ターン全属性カウンター</v>
      </c>
      <c r="F14" s="162">
        <v>30022011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6"/>
        <v>30022007_30022012</v>
      </c>
      <c r="B15" s="47">
        <v>30022007</v>
      </c>
      <c r="C15" s="47">
        <v>30022012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しびれちゃえ♪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3ターン黄色パネルが使えない！＋攻撃</v>
      </c>
      <c r="F15" s="162">
        <v>30022012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7"/>
      <c r="Q15" s="47"/>
      <c r="R15" s="47"/>
    </row>
    <row r="16" spans="1:18" ht="21" customHeight="1" x14ac:dyDescent="0.15">
      <c r="A16" s="39" t="str">
        <f t="shared" ref="A16:A22" si="7">B16&amp;"_"&amp;C16</f>
        <v>30022007_30022013</v>
      </c>
      <c r="B16" s="47">
        <v>30022007</v>
      </c>
      <c r="C16" s="47">
        <v>30022013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ほーら！プレゼントだよ！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強力な時限パネル5つ出現</v>
      </c>
      <c r="F16" s="162">
        <v>30022013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8">B17&amp;"_"&amp;C17</f>
        <v>30022007_30022030</v>
      </c>
      <c r="B17" s="164">
        <v>30022007</v>
      </c>
      <c r="C17" s="164">
        <v>30022030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シャバの空気は久しぶり〜♪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囚人たちが解放されている！</v>
      </c>
      <c r="F17" s="162">
        <v>30022030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" si="9">B18&amp;"_"&amp;C18</f>
        <v>30022007_30022033</v>
      </c>
      <c r="B18" s="164">
        <v>30022007</v>
      </c>
      <c r="C18" s="164">
        <v>30022033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リサぁ　もうバテたの？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ひとりじゃ回らないし帰ろ〜っと</v>
      </c>
      <c r="F18" s="162">
        <v>30022033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303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7"/>
        <v>30022008_30022014</v>
      </c>
      <c r="B19" s="47">
        <v>30022008</v>
      </c>
      <c r="C19" s="47">
        <v>30022014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グハハ…次はオマエらダ！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19" s="162">
        <v>30022014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7"/>
        <v>30022008_30022015</v>
      </c>
      <c r="B20" s="47">
        <v>30022008</v>
      </c>
      <c r="C20" s="47">
        <v>30022015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破滅のオーラ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20" s="162">
        <v>30022015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7"/>
        <v>30022008_30022016</v>
      </c>
      <c r="B21" s="47">
        <v>30022008</v>
      </c>
      <c r="C21" s="47">
        <v>30022016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噛み砕き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攻撃力*1.5倍の攻撃</v>
      </c>
      <c r="F21" s="162">
        <v>30022016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7"/>
        <v>30022008_30022017</v>
      </c>
      <c r="B22" s="47">
        <v>30022008</v>
      </c>
      <c r="C22" s="47">
        <v>30022017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なんダ…その攻撃ハ？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3ターン後に強力な一撃！</v>
      </c>
      <c r="F22" s="162">
        <v>30022017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:A27" si="10">B23&amp;"_"&amp;C23</f>
        <v>30022008_30022018</v>
      </c>
      <c r="B23" s="47">
        <v>30022008</v>
      </c>
      <c r="C23" s="47">
        <v>30022018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攻撃トハ、こうヤルノダ！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強力な一撃！</v>
      </c>
      <c r="F23" s="162">
        <v>30022018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0"/>
        <v>30022009_30022019</v>
      </c>
      <c r="B24" s="47">
        <v>30022009</v>
      </c>
      <c r="C24" s="47">
        <v>30022019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オレヲ怒らせたナ…！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24" s="162">
        <v>30022019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0"/>
        <v>30022009_30022020</v>
      </c>
      <c r="B25" s="47">
        <v>30022009</v>
      </c>
      <c r="C25" s="47">
        <v>30022020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ソノ身デ償うがイイ！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攻撃力*3倍の攻撃</v>
      </c>
      <c r="F25" s="162">
        <v>30022020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0"/>
        <v>30022009_30022021</v>
      </c>
      <c r="B26" s="47">
        <v>30022009</v>
      </c>
      <c r="C26" s="47">
        <v>30022021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破滅のオーラ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26" s="162">
        <v>30022021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0"/>
        <v>30022009_30022022</v>
      </c>
      <c r="B27" s="47">
        <v>30022009</v>
      </c>
      <c r="C27" s="47">
        <v>30022022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全力で潰してヤル！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3ターン後に強力な全体攻撃！</v>
      </c>
      <c r="F27" s="162">
        <v>30022022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29" si="11">B28&amp;"_"&amp;C28</f>
        <v>30022009_30022023</v>
      </c>
      <c r="B28" s="47">
        <v>30022009</v>
      </c>
      <c r="C28" s="47">
        <v>30022023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絶望の波動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強力な全体攻撃！</v>
      </c>
      <c r="F28" s="162">
        <v>30022023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1"/>
        <v>30022009_30022024</v>
      </c>
      <c r="B29" s="47">
        <v>30022009</v>
      </c>
      <c r="C29" s="47">
        <v>30022024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グッ…！？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チカラヲ出し過ぎタ…制御ガガガガ！！</v>
      </c>
      <c r="F29" s="162">
        <v>30022024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ref="A30:A33" si="12">B30&amp;"_"&amp;C30</f>
        <v>30022009_30022025</v>
      </c>
      <c r="B30" s="47">
        <v>30022009</v>
      </c>
      <c r="C30" s="47">
        <v>30022025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ヌアァァァッ！！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オーガは耐えられず大爆発した！</v>
      </c>
      <c r="F30" s="162">
        <v>30022025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2"/>
        <v>30022010_30022026</v>
      </c>
      <c r="B31" s="47">
        <v>30022010</v>
      </c>
      <c r="C31" s="47">
        <v>30022026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ガ……ガガガ……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オーガの強大な力が溢れ出してくる！</v>
      </c>
      <c r="F31" s="162">
        <v>30022026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2"/>
        <v>30022999_30022027</v>
      </c>
      <c r="B32" s="154">
        <v>30022999</v>
      </c>
      <c r="C32" s="154">
        <v>30022027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ぼつ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緑パネルを全て時限パネルに変換</v>
      </c>
      <c r="F32" s="162">
        <v>30022027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2"/>
        <v>30022010_30022028</v>
      </c>
      <c r="B33" s="47">
        <v>30022010</v>
      </c>
      <c r="C33" s="47">
        <v>30022028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災禍の奔流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時限パネル出現</v>
      </c>
      <c r="F33" s="162">
        <v>30022028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5" si="13">B34&amp;"_"&amp;C34</f>
        <v>30022010_30022029</v>
      </c>
      <c r="B34" s="47">
        <v>30022010</v>
      </c>
      <c r="C34" s="47">
        <v>30022029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災禍の激流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時限パネル出現＋攻撃</v>
      </c>
      <c r="F34" s="162">
        <v>30022029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3"/>
        <v>30022011_30022005</v>
      </c>
      <c r="B35" s="47">
        <v>30022011</v>
      </c>
      <c r="C35" s="47">
        <v>30022005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オーバーヒート！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自爆攻撃</v>
      </c>
      <c r="F35" s="162">
        <v>30022005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" si="14">B36&amp;"_"&amp;C36</f>
        <v>30022011_30022031</v>
      </c>
      <c r="B36" s="47">
        <v>30022011</v>
      </c>
      <c r="C36" s="47">
        <v>30022031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ピピッ…ガピー！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何者かの手によって暴走している！</v>
      </c>
      <c r="F36" s="162">
        <v>30022031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5"/>
  <sheetViews>
    <sheetView showGridLines="0" zoomScale="85" zoomScaleNormal="85" zoomScalePageLayoutView="85" workbookViewId="0">
      <pane ySplit="1" topLeftCell="A8" activePane="bottomLeft" state="frozenSplit"/>
      <selection pane="bottomLeft" activeCell="F16" sqref="F1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95">
        <v>30022000</v>
      </c>
      <c r="B2" s="47" t="s">
        <v>204</v>
      </c>
      <c r="C2" s="50">
        <v>3</v>
      </c>
      <c r="D2" s="50" t="s">
        <v>128</v>
      </c>
      <c r="E2" s="51" t="s">
        <v>238</v>
      </c>
      <c r="F2" s="51" t="s">
        <v>202</v>
      </c>
      <c r="G2" s="63" t="str">
        <f t="shared" ref="G2:G31" si="0">IFERROR(LEFT(B2,FIND("],",B2)),B2)</f>
        <v>[effect:heal, target:enemy_all, val:0.4, animation:enemy_heal]</v>
      </c>
      <c r="H2" s="63">
        <f t="shared" ref="H2:H31" si="1">FIND("effect:",G2)+7</f>
        <v>9</v>
      </c>
      <c r="I2" s="63">
        <f t="shared" ref="I2:I31" si="2">IFERROR(FIND(",",G2),LEN(G2))</f>
        <v>13</v>
      </c>
      <c r="J2" s="63">
        <f t="shared" ref="J2:J31" si="3">FIND("target:",G2)+7</f>
        <v>22</v>
      </c>
      <c r="K2" s="63">
        <f t="shared" ref="K2:K31" si="4">FIND(",",G2,I2+1)</f>
        <v>31</v>
      </c>
      <c r="L2" s="63" t="str">
        <f>IFERROR(VLOOKUP(MID(G2,J2,K2-J2),[6]skilldef!$C:$D,2,FALSE),"-") &amp; " / " &amp; IFERROR(VLOOKUP(MID(G2,H2,I2-H2),[6]skilldef!$A:$B,2,FALSE),"-")</f>
        <v>敵全体に / 回復</v>
      </c>
      <c r="M2" s="63" t="str">
        <f t="shared" ref="M2:M31" si="5">IFERROR(RIGHT(B2,LEN(B2)-FIND("],",B2)-1),"none")</f>
        <v>none</v>
      </c>
      <c r="N2" s="48" t="str">
        <f t="shared" ref="N2:N9" si="6">IFERROR(LEFT(M2,FIND("],",M2)+S12),M2)</f>
        <v>none</v>
      </c>
      <c r="O2" s="63" t="e">
        <f t="shared" ref="O2:O31" si="7">FIND("effect:",N2)+7</f>
        <v>#VALUE!</v>
      </c>
      <c r="P2" s="63">
        <f t="shared" ref="P2:P31" si="8">IFERROR(FIND(",",N2),LEN(N2))</f>
        <v>4</v>
      </c>
      <c r="Q2" s="63" t="e">
        <f t="shared" ref="Q2:Q31" si="9">FIND("target:",N2)+7</f>
        <v>#VALUE!</v>
      </c>
      <c r="R2" s="63" t="e">
        <f t="shared" ref="R2:R31" si="10"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 t="shared" ref="T2:T31" si="11">IFERROR(RIGHT(M2,LEN(M2)-FIND("],",M2)-1),"none")</f>
        <v>none</v>
      </c>
      <c r="U2" s="63" t="e">
        <f t="shared" ref="U2:U31" si="12">FIND("effect:",T2)+7</f>
        <v>#VALUE!</v>
      </c>
      <c r="V2" s="63">
        <f t="shared" ref="V2:V31" si="13">IFERROR(FIND(",",T2),LEN(T2))</f>
        <v>4</v>
      </c>
      <c r="W2" s="63" t="e">
        <f t="shared" ref="W2:W31" si="14">FIND("target:",T2)+7</f>
        <v>#VALUE!</v>
      </c>
      <c r="X2" s="63" t="e">
        <f t="shared" ref="X2:X31" si="15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95">
        <v>30022001</v>
      </c>
      <c r="B3" s="47" t="s">
        <v>240</v>
      </c>
      <c r="C3" s="50">
        <v>3</v>
      </c>
      <c r="D3" s="50" t="s">
        <v>128</v>
      </c>
      <c r="E3" s="51" t="s">
        <v>239</v>
      </c>
      <c r="F3" s="51" t="s">
        <v>205</v>
      </c>
      <c r="G3" s="63" t="str">
        <f t="shared" si="0"/>
        <v>[effect:enhance_enemy, target:enemy_all, turn:3, status:attack, val:0.3, animation:enemy_enhance_attack]</v>
      </c>
      <c r="H3" s="63">
        <f t="shared" si="1"/>
        <v>9</v>
      </c>
      <c r="I3" s="63">
        <f t="shared" si="2"/>
        <v>22</v>
      </c>
      <c r="J3" s="63">
        <f t="shared" si="3"/>
        <v>31</v>
      </c>
      <c r="K3" s="63">
        <f t="shared" si="4"/>
        <v>40</v>
      </c>
      <c r="L3" s="63" t="str">
        <f>IFERROR(VLOOKUP(MID(G3,J3,K3-J3),[6]skilldef!$C:$D,2,FALSE),"-") &amp; " / " &amp; IFERROR(VLOOKUP(MID(G3,H3,I3-H3),[6]skilldef!$A:$B,2,FALSE),"-")</f>
        <v>敵全体に / ステータス強化</v>
      </c>
      <c r="M3" s="63" t="str">
        <f t="shared" si="5"/>
        <v>none</v>
      </c>
      <c r="N3" s="48" t="str">
        <f t="shared" si="6"/>
        <v>none</v>
      </c>
      <c r="O3" s="63" t="e">
        <f t="shared" si="7"/>
        <v>#VALUE!</v>
      </c>
      <c r="P3" s="63">
        <f t="shared" si="8"/>
        <v>4</v>
      </c>
      <c r="Q3" s="63" t="e">
        <f t="shared" si="9"/>
        <v>#VALUE!</v>
      </c>
      <c r="R3" s="63" t="e">
        <f t="shared" si="10"/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95">
        <v>30022002</v>
      </c>
      <c r="B4" s="47" t="s">
        <v>207</v>
      </c>
      <c r="C4" s="50">
        <v>3</v>
      </c>
      <c r="D4" s="50" t="s">
        <v>128</v>
      </c>
      <c r="E4" s="51" t="s">
        <v>229</v>
      </c>
      <c r="F4" s="51" t="s">
        <v>206</v>
      </c>
      <c r="G4" s="63" t="str">
        <f t="shared" si="0"/>
        <v>[effect:damage_anti_tribe, target:unit_all, tribe:human, val1:1, val2:0.3]</v>
      </c>
      <c r="H4" s="63">
        <f t="shared" si="1"/>
        <v>9</v>
      </c>
      <c r="I4" s="63">
        <f t="shared" si="2"/>
        <v>26</v>
      </c>
      <c r="J4" s="63">
        <f t="shared" si="3"/>
        <v>35</v>
      </c>
      <c r="K4" s="63">
        <f t="shared" si="4"/>
        <v>43</v>
      </c>
      <c r="L4" s="63" t="str">
        <f>IFERROR(VLOOKUP(MID(G4,J4,K4-J4),[6]skilldef!$C:$D,2,FALSE),"-") &amp; " / " &amp; IFERROR(VLOOKUP(MID(G4,H4,I4-H4),[6]skilldef!$A:$B,2,FALSE),"-")</f>
        <v>味方全体に / 種族キラー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95">
        <v>30022003</v>
      </c>
      <c r="B5" s="47" t="s">
        <v>267</v>
      </c>
      <c r="C5" s="50">
        <v>3</v>
      </c>
      <c r="D5" s="50" t="s">
        <v>128</v>
      </c>
      <c r="E5" s="51" t="s">
        <v>230</v>
      </c>
      <c r="F5" s="51" t="s">
        <v>206</v>
      </c>
      <c r="G5" s="63" t="str">
        <f t="shared" si="0"/>
        <v>[effect:damage_anti_tribe, target:unit_one, tribe:human, val1:2.0, val2:1.0]</v>
      </c>
      <c r="H5" s="63">
        <f t="shared" si="1"/>
        <v>9</v>
      </c>
      <c r="I5" s="63">
        <f t="shared" si="2"/>
        <v>26</v>
      </c>
      <c r="J5" s="63">
        <f t="shared" si="3"/>
        <v>35</v>
      </c>
      <c r="K5" s="63">
        <f t="shared" si="4"/>
        <v>43</v>
      </c>
      <c r="L5" s="63" t="str">
        <f>IFERROR(VLOOKUP(MID(G5,J5,K5-J5),[6]skilldef!$C:$D,2,FALSE),"-") &amp; " / " &amp; IFERROR(VLOOKUP(MID(G5,H5,I5-H5),[6]skilldef!$A:$B,2,FALSE),"-")</f>
        <v>味方単体に / 種族キラー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54">
        <v>30022004</v>
      </c>
      <c r="B6" s="154" t="s">
        <v>263</v>
      </c>
      <c r="C6" s="155">
        <v>3</v>
      </c>
      <c r="D6" s="155" t="s">
        <v>128</v>
      </c>
      <c r="E6" s="156" t="s">
        <v>290</v>
      </c>
      <c r="F6" s="156" t="s">
        <v>265</v>
      </c>
      <c r="G6" s="63" t="str">
        <f t="shared" si="0"/>
        <v>[effect:kamikaze, val:0.3]</v>
      </c>
      <c r="H6" s="63">
        <f t="shared" si="1"/>
        <v>9</v>
      </c>
      <c r="I6" s="63">
        <f t="shared" si="2"/>
        <v>17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自爆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95">
        <v>30022005</v>
      </c>
      <c r="B7" s="47" t="s">
        <v>262</v>
      </c>
      <c r="C7" s="50">
        <v>3</v>
      </c>
      <c r="D7" s="50" t="s">
        <v>128</v>
      </c>
      <c r="E7" s="51" t="s">
        <v>290</v>
      </c>
      <c r="F7" s="51" t="s">
        <v>264</v>
      </c>
      <c r="G7" s="63" t="str">
        <f t="shared" si="0"/>
        <v>[effect:kamikaze, val:0.4]</v>
      </c>
      <c r="H7" s="63">
        <f t="shared" si="1"/>
        <v>9</v>
      </c>
      <c r="I7" s="63">
        <f t="shared" si="2"/>
        <v>17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IFERROR(VLOOKUP(MID(G7,J7,K7-J7),[6]skilldef!$C:$D,2,FALSE),"-") &amp; " / " &amp; IFERROR(VLOOKUP(MID(G7,H7,I7-H7),[6]skilldef!$A:$B,2,FALSE),"-")</f>
        <v>- / 自爆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95">
        <v>30022006</v>
      </c>
      <c r="B8" s="47" t="s">
        <v>256</v>
      </c>
      <c r="C8" s="50">
        <v>3</v>
      </c>
      <c r="D8" s="50" t="s">
        <v>128</v>
      </c>
      <c r="E8" s="51" t="s">
        <v>255</v>
      </c>
      <c r="F8" s="51" t="s">
        <v>209</v>
      </c>
      <c r="G8" s="63" t="str">
        <f t="shared" si="0"/>
        <v>[effect:hungup, target:unit_one, turn:3, rate:1, animation:hungup03]</v>
      </c>
      <c r="H8" s="63">
        <f t="shared" si="1"/>
        <v>9</v>
      </c>
      <c r="I8" s="63">
        <f t="shared" si="2"/>
        <v>15</v>
      </c>
      <c r="J8" s="63">
        <f t="shared" si="3"/>
        <v>24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味方単体に / ハングアップ</v>
      </c>
      <c r="M8" s="63" t="str">
        <f t="shared" si="5"/>
        <v>[effect:rush, count:1, val:1.0]</v>
      </c>
      <c r="N8" s="48" t="str">
        <f t="shared" si="6"/>
        <v>[effect:rush, count:1, val:1.0]</v>
      </c>
      <c r="O8" s="63">
        <f t="shared" si="7"/>
        <v>9</v>
      </c>
      <c r="P8" s="63">
        <f t="shared" si="8"/>
        <v>13</v>
      </c>
      <c r="Q8" s="63" t="e">
        <f t="shared" si="9"/>
        <v>#VALUE!</v>
      </c>
      <c r="R8" s="63">
        <f t="shared" si="10"/>
        <v>22</v>
      </c>
      <c r="S8" s="63" t="str">
        <f>IFERROR(VLOOKUP(MID(N8,Q8,R8-Q8),[6]skilldef!$C:$D,2,FALSE),"-") &amp; " / " &amp; IFERROR(VLOOKUP(MID(N8,O8,P8-O8),[6]skilldef!$A:$B,2,FALSE),"-")</f>
        <v>- / 連続攻撃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95">
        <v>30022007</v>
      </c>
      <c r="B9" s="47" t="s">
        <v>257</v>
      </c>
      <c r="C9" s="50">
        <v>3</v>
      </c>
      <c r="D9" s="50" t="s">
        <v>128</v>
      </c>
      <c r="E9" s="51" t="s">
        <v>275</v>
      </c>
      <c r="F9" s="51" t="s">
        <v>208</v>
      </c>
      <c r="G9" s="63" t="str">
        <f t="shared" si="0"/>
        <v>[effect:hungup, target:unit_all, turn:2, rate:1, animation:hungup03]</v>
      </c>
      <c r="H9" s="63">
        <f t="shared" si="1"/>
        <v>9</v>
      </c>
      <c r="I9" s="63">
        <f t="shared" si="2"/>
        <v>15</v>
      </c>
      <c r="J9" s="63">
        <f t="shared" si="3"/>
        <v>24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味方全体に / ハングアップ</v>
      </c>
      <c r="M9" s="63" t="str">
        <f t="shared" si="5"/>
        <v>[effect:spread, val:0.3]</v>
      </c>
      <c r="N9" s="48" t="str">
        <f t="shared" si="6"/>
        <v>[effect:spread, val:0.3]</v>
      </c>
      <c r="O9" s="63">
        <f t="shared" si="7"/>
        <v>9</v>
      </c>
      <c r="P9" s="63">
        <f t="shared" si="8"/>
        <v>15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全体攻撃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95">
        <v>30022008</v>
      </c>
      <c r="B10" s="47" t="s">
        <v>258</v>
      </c>
      <c r="C10" s="50">
        <v>3</v>
      </c>
      <c r="D10" s="50" t="s">
        <v>128</v>
      </c>
      <c r="E10" s="51" t="s">
        <v>271</v>
      </c>
      <c r="F10" s="51" t="s">
        <v>201</v>
      </c>
      <c r="G10" s="63" t="str">
        <f t="shared" si="0"/>
        <v>[effect:spread, val:0.5]</v>
      </c>
      <c r="H10" s="63">
        <f t="shared" si="1"/>
        <v>9</v>
      </c>
      <c r="I10" s="63">
        <f t="shared" si="2"/>
        <v>15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全体攻撃</v>
      </c>
      <c r="M10" s="63" t="str">
        <f t="shared" si="5"/>
        <v>none</v>
      </c>
      <c r="N10" s="48" t="str">
        <f t="shared" ref="N10:N15" si="16">IFERROR(LEFT(M10,FIND("],",M10)+S21),M10)</f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95">
        <v>30022009</v>
      </c>
      <c r="B11" s="47" t="s">
        <v>249</v>
      </c>
      <c r="C11" s="50">
        <v>3</v>
      </c>
      <c r="D11" s="50" t="s">
        <v>128</v>
      </c>
      <c r="E11" s="51" t="s">
        <v>274</v>
      </c>
      <c r="F11" s="51" t="s">
        <v>248</v>
      </c>
      <c r="G11" s="63" t="str">
        <f t="shared" si="0"/>
        <v>[effect:degrade_unit, target:unit_all, turn:3, status:action, val:2.0,animation:enemy_tap_down]</v>
      </c>
      <c r="H11" s="63">
        <f t="shared" si="1"/>
        <v>9</v>
      </c>
      <c r="I11" s="63">
        <f t="shared" si="2"/>
        <v>21</v>
      </c>
      <c r="J11" s="63">
        <f t="shared" si="3"/>
        <v>30</v>
      </c>
      <c r="K11" s="63">
        <f t="shared" si="4"/>
        <v>38</v>
      </c>
      <c r="L11" s="63" t="str">
        <f>IFERROR(VLOOKUP(MID(G11,J11,K11-J11),[6]skilldef!$C:$D,2,FALSE),"-") &amp; " / " &amp; IFERROR(VLOOKUP(MID(G11,H11,I11-H11),[6]skilldef!$A:$B,2,FALSE),"-")</f>
        <v>味方全体に / ステータスDOWN</v>
      </c>
      <c r="M11" s="63" t="str">
        <f t="shared" si="5"/>
        <v>none</v>
      </c>
      <c r="N11" s="48" t="str">
        <f t="shared" si="1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95">
        <v>30022010</v>
      </c>
      <c r="B12" s="47" t="s">
        <v>266</v>
      </c>
      <c r="C12" s="50">
        <v>3</v>
      </c>
      <c r="D12" s="50" t="s">
        <v>128</v>
      </c>
      <c r="E12" s="51" t="s">
        <v>243</v>
      </c>
      <c r="F12" s="51" t="s">
        <v>244</v>
      </c>
      <c r="G12" s="63" t="str">
        <f t="shared" si="0"/>
        <v>[effect:spread, val:0.3]</v>
      </c>
      <c r="H12" s="63">
        <f t="shared" si="1"/>
        <v>9</v>
      </c>
      <c r="I12" s="63">
        <f t="shared" si="2"/>
        <v>15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IFERROR(VLOOKUP(MID(G12,J12,K12-J12),[6]skilldef!$C:$D,2,FALSE),"-") &amp; " / " &amp; IFERROR(VLOOKUP(MID(G12,H12,I12-H12),[6]skilldef!$A:$B,2,FALSE),"-")</f>
        <v>- / 全体攻撃</v>
      </c>
      <c r="M12" s="63" t="str">
        <f t="shared" si="5"/>
        <v>none</v>
      </c>
      <c r="N12" s="48" t="str">
        <f t="shared" si="1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95">
        <v>30022011</v>
      </c>
      <c r="B13" s="47" t="s">
        <v>276</v>
      </c>
      <c r="C13" s="50">
        <v>3</v>
      </c>
      <c r="D13" s="50" t="s">
        <v>128</v>
      </c>
      <c r="E13" s="51" t="s">
        <v>250</v>
      </c>
      <c r="F13" s="51" t="s">
        <v>245</v>
      </c>
      <c r="G13" s="63" t="str">
        <f t="shared" si="0"/>
        <v>[effect:enemy_counter, target:myself,invoke_condition:unit_all,counter_target:attacker,turn:3,val:2.0,animation:enemy_counter]</v>
      </c>
      <c r="H13" s="63">
        <f t="shared" si="1"/>
        <v>9</v>
      </c>
      <c r="I13" s="63">
        <f t="shared" si="2"/>
        <v>22</v>
      </c>
      <c r="J13" s="63">
        <f t="shared" si="3"/>
        <v>31</v>
      </c>
      <c r="K13" s="63">
        <f t="shared" si="4"/>
        <v>37</v>
      </c>
      <c r="L13" s="63" t="str">
        <f>IFERROR(VLOOKUP(MID(G13,J13,K13-J13),[6]skilldef!$C:$D,2,FALSE),"-") &amp; " / " &amp; IFERROR(VLOOKUP(MID(G13,H13,I13-H13),[6]skilldef!$A:$B,2,FALSE),"-")</f>
        <v>自分自身に / カウンター</v>
      </c>
      <c r="M13" s="63" t="str">
        <f t="shared" si="5"/>
        <v>none</v>
      </c>
      <c r="N13" s="48" t="str">
        <f t="shared" si="1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95">
        <v>30022012</v>
      </c>
      <c r="B14" s="47" t="s">
        <v>252</v>
      </c>
      <c r="C14" s="50">
        <v>3</v>
      </c>
      <c r="D14" s="50" t="s">
        <v>128</v>
      </c>
      <c r="E14" s="51" t="s">
        <v>246</v>
      </c>
      <c r="F14" s="51" t="s">
        <v>247</v>
      </c>
      <c r="G14" s="63" t="str">
        <f t="shared" si="0"/>
        <v>[effect:dis_panel, target:block_yellow, turn:3, animation:enemy_dis_yellow]</v>
      </c>
      <c r="H14" s="63">
        <f t="shared" si="1"/>
        <v>9</v>
      </c>
      <c r="I14" s="63">
        <f t="shared" si="2"/>
        <v>18</v>
      </c>
      <c r="J14" s="63">
        <f t="shared" si="3"/>
        <v>27</v>
      </c>
      <c r="K14" s="63">
        <f t="shared" si="4"/>
        <v>39</v>
      </c>
      <c r="L14" s="63" t="str">
        <f>IFERROR(VLOOKUP(MID(G14,J14,K14-J14),[6]skilldef!$C:$D,2,FALSE),"-") &amp; " / " &amp; IFERROR(VLOOKUP(MID(G14,H14,I14-H14),[6]skilldef!$A:$B,2,FALSE),"-")</f>
        <v>黄色パネルを / ディスパネル</v>
      </c>
      <c r="M14" s="63" t="str">
        <f t="shared" si="5"/>
        <v>[effect:rush, count:1, val:1.0]</v>
      </c>
      <c r="N14" s="48" t="str">
        <f t="shared" si="16"/>
        <v>[effect:rush, count:1, val:1.0]</v>
      </c>
      <c r="O14" s="63">
        <f t="shared" si="7"/>
        <v>9</v>
      </c>
      <c r="P14" s="63">
        <f t="shared" si="8"/>
        <v>13</v>
      </c>
      <c r="Q14" s="63" t="e">
        <f t="shared" si="9"/>
        <v>#VALUE!</v>
      </c>
      <c r="R14" s="63">
        <f t="shared" si="10"/>
        <v>22</v>
      </c>
      <c r="S14" s="63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95">
        <v>30022013</v>
      </c>
      <c r="B15" s="47" t="s">
        <v>261</v>
      </c>
      <c r="C15" s="50">
        <v>3</v>
      </c>
      <c r="D15" s="50" t="s">
        <v>128</v>
      </c>
      <c r="E15" s="51" t="s">
        <v>251</v>
      </c>
      <c r="F15" s="51" t="s">
        <v>260</v>
      </c>
      <c r="G15" s="63" t="str">
        <f t="shared" si="0"/>
        <v>[effect:change_block, new_block:time_bomb, target:block_all, count:5, val:0.5, min_time_count:3, max_time_count:3, animation:change_block]</v>
      </c>
      <c r="H15" s="63">
        <f t="shared" si="1"/>
        <v>9</v>
      </c>
      <c r="I15" s="63">
        <f t="shared" si="2"/>
        <v>21</v>
      </c>
      <c r="J15" s="63">
        <f t="shared" si="3"/>
        <v>51</v>
      </c>
      <c r="K15" s="63">
        <f t="shared" si="4"/>
        <v>42</v>
      </c>
      <c r="L15" s="63" t="str">
        <f>IFERROR(VLOOKUP(MID(G15,J15,K15-J15),[6]skilldef!$C:$D,2,FALSE),"-") &amp; " / " &amp; IFERROR(VLOOKUP(MID(G15,H15,I15-H15),[6]skilldef!$A:$B,2,FALSE),"-")</f>
        <v>- / ブロック変換</v>
      </c>
      <c r="M15" s="63" t="str">
        <f t="shared" si="5"/>
        <v>none</v>
      </c>
      <c r="N15" s="48" t="str">
        <f t="shared" si="1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95">
        <v>30022014</v>
      </c>
      <c r="B16" s="47" t="s">
        <v>286</v>
      </c>
      <c r="C16" s="50">
        <v>3</v>
      </c>
      <c r="D16" s="50" t="s">
        <v>128</v>
      </c>
      <c r="E16" s="51" t="s">
        <v>282</v>
      </c>
      <c r="F16" s="51" t="s">
        <v>285</v>
      </c>
      <c r="G16" s="63" t="str">
        <f t="shared" si="0"/>
        <v>[effect:enhance_enemy, target:myself, turn:5, status:attack, val:0.3, animation:enemy_enhance_attack]</v>
      </c>
      <c r="H16" s="63">
        <f t="shared" si="1"/>
        <v>9</v>
      </c>
      <c r="I16" s="63">
        <f t="shared" si="2"/>
        <v>22</v>
      </c>
      <c r="J16" s="63">
        <f t="shared" si="3"/>
        <v>31</v>
      </c>
      <c r="K16" s="63">
        <f t="shared" si="4"/>
        <v>37</v>
      </c>
      <c r="L16" s="63" t="str">
        <f>IFERROR(VLOOKUP(MID(G16,J16,K16-J16),[6]skilldef!$C:$D,2,FALSE),"-") &amp; " / " &amp; IFERROR(VLOOKUP(MID(G16,H16,I16-H16),[6]skilldef!$A:$B,2,FALSE),"-")</f>
        <v>自分自身に / ステータス強化</v>
      </c>
      <c r="M16" s="63" t="str">
        <f t="shared" si="5"/>
        <v>[effect:fix_speed,target:myself,turn:1]</v>
      </c>
      <c r="N16" s="48" t="str">
        <f>IFERROR(LEFT(M16,FIND("],",M16)+S28),M16)</f>
        <v>[effect:fix_speed,target:myself,turn:1]</v>
      </c>
      <c r="O16" s="63">
        <f t="shared" si="7"/>
        <v>9</v>
      </c>
      <c r="P16" s="63">
        <f t="shared" si="8"/>
        <v>18</v>
      </c>
      <c r="Q16" s="63">
        <f t="shared" si="9"/>
        <v>26</v>
      </c>
      <c r="R16" s="63">
        <f t="shared" si="10"/>
        <v>32</v>
      </c>
      <c r="S16" s="63" t="str">
        <f>IFERROR(VLOOKUP(MID(N16,Q16,R16-Q16),[6]skilldef!$C:$D,2,FALSE),"-") &amp; " / " &amp; IFERROR(VLOOKUP(MID(N16,O16,P16-O16),[6]skilldef!$A:$B,2,FALSE),"-")</f>
        <v>自分自身に / 行動値設定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95">
        <v>30022015</v>
      </c>
      <c r="B17" s="47" t="s">
        <v>292</v>
      </c>
      <c r="C17" s="50">
        <v>3</v>
      </c>
      <c r="D17" s="50" t="s">
        <v>128</v>
      </c>
      <c r="E17" s="51" t="s">
        <v>344</v>
      </c>
      <c r="F17" s="51" t="s">
        <v>210</v>
      </c>
      <c r="G17" s="63" t="str">
        <f t="shared" si="0"/>
        <v>[effect:damage_anti_tribe, target:unit_all, tribe:human, val1:1.5, val2:0.3]</v>
      </c>
      <c r="H17" s="63">
        <f t="shared" si="1"/>
        <v>9</v>
      </c>
      <c r="I17" s="63">
        <f t="shared" si="2"/>
        <v>26</v>
      </c>
      <c r="J17" s="63">
        <f t="shared" si="3"/>
        <v>35</v>
      </c>
      <c r="K17" s="63">
        <f t="shared" si="4"/>
        <v>43</v>
      </c>
      <c r="L17" s="63" t="str">
        <f>IFERROR(VLOOKUP(MID(G17,J17,K17-J17),[6]skilldef!$C:$D,2,FALSE),"-") &amp; " / " &amp; IFERROR(VLOOKUP(MID(G17,H17,I17-H17),[6]skilldef!$A:$B,2,FALSE),"-")</f>
        <v>味方全体に / 種族キラー</v>
      </c>
      <c r="M17" s="63" t="str">
        <f t="shared" si="5"/>
        <v>none</v>
      </c>
      <c r="N17" s="48" t="str">
        <f>IFERROR(LEFT(M17,FIND("],",M17)+S29),M17)</f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95">
        <v>30022016</v>
      </c>
      <c r="B18" s="47" t="s">
        <v>234</v>
      </c>
      <c r="C18" s="50">
        <v>3</v>
      </c>
      <c r="D18" s="50" t="s">
        <v>128</v>
      </c>
      <c r="E18" s="51" t="s">
        <v>211</v>
      </c>
      <c r="F18" s="51" t="s">
        <v>203</v>
      </c>
      <c r="G18" s="63" t="str">
        <f t="shared" si="0"/>
        <v>[effect:critical, val:1.5]</v>
      </c>
      <c r="H18" s="63">
        <f t="shared" si="1"/>
        <v>9</v>
      </c>
      <c r="I18" s="63">
        <f t="shared" si="2"/>
        <v>17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大攻撃</v>
      </c>
      <c r="M18" s="63" t="str">
        <f t="shared" si="5"/>
        <v>none</v>
      </c>
      <c r="N18" s="48" t="str">
        <f>IFERROR(LEFT(M18,FIND("],",M18)+S30),M18)</f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95">
        <v>30022017</v>
      </c>
      <c r="B19" s="47" t="s">
        <v>213</v>
      </c>
      <c r="C19" s="50">
        <v>3</v>
      </c>
      <c r="D19" s="50" t="s">
        <v>128</v>
      </c>
      <c r="E19" s="51" t="s">
        <v>212</v>
      </c>
      <c r="F19" s="51" t="s">
        <v>216</v>
      </c>
      <c r="G19" s="63" t="str">
        <f t="shared" si="0"/>
        <v>[effect:fix_speed,target:myself,turn:3]</v>
      </c>
      <c r="H19" s="63">
        <f t="shared" si="1"/>
        <v>9</v>
      </c>
      <c r="I19" s="63">
        <f t="shared" si="2"/>
        <v>18</v>
      </c>
      <c r="J19" s="63">
        <f t="shared" si="3"/>
        <v>26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自分自身に / 行動値設定</v>
      </c>
      <c r="M19" s="63" t="str">
        <f t="shared" si="5"/>
        <v>none</v>
      </c>
      <c r="N19" s="48" t="str">
        <f>IFERROR(LEFT(M19,FIND("],",M19)+S31),M19)</f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95">
        <v>30022018</v>
      </c>
      <c r="B20" s="47" t="s">
        <v>354</v>
      </c>
      <c r="C20" s="50">
        <v>3</v>
      </c>
      <c r="D20" s="50" t="s">
        <v>128</v>
      </c>
      <c r="E20" s="51" t="s">
        <v>217</v>
      </c>
      <c r="F20" s="51" t="s">
        <v>215</v>
      </c>
      <c r="G20" s="63" t="str">
        <f t="shared" si="0"/>
        <v>[effect:damage_anti_color, target:unit_one, color:red, val1:3.6, val2:3.6]</v>
      </c>
      <c r="H20" s="63">
        <f t="shared" si="1"/>
        <v>9</v>
      </c>
      <c r="I20" s="63">
        <f t="shared" si="2"/>
        <v>26</v>
      </c>
      <c r="J20" s="63">
        <f t="shared" si="3"/>
        <v>35</v>
      </c>
      <c r="K20" s="63">
        <f t="shared" si="4"/>
        <v>43</v>
      </c>
      <c r="L20" s="63" t="str">
        <f>IFERROR(VLOOKUP(MID(G20,J20,K20-J20),[6]skilldef!$C:$D,2,FALSE),"-") &amp; " / " &amp; IFERROR(VLOOKUP(MID(G20,H20,I20-H20),[6]skilldef!$A:$B,2,FALSE),"-")</f>
        <v>味方単体に / 属性キラー</v>
      </c>
      <c r="M20" s="63" t="str">
        <f t="shared" si="5"/>
        <v>[effect:fix_speed,target:myself,turn:1]</v>
      </c>
      <c r="N20" s="48" t="str">
        <f>IFERROR(LEFT(M20,FIND("],",M20)+S32),M20)</f>
        <v>[effect:fix_speed,target:myself,turn:1]</v>
      </c>
      <c r="O20" s="63">
        <f t="shared" si="7"/>
        <v>9</v>
      </c>
      <c r="P20" s="63">
        <f t="shared" si="8"/>
        <v>18</v>
      </c>
      <c r="Q20" s="63">
        <f t="shared" si="9"/>
        <v>26</v>
      </c>
      <c r="R20" s="63">
        <f t="shared" si="10"/>
        <v>32</v>
      </c>
      <c r="S20" s="63" t="str">
        <f>IFERROR(VLOOKUP(MID(N20,Q20,R20-Q20),[6]skilldef!$C:$D,2,FALSE),"-") &amp; " / " &amp; IFERROR(VLOOKUP(MID(N20,O20,P20-O20),[6]skilldef!$A:$B,2,FALSE),"-")</f>
        <v>自分自身に / 行動値設定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95">
        <v>30022019</v>
      </c>
      <c r="B21" s="47" t="s">
        <v>298</v>
      </c>
      <c r="C21" s="50">
        <v>3</v>
      </c>
      <c r="D21" s="50" t="s">
        <v>128</v>
      </c>
      <c r="E21" s="51" t="s">
        <v>242</v>
      </c>
      <c r="F21" s="51" t="s">
        <v>297</v>
      </c>
      <c r="G21" s="63" t="str">
        <f t="shared" si="0"/>
        <v>[effect:enhance_enemy, target:myself, turn:5, status:defense, val:1500, calc:add, animation:enemy_enhance_enemy]</v>
      </c>
      <c r="H21" s="63">
        <f t="shared" si="1"/>
        <v>9</v>
      </c>
      <c r="I21" s="63">
        <f t="shared" si="2"/>
        <v>22</v>
      </c>
      <c r="J21" s="63">
        <f t="shared" si="3"/>
        <v>31</v>
      </c>
      <c r="K21" s="63">
        <f t="shared" si="4"/>
        <v>37</v>
      </c>
      <c r="L21" s="63" t="str">
        <f>IFERROR(VLOOKUP(MID(G21,J21,K21-J21),[6]skilldef!$C:$D,2,FALSE),"-") &amp; " / " &amp; IFERROR(VLOOKUP(MID(G21,H21,I21-H21),[6]skilldef!$A:$B,2,FALSE),"-")</f>
        <v>自分自身に / ステータス強化</v>
      </c>
      <c r="M21" s="63" t="str">
        <f t="shared" si="5"/>
        <v>[effect:fix_speed,target:myself,turn:1]</v>
      </c>
      <c r="N21" s="48" t="str">
        <f t="shared" ref="N21:N27" si="17">IFERROR(LEFT(M21,FIND("],",M21)+S32),M21)</f>
        <v>[effect:fix_speed,target:myself,turn:1]</v>
      </c>
      <c r="O21" s="63">
        <f t="shared" si="7"/>
        <v>9</v>
      </c>
      <c r="P21" s="63">
        <f t="shared" si="8"/>
        <v>18</v>
      </c>
      <c r="Q21" s="63">
        <f t="shared" si="9"/>
        <v>26</v>
      </c>
      <c r="R21" s="63">
        <f t="shared" si="10"/>
        <v>32</v>
      </c>
      <c r="S21" s="63" t="str">
        <f>IFERROR(VLOOKUP(MID(N21,Q21,R21-Q21),[6]skilldef!$C:$D,2,FALSE),"-") &amp; " / " &amp; IFERROR(VLOOKUP(MID(N21,O21,P21-O21),[6]skilldef!$A:$B,2,FALSE),"-")</f>
        <v>自分自身に / 行動値設定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95">
        <v>30022020</v>
      </c>
      <c r="B22" s="47" t="s">
        <v>355</v>
      </c>
      <c r="C22" s="50">
        <v>3</v>
      </c>
      <c r="D22" s="50" t="s">
        <v>128</v>
      </c>
      <c r="E22" s="51" t="s">
        <v>218</v>
      </c>
      <c r="F22" s="51" t="s">
        <v>346</v>
      </c>
      <c r="G22" s="63" t="str">
        <f t="shared" si="0"/>
        <v>[effect:damage_anti_color, target:unit_one, color:red, val1:3.0, val2:3.0]</v>
      </c>
      <c r="H22" s="63">
        <f t="shared" si="1"/>
        <v>9</v>
      </c>
      <c r="I22" s="63">
        <f t="shared" si="2"/>
        <v>26</v>
      </c>
      <c r="J22" s="63">
        <f t="shared" si="3"/>
        <v>35</v>
      </c>
      <c r="K22" s="63">
        <f t="shared" si="4"/>
        <v>43</v>
      </c>
      <c r="L22" s="63" t="str">
        <f>IFERROR(VLOOKUP(MID(G22,J22,K22-J22),[6]skilldef!$C:$D,2,FALSE),"-") &amp; " / " &amp; IFERROR(VLOOKUP(MID(G22,H22,I22-H22),[6]skilldef!$A:$B,2,FALSE),"-")</f>
        <v>味方単体に / 属性キラー</v>
      </c>
      <c r="M22" s="63" t="str">
        <f t="shared" si="5"/>
        <v>none</v>
      </c>
      <c r="N22" s="48" t="str">
        <f t="shared" si="17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95">
        <v>30022021</v>
      </c>
      <c r="B23" s="47" t="s">
        <v>291</v>
      </c>
      <c r="C23" s="50">
        <v>3</v>
      </c>
      <c r="D23" s="50" t="s">
        <v>128</v>
      </c>
      <c r="E23" s="51" t="s">
        <v>344</v>
      </c>
      <c r="F23" s="51" t="s">
        <v>235</v>
      </c>
      <c r="G23" s="63" t="str">
        <f t="shared" si="0"/>
        <v>[effect:damage_anti_tribe, target:unit_all, tribe:human, val1:1.5, val2:0.3]</v>
      </c>
      <c r="H23" s="63">
        <f t="shared" si="1"/>
        <v>9</v>
      </c>
      <c r="I23" s="63">
        <f t="shared" si="2"/>
        <v>26</v>
      </c>
      <c r="J23" s="63">
        <f t="shared" si="3"/>
        <v>35</v>
      </c>
      <c r="K23" s="63">
        <f t="shared" si="4"/>
        <v>43</v>
      </c>
      <c r="L23" s="63" t="str">
        <f>IFERROR(VLOOKUP(MID(G23,J23,K23-J23),[6]skilldef!$C:$D,2,FALSE),"-") &amp; " / " &amp; IFERROR(VLOOKUP(MID(G23,H23,I23-H23),[6]skilldef!$A:$B,2,FALSE),"-")</f>
        <v>味方全体に / 種族キラー</v>
      </c>
      <c r="M23" s="63" t="str">
        <f t="shared" si="5"/>
        <v>none</v>
      </c>
      <c r="N23" s="48" t="str">
        <f t="shared" si="17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95">
        <v>30022022</v>
      </c>
      <c r="B24" s="47" t="s">
        <v>223</v>
      </c>
      <c r="C24" s="50">
        <v>3</v>
      </c>
      <c r="D24" s="50" t="s">
        <v>128</v>
      </c>
      <c r="E24" s="51" t="s">
        <v>219</v>
      </c>
      <c r="F24" s="51" t="s">
        <v>222</v>
      </c>
      <c r="G24" s="63" t="str">
        <f t="shared" si="0"/>
        <v>[effect:fix_speed,target:myself,turn:3]</v>
      </c>
      <c r="H24" s="63">
        <f t="shared" si="1"/>
        <v>9</v>
      </c>
      <c r="I24" s="63">
        <f t="shared" si="2"/>
        <v>18</v>
      </c>
      <c r="J24" s="63">
        <f t="shared" si="3"/>
        <v>26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自分自身に / 行動値設定</v>
      </c>
      <c r="M24" s="63" t="str">
        <f t="shared" si="5"/>
        <v>none</v>
      </c>
      <c r="N24" s="48" t="str">
        <f t="shared" si="17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95">
        <v>30022023</v>
      </c>
      <c r="B25" s="47" t="s">
        <v>288</v>
      </c>
      <c r="C25" s="50">
        <v>3</v>
      </c>
      <c r="D25" s="50" t="s">
        <v>128</v>
      </c>
      <c r="E25" s="51" t="s">
        <v>220</v>
      </c>
      <c r="F25" s="51" t="s">
        <v>221</v>
      </c>
      <c r="G25" s="63" t="str">
        <f t="shared" si="0"/>
        <v>[effect:spread, val:0.8]</v>
      </c>
      <c r="H25" s="63">
        <f t="shared" si="1"/>
        <v>9</v>
      </c>
      <c r="I25" s="63">
        <f t="shared" si="2"/>
        <v>15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全体攻撃</v>
      </c>
      <c r="M25" s="63" t="str">
        <f t="shared" si="5"/>
        <v>[effect:fix_speed,target:myself,turn:1]</v>
      </c>
      <c r="N25" s="48" t="str">
        <f t="shared" si="17"/>
        <v>[effect:fix_speed,target:myself,turn:1]</v>
      </c>
      <c r="O25" s="63">
        <f t="shared" si="7"/>
        <v>9</v>
      </c>
      <c r="P25" s="63">
        <f t="shared" si="8"/>
        <v>18</v>
      </c>
      <c r="Q25" s="63">
        <f t="shared" si="9"/>
        <v>26</v>
      </c>
      <c r="R25" s="63">
        <f t="shared" si="10"/>
        <v>32</v>
      </c>
      <c r="S25" s="63" t="str">
        <f>IFERROR(VLOOKUP(MID(N25,Q25,R25-Q25),[6]skilldef!$C:$D,2,FALSE),"-") &amp; " / " &amp; IFERROR(VLOOKUP(MID(N25,O25,P25-O25),[6]skilldef!$A:$B,2,FALSE),"-")</f>
        <v>自分自身に / 行動値設定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95">
        <v>30022024</v>
      </c>
      <c r="B26" s="47" t="s">
        <v>227</v>
      </c>
      <c r="C26" s="50">
        <v>3</v>
      </c>
      <c r="D26" s="50" t="s">
        <v>128</v>
      </c>
      <c r="E26" s="51" t="s">
        <v>214</v>
      </c>
      <c r="F26" s="51" t="s">
        <v>301</v>
      </c>
      <c r="G26" s="63" t="str">
        <f t="shared" si="0"/>
        <v>[effect:fix_speed,target:myself,turn:1]</v>
      </c>
      <c r="H26" s="63">
        <f t="shared" si="1"/>
        <v>9</v>
      </c>
      <c r="I26" s="63">
        <f t="shared" si="2"/>
        <v>18</v>
      </c>
      <c r="J26" s="63">
        <f t="shared" si="3"/>
        <v>26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自分自身に / 行動値設定</v>
      </c>
      <c r="M26" s="63" t="str">
        <f t="shared" si="5"/>
        <v>none</v>
      </c>
      <c r="N26" s="48" t="str">
        <f t="shared" si="17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95">
        <v>30022025</v>
      </c>
      <c r="B27" s="47" t="s">
        <v>287</v>
      </c>
      <c r="C27" s="50">
        <v>3</v>
      </c>
      <c r="D27" s="50" t="s">
        <v>128</v>
      </c>
      <c r="E27" s="51" t="s">
        <v>236</v>
      </c>
      <c r="F27" s="51" t="s">
        <v>343</v>
      </c>
      <c r="G27" s="63" t="str">
        <f t="shared" ref="G27" si="18">IFERROR(LEFT(B27,FIND("],",B27)),B27)</f>
        <v>[effect:kamikaze, val:0.9]</v>
      </c>
      <c r="H27" s="63">
        <f t="shared" ref="H27" si="19">FIND("effect:",G27)+7</f>
        <v>9</v>
      </c>
      <c r="I27" s="63">
        <f t="shared" ref="I27" si="20">IFERROR(FIND(",",G27),LEN(G27))</f>
        <v>17</v>
      </c>
      <c r="J27" s="63" t="e">
        <f t="shared" ref="J27" si="21">FIND("target:",G27)+7</f>
        <v>#VALUE!</v>
      </c>
      <c r="K27" s="63" t="e">
        <f t="shared" ref="K27" si="22">FIND(",",G27,I27+1)</f>
        <v>#VALUE!</v>
      </c>
      <c r="L27" s="63" t="str">
        <f>IFERROR(VLOOKUP(MID(G27,J27,K27-J27),[6]skilldef!$C:$D,2,FALSE),"-") &amp; " / " &amp; IFERROR(VLOOKUP(MID(G27,H27,I27-H27),[6]skilldef!$A:$B,2,FALSE),"-")</f>
        <v>- / 自爆</v>
      </c>
      <c r="M27" s="63" t="str">
        <f t="shared" ref="M27" si="23">IFERROR(RIGHT(B27,LEN(B27)-FIND("],",B27)-1),"none")</f>
        <v>none</v>
      </c>
      <c r="N27" s="48" t="str">
        <f t="shared" si="17"/>
        <v>none</v>
      </c>
      <c r="O27" s="63" t="e">
        <f t="shared" ref="O27" si="24">FIND("effect:",N27)+7</f>
        <v>#VALUE!</v>
      </c>
      <c r="P27" s="63">
        <f t="shared" ref="P27" si="25">IFERROR(FIND(",",N27),LEN(N27))</f>
        <v>4</v>
      </c>
      <c r="Q27" s="63" t="e">
        <f t="shared" ref="Q27" si="26">FIND("target:",N27)+7</f>
        <v>#VALUE!</v>
      </c>
      <c r="R27" s="63" t="e">
        <f t="shared" ref="R27" si="27">FIND(",",N27,P27+1)</f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ref="T27" si="28">IFERROR(RIGHT(M27,LEN(M27)-FIND("],",M27)-1),"none")</f>
        <v>none</v>
      </c>
      <c r="U27" s="63" t="e">
        <f t="shared" ref="U27" si="29">FIND("effect:",T27)+7</f>
        <v>#VALUE!</v>
      </c>
      <c r="V27" s="63">
        <f t="shared" ref="V27" si="30">IFERROR(FIND(",",T27),LEN(T27))</f>
        <v>4</v>
      </c>
      <c r="W27" s="63" t="e">
        <f t="shared" ref="W27" si="31">FIND("target:",T27)+7</f>
        <v>#VALUE!</v>
      </c>
      <c r="X27" s="63" t="e">
        <f t="shared" ref="X27" si="32">FIND(",",T27,V27+1)</f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95">
        <v>30022026</v>
      </c>
      <c r="B28" s="47" t="s">
        <v>283</v>
      </c>
      <c r="C28" s="50">
        <v>3</v>
      </c>
      <c r="D28" s="50" t="s">
        <v>128</v>
      </c>
      <c r="E28" s="51" t="s">
        <v>270</v>
      </c>
      <c r="F28" s="51" t="s">
        <v>273</v>
      </c>
      <c r="G28" s="63" t="str">
        <f t="shared" si="0"/>
        <v>[effect:change_block, new_block:block_heart, target:block_all, count:20, val:0, animation:change_block]</v>
      </c>
      <c r="H28" s="63">
        <f t="shared" si="1"/>
        <v>9</v>
      </c>
      <c r="I28" s="63">
        <f t="shared" si="2"/>
        <v>21</v>
      </c>
      <c r="J28" s="63">
        <f t="shared" si="3"/>
        <v>53</v>
      </c>
      <c r="K28" s="63">
        <f t="shared" si="4"/>
        <v>44</v>
      </c>
      <c r="L28" s="63" t="str">
        <f>IFERROR(VLOOKUP(MID(G28,J28,K28-J28),[6]skilldef!$C:$D,2,FALSE),"-") &amp; " / " &amp; IFERROR(VLOOKUP(MID(G28,H28,I28-H28),[6]skilldef!$A:$B,2,FALSE),"-")</f>
        <v>- / ブロック変換</v>
      </c>
      <c r="M28" s="63" t="str">
        <f t="shared" si="5"/>
        <v>[effect:fix_speed,target:myself,turn:1]</v>
      </c>
      <c r="N28" s="48" t="str">
        <f t="shared" ref="N28:N31" si="33">IFERROR(LEFT(M28,FIND("],",M28)+S38),M28)</f>
        <v>[effect:fix_speed,target:myself,turn:1]</v>
      </c>
      <c r="O28" s="63">
        <f t="shared" si="7"/>
        <v>9</v>
      </c>
      <c r="P28" s="63">
        <f t="shared" si="8"/>
        <v>18</v>
      </c>
      <c r="Q28" s="63">
        <f t="shared" si="9"/>
        <v>26</v>
      </c>
      <c r="R28" s="63">
        <f t="shared" si="10"/>
        <v>32</v>
      </c>
      <c r="S28" s="63" t="str">
        <f>IFERROR(VLOOKUP(MID(N28,Q28,R28-Q28),[6]skilldef!$C:$D,2,FALSE),"-") &amp; " / " &amp; IFERROR(VLOOKUP(MID(N28,O28,P28-O28),[6]skilldef!$A:$B,2,FALSE),"-")</f>
        <v>自分自身に / 行動値設定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154">
        <v>30022027</v>
      </c>
      <c r="B29" s="154" t="s">
        <v>228</v>
      </c>
      <c r="C29" s="155">
        <v>0</v>
      </c>
      <c r="D29" s="155" t="s">
        <v>128</v>
      </c>
      <c r="E29" s="156" t="s">
        <v>232</v>
      </c>
      <c r="F29" s="156" t="s">
        <v>224</v>
      </c>
      <c r="G29" s="63" t="str">
        <f t="shared" si="0"/>
        <v>[effect:change_block, new_block:time_bomb, target:block_green, count:0, val:0.5, animation:change_block]</v>
      </c>
      <c r="H29" s="63">
        <f t="shared" si="1"/>
        <v>9</v>
      </c>
      <c r="I29" s="63">
        <f t="shared" si="2"/>
        <v>21</v>
      </c>
      <c r="J29" s="63">
        <f t="shared" si="3"/>
        <v>51</v>
      </c>
      <c r="K29" s="63">
        <f t="shared" si="4"/>
        <v>42</v>
      </c>
      <c r="L29" s="63" t="str">
        <f>IFERROR(VLOOKUP(MID(G29,J29,K29-J29),[6]skilldef!$C:$D,2,FALSE),"-") &amp; " / " &amp; IFERROR(VLOOKUP(MID(G29,H29,I29-H29),[6]skilldef!$A:$B,2,FALSE),"-")</f>
        <v>- / ブロック変換</v>
      </c>
      <c r="M29" s="63" t="str">
        <f t="shared" si="5"/>
        <v>none</v>
      </c>
      <c r="N29" s="48" t="str">
        <f t="shared" si="33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95">
        <v>30022028</v>
      </c>
      <c r="B30" s="47" t="s">
        <v>299</v>
      </c>
      <c r="C30" s="50">
        <v>3</v>
      </c>
      <c r="D30" s="50" t="s">
        <v>128</v>
      </c>
      <c r="E30" s="51" t="s">
        <v>231</v>
      </c>
      <c r="F30" s="51" t="s">
        <v>225</v>
      </c>
      <c r="G30" s="63" t="str">
        <f t="shared" si="0"/>
        <v>[effect:change_block, new_block:time_bomb, target:block_all, count:5, val:0.1, min_time_count:1, max_time_count:2, animation:change_block]</v>
      </c>
      <c r="H30" s="63">
        <f t="shared" si="1"/>
        <v>9</v>
      </c>
      <c r="I30" s="63">
        <f t="shared" si="2"/>
        <v>21</v>
      </c>
      <c r="J30" s="63">
        <f t="shared" si="3"/>
        <v>51</v>
      </c>
      <c r="K30" s="63">
        <f t="shared" si="4"/>
        <v>42</v>
      </c>
      <c r="L30" s="63" t="str">
        <f>IFERROR(VLOOKUP(MID(G30,J30,K30-J30),[6]skilldef!$C:$D,2,FALSE),"-") &amp; " / " &amp; IFERROR(VLOOKUP(MID(G30,H30,I30-H30),[6]skilldef!$A:$B,2,FALSE),"-")</f>
        <v>- / ブロック変換</v>
      </c>
      <c r="M30" s="63" t="str">
        <f t="shared" si="5"/>
        <v>none</v>
      </c>
      <c r="N30" s="48" t="str">
        <f t="shared" si="33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95">
        <v>30022029</v>
      </c>
      <c r="B31" s="47" t="s">
        <v>300</v>
      </c>
      <c r="C31" s="50">
        <v>3</v>
      </c>
      <c r="D31" s="50" t="s">
        <v>128</v>
      </c>
      <c r="E31" s="51" t="s">
        <v>233</v>
      </c>
      <c r="F31" s="51" t="s">
        <v>226</v>
      </c>
      <c r="G31" s="63" t="str">
        <f t="shared" si="0"/>
        <v>[effect:change_block, new_block:time_bomb, target:block_all, count:8, val:0.1, min_time_count:1, max_time_count:2, animation:change_block]</v>
      </c>
      <c r="H31" s="63">
        <f t="shared" si="1"/>
        <v>9</v>
      </c>
      <c r="I31" s="63">
        <f t="shared" si="2"/>
        <v>21</v>
      </c>
      <c r="J31" s="63">
        <f t="shared" si="3"/>
        <v>51</v>
      </c>
      <c r="K31" s="63">
        <f t="shared" si="4"/>
        <v>42</v>
      </c>
      <c r="L31" s="63" t="str">
        <f>IFERROR(VLOOKUP(MID(G31,J31,K31-J31),[6]skilldef!$C:$D,2,FALSE),"-") &amp; " / " &amp; IFERROR(VLOOKUP(MID(G31,H31,I31-H31),[6]skilldef!$A:$B,2,FALSE),"-")</f>
        <v>- / ブロック変換</v>
      </c>
      <c r="M31" s="63" t="str">
        <f t="shared" si="5"/>
        <v>[effect:rush, count:1, val:0.5]</v>
      </c>
      <c r="N31" s="48" t="str">
        <f t="shared" si="33"/>
        <v>[effect:rush, count:1, val:0.5]</v>
      </c>
      <c r="O31" s="63">
        <f t="shared" si="7"/>
        <v>9</v>
      </c>
      <c r="P31" s="63">
        <f t="shared" si="8"/>
        <v>13</v>
      </c>
      <c r="Q31" s="63" t="e">
        <f t="shared" si="9"/>
        <v>#VALUE!</v>
      </c>
      <c r="R31" s="63">
        <f t="shared" si="10"/>
        <v>22</v>
      </c>
      <c r="S31" s="63" t="str">
        <f>IFERROR(VLOOKUP(MID(N31,Q31,R31-Q31),[6]skilldef!$C:$D,2,FALSE),"-") &amp; " / " &amp; IFERROR(VLOOKUP(MID(N31,O31,P31-O31),[6]skilldef!$A:$B,2,FALSE),"-")</f>
        <v>- / 連続攻撃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36">
        <v>30022030</v>
      </c>
      <c r="B32" s="47" t="s">
        <v>253</v>
      </c>
      <c r="C32" s="50">
        <v>3</v>
      </c>
      <c r="D32" s="50" t="s">
        <v>128</v>
      </c>
      <c r="E32" s="51" t="s">
        <v>259</v>
      </c>
      <c r="F32" s="51" t="s">
        <v>254</v>
      </c>
      <c r="G32" s="63" t="str">
        <f t="shared" ref="G32" si="34">IFERROR(LEFT(B32,FIND("],",B32)),B32)</f>
        <v>[effect:fix_speed,target:enemy_all,turn:2]</v>
      </c>
      <c r="H32" s="63">
        <f t="shared" ref="H32" si="35">FIND("effect:",G32)+7</f>
        <v>9</v>
      </c>
      <c r="I32" s="63">
        <f t="shared" ref="I32" si="36">IFERROR(FIND(",",G32),LEN(G32))</f>
        <v>18</v>
      </c>
      <c r="J32" s="63">
        <f t="shared" ref="J32" si="37">FIND("target:",G32)+7</f>
        <v>26</v>
      </c>
      <c r="K32" s="63">
        <f t="shared" ref="K32" si="38">FIND(",",G32,I32+1)</f>
        <v>35</v>
      </c>
      <c r="L32" s="63" t="str">
        <f>IFERROR(VLOOKUP(MID(G32,J32,K32-J32),[6]skilldef!$C:$D,2,FALSE),"-") &amp; " / " &amp; IFERROR(VLOOKUP(MID(G32,H32,I32-H32),[6]skilldef!$A:$B,2,FALSE),"-")</f>
        <v>敵全体に / 行動値設定</v>
      </c>
      <c r="M32" s="63" t="str">
        <f t="shared" ref="M32" si="39">IFERROR(RIGHT(B32,LEN(B32)-FIND("],",B32)-1),"none")</f>
        <v>none</v>
      </c>
      <c r="N32" s="48" t="str">
        <f t="shared" ref="N32" si="40">IFERROR(LEFT(M32,FIND("],",M32)+S42),M32)</f>
        <v>none</v>
      </c>
      <c r="O32" s="63" t="e">
        <f t="shared" ref="O32" si="41">FIND("effect:",N32)+7</f>
        <v>#VALUE!</v>
      </c>
      <c r="P32" s="63">
        <f t="shared" ref="P32" si="42">IFERROR(FIND(",",N32),LEN(N32))</f>
        <v>4</v>
      </c>
      <c r="Q32" s="63" t="e">
        <f t="shared" ref="Q32" si="43">FIND("target:",N32)+7</f>
        <v>#VALUE!</v>
      </c>
      <c r="R32" s="63" t="e">
        <f t="shared" ref="R32" si="44">FIND(",",N32,P32+1)</f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ref="T32" si="45">IFERROR(RIGHT(M32,LEN(M32)-FIND("],",M32)-1),"none")</f>
        <v>none</v>
      </c>
      <c r="U32" s="63" t="e">
        <f t="shared" ref="U32" si="46">FIND("effect:",T32)+7</f>
        <v>#VALUE!</v>
      </c>
      <c r="V32" s="63">
        <f t="shared" ref="V32" si="47">IFERROR(FIND(",",T32),LEN(T32))</f>
        <v>4</v>
      </c>
      <c r="W32" s="63" t="e">
        <f t="shared" ref="W32" si="48">FIND("target:",T32)+7</f>
        <v>#VALUE!</v>
      </c>
      <c r="X32" s="63" t="e">
        <f t="shared" ref="X32" si="49">FIND(",",T32,V32+1)</f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36">
        <v>30022031</v>
      </c>
      <c r="B33" s="47" t="s">
        <v>268</v>
      </c>
      <c r="C33" s="50">
        <v>3</v>
      </c>
      <c r="D33" s="50" t="s">
        <v>128</v>
      </c>
      <c r="E33" s="51" t="s">
        <v>269</v>
      </c>
      <c r="F33" s="51" t="s">
        <v>272</v>
      </c>
      <c r="G33" s="63" t="str">
        <f t="shared" ref="G33:G34" si="50">IFERROR(LEFT(B33,FIND("],",B33)),B33)</f>
        <v>[effect:fix_speed,target:enemy_all,turn:4]</v>
      </c>
      <c r="H33" s="63">
        <f t="shared" ref="H33:H34" si="51">FIND("effect:",G33)+7</f>
        <v>9</v>
      </c>
      <c r="I33" s="63">
        <f t="shared" ref="I33:I34" si="52">IFERROR(FIND(",",G33),LEN(G33))</f>
        <v>18</v>
      </c>
      <c r="J33" s="63">
        <f t="shared" ref="J33:J34" si="53">FIND("target:",G33)+7</f>
        <v>26</v>
      </c>
      <c r="K33" s="63">
        <f t="shared" ref="K33:K34" si="54">FIND(",",G33,I33+1)</f>
        <v>35</v>
      </c>
      <c r="L33" s="63" t="str">
        <f>IFERROR(VLOOKUP(MID(G33,J33,K33-J33),[6]skilldef!$C:$D,2,FALSE),"-") &amp; " / " &amp; IFERROR(VLOOKUP(MID(G33,H33,I33-H33),[6]skilldef!$A:$B,2,FALSE),"-")</f>
        <v>敵全体に / 行動値設定</v>
      </c>
      <c r="M33" s="63" t="str">
        <f t="shared" ref="M33:M34" si="55">IFERROR(RIGHT(B33,LEN(B33)-FIND("],",B33)-1),"none")</f>
        <v>none</v>
      </c>
      <c r="N33" s="48" t="str">
        <f t="shared" ref="N33:N34" si="56">IFERROR(LEFT(M33,FIND("],",M33)+S43),M33)</f>
        <v>none</v>
      </c>
      <c r="O33" s="63" t="e">
        <f t="shared" ref="O33:O34" si="57">FIND("effect:",N33)+7</f>
        <v>#VALUE!</v>
      </c>
      <c r="P33" s="63">
        <f t="shared" ref="P33:P34" si="58">IFERROR(FIND(",",N33),LEN(N33))</f>
        <v>4</v>
      </c>
      <c r="Q33" s="63" t="e">
        <f t="shared" ref="Q33:Q34" si="59">FIND("target:",N33)+7</f>
        <v>#VALUE!</v>
      </c>
      <c r="R33" s="63" t="e">
        <f t="shared" ref="R33:R34" si="60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34" si="61">IFERROR(RIGHT(M33,LEN(M33)-FIND("],",M33)-1),"none")</f>
        <v>none</v>
      </c>
      <c r="U33" s="63" t="e">
        <f t="shared" ref="U33:U34" si="62">FIND("effect:",T33)+7</f>
        <v>#VALUE!</v>
      </c>
      <c r="V33" s="63">
        <f t="shared" ref="V33:V34" si="63">IFERROR(FIND(",",T33),LEN(T33))</f>
        <v>4</v>
      </c>
      <c r="W33" s="63" t="e">
        <f t="shared" ref="W33:W34" si="64">FIND("target:",T33)+7</f>
        <v>#VALUE!</v>
      </c>
      <c r="X33" s="63" t="e">
        <f t="shared" ref="X33:X34" si="65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36">
        <v>30022032</v>
      </c>
      <c r="B34" s="47" t="s">
        <v>281</v>
      </c>
      <c r="C34" s="50">
        <v>3</v>
      </c>
      <c r="D34" s="50" t="s">
        <v>128</v>
      </c>
      <c r="E34" s="51" t="s">
        <v>345</v>
      </c>
      <c r="F34" s="51" t="s">
        <v>279</v>
      </c>
      <c r="G34" s="63" t="str">
        <f t="shared" si="50"/>
        <v>[effect:freq_turn, target:myself, turn:-1, val:1, animation:enemy_freq_turn]</v>
      </c>
      <c r="H34" s="63">
        <f t="shared" si="51"/>
        <v>9</v>
      </c>
      <c r="I34" s="63">
        <f t="shared" si="52"/>
        <v>18</v>
      </c>
      <c r="J34" s="63">
        <f t="shared" si="53"/>
        <v>27</v>
      </c>
      <c r="K34" s="63">
        <f t="shared" si="54"/>
        <v>33</v>
      </c>
      <c r="L34" s="63" t="str">
        <f>IFERROR(VLOOKUP(MID(G34,J34,K34-J34),[6]skilldef!$C:$D,2,FALSE),"-") &amp; " / " &amp; IFERROR(VLOOKUP(MID(G34,H34,I34-H34),[6]skilldef!$A:$B,2,FALSE),"-")</f>
        <v>自分自身に / 攻撃頻度がUP</v>
      </c>
      <c r="M34" s="63" t="str">
        <f t="shared" si="55"/>
        <v>none</v>
      </c>
      <c r="N34" s="48" t="str">
        <f t="shared" si="56"/>
        <v>none</v>
      </c>
      <c r="O34" s="63" t="e">
        <f t="shared" si="57"/>
        <v>#VALUE!</v>
      </c>
      <c r="P34" s="63">
        <f t="shared" si="58"/>
        <v>4</v>
      </c>
      <c r="Q34" s="63" t="e">
        <f t="shared" si="59"/>
        <v>#VALUE!</v>
      </c>
      <c r="R34" s="63" t="e">
        <f t="shared" si="6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61"/>
        <v>none</v>
      </c>
      <c r="U34" s="63" t="e">
        <f t="shared" si="62"/>
        <v>#VALUE!</v>
      </c>
      <c r="V34" s="63">
        <f t="shared" si="63"/>
        <v>4</v>
      </c>
      <c r="W34" s="63" t="e">
        <f t="shared" si="64"/>
        <v>#VALUE!</v>
      </c>
      <c r="X34" s="63" t="e">
        <f t="shared" si="6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36">
        <v>30022033</v>
      </c>
      <c r="B35" s="47" t="s">
        <v>280</v>
      </c>
      <c r="C35" s="50">
        <v>3</v>
      </c>
      <c r="D35" s="50" t="s">
        <v>128</v>
      </c>
      <c r="E35" s="51" t="s">
        <v>289</v>
      </c>
      <c r="F35" s="51" t="s">
        <v>342</v>
      </c>
      <c r="G35" s="63" t="str">
        <f t="shared" ref="G35" si="66">IFERROR(LEFT(B35,FIND("],",B35)),B35)</f>
        <v>[effect:suicide, val:1, dead_type:escape, target:myself]</v>
      </c>
      <c r="H35" s="63">
        <f t="shared" ref="H35" si="67">FIND("effect:",G35)+7</f>
        <v>9</v>
      </c>
      <c r="I35" s="63">
        <f t="shared" ref="I35" si="68">IFERROR(FIND(",",G35),LEN(G35))</f>
        <v>16</v>
      </c>
      <c r="J35" s="63">
        <f t="shared" ref="J35" si="69">FIND("target:",G35)+7</f>
        <v>50</v>
      </c>
      <c r="K35" s="63">
        <f t="shared" ref="K35" si="70">FIND(",",G35,I35+1)</f>
        <v>23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ref="M35" si="71">IFERROR(RIGHT(B35,LEN(B35)-FIND("],",B35)-1),"none")</f>
        <v>none</v>
      </c>
      <c r="N35" s="48" t="str">
        <f t="shared" ref="N35" si="72">IFERROR(LEFT(M35,FIND("],",M35)+S45),M35)</f>
        <v>none</v>
      </c>
      <c r="O35" s="63" t="e">
        <f t="shared" ref="O35" si="73">FIND("effect:",N35)+7</f>
        <v>#VALUE!</v>
      </c>
      <c r="P35" s="63">
        <f t="shared" ref="P35" si="74">IFERROR(FIND(",",N35),LEN(N35))</f>
        <v>4</v>
      </c>
      <c r="Q35" s="63" t="e">
        <f t="shared" ref="Q35" si="75">FIND("target:",N35)+7</f>
        <v>#VALUE!</v>
      </c>
      <c r="R35" s="63" t="e">
        <f t="shared" ref="R35" si="76">FIND(",",N35,P35+1)</f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ref="T35" si="77">IFERROR(RIGHT(M35,LEN(M35)-FIND("],",M35)-1),"none")</f>
        <v>none</v>
      </c>
      <c r="U35" s="63" t="e">
        <f t="shared" ref="U35" si="78">FIND("effect:",T35)+7</f>
        <v>#VALUE!</v>
      </c>
      <c r="V35" s="63">
        <f t="shared" ref="V35" si="79">IFERROR(FIND(",",T35),LEN(T35))</f>
        <v>4</v>
      </c>
      <c r="W35" s="63" t="e">
        <f t="shared" ref="W35" si="80">FIND("target:",T35)+7</f>
        <v>#VALUE!</v>
      </c>
      <c r="X35" s="63" t="e">
        <f t="shared" ref="X35" si="81">FIND(",",T35,V35+1)</f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2"/>
  <sheetViews>
    <sheetView showGridLines="0" zoomScale="85" zoomScaleNormal="85" zoomScalePageLayoutView="85" workbookViewId="0">
      <pane ySplit="1" topLeftCell="A2" activePane="bottomLeft" state="frozenSplit"/>
      <selection pane="bottomLeft" activeCell="D24" sqref="D2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95">
        <v>30022000</v>
      </c>
      <c r="B2" s="47">
        <v>0</v>
      </c>
      <c r="C2" s="47" t="s">
        <v>89</v>
      </c>
      <c r="D2" s="47">
        <v>50</v>
      </c>
      <c r="E2" s="47">
        <v>90</v>
      </c>
      <c r="F2" s="47" t="s">
        <v>90</v>
      </c>
      <c r="G2" s="47">
        <v>2</v>
      </c>
      <c r="H2" s="47" t="s">
        <v>90</v>
      </c>
      <c r="I2" s="47" t="s">
        <v>90</v>
      </c>
      <c r="J2" s="48">
        <f t="shared" ref="J2" si="0">D2</f>
        <v>50</v>
      </c>
    </row>
    <row r="3" spans="1:11" ht="21" customHeight="1" x14ac:dyDescent="0.15">
      <c r="A3" s="162">
        <v>30022001</v>
      </c>
      <c r="B3" s="47">
        <v>0</v>
      </c>
      <c r="C3" s="47" t="s">
        <v>89</v>
      </c>
      <c r="D3" s="47">
        <v>100</v>
      </c>
      <c r="E3" s="47" t="s">
        <v>237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4" si="1">D3</f>
        <v>100</v>
      </c>
    </row>
    <row r="4" spans="1:11" ht="21" customHeight="1" x14ac:dyDescent="0.15">
      <c r="A4" s="162">
        <v>30022002</v>
      </c>
      <c r="B4" s="47">
        <v>0</v>
      </c>
      <c r="C4" s="47" t="s">
        <v>89</v>
      </c>
      <c r="D4" s="47">
        <v>60</v>
      </c>
      <c r="E4" s="47" t="s">
        <v>237</v>
      </c>
      <c r="F4" s="47" t="s">
        <v>90</v>
      </c>
      <c r="G4" s="47" t="s">
        <v>237</v>
      </c>
      <c r="H4" s="47" t="s">
        <v>90</v>
      </c>
      <c r="I4" s="47" t="s">
        <v>90</v>
      </c>
      <c r="J4" s="48">
        <f t="shared" si="1"/>
        <v>60</v>
      </c>
    </row>
    <row r="5" spans="1:11" ht="21" customHeight="1" x14ac:dyDescent="0.15">
      <c r="A5" s="162">
        <v>30022003</v>
      </c>
      <c r="B5" s="47">
        <v>0</v>
      </c>
      <c r="C5" s="47" t="s">
        <v>89</v>
      </c>
      <c r="D5" s="47">
        <v>60</v>
      </c>
      <c r="E5" s="47" t="s">
        <v>237</v>
      </c>
      <c r="F5" s="47" t="s">
        <v>90</v>
      </c>
      <c r="G5" s="47" t="s">
        <v>237</v>
      </c>
      <c r="H5" s="47" t="s">
        <v>90</v>
      </c>
      <c r="I5" s="47" t="s">
        <v>90</v>
      </c>
      <c r="J5" s="48">
        <f t="shared" ref="J5:J32" si="2">D5</f>
        <v>60</v>
      </c>
    </row>
    <row r="6" spans="1:11" ht="21" customHeight="1" x14ac:dyDescent="0.15">
      <c r="A6" s="162">
        <v>30022004</v>
      </c>
      <c r="B6" s="47">
        <v>0</v>
      </c>
      <c r="C6" s="47" t="s">
        <v>89</v>
      </c>
      <c r="D6" s="47">
        <v>100</v>
      </c>
      <c r="E6" s="47" t="s">
        <v>237</v>
      </c>
      <c r="F6" s="47" t="s">
        <v>90</v>
      </c>
      <c r="G6" s="47" t="s">
        <v>237</v>
      </c>
      <c r="H6" s="47" t="s">
        <v>90</v>
      </c>
      <c r="I6" s="47" t="s">
        <v>90</v>
      </c>
      <c r="J6" s="48">
        <f t="shared" si="2"/>
        <v>100</v>
      </c>
    </row>
    <row r="7" spans="1:11" ht="21" customHeight="1" x14ac:dyDescent="0.15">
      <c r="A7" s="162">
        <v>30022005</v>
      </c>
      <c r="B7" s="47">
        <v>0</v>
      </c>
      <c r="C7" s="47" t="s">
        <v>89</v>
      </c>
      <c r="D7" s="47">
        <v>100</v>
      </c>
      <c r="E7" s="47" t="s">
        <v>237</v>
      </c>
      <c r="F7" s="47" t="s">
        <v>90</v>
      </c>
      <c r="G7" s="47" t="s">
        <v>237</v>
      </c>
      <c r="H7" s="47" t="s">
        <v>90</v>
      </c>
      <c r="I7" s="47" t="s">
        <v>90</v>
      </c>
      <c r="J7" s="48">
        <f t="shared" si="2"/>
        <v>100</v>
      </c>
    </row>
    <row r="8" spans="1:11" ht="21" customHeight="1" x14ac:dyDescent="0.15">
      <c r="A8" s="162">
        <v>30022006</v>
      </c>
      <c r="B8" s="47">
        <v>0</v>
      </c>
      <c r="C8" s="47">
        <v>10</v>
      </c>
      <c r="D8" s="47">
        <v>50</v>
      </c>
      <c r="E8" s="47" t="s">
        <v>237</v>
      </c>
      <c r="F8" s="47" t="s">
        <v>90</v>
      </c>
      <c r="G8" s="47" t="s">
        <v>237</v>
      </c>
      <c r="H8" s="47" t="s">
        <v>90</v>
      </c>
      <c r="I8" s="47" t="s">
        <v>90</v>
      </c>
      <c r="J8" s="48">
        <f t="shared" si="2"/>
        <v>50</v>
      </c>
    </row>
    <row r="9" spans="1:11" ht="21" customHeight="1" x14ac:dyDescent="0.15">
      <c r="A9" s="162">
        <v>30022007</v>
      </c>
      <c r="B9" s="47">
        <v>0</v>
      </c>
      <c r="C9" s="47">
        <v>10</v>
      </c>
      <c r="D9" s="47">
        <v>50</v>
      </c>
      <c r="E9" s="47">
        <v>90</v>
      </c>
      <c r="F9" s="47" t="s">
        <v>90</v>
      </c>
      <c r="G9" s="47" t="s">
        <v>237</v>
      </c>
      <c r="H9" s="47" t="s">
        <v>90</v>
      </c>
      <c r="I9" s="47" t="s">
        <v>90</v>
      </c>
      <c r="J9" s="48">
        <f t="shared" si="2"/>
        <v>50</v>
      </c>
    </row>
    <row r="10" spans="1:11" ht="21" customHeight="1" x14ac:dyDescent="0.15">
      <c r="A10" s="162">
        <v>30022008</v>
      </c>
      <c r="B10" s="47">
        <v>0</v>
      </c>
      <c r="C10" s="47">
        <v>11</v>
      </c>
      <c r="D10" s="47">
        <v>100</v>
      </c>
      <c r="E10" s="47">
        <v>50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2"/>
        <v>100</v>
      </c>
    </row>
    <row r="11" spans="1:11" ht="21" customHeight="1" x14ac:dyDescent="0.15">
      <c r="A11" s="162">
        <v>30022009</v>
      </c>
      <c r="B11" s="47">
        <v>0</v>
      </c>
      <c r="C11" s="47">
        <v>12</v>
      </c>
      <c r="D11" s="47">
        <v>100</v>
      </c>
      <c r="E11" s="47" t="s">
        <v>237</v>
      </c>
      <c r="F11" s="47" t="s">
        <v>90</v>
      </c>
      <c r="G11" s="47" t="s">
        <v>278</v>
      </c>
      <c r="H11" s="47">
        <v>3</v>
      </c>
      <c r="I11" s="47" t="s">
        <v>90</v>
      </c>
      <c r="J11" s="48">
        <f t="shared" si="2"/>
        <v>100</v>
      </c>
    </row>
    <row r="12" spans="1:11" ht="21" customHeight="1" x14ac:dyDescent="0.15">
      <c r="A12" s="162">
        <v>30022010</v>
      </c>
      <c r="B12" s="47">
        <v>0</v>
      </c>
      <c r="C12" s="47">
        <v>10</v>
      </c>
      <c r="D12" s="47">
        <v>50</v>
      </c>
      <c r="E12" s="47" t="s">
        <v>237</v>
      </c>
      <c r="F12" s="47" t="s">
        <v>90</v>
      </c>
      <c r="G12" s="47" t="s">
        <v>237</v>
      </c>
      <c r="H12" s="47" t="s">
        <v>90</v>
      </c>
      <c r="I12" s="47" t="s">
        <v>90</v>
      </c>
      <c r="J12" s="48">
        <f t="shared" si="2"/>
        <v>50</v>
      </c>
    </row>
    <row r="13" spans="1:11" ht="21" customHeight="1" x14ac:dyDescent="0.15">
      <c r="A13" s="162">
        <v>30022011</v>
      </c>
      <c r="B13" s="47">
        <v>0</v>
      </c>
      <c r="C13" s="47">
        <v>11</v>
      </c>
      <c r="D13" s="47">
        <v>100</v>
      </c>
      <c r="E13" s="47">
        <v>50</v>
      </c>
      <c r="F13" s="47" t="s">
        <v>90</v>
      </c>
      <c r="G13" s="47">
        <v>1</v>
      </c>
      <c r="H13" s="47" t="s">
        <v>90</v>
      </c>
      <c r="I13" s="47" t="s">
        <v>90</v>
      </c>
      <c r="J13" s="48">
        <f t="shared" si="2"/>
        <v>100</v>
      </c>
    </row>
    <row r="14" spans="1:11" ht="21" customHeight="1" x14ac:dyDescent="0.15">
      <c r="A14" s="162">
        <v>30022012</v>
      </c>
      <c r="B14" s="47">
        <v>0</v>
      </c>
      <c r="C14" s="47">
        <v>10</v>
      </c>
      <c r="D14" s="47">
        <v>50</v>
      </c>
      <c r="E14" s="47">
        <v>90</v>
      </c>
      <c r="F14" s="47" t="s">
        <v>90</v>
      </c>
      <c r="G14" s="47" t="s">
        <v>237</v>
      </c>
      <c r="H14" s="47" t="s">
        <v>90</v>
      </c>
      <c r="I14" s="47" t="s">
        <v>90</v>
      </c>
      <c r="J14" s="48">
        <f t="shared" si="2"/>
        <v>50</v>
      </c>
    </row>
    <row r="15" spans="1:11" ht="21" customHeight="1" x14ac:dyDescent="0.15">
      <c r="A15" s="162">
        <v>30022013</v>
      </c>
      <c r="B15" s="47">
        <v>0</v>
      </c>
      <c r="C15" s="47">
        <v>12</v>
      </c>
      <c r="D15" s="47">
        <v>100</v>
      </c>
      <c r="E15" s="47" t="s">
        <v>237</v>
      </c>
      <c r="F15" s="47" t="s">
        <v>90</v>
      </c>
      <c r="G15" s="47" t="s">
        <v>277</v>
      </c>
      <c r="H15" s="47">
        <v>3</v>
      </c>
      <c r="I15" s="47" t="s">
        <v>90</v>
      </c>
      <c r="J15" s="48">
        <f t="shared" si="2"/>
        <v>100</v>
      </c>
    </row>
    <row r="16" spans="1:11" ht="21" customHeight="1" x14ac:dyDescent="0.15">
      <c r="A16" s="162">
        <v>30022014</v>
      </c>
      <c r="B16" s="47">
        <v>1</v>
      </c>
      <c r="C16" s="47">
        <v>99</v>
      </c>
      <c r="D16" s="47">
        <v>100</v>
      </c>
      <c r="E16" s="47" t="s">
        <v>237</v>
      </c>
      <c r="F16" s="47" t="s">
        <v>90</v>
      </c>
      <c r="G16" s="47">
        <v>1</v>
      </c>
      <c r="H16" s="47" t="s">
        <v>90</v>
      </c>
      <c r="I16" s="47" t="s">
        <v>90</v>
      </c>
      <c r="J16" s="48">
        <f t="shared" si="2"/>
        <v>100</v>
      </c>
    </row>
    <row r="17" spans="1:10" ht="21" customHeight="1" x14ac:dyDescent="0.15">
      <c r="A17" s="162">
        <v>30022015</v>
      </c>
      <c r="B17" s="47">
        <v>0</v>
      </c>
      <c r="C17" s="47">
        <v>11</v>
      </c>
      <c r="D17" s="47">
        <v>100</v>
      </c>
      <c r="E17" s="47" t="s">
        <v>237</v>
      </c>
      <c r="F17" s="47" t="s">
        <v>90</v>
      </c>
      <c r="G17" s="47" t="s">
        <v>237</v>
      </c>
      <c r="H17" s="47">
        <v>2</v>
      </c>
      <c r="I17" s="47" t="s">
        <v>90</v>
      </c>
      <c r="J17" s="48">
        <f t="shared" si="2"/>
        <v>100</v>
      </c>
    </row>
    <row r="18" spans="1:10" ht="21" customHeight="1" x14ac:dyDescent="0.15">
      <c r="A18" s="162">
        <v>30022016</v>
      </c>
      <c r="B18" s="47">
        <v>0</v>
      </c>
      <c r="C18" s="47">
        <v>10</v>
      </c>
      <c r="D18" s="47">
        <v>50</v>
      </c>
      <c r="E18" s="47" t="s">
        <v>237</v>
      </c>
      <c r="F18" s="47" t="s">
        <v>90</v>
      </c>
      <c r="G18" s="47" t="s">
        <v>237</v>
      </c>
      <c r="H18" s="47" t="s">
        <v>90</v>
      </c>
      <c r="I18" s="47" t="s">
        <v>90</v>
      </c>
      <c r="J18" s="48">
        <f t="shared" si="2"/>
        <v>50</v>
      </c>
    </row>
    <row r="19" spans="1:10" ht="21" customHeight="1" x14ac:dyDescent="0.15">
      <c r="A19" s="162">
        <v>30022017</v>
      </c>
      <c r="B19" s="47">
        <v>0</v>
      </c>
      <c r="C19" s="47">
        <v>20</v>
      </c>
      <c r="D19" s="47">
        <v>100</v>
      </c>
      <c r="E19" s="47">
        <v>50</v>
      </c>
      <c r="F19" s="47" t="s">
        <v>90</v>
      </c>
      <c r="G19" s="47">
        <v>1</v>
      </c>
      <c r="H19" s="47">
        <v>1</v>
      </c>
      <c r="I19" s="47" t="s">
        <v>90</v>
      </c>
      <c r="J19" s="48">
        <f t="shared" si="2"/>
        <v>100</v>
      </c>
    </row>
    <row r="20" spans="1:10" ht="21" customHeight="1" x14ac:dyDescent="0.15">
      <c r="A20" s="162">
        <v>30022018</v>
      </c>
      <c r="B20" s="47">
        <v>0</v>
      </c>
      <c r="C20" s="47">
        <v>19</v>
      </c>
      <c r="D20" s="47">
        <v>100</v>
      </c>
      <c r="E20" s="47">
        <v>50</v>
      </c>
      <c r="F20" s="47" t="s">
        <v>90</v>
      </c>
      <c r="G20" s="47">
        <v>1</v>
      </c>
      <c r="H20" s="47">
        <v>1</v>
      </c>
      <c r="I20" s="47" t="s">
        <v>90</v>
      </c>
      <c r="J20" s="48">
        <f t="shared" si="2"/>
        <v>100</v>
      </c>
    </row>
    <row r="21" spans="1:10" ht="21" customHeight="1" x14ac:dyDescent="0.15">
      <c r="A21" s="162">
        <v>30022019</v>
      </c>
      <c r="B21" s="47">
        <v>1</v>
      </c>
      <c r="C21" s="47">
        <v>99</v>
      </c>
      <c r="D21" s="47">
        <v>100</v>
      </c>
      <c r="E21" s="47" t="s">
        <v>237</v>
      </c>
      <c r="F21" s="47" t="s">
        <v>90</v>
      </c>
      <c r="G21" s="47">
        <v>1</v>
      </c>
      <c r="H21" s="47" t="s">
        <v>90</v>
      </c>
      <c r="I21" s="47" t="s">
        <v>90</v>
      </c>
      <c r="J21" s="48">
        <f t="shared" si="2"/>
        <v>100</v>
      </c>
    </row>
    <row r="22" spans="1:10" ht="21" customHeight="1" x14ac:dyDescent="0.15">
      <c r="A22" s="162">
        <v>30022020</v>
      </c>
      <c r="B22" s="47">
        <v>0</v>
      </c>
      <c r="C22" s="47">
        <v>90</v>
      </c>
      <c r="D22" s="47">
        <v>100</v>
      </c>
      <c r="E22" s="47" t="s">
        <v>237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2"/>
        <v>100</v>
      </c>
    </row>
    <row r="23" spans="1:10" ht="21" customHeight="1" x14ac:dyDescent="0.15">
      <c r="A23" s="162">
        <v>30022021</v>
      </c>
      <c r="B23" s="47">
        <v>0</v>
      </c>
      <c r="C23" s="47">
        <v>10</v>
      </c>
      <c r="D23" s="47">
        <v>100</v>
      </c>
      <c r="E23" s="47" t="s">
        <v>237</v>
      </c>
      <c r="F23" s="47" t="s">
        <v>90</v>
      </c>
      <c r="G23" s="47" t="s">
        <v>237</v>
      </c>
      <c r="H23" s="47" t="s">
        <v>90</v>
      </c>
      <c r="I23" s="47" t="s">
        <v>90</v>
      </c>
      <c r="J23" s="48">
        <f t="shared" si="2"/>
        <v>100</v>
      </c>
    </row>
    <row r="24" spans="1:10" ht="21" customHeight="1" x14ac:dyDescent="0.15">
      <c r="A24" s="162">
        <v>30022022</v>
      </c>
      <c r="B24" s="47">
        <v>0</v>
      </c>
      <c r="C24" s="47">
        <v>80</v>
      </c>
      <c r="D24" s="47">
        <v>100</v>
      </c>
      <c r="E24" s="47">
        <v>80</v>
      </c>
      <c r="F24" s="47" t="s">
        <v>90</v>
      </c>
      <c r="G24" s="47">
        <v>1</v>
      </c>
      <c r="H24" s="47" t="s">
        <v>241</v>
      </c>
      <c r="I24" s="47" t="s">
        <v>90</v>
      </c>
      <c r="J24" s="48">
        <f t="shared" si="2"/>
        <v>100</v>
      </c>
    </row>
    <row r="25" spans="1:10" ht="21" customHeight="1" x14ac:dyDescent="0.15">
      <c r="A25" s="162">
        <v>30022023</v>
      </c>
      <c r="B25" s="47">
        <v>0</v>
      </c>
      <c r="C25" s="47">
        <v>79</v>
      </c>
      <c r="D25" s="47">
        <v>100</v>
      </c>
      <c r="E25" s="47">
        <v>80</v>
      </c>
      <c r="F25" s="47" t="s">
        <v>90</v>
      </c>
      <c r="G25" s="47">
        <v>1</v>
      </c>
      <c r="H25" s="47" t="s">
        <v>90</v>
      </c>
      <c r="I25" s="47" t="s">
        <v>90</v>
      </c>
      <c r="J25" s="48">
        <f t="shared" si="2"/>
        <v>100</v>
      </c>
    </row>
    <row r="26" spans="1:10" ht="21" customHeight="1" x14ac:dyDescent="0.15">
      <c r="A26" s="162">
        <v>30022024</v>
      </c>
      <c r="B26" s="47">
        <v>0</v>
      </c>
      <c r="C26" s="47">
        <v>70</v>
      </c>
      <c r="D26" s="47">
        <v>100</v>
      </c>
      <c r="E26" s="47">
        <v>50</v>
      </c>
      <c r="F26" s="47" t="s">
        <v>90</v>
      </c>
      <c r="G26" s="47">
        <v>1</v>
      </c>
      <c r="H26" s="47" t="s">
        <v>90</v>
      </c>
      <c r="I26" s="47" t="s">
        <v>90</v>
      </c>
      <c r="J26" s="48">
        <f t="shared" si="2"/>
        <v>100</v>
      </c>
    </row>
    <row r="27" spans="1:10" ht="21" customHeight="1" x14ac:dyDescent="0.15">
      <c r="A27" s="162">
        <v>30022025</v>
      </c>
      <c r="B27" s="47">
        <v>0</v>
      </c>
      <c r="C27" s="47">
        <v>69</v>
      </c>
      <c r="D27" s="47">
        <v>100</v>
      </c>
      <c r="E27" s="47">
        <v>50</v>
      </c>
      <c r="F27" s="47" t="s">
        <v>90</v>
      </c>
      <c r="G27" s="47">
        <v>1</v>
      </c>
      <c r="H27" s="47" t="s">
        <v>90</v>
      </c>
      <c r="I27" s="47" t="s">
        <v>90</v>
      </c>
      <c r="J27" s="48">
        <f t="shared" si="2"/>
        <v>100</v>
      </c>
    </row>
    <row r="28" spans="1:10" ht="21" customHeight="1" x14ac:dyDescent="0.15">
      <c r="A28" s="162">
        <v>30022026</v>
      </c>
      <c r="B28" s="47">
        <v>1</v>
      </c>
      <c r="C28" s="47">
        <v>99</v>
      </c>
      <c r="D28" s="47">
        <v>100</v>
      </c>
      <c r="E28" s="47" t="s">
        <v>237</v>
      </c>
      <c r="F28" s="47" t="s">
        <v>90</v>
      </c>
      <c r="G28" s="47">
        <v>1</v>
      </c>
      <c r="H28" s="47" t="s">
        <v>90</v>
      </c>
      <c r="I28" s="47" t="s">
        <v>90</v>
      </c>
      <c r="J28" s="48">
        <f t="shared" si="2"/>
        <v>100</v>
      </c>
    </row>
    <row r="29" spans="1:10" ht="21" customHeight="1" x14ac:dyDescent="0.15">
      <c r="A29" s="154">
        <v>30022027</v>
      </c>
      <c r="B29" s="154">
        <v>0</v>
      </c>
      <c r="C29" s="154" t="s">
        <v>89</v>
      </c>
      <c r="D29" s="154">
        <v>100</v>
      </c>
      <c r="E29" s="154" t="s">
        <v>237</v>
      </c>
      <c r="F29" s="154" t="s">
        <v>90</v>
      </c>
      <c r="G29" s="154" t="s">
        <v>237</v>
      </c>
      <c r="H29" s="154" t="s">
        <v>90</v>
      </c>
      <c r="I29" s="154" t="s">
        <v>90</v>
      </c>
      <c r="J29" s="154">
        <f t="shared" si="2"/>
        <v>100</v>
      </c>
    </row>
    <row r="30" spans="1:10" ht="21" customHeight="1" x14ac:dyDescent="0.15">
      <c r="A30" s="162">
        <v>30022028</v>
      </c>
      <c r="B30" s="47">
        <v>0</v>
      </c>
      <c r="C30" s="47">
        <v>1</v>
      </c>
      <c r="D30" s="47">
        <v>100</v>
      </c>
      <c r="E30" s="47" t="s">
        <v>237</v>
      </c>
      <c r="F30" s="47" t="s">
        <v>90</v>
      </c>
      <c r="G30" s="47" t="s">
        <v>237</v>
      </c>
      <c r="H30" s="47" t="s">
        <v>90</v>
      </c>
      <c r="I30" s="47" t="s">
        <v>90</v>
      </c>
      <c r="J30" s="48">
        <f t="shared" si="2"/>
        <v>100</v>
      </c>
    </row>
    <row r="31" spans="1:10" ht="21" customHeight="1" x14ac:dyDescent="0.15">
      <c r="A31" s="162">
        <v>30022029</v>
      </c>
      <c r="B31" s="47">
        <v>0</v>
      </c>
      <c r="C31" s="47">
        <v>2</v>
      </c>
      <c r="D31" s="47">
        <v>100</v>
      </c>
      <c r="E31" s="47">
        <v>50</v>
      </c>
      <c r="F31" s="47" t="s">
        <v>90</v>
      </c>
      <c r="G31" s="47" t="s">
        <v>237</v>
      </c>
      <c r="H31" s="47" t="s">
        <v>90</v>
      </c>
      <c r="I31" s="47" t="s">
        <v>90</v>
      </c>
      <c r="J31" s="48">
        <f t="shared" si="2"/>
        <v>100</v>
      </c>
    </row>
    <row r="32" spans="1:10" ht="21" customHeight="1" x14ac:dyDescent="0.15">
      <c r="A32" s="157">
        <v>30022030</v>
      </c>
      <c r="B32" s="158">
        <v>1</v>
      </c>
      <c r="C32" s="158">
        <v>99</v>
      </c>
      <c r="D32" s="158">
        <v>100</v>
      </c>
      <c r="E32" s="158" t="s">
        <v>237</v>
      </c>
      <c r="F32" s="158" t="s">
        <v>90</v>
      </c>
      <c r="G32" s="158">
        <v>1</v>
      </c>
      <c r="H32" s="158" t="s">
        <v>90</v>
      </c>
      <c r="I32" s="158" t="s">
        <v>90</v>
      </c>
      <c r="J32" s="159">
        <f t="shared" si="2"/>
        <v>100</v>
      </c>
    </row>
    <row r="33" spans="1:10" ht="21" customHeight="1" x14ac:dyDescent="0.15">
      <c r="A33" s="95">
        <v>30022031</v>
      </c>
      <c r="B33" s="47">
        <v>1</v>
      </c>
      <c r="C33" s="47">
        <v>99</v>
      </c>
      <c r="D33" s="47">
        <v>100</v>
      </c>
      <c r="E33" s="47" t="s">
        <v>237</v>
      </c>
      <c r="F33" s="47" t="s">
        <v>90</v>
      </c>
      <c r="G33" s="47">
        <v>1</v>
      </c>
      <c r="H33" s="47" t="s">
        <v>90</v>
      </c>
      <c r="I33" s="47" t="s">
        <v>90</v>
      </c>
      <c r="J33" s="48">
        <f t="shared" ref="J33:J34" si="3">D33</f>
        <v>100</v>
      </c>
    </row>
    <row r="34" spans="1:10" ht="21" customHeight="1" x14ac:dyDescent="0.15">
      <c r="A34" s="157">
        <v>30022032</v>
      </c>
      <c r="B34" s="47">
        <v>0</v>
      </c>
      <c r="C34" s="47">
        <v>99</v>
      </c>
      <c r="D34" s="47">
        <v>100</v>
      </c>
      <c r="E34" s="47" t="s">
        <v>237</v>
      </c>
      <c r="F34" s="47" t="s">
        <v>90</v>
      </c>
      <c r="G34" s="47">
        <v>1</v>
      </c>
      <c r="H34" s="47" t="s">
        <v>90</v>
      </c>
      <c r="I34" s="47">
        <v>305</v>
      </c>
      <c r="J34" s="159">
        <f t="shared" si="3"/>
        <v>100</v>
      </c>
    </row>
    <row r="35" spans="1:10" ht="21" customHeight="1" x14ac:dyDescent="0.15">
      <c r="A35" s="95">
        <v>30022033</v>
      </c>
      <c r="B35" s="47">
        <v>0</v>
      </c>
      <c r="C35" s="47">
        <v>99</v>
      </c>
      <c r="D35" s="47">
        <v>100</v>
      </c>
      <c r="E35" s="47" t="s">
        <v>237</v>
      </c>
      <c r="F35" s="47" t="s">
        <v>90</v>
      </c>
      <c r="G35" s="47">
        <v>1</v>
      </c>
      <c r="H35" s="47" t="s">
        <v>90</v>
      </c>
      <c r="I35" s="47">
        <v>303</v>
      </c>
      <c r="J35" s="48">
        <f t="shared" ref="J35" si="4">D35</f>
        <v>100</v>
      </c>
    </row>
    <row r="36" spans="1:10" ht="21" customHeight="1" x14ac:dyDescent="0.15">
      <c r="A36" s="160"/>
      <c r="B36" s="161"/>
      <c r="C36" s="161"/>
      <c r="D36" s="161"/>
      <c r="E36" s="161"/>
      <c r="F36" s="161"/>
      <c r="G36" s="161"/>
      <c r="H36" s="161"/>
      <c r="I36" s="161"/>
      <c r="J36" s="161"/>
    </row>
    <row r="37" spans="1:10" ht="21" customHeight="1" x14ac:dyDescent="0.15">
      <c r="A37" s="160"/>
      <c r="B37" s="161"/>
      <c r="C37" s="161"/>
      <c r="D37" s="161"/>
      <c r="E37" s="161"/>
      <c r="F37" s="161"/>
      <c r="G37" s="161"/>
      <c r="H37" s="161"/>
      <c r="I37" s="161"/>
      <c r="J37" s="161"/>
    </row>
    <row r="38" spans="1:10" ht="21" customHeight="1" x14ac:dyDescent="0.15">
      <c r="A38" s="160"/>
      <c r="B38" s="161"/>
      <c r="C38" s="161"/>
      <c r="D38" s="161"/>
      <c r="E38" s="161"/>
      <c r="F38" s="161"/>
      <c r="G38" s="161"/>
      <c r="H38" s="161"/>
      <c r="I38" s="161"/>
      <c r="J38" s="161"/>
    </row>
    <row r="39" spans="1:10" ht="21" customHeight="1" x14ac:dyDescent="0.15">
      <c r="A39" s="160"/>
      <c r="B39" s="161"/>
      <c r="C39" s="161"/>
      <c r="D39" s="161"/>
      <c r="E39" s="161"/>
      <c r="F39" s="161"/>
      <c r="G39" s="161"/>
      <c r="H39" s="161"/>
      <c r="I39" s="161"/>
      <c r="J39" s="161"/>
    </row>
    <row r="40" spans="1:10" ht="21" customHeight="1" x14ac:dyDescent="0.15">
      <c r="A40" s="160"/>
      <c r="B40" s="161"/>
      <c r="C40" s="161"/>
      <c r="D40" s="161"/>
      <c r="E40" s="161"/>
      <c r="F40" s="161"/>
      <c r="G40" s="161"/>
      <c r="H40" s="161"/>
      <c r="I40" s="161"/>
      <c r="J40" s="161"/>
    </row>
    <row r="41" spans="1:10" ht="21" customHeight="1" x14ac:dyDescent="0.15">
      <c r="A41" s="160"/>
      <c r="B41" s="161"/>
      <c r="C41" s="161"/>
      <c r="D41" s="161"/>
      <c r="E41" s="161"/>
      <c r="F41" s="161"/>
      <c r="G41" s="161"/>
      <c r="H41" s="161"/>
      <c r="I41" s="161"/>
      <c r="J41" s="161"/>
    </row>
    <row r="42" spans="1:10" ht="21" customHeight="1" x14ac:dyDescent="0.15">
      <c r="A42" s="160"/>
      <c r="B42" s="161"/>
      <c r="C42" s="161"/>
      <c r="D42" s="161"/>
      <c r="E42" s="161"/>
      <c r="F42" s="161"/>
      <c r="G42" s="161"/>
      <c r="H42" s="161"/>
      <c r="I42" s="161"/>
      <c r="J42" s="161"/>
    </row>
  </sheetData>
  <autoFilter ref="A1:G1"/>
  <phoneticPr fontId="6"/>
  <conditionalFormatting sqref="K1:K2 K4:K33 K36:K1048576">
    <cfRule type="duplicateValues" dxfId="2" priority="3"/>
  </conditionalFormatting>
  <conditionalFormatting sqref="K3">
    <cfRule type="duplicateValues" dxfId="1" priority="2"/>
  </conditionalFormatting>
  <conditionalFormatting sqref="K34:K3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2"/>
  <sheetViews>
    <sheetView topLeftCell="D1" workbookViewId="0">
      <selection activeCell="J25" sqref="J2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0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165">
        <v>30022</v>
      </c>
      <c r="B2" s="166">
        <v>1</v>
      </c>
      <c r="C2" s="167" t="s">
        <v>303</v>
      </c>
      <c r="D2" s="167" t="s">
        <v>293</v>
      </c>
      <c r="E2" s="166">
        <v>1</v>
      </c>
      <c r="F2" s="166" t="s">
        <v>169</v>
      </c>
      <c r="G2" s="166">
        <v>6500</v>
      </c>
      <c r="H2" s="166" t="s">
        <v>294</v>
      </c>
      <c r="I2" s="166">
        <v>1</v>
      </c>
      <c r="J2" s="166">
        <v>1</v>
      </c>
      <c r="K2" s="166">
        <v>0</v>
      </c>
      <c r="L2" s="166">
        <v>0</v>
      </c>
      <c r="M2" s="166">
        <v>0</v>
      </c>
      <c r="N2" s="166">
        <v>0</v>
      </c>
      <c r="O2" s="166">
        <v>1</v>
      </c>
      <c r="P2" s="166">
        <v>200</v>
      </c>
      <c r="Q2" s="85" t="s">
        <v>170</v>
      </c>
      <c r="R2" s="168" t="s">
        <v>171</v>
      </c>
    </row>
    <row r="3" spans="1:18" x14ac:dyDescent="0.15">
      <c r="A3" s="165">
        <v>30022</v>
      </c>
      <c r="B3" s="169">
        <v>1</v>
      </c>
      <c r="C3" s="167" t="s">
        <v>305</v>
      </c>
      <c r="D3" s="170" t="s">
        <v>293</v>
      </c>
      <c r="E3" s="169">
        <v>2</v>
      </c>
      <c r="F3" s="169" t="s">
        <v>295</v>
      </c>
      <c r="G3" s="169">
        <v>25</v>
      </c>
      <c r="H3" s="169" t="s">
        <v>294</v>
      </c>
      <c r="I3" s="169">
        <v>1</v>
      </c>
      <c r="J3" s="169">
        <v>1</v>
      </c>
      <c r="K3" s="169">
        <v>0</v>
      </c>
      <c r="L3" s="169">
        <v>0</v>
      </c>
      <c r="M3" s="169">
        <v>0</v>
      </c>
      <c r="N3" s="169">
        <v>0</v>
      </c>
      <c r="O3" s="169">
        <v>1</v>
      </c>
      <c r="P3" s="169">
        <v>150</v>
      </c>
      <c r="Q3" s="85" t="s">
        <v>170</v>
      </c>
      <c r="R3" s="171" t="s">
        <v>171</v>
      </c>
    </row>
    <row r="4" spans="1:18" x14ac:dyDescent="0.15">
      <c r="A4" s="165">
        <v>30022</v>
      </c>
      <c r="B4" s="169">
        <v>1</v>
      </c>
      <c r="C4" s="167" t="s">
        <v>302</v>
      </c>
      <c r="D4" s="170" t="s">
        <v>293</v>
      </c>
      <c r="E4" s="169">
        <v>3</v>
      </c>
      <c r="F4" s="169" t="s">
        <v>296</v>
      </c>
      <c r="G4" s="169">
        <v>336</v>
      </c>
      <c r="H4" s="169">
        <v>1</v>
      </c>
      <c r="I4" s="169">
        <v>1</v>
      </c>
      <c r="J4" s="169">
        <v>1</v>
      </c>
      <c r="K4" s="169">
        <v>0</v>
      </c>
      <c r="L4" s="169">
        <v>0</v>
      </c>
      <c r="M4" s="169">
        <v>0</v>
      </c>
      <c r="N4" s="169">
        <v>0</v>
      </c>
      <c r="O4" s="169">
        <v>1</v>
      </c>
      <c r="P4" s="169">
        <v>28</v>
      </c>
      <c r="Q4" s="85" t="s">
        <v>170</v>
      </c>
      <c r="R4" s="171" t="s">
        <v>171</v>
      </c>
    </row>
    <row r="5" spans="1:18" x14ac:dyDescent="0.15">
      <c r="A5" s="165">
        <v>30022</v>
      </c>
      <c r="B5" s="169">
        <v>1</v>
      </c>
      <c r="C5" s="167" t="s">
        <v>302</v>
      </c>
      <c r="D5" s="170" t="s">
        <v>293</v>
      </c>
      <c r="E5" s="169">
        <v>4</v>
      </c>
      <c r="F5" s="169" t="s">
        <v>296</v>
      </c>
      <c r="G5" s="169">
        <v>337</v>
      </c>
      <c r="H5" s="169">
        <v>1</v>
      </c>
      <c r="I5" s="169">
        <v>1</v>
      </c>
      <c r="J5" s="169">
        <v>1</v>
      </c>
      <c r="K5" s="169">
        <v>0</v>
      </c>
      <c r="L5" s="169">
        <v>0</v>
      </c>
      <c r="M5" s="169">
        <v>0</v>
      </c>
      <c r="N5" s="169">
        <v>0</v>
      </c>
      <c r="O5" s="169">
        <v>1</v>
      </c>
      <c r="P5" s="169">
        <v>56</v>
      </c>
      <c r="Q5" s="85" t="s">
        <v>170</v>
      </c>
      <c r="R5" s="171" t="s">
        <v>171</v>
      </c>
    </row>
    <row r="6" spans="1:18" x14ac:dyDescent="0.15">
      <c r="A6" s="165">
        <v>30022</v>
      </c>
      <c r="B6" s="169">
        <v>1</v>
      </c>
      <c r="C6" s="167" t="s">
        <v>302</v>
      </c>
      <c r="D6" s="170" t="s">
        <v>293</v>
      </c>
      <c r="E6" s="169">
        <v>5</v>
      </c>
      <c r="F6" s="169" t="s">
        <v>296</v>
      </c>
      <c r="G6" s="169">
        <v>338</v>
      </c>
      <c r="H6" s="169">
        <v>1</v>
      </c>
      <c r="I6" s="169">
        <v>1</v>
      </c>
      <c r="J6" s="169">
        <v>1</v>
      </c>
      <c r="K6" s="169">
        <v>0</v>
      </c>
      <c r="L6" s="169">
        <v>0</v>
      </c>
      <c r="M6" s="169">
        <v>0</v>
      </c>
      <c r="N6" s="169">
        <v>0</v>
      </c>
      <c r="O6" s="169">
        <v>1</v>
      </c>
      <c r="P6" s="169">
        <v>56</v>
      </c>
      <c r="Q6" s="85" t="s">
        <v>170</v>
      </c>
      <c r="R6" s="171" t="s">
        <v>171</v>
      </c>
    </row>
    <row r="7" spans="1:18" x14ac:dyDescent="0.15">
      <c r="A7" s="165">
        <v>30022</v>
      </c>
      <c r="B7" s="169">
        <v>1</v>
      </c>
      <c r="C7" s="167" t="s">
        <v>302</v>
      </c>
      <c r="D7" s="170" t="s">
        <v>293</v>
      </c>
      <c r="E7" s="169">
        <v>6</v>
      </c>
      <c r="F7" s="169" t="s">
        <v>296</v>
      </c>
      <c r="G7" s="169">
        <v>121</v>
      </c>
      <c r="H7" s="169">
        <v>1</v>
      </c>
      <c r="I7" s="169">
        <v>1</v>
      </c>
      <c r="J7" s="169">
        <v>1</v>
      </c>
      <c r="K7" s="169">
        <v>0</v>
      </c>
      <c r="L7" s="169">
        <v>0</v>
      </c>
      <c r="M7" s="169">
        <v>0</v>
      </c>
      <c r="N7" s="169">
        <v>0</v>
      </c>
      <c r="O7" s="169">
        <v>1</v>
      </c>
      <c r="P7" s="169">
        <v>50</v>
      </c>
      <c r="Q7" s="85" t="s">
        <v>170</v>
      </c>
      <c r="R7" s="171" t="s">
        <v>171</v>
      </c>
    </row>
    <row r="8" spans="1:18" x14ac:dyDescent="0.15">
      <c r="A8" s="165">
        <v>30022</v>
      </c>
      <c r="B8" s="169">
        <v>1</v>
      </c>
      <c r="C8" s="167" t="s">
        <v>302</v>
      </c>
      <c r="D8" s="170" t="s">
        <v>293</v>
      </c>
      <c r="E8" s="169">
        <v>7</v>
      </c>
      <c r="F8" s="169" t="s">
        <v>296</v>
      </c>
      <c r="G8" s="169">
        <v>122</v>
      </c>
      <c r="H8" s="169">
        <v>1</v>
      </c>
      <c r="I8" s="169">
        <v>1</v>
      </c>
      <c r="J8" s="169">
        <v>1</v>
      </c>
      <c r="K8" s="169">
        <v>0</v>
      </c>
      <c r="L8" s="169">
        <v>0</v>
      </c>
      <c r="M8" s="169">
        <v>0</v>
      </c>
      <c r="N8" s="169">
        <v>0</v>
      </c>
      <c r="O8" s="169">
        <v>1</v>
      </c>
      <c r="P8" s="169">
        <v>50</v>
      </c>
      <c r="Q8" s="85" t="s">
        <v>170</v>
      </c>
      <c r="R8" s="171" t="s">
        <v>171</v>
      </c>
    </row>
    <row r="9" spans="1:18" x14ac:dyDescent="0.15">
      <c r="A9" s="165">
        <v>30022</v>
      </c>
      <c r="B9" s="169">
        <v>1</v>
      </c>
      <c r="C9" s="167" t="s">
        <v>302</v>
      </c>
      <c r="D9" s="170" t="s">
        <v>293</v>
      </c>
      <c r="E9" s="169">
        <v>8</v>
      </c>
      <c r="F9" s="169" t="s">
        <v>296</v>
      </c>
      <c r="G9" s="169">
        <v>123</v>
      </c>
      <c r="H9" s="169">
        <v>1</v>
      </c>
      <c r="I9" s="169">
        <v>1</v>
      </c>
      <c r="J9" s="169">
        <v>1</v>
      </c>
      <c r="K9" s="169">
        <v>0</v>
      </c>
      <c r="L9" s="169">
        <v>0</v>
      </c>
      <c r="M9" s="169">
        <v>0</v>
      </c>
      <c r="N9" s="169">
        <v>0</v>
      </c>
      <c r="O9" s="169">
        <v>1</v>
      </c>
      <c r="P9" s="169">
        <v>50</v>
      </c>
      <c r="Q9" s="85" t="s">
        <v>170</v>
      </c>
      <c r="R9" s="171" t="s">
        <v>171</v>
      </c>
    </row>
    <row r="10" spans="1:18" x14ac:dyDescent="0.15">
      <c r="A10" s="165">
        <v>30022</v>
      </c>
      <c r="B10" s="169">
        <v>1</v>
      </c>
      <c r="C10" s="167" t="s">
        <v>302</v>
      </c>
      <c r="D10" s="170" t="s">
        <v>293</v>
      </c>
      <c r="E10" s="169">
        <v>9</v>
      </c>
      <c r="F10" s="169" t="s">
        <v>296</v>
      </c>
      <c r="G10" s="169">
        <v>125</v>
      </c>
      <c r="H10" s="169">
        <v>1</v>
      </c>
      <c r="I10" s="169">
        <v>1</v>
      </c>
      <c r="J10" s="169">
        <v>1</v>
      </c>
      <c r="K10" s="169">
        <v>0</v>
      </c>
      <c r="L10" s="169">
        <v>0</v>
      </c>
      <c r="M10" s="169">
        <v>0</v>
      </c>
      <c r="N10" s="169">
        <v>0</v>
      </c>
      <c r="O10" s="169">
        <v>1</v>
      </c>
      <c r="P10" s="169">
        <v>10</v>
      </c>
      <c r="Q10" s="85" t="s">
        <v>170</v>
      </c>
      <c r="R10" s="171" t="s">
        <v>171</v>
      </c>
    </row>
    <row r="11" spans="1:18" x14ac:dyDescent="0.15">
      <c r="A11" s="165">
        <v>30022</v>
      </c>
      <c r="B11" s="169">
        <v>1</v>
      </c>
      <c r="C11" s="167" t="s">
        <v>302</v>
      </c>
      <c r="D11" s="170" t="s">
        <v>293</v>
      </c>
      <c r="E11" s="169">
        <v>10</v>
      </c>
      <c r="F11" s="169" t="s">
        <v>296</v>
      </c>
      <c r="G11" s="169">
        <v>504</v>
      </c>
      <c r="H11" s="169">
        <v>1</v>
      </c>
      <c r="I11" s="169">
        <v>1</v>
      </c>
      <c r="J11" s="169">
        <v>1</v>
      </c>
      <c r="K11" s="169">
        <v>0</v>
      </c>
      <c r="L11" s="169">
        <v>0</v>
      </c>
      <c r="M11" s="169">
        <v>0</v>
      </c>
      <c r="N11" s="169">
        <v>0</v>
      </c>
      <c r="O11" s="169">
        <v>1</v>
      </c>
      <c r="P11" s="169">
        <v>250</v>
      </c>
      <c r="Q11" s="85" t="s">
        <v>170</v>
      </c>
      <c r="R11" s="171" t="s">
        <v>171</v>
      </c>
    </row>
    <row r="12" spans="1:18" ht="16" thickBot="1" x14ac:dyDescent="0.2">
      <c r="A12" s="186">
        <v>30022</v>
      </c>
      <c r="B12" s="187">
        <v>1</v>
      </c>
      <c r="C12" s="167" t="s">
        <v>302</v>
      </c>
      <c r="D12" s="188" t="s">
        <v>293</v>
      </c>
      <c r="E12" s="187">
        <v>11</v>
      </c>
      <c r="F12" s="187" t="s">
        <v>296</v>
      </c>
      <c r="G12" s="187">
        <v>350</v>
      </c>
      <c r="H12" s="187">
        <v>1</v>
      </c>
      <c r="I12" s="187">
        <v>1</v>
      </c>
      <c r="J12" s="187">
        <v>1</v>
      </c>
      <c r="K12" s="187">
        <v>0</v>
      </c>
      <c r="L12" s="187">
        <v>0</v>
      </c>
      <c r="M12" s="187">
        <v>0</v>
      </c>
      <c r="N12" s="187">
        <v>0</v>
      </c>
      <c r="O12" s="187">
        <v>1</v>
      </c>
      <c r="P12" s="187">
        <v>100</v>
      </c>
      <c r="Q12" s="174" t="s">
        <v>170</v>
      </c>
      <c r="R12" s="189" t="s">
        <v>171</v>
      </c>
    </row>
    <row r="13" spans="1:18" x14ac:dyDescent="0.15">
      <c r="A13" s="190">
        <v>30022</v>
      </c>
      <c r="B13" s="191">
        <v>2</v>
      </c>
      <c r="C13" s="194" t="s">
        <v>306</v>
      </c>
      <c r="D13" s="192" t="s">
        <v>293</v>
      </c>
      <c r="E13" s="191">
        <v>12</v>
      </c>
      <c r="F13" s="191" t="s">
        <v>169</v>
      </c>
      <c r="G13" s="191">
        <v>7500</v>
      </c>
      <c r="H13" s="191" t="s">
        <v>294</v>
      </c>
      <c r="I13" s="191">
        <v>1</v>
      </c>
      <c r="J13" s="191">
        <v>1</v>
      </c>
      <c r="K13" s="191">
        <v>0</v>
      </c>
      <c r="L13" s="191">
        <v>0</v>
      </c>
      <c r="M13" s="191">
        <v>0</v>
      </c>
      <c r="N13" s="191">
        <v>0</v>
      </c>
      <c r="O13" s="191">
        <v>1</v>
      </c>
      <c r="P13" s="191">
        <v>100</v>
      </c>
      <c r="Q13" s="176" t="s">
        <v>170</v>
      </c>
      <c r="R13" s="193" t="s">
        <v>171</v>
      </c>
    </row>
    <row r="14" spans="1:18" x14ac:dyDescent="0.15">
      <c r="A14" s="165">
        <v>30022</v>
      </c>
      <c r="B14" s="169">
        <v>2</v>
      </c>
      <c r="C14" s="195" t="s">
        <v>306</v>
      </c>
      <c r="D14" s="170" t="s">
        <v>293</v>
      </c>
      <c r="E14" s="169">
        <v>13</v>
      </c>
      <c r="F14" s="169" t="s">
        <v>295</v>
      </c>
      <c r="G14" s="169">
        <v>25</v>
      </c>
      <c r="H14" s="169" t="s">
        <v>294</v>
      </c>
      <c r="I14" s="169">
        <v>1</v>
      </c>
      <c r="J14" s="169">
        <v>1</v>
      </c>
      <c r="K14" s="169">
        <v>0</v>
      </c>
      <c r="L14" s="169">
        <v>0</v>
      </c>
      <c r="M14" s="169">
        <v>0</v>
      </c>
      <c r="N14" s="169">
        <v>0</v>
      </c>
      <c r="O14" s="169">
        <v>1</v>
      </c>
      <c r="P14" s="169">
        <v>100</v>
      </c>
      <c r="Q14" s="85" t="s">
        <v>170</v>
      </c>
      <c r="R14" s="171" t="s">
        <v>171</v>
      </c>
    </row>
    <row r="15" spans="1:18" x14ac:dyDescent="0.15">
      <c r="A15" s="165">
        <v>30022</v>
      </c>
      <c r="B15" s="169">
        <v>2</v>
      </c>
      <c r="C15" s="195" t="s">
        <v>304</v>
      </c>
      <c r="D15" s="170" t="s">
        <v>293</v>
      </c>
      <c r="E15" s="169">
        <v>14</v>
      </c>
      <c r="F15" s="169" t="s">
        <v>296</v>
      </c>
      <c r="G15" s="169">
        <v>337</v>
      </c>
      <c r="H15" s="169">
        <v>1</v>
      </c>
      <c r="I15" s="169">
        <v>1</v>
      </c>
      <c r="J15" s="169">
        <v>1</v>
      </c>
      <c r="K15" s="169">
        <v>0</v>
      </c>
      <c r="L15" s="169">
        <v>0</v>
      </c>
      <c r="M15" s="169">
        <v>0</v>
      </c>
      <c r="N15" s="169">
        <v>0</v>
      </c>
      <c r="O15" s="169">
        <v>1</v>
      </c>
      <c r="P15" s="169">
        <v>56</v>
      </c>
      <c r="Q15" s="85" t="s">
        <v>170</v>
      </c>
      <c r="R15" s="171" t="s">
        <v>171</v>
      </c>
    </row>
    <row r="16" spans="1:18" x14ac:dyDescent="0.15">
      <c r="A16" s="165">
        <v>30022</v>
      </c>
      <c r="B16" s="169">
        <v>2</v>
      </c>
      <c r="C16" s="195" t="s">
        <v>304</v>
      </c>
      <c r="D16" s="170" t="s">
        <v>293</v>
      </c>
      <c r="E16" s="169">
        <v>15</v>
      </c>
      <c r="F16" s="169" t="s">
        <v>296</v>
      </c>
      <c r="G16" s="169">
        <v>338</v>
      </c>
      <c r="H16" s="169">
        <v>1</v>
      </c>
      <c r="I16" s="169">
        <v>1</v>
      </c>
      <c r="J16" s="169">
        <v>1</v>
      </c>
      <c r="K16" s="169">
        <v>0</v>
      </c>
      <c r="L16" s="169">
        <v>0</v>
      </c>
      <c r="M16" s="169">
        <v>0</v>
      </c>
      <c r="N16" s="169">
        <v>0</v>
      </c>
      <c r="O16" s="169">
        <v>1</v>
      </c>
      <c r="P16" s="169">
        <v>84</v>
      </c>
      <c r="Q16" s="85" t="s">
        <v>170</v>
      </c>
      <c r="R16" s="171" t="s">
        <v>171</v>
      </c>
    </row>
    <row r="17" spans="1:18" x14ac:dyDescent="0.15">
      <c r="A17" s="165">
        <v>30022</v>
      </c>
      <c r="B17" s="169">
        <v>2</v>
      </c>
      <c r="C17" s="195" t="s">
        <v>304</v>
      </c>
      <c r="D17" s="170" t="s">
        <v>293</v>
      </c>
      <c r="E17" s="169">
        <v>16</v>
      </c>
      <c r="F17" s="169" t="s">
        <v>296</v>
      </c>
      <c r="G17" s="169">
        <v>121</v>
      </c>
      <c r="H17" s="169">
        <v>1</v>
      </c>
      <c r="I17" s="169">
        <v>1</v>
      </c>
      <c r="J17" s="169">
        <v>1</v>
      </c>
      <c r="K17" s="169">
        <v>0</v>
      </c>
      <c r="L17" s="169">
        <v>0</v>
      </c>
      <c r="M17" s="169">
        <v>0</v>
      </c>
      <c r="N17" s="169">
        <v>0</v>
      </c>
      <c r="O17" s="169">
        <v>1</v>
      </c>
      <c r="P17" s="169">
        <v>50</v>
      </c>
      <c r="Q17" s="85" t="s">
        <v>170</v>
      </c>
      <c r="R17" s="171" t="s">
        <v>171</v>
      </c>
    </row>
    <row r="18" spans="1:18" x14ac:dyDescent="0.15">
      <c r="A18" s="165">
        <v>30022</v>
      </c>
      <c r="B18" s="169">
        <v>2</v>
      </c>
      <c r="C18" s="195" t="s">
        <v>304</v>
      </c>
      <c r="D18" s="170" t="s">
        <v>293</v>
      </c>
      <c r="E18" s="169">
        <v>17</v>
      </c>
      <c r="F18" s="169" t="s">
        <v>296</v>
      </c>
      <c r="G18" s="169">
        <v>122</v>
      </c>
      <c r="H18" s="169">
        <v>1</v>
      </c>
      <c r="I18" s="169">
        <v>1</v>
      </c>
      <c r="J18" s="169">
        <v>1</v>
      </c>
      <c r="K18" s="169">
        <v>0</v>
      </c>
      <c r="L18" s="169">
        <v>0</v>
      </c>
      <c r="M18" s="169">
        <v>0</v>
      </c>
      <c r="N18" s="169">
        <v>0</v>
      </c>
      <c r="O18" s="169">
        <v>1</v>
      </c>
      <c r="P18" s="169">
        <v>50</v>
      </c>
      <c r="Q18" s="85" t="s">
        <v>170</v>
      </c>
      <c r="R18" s="171" t="s">
        <v>171</v>
      </c>
    </row>
    <row r="19" spans="1:18" x14ac:dyDescent="0.15">
      <c r="A19" s="165">
        <v>30022</v>
      </c>
      <c r="B19" s="169">
        <v>2</v>
      </c>
      <c r="C19" s="195" t="s">
        <v>304</v>
      </c>
      <c r="D19" s="170" t="s">
        <v>293</v>
      </c>
      <c r="E19" s="169">
        <v>18</v>
      </c>
      <c r="F19" s="169" t="s">
        <v>296</v>
      </c>
      <c r="G19" s="169">
        <v>123</v>
      </c>
      <c r="H19" s="169">
        <v>1</v>
      </c>
      <c r="I19" s="169">
        <v>1</v>
      </c>
      <c r="J19" s="169">
        <v>1</v>
      </c>
      <c r="K19" s="169">
        <v>0</v>
      </c>
      <c r="L19" s="169">
        <v>0</v>
      </c>
      <c r="M19" s="169">
        <v>0</v>
      </c>
      <c r="N19" s="169">
        <v>0</v>
      </c>
      <c r="O19" s="169">
        <v>1</v>
      </c>
      <c r="P19" s="169">
        <v>50</v>
      </c>
      <c r="Q19" s="85" t="s">
        <v>170</v>
      </c>
      <c r="R19" s="171" t="s">
        <v>171</v>
      </c>
    </row>
    <row r="20" spans="1:18" x14ac:dyDescent="0.15">
      <c r="A20" s="165">
        <v>30022</v>
      </c>
      <c r="B20" s="169">
        <v>2</v>
      </c>
      <c r="C20" s="195" t="s">
        <v>304</v>
      </c>
      <c r="D20" s="170" t="s">
        <v>293</v>
      </c>
      <c r="E20" s="169">
        <v>19</v>
      </c>
      <c r="F20" s="169" t="s">
        <v>296</v>
      </c>
      <c r="G20" s="169">
        <v>125</v>
      </c>
      <c r="H20" s="169">
        <v>1</v>
      </c>
      <c r="I20" s="169">
        <v>1</v>
      </c>
      <c r="J20" s="169">
        <v>1</v>
      </c>
      <c r="K20" s="169">
        <v>0</v>
      </c>
      <c r="L20" s="169">
        <v>0</v>
      </c>
      <c r="M20" s="169">
        <v>0</v>
      </c>
      <c r="N20" s="169">
        <v>0</v>
      </c>
      <c r="O20" s="169">
        <v>1</v>
      </c>
      <c r="P20" s="169">
        <v>10</v>
      </c>
      <c r="Q20" s="85" t="s">
        <v>170</v>
      </c>
      <c r="R20" s="171" t="s">
        <v>171</v>
      </c>
    </row>
    <row r="21" spans="1:18" x14ac:dyDescent="0.15">
      <c r="A21" s="165">
        <v>30022</v>
      </c>
      <c r="B21" s="169">
        <v>2</v>
      </c>
      <c r="C21" s="195" t="s">
        <v>304</v>
      </c>
      <c r="D21" s="170" t="s">
        <v>293</v>
      </c>
      <c r="E21" s="169">
        <v>20</v>
      </c>
      <c r="F21" s="169" t="s">
        <v>296</v>
      </c>
      <c r="G21" s="169">
        <v>504</v>
      </c>
      <c r="H21" s="169">
        <v>1</v>
      </c>
      <c r="I21" s="169">
        <v>1</v>
      </c>
      <c r="J21" s="169">
        <v>1</v>
      </c>
      <c r="K21" s="169">
        <v>0</v>
      </c>
      <c r="L21" s="169">
        <v>0</v>
      </c>
      <c r="M21" s="169">
        <v>0</v>
      </c>
      <c r="N21" s="169">
        <v>0</v>
      </c>
      <c r="O21" s="169">
        <v>1</v>
      </c>
      <c r="P21" s="169">
        <v>400</v>
      </c>
      <c r="Q21" s="85" t="s">
        <v>170</v>
      </c>
      <c r="R21" s="171" t="s">
        <v>171</v>
      </c>
    </row>
    <row r="22" spans="1:18" x14ac:dyDescent="0.15">
      <c r="A22" s="165">
        <v>30022</v>
      </c>
      <c r="B22" s="169">
        <v>2</v>
      </c>
      <c r="C22" s="195" t="s">
        <v>304</v>
      </c>
      <c r="D22" s="170" t="s">
        <v>293</v>
      </c>
      <c r="E22" s="169">
        <v>21</v>
      </c>
      <c r="F22" s="169" t="s">
        <v>296</v>
      </c>
      <c r="G22" s="169">
        <v>350</v>
      </c>
      <c r="H22" s="169">
        <v>1</v>
      </c>
      <c r="I22" s="169">
        <v>1</v>
      </c>
      <c r="J22" s="169">
        <v>1</v>
      </c>
      <c r="K22" s="169">
        <v>0</v>
      </c>
      <c r="L22" s="169">
        <v>0</v>
      </c>
      <c r="M22" s="169">
        <v>0</v>
      </c>
      <c r="N22" s="169">
        <v>0</v>
      </c>
      <c r="O22" s="169">
        <v>1</v>
      </c>
      <c r="P22" s="169">
        <v>100</v>
      </c>
      <c r="Q22" s="85" t="s">
        <v>170</v>
      </c>
      <c r="R22" s="171" t="s">
        <v>171</v>
      </c>
    </row>
  </sheetData>
  <phoneticPr fontId="6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14"/>
  <sheetViews>
    <sheetView showGridLines="0" workbookViewId="0">
      <pane ySplit="1" topLeftCell="A2" activePane="bottomLeft" state="frozen"/>
      <selection pane="bottomLeft" activeCell="M5" sqref="M5"/>
    </sheetView>
  </sheetViews>
  <sheetFormatPr baseColWidth="12" defaultColWidth="13" defaultRowHeight="15" outlineLevelCol="1" x14ac:dyDescent="0.15"/>
  <cols>
    <col min="2" max="2" width="13" style="92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7" t="s">
        <v>60</v>
      </c>
      <c r="B1" s="78" t="s">
        <v>187</v>
      </c>
      <c r="C1" s="71" t="s">
        <v>188</v>
      </c>
      <c r="D1" s="79" t="s">
        <v>189</v>
      </c>
      <c r="E1" s="79" t="s">
        <v>33</v>
      </c>
      <c r="F1" s="71" t="s">
        <v>190</v>
      </c>
      <c r="G1" s="79" t="s">
        <v>191</v>
      </c>
      <c r="H1" s="79" t="s">
        <v>33</v>
      </c>
      <c r="I1" s="71" t="s">
        <v>192</v>
      </c>
      <c r="J1" s="93" t="s">
        <v>193</v>
      </c>
      <c r="K1" s="80" t="s">
        <v>194</v>
      </c>
      <c r="L1" s="81" t="s">
        <v>127</v>
      </c>
      <c r="M1" s="81" t="s">
        <v>186</v>
      </c>
      <c r="N1" s="82" t="s">
        <v>184</v>
      </c>
      <c r="O1" s="83" t="s">
        <v>195</v>
      </c>
    </row>
    <row r="2" spans="1:15" ht="56" x14ac:dyDescent="0.15">
      <c r="A2" s="84" t="str">
        <f t="shared" ref="A2:A7" si="0">C2&amp;"_"&amp;F2&amp;"_"&amp;J2</f>
        <v>30022_1_1</v>
      </c>
      <c r="B2" s="85" t="s">
        <v>196</v>
      </c>
      <c r="C2" s="86">
        <f>floors!$C$2</f>
        <v>30022</v>
      </c>
      <c r="D2" s="87" t="str">
        <f ca="1">VLOOKUP($C2,OFFSET([2]quests!$A$1,0,0,COUNTA([2]quests!$A:$A),MATCH(D$1,[2]quests!$1:$1,0)-MATCH($C$1,[2]quests!$1:$1,0)+1),MATCH(D$1,[2]quests!$1:$1,0)-MATCH($C$1,[2]quests!$1:$1,0)+1,FALSE)</f>
        <v>凶鼠ネコを咬む</v>
      </c>
      <c r="E2" s="87" t="str">
        <f ca="1">VLOOKUP($C2,OFFSET([2]quests!$A$1,0,0,COUNTA([2]quests!$A:$A),MATCH(E$1,[2]quests!$1:$1,0)-MATCH($C$1,[2]quests!$1:$1,0)+1),MATCH(E$1,[2]quests!$1:$1,0)-MATCH($C$1,[2]quests!$1:$1,0)+1,FALSE)</f>
        <v>ドロップイベント6（マルチ専用）</v>
      </c>
      <c r="F2" s="88">
        <v>1</v>
      </c>
      <c r="G2" s="87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【超級】凶鼠ネコを咬む</v>
      </c>
      <c r="H2" s="87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2" s="89">
        <v>1</v>
      </c>
      <c r="J2" s="94">
        <f t="shared" ref="J2:J14" si="1">ROW()-1</f>
        <v>1</v>
      </c>
      <c r="K2" s="90" t="str">
        <f t="shared" ref="K2:K14" si="2">C2&amp;TEXT(J2,"00")</f>
        <v>3002201</v>
      </c>
      <c r="L2" s="88" t="s">
        <v>128</v>
      </c>
      <c r="M2" s="91" t="s">
        <v>198</v>
      </c>
      <c r="N2" s="172" t="s">
        <v>347</v>
      </c>
      <c r="O2" s="57" t="s">
        <v>199</v>
      </c>
    </row>
    <row r="3" spans="1:15" ht="56" x14ac:dyDescent="0.15">
      <c r="A3" s="84" t="str">
        <f t="shared" si="0"/>
        <v>30022_1_2</v>
      </c>
      <c r="B3" s="85" t="s">
        <v>196</v>
      </c>
      <c r="C3" s="86">
        <f>floors!$C$2</f>
        <v>30022</v>
      </c>
      <c r="D3" s="87" t="str">
        <f ca="1">VLOOKUP($C3,OFFSET([2]quests!$A$1,0,0,COUNTA([2]quests!$A:$A),MATCH(D$1,[2]quests!$1:$1,0)-MATCH($C$1,[2]quests!$1:$1,0)+1),MATCH(D$1,[2]quests!$1:$1,0)-MATCH($C$1,[2]quests!$1:$1,0)+1,FALSE)</f>
        <v>凶鼠ネコを咬む</v>
      </c>
      <c r="E3" s="87" t="str">
        <f ca="1">VLOOKUP($C3,OFFSET([2]quests!$A$1,0,0,COUNTA([2]quests!$A:$A),MATCH(E$1,[2]quests!$1:$1,0)-MATCH($C$1,[2]quests!$1:$1,0)+1),MATCH(E$1,[2]quests!$1:$1,0)-MATCH($C$1,[2]quests!$1:$1,0)+1,FALSE)</f>
        <v>ドロップイベント6（マルチ専用）</v>
      </c>
      <c r="F3" s="88">
        <v>1</v>
      </c>
      <c r="G3" s="87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【超級】凶鼠ネコを咬む</v>
      </c>
      <c r="H3" s="87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3" s="89">
        <v>2</v>
      </c>
      <c r="J3" s="94">
        <f t="shared" si="1"/>
        <v>2</v>
      </c>
      <c r="K3" s="90" t="str">
        <f t="shared" si="2"/>
        <v>3002202</v>
      </c>
      <c r="L3" s="88" t="s">
        <v>128</v>
      </c>
      <c r="M3" s="91" t="s">
        <v>198</v>
      </c>
      <c r="N3" s="172" t="s">
        <v>348</v>
      </c>
      <c r="O3" s="57" t="s">
        <v>199</v>
      </c>
    </row>
    <row r="4" spans="1:15" ht="56" x14ac:dyDescent="0.15">
      <c r="A4" s="84" t="str">
        <f t="shared" si="0"/>
        <v>30022_1_3</v>
      </c>
      <c r="B4" s="85" t="s">
        <v>196</v>
      </c>
      <c r="C4" s="86">
        <f>floors!$C$2</f>
        <v>30022</v>
      </c>
      <c r="D4" s="87" t="str">
        <f ca="1">VLOOKUP($C4,OFFSET([2]quests!$A$1,0,0,COUNTA([2]quests!$A:$A),MATCH(D$1,[2]quests!$1:$1,0)-MATCH($C$1,[2]quests!$1:$1,0)+1),MATCH(D$1,[2]quests!$1:$1,0)-MATCH($C$1,[2]quests!$1:$1,0)+1,FALSE)</f>
        <v>凶鼠ネコを咬む</v>
      </c>
      <c r="E4" s="87" t="str">
        <f ca="1">VLOOKUP($C4,OFFSET([2]quests!$A$1,0,0,COUNTA([2]quests!$A:$A),MATCH(E$1,[2]quests!$1:$1,0)-MATCH($C$1,[2]quests!$1:$1,0)+1),MATCH(E$1,[2]quests!$1:$1,0)-MATCH($C$1,[2]quests!$1:$1,0)+1,FALSE)</f>
        <v>ドロップイベント6（マルチ専用）</v>
      </c>
      <c r="F4" s="88">
        <v>1</v>
      </c>
      <c r="G4" s="87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【超級】凶鼠ネコを咬む</v>
      </c>
      <c r="H4" s="87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4" s="89">
        <v>3</v>
      </c>
      <c r="J4" s="94">
        <f t="shared" si="1"/>
        <v>3</v>
      </c>
      <c r="K4" s="90" t="str">
        <f t="shared" si="2"/>
        <v>3002203</v>
      </c>
      <c r="L4" s="88" t="s">
        <v>128</v>
      </c>
      <c r="M4" s="91" t="s">
        <v>198</v>
      </c>
      <c r="N4" s="172" t="s">
        <v>349</v>
      </c>
      <c r="O4" s="57" t="s">
        <v>199</v>
      </c>
    </row>
    <row r="5" spans="1:15" ht="56" x14ac:dyDescent="0.15">
      <c r="A5" s="84" t="str">
        <f t="shared" si="0"/>
        <v>30022_1_4</v>
      </c>
      <c r="B5" s="85" t="s">
        <v>196</v>
      </c>
      <c r="C5" s="86">
        <f>floors!$C$2</f>
        <v>30022</v>
      </c>
      <c r="D5" s="87" t="str">
        <f ca="1">VLOOKUP($C5,OFFSET([2]quests!$A$1,0,0,COUNTA([2]quests!$A:$A),MATCH(D$1,[2]quests!$1:$1,0)-MATCH($C$1,[2]quests!$1:$1,0)+1),MATCH(D$1,[2]quests!$1:$1,0)-MATCH($C$1,[2]quests!$1:$1,0)+1,FALSE)</f>
        <v>凶鼠ネコを咬む</v>
      </c>
      <c r="E5" s="87" t="str">
        <f ca="1">VLOOKUP($C5,OFFSET([2]quests!$A$1,0,0,COUNTA([2]quests!$A:$A),MATCH(E$1,[2]quests!$1:$1,0)-MATCH($C$1,[2]quests!$1:$1,0)+1),MATCH(E$1,[2]quests!$1:$1,0)-MATCH($C$1,[2]quests!$1:$1,0)+1,FALSE)</f>
        <v>ドロップイベント6（マルチ専用）</v>
      </c>
      <c r="F5" s="88">
        <v>1</v>
      </c>
      <c r="G5" s="87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【超級】凶鼠ネコを咬む</v>
      </c>
      <c r="H5" s="87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5" s="89">
        <v>3</v>
      </c>
      <c r="J5" s="94">
        <f t="shared" si="1"/>
        <v>4</v>
      </c>
      <c r="K5" s="90" t="str">
        <f t="shared" si="2"/>
        <v>3002204</v>
      </c>
      <c r="L5" s="88" t="s">
        <v>128</v>
      </c>
      <c r="M5" s="91" t="s">
        <v>198</v>
      </c>
      <c r="N5" s="172" t="s">
        <v>352</v>
      </c>
      <c r="O5" s="57" t="s">
        <v>199</v>
      </c>
    </row>
    <row r="6" spans="1:15" ht="56" x14ac:dyDescent="0.15">
      <c r="A6" s="84" t="str">
        <f t="shared" si="0"/>
        <v>30022_1_5</v>
      </c>
      <c r="B6" s="85" t="s">
        <v>196</v>
      </c>
      <c r="C6" s="86">
        <f>floors!$C$2</f>
        <v>30022</v>
      </c>
      <c r="D6" s="87" t="str">
        <f ca="1">VLOOKUP($C6,OFFSET([2]quests!$A$1,0,0,COUNTA([2]quests!$A:$A),MATCH(D$1,[2]quests!$1:$1,0)-MATCH($C$1,[2]quests!$1:$1,0)+1),MATCH(D$1,[2]quests!$1:$1,0)-MATCH($C$1,[2]quests!$1:$1,0)+1,FALSE)</f>
        <v>凶鼠ネコを咬む</v>
      </c>
      <c r="E6" s="87" t="str">
        <f ca="1">VLOOKUP($C6,OFFSET([2]quests!$A$1,0,0,COUNTA([2]quests!$A:$A),MATCH(E$1,[2]quests!$1:$1,0)-MATCH($C$1,[2]quests!$1:$1,0)+1),MATCH(E$1,[2]quests!$1:$1,0)-MATCH($C$1,[2]quests!$1:$1,0)+1,FALSE)</f>
        <v>ドロップイベント6（マルチ専用）</v>
      </c>
      <c r="F6" s="88">
        <v>1</v>
      </c>
      <c r="G6" s="87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【超級】凶鼠ネコを咬む</v>
      </c>
      <c r="H6" s="87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6" s="89">
        <v>4</v>
      </c>
      <c r="J6" s="94">
        <f t="shared" si="1"/>
        <v>5</v>
      </c>
      <c r="K6" s="90" t="str">
        <f t="shared" si="2"/>
        <v>3002205</v>
      </c>
      <c r="L6" s="88" t="s">
        <v>128</v>
      </c>
      <c r="M6" s="91" t="s">
        <v>198</v>
      </c>
      <c r="N6" s="172" t="s">
        <v>350</v>
      </c>
      <c r="O6" s="57" t="s">
        <v>199</v>
      </c>
    </row>
    <row r="7" spans="1:15" ht="57" thickBot="1" x14ac:dyDescent="0.2">
      <c r="A7" s="84" t="str">
        <f t="shared" si="0"/>
        <v>30022_1_6</v>
      </c>
      <c r="B7" s="85" t="s">
        <v>196</v>
      </c>
      <c r="C7" s="86">
        <f>floors!$C$2</f>
        <v>30022</v>
      </c>
      <c r="D7" s="87" t="str">
        <f ca="1">VLOOKUP($C7,OFFSET([2]quests!$A$1,0,0,COUNTA([2]quests!$A:$A),MATCH(D$1,[2]quests!$1:$1,0)-MATCH($C$1,[2]quests!$1:$1,0)+1),MATCH(D$1,[2]quests!$1:$1,0)-MATCH($C$1,[2]quests!$1:$1,0)+1,FALSE)</f>
        <v>凶鼠ネコを咬む</v>
      </c>
      <c r="E7" s="87" t="str">
        <f ca="1">VLOOKUP($C7,OFFSET([2]quests!$A$1,0,0,COUNTA([2]quests!$A:$A),MATCH(E$1,[2]quests!$1:$1,0)-MATCH($C$1,[2]quests!$1:$1,0)+1),MATCH(E$1,[2]quests!$1:$1,0)-MATCH($C$1,[2]quests!$1:$1,0)+1,FALSE)</f>
        <v>ドロップイベント6（マルチ専用）</v>
      </c>
      <c r="F7" s="88">
        <v>1</v>
      </c>
      <c r="G7" s="87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【超級】凶鼠ネコを咬む</v>
      </c>
      <c r="H7" s="87" t="str">
        <f ca="1">VLOOKUP($C7&amp;"_"&amp;$F7,OFFSET([2]stages!$A$1,0,0,COUNTA([2]stages!$A:$A),MATCH(H$1,[2]stages!$2:$2,0)-MATCH("temp_stage",[2]stages!$2:$2,0)+1),MATCH(H$1,[2]stages!$2:$2,0)-MATCH("temp_stage",[2]stages!$2:$2,0)+1,FALSE)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7" s="89">
        <v>4</v>
      </c>
      <c r="J7" s="94">
        <f t="shared" si="1"/>
        <v>6</v>
      </c>
      <c r="K7" s="90" t="str">
        <f t="shared" si="2"/>
        <v>3002206</v>
      </c>
      <c r="L7" s="88" t="s">
        <v>128</v>
      </c>
      <c r="M7" s="91" t="s">
        <v>198</v>
      </c>
      <c r="N7" s="172" t="s">
        <v>351</v>
      </c>
      <c r="O7" s="57" t="s">
        <v>199</v>
      </c>
    </row>
    <row r="8" spans="1:15" ht="56" x14ac:dyDescent="0.15">
      <c r="A8" s="175" t="str">
        <f t="shared" ref="A8" si="3">C8&amp;"_"&amp;F8&amp;"_"&amp;J8</f>
        <v>30022_2_7</v>
      </c>
      <c r="B8" s="176" t="s">
        <v>196</v>
      </c>
      <c r="C8" s="177">
        <f>floors!$C$2</f>
        <v>30022</v>
      </c>
      <c r="D8" s="178" t="str">
        <f ca="1">VLOOKUP($C8,OFFSET([2]quests!$A$1,0,0,COUNTA([2]quests!$A:$A),MATCH(D$1,[2]quests!$1:$1,0)-MATCH($C$1,[2]quests!$1:$1,0)+1),MATCH(D$1,[2]quests!$1:$1,0)-MATCH($C$1,[2]quests!$1:$1,0)+1,FALSE)</f>
        <v>凶鼠ネコを咬む</v>
      </c>
      <c r="E8" s="178" t="str">
        <f ca="1">VLOOKUP($C8,OFFSET([2]quests!$A$1,0,0,COUNTA([2]quests!$A:$A),MATCH(E$1,[2]quests!$1:$1,0)-MATCH($C$1,[2]quests!$1:$1,0)+1),MATCH(E$1,[2]quests!$1:$1,0)-MATCH($C$1,[2]quests!$1:$1,0)+1,FALSE)</f>
        <v>ドロップイベント6（マルチ専用）</v>
      </c>
      <c r="F8" s="179">
        <v>2</v>
      </c>
      <c r="G8" s="178" t="str">
        <f ca="1">VLOOKUP($C8&amp;"_"&amp;$F8,OFFSET([2]stages!$A$1,0,0,COUNTA([2]stages!$A:$A),MATCH(G$1,[2]stages!$2:$2,0)-MATCH("temp_stage",[2]stages!$2:$2,0)+1),MATCH(G$1,[2]stages!$2:$2,0)-MATCH("temp_stage",[2]stages!$2:$2,0)+1,FALSE)</f>
        <v>【超絶級】凶鼠ネコを咬む</v>
      </c>
      <c r="H8" s="178" t="str">
        <f ca="1">VLOOKUP($C8&amp;"_"&amp;$F8,OFFSET([2]stages!$A$1,0,0,COUNTA([2]stages!$A:$A),MATCH(H$1,[2]stages!$2:$2,0)-MATCH("temp_stage",[2]stages!$2:$2,0)+1),MATCH(H$1,[2]stages!$2:$2,0)-MATCH("temp_stage",[2]stages!$2:$2,0)+1,FALSE)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8" s="180">
        <v>1</v>
      </c>
      <c r="J8" s="181">
        <f t="shared" si="1"/>
        <v>7</v>
      </c>
      <c r="K8" s="182" t="str">
        <f t="shared" si="2"/>
        <v>3002207</v>
      </c>
      <c r="L8" s="179" t="s">
        <v>197</v>
      </c>
      <c r="M8" s="183" t="s">
        <v>198</v>
      </c>
      <c r="N8" s="184" t="s">
        <v>347</v>
      </c>
      <c r="O8" s="185" t="s">
        <v>199</v>
      </c>
    </row>
    <row r="9" spans="1:15" ht="56" x14ac:dyDescent="0.15">
      <c r="A9" s="84" t="str">
        <f t="shared" ref="A9" si="4">C9&amp;"_"&amp;F9&amp;"_"&amp;J9</f>
        <v>30022_2_8</v>
      </c>
      <c r="B9" s="85" t="s">
        <v>196</v>
      </c>
      <c r="C9" s="86">
        <f>floors!$C$2</f>
        <v>30022</v>
      </c>
      <c r="D9" s="87" t="str">
        <f ca="1">VLOOKUP($C9,OFFSET([2]quests!$A$1,0,0,COUNTA([2]quests!$A:$A),MATCH(D$1,[2]quests!$1:$1,0)-MATCH($C$1,[2]quests!$1:$1,0)+1),MATCH(D$1,[2]quests!$1:$1,0)-MATCH($C$1,[2]quests!$1:$1,0)+1,FALSE)</f>
        <v>凶鼠ネコを咬む</v>
      </c>
      <c r="E9" s="87" t="str">
        <f ca="1">VLOOKUP($C9,OFFSET([2]quests!$A$1,0,0,COUNTA([2]quests!$A:$A),MATCH(E$1,[2]quests!$1:$1,0)-MATCH($C$1,[2]quests!$1:$1,0)+1),MATCH(E$1,[2]quests!$1:$1,0)-MATCH($C$1,[2]quests!$1:$1,0)+1,FALSE)</f>
        <v>ドロップイベント6（マルチ専用）</v>
      </c>
      <c r="F9" s="88">
        <v>2</v>
      </c>
      <c r="G9" s="87" t="str">
        <f ca="1">VLOOKUP($C9&amp;"_"&amp;$F9,OFFSET([2]stages!$A$1,0,0,COUNTA([2]stages!$A:$A),MATCH(G$1,[2]stages!$2:$2,0)-MATCH("temp_stage",[2]stages!$2:$2,0)+1),MATCH(G$1,[2]stages!$2:$2,0)-MATCH("temp_stage",[2]stages!$2:$2,0)+1,FALSE)</f>
        <v>【超絶級】凶鼠ネコを咬む</v>
      </c>
      <c r="H9" s="87" t="str">
        <f ca="1">VLOOKUP($C9&amp;"_"&amp;$F9,OFFSET([2]stages!$A$1,0,0,COUNTA([2]stages!$A:$A),MATCH(H$1,[2]stages!$2:$2,0)-MATCH("temp_stage",[2]stages!$2:$2,0)+1),MATCH(H$1,[2]stages!$2:$2,0)-MATCH("temp_stage",[2]stages!$2:$2,0)+1,FALSE)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9" s="89">
        <v>2</v>
      </c>
      <c r="J9" s="94">
        <f t="shared" si="1"/>
        <v>8</v>
      </c>
      <c r="K9" s="90" t="str">
        <f t="shared" si="2"/>
        <v>3002208</v>
      </c>
      <c r="L9" s="88" t="s">
        <v>197</v>
      </c>
      <c r="M9" s="91" t="s">
        <v>198</v>
      </c>
      <c r="N9" s="172" t="s">
        <v>348</v>
      </c>
      <c r="O9" s="57" t="s">
        <v>199</v>
      </c>
    </row>
    <row r="10" spans="1:15" ht="56" x14ac:dyDescent="0.15">
      <c r="A10" s="84" t="str">
        <f t="shared" ref="A10" si="5">C10&amp;"_"&amp;F10&amp;"_"&amp;J10</f>
        <v>30022_2_9</v>
      </c>
      <c r="B10" s="85" t="s">
        <v>196</v>
      </c>
      <c r="C10" s="86">
        <f>floors!$C$2</f>
        <v>30022</v>
      </c>
      <c r="D10" s="87" t="str">
        <f ca="1">VLOOKUP($C10,OFFSET([2]quests!$A$1,0,0,COUNTA([2]quests!$A:$A),MATCH(D$1,[2]quests!$1:$1,0)-MATCH($C$1,[2]quests!$1:$1,0)+1),MATCH(D$1,[2]quests!$1:$1,0)-MATCH($C$1,[2]quests!$1:$1,0)+1,FALSE)</f>
        <v>凶鼠ネコを咬む</v>
      </c>
      <c r="E10" s="87" t="str">
        <f ca="1">VLOOKUP($C10,OFFSET([2]quests!$A$1,0,0,COUNTA([2]quests!$A:$A),MATCH(E$1,[2]quests!$1:$1,0)-MATCH($C$1,[2]quests!$1:$1,0)+1),MATCH(E$1,[2]quests!$1:$1,0)-MATCH($C$1,[2]quests!$1:$1,0)+1,FALSE)</f>
        <v>ドロップイベント6（マルチ専用）</v>
      </c>
      <c r="F10" s="88">
        <v>2</v>
      </c>
      <c r="G10" s="87" t="str">
        <f ca="1">VLOOKUP($C10&amp;"_"&amp;$F10,OFFSET([2]stages!$A$1,0,0,COUNTA([2]stages!$A:$A),MATCH(G$1,[2]stages!$2:$2,0)-MATCH("temp_stage",[2]stages!$2:$2,0)+1),MATCH(G$1,[2]stages!$2:$2,0)-MATCH("temp_stage",[2]stages!$2:$2,0)+1,FALSE)</f>
        <v>【超絶級】凶鼠ネコを咬む</v>
      </c>
      <c r="H10" s="87" t="str">
        <f ca="1">VLOOKUP($C10&amp;"_"&amp;$F10,OFFSET([2]stages!$A$1,0,0,COUNTA([2]stages!$A:$A),MATCH(H$1,[2]stages!$2:$2,0)-MATCH("temp_stage",[2]stages!$2:$2,0)+1),MATCH(H$1,[2]stages!$2:$2,0)-MATCH("temp_stage",[2]stages!$2:$2,0)+1,FALSE)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0" s="89">
        <v>3</v>
      </c>
      <c r="J10" s="94">
        <f t="shared" si="1"/>
        <v>9</v>
      </c>
      <c r="K10" s="90" t="str">
        <f t="shared" si="2"/>
        <v>3002209</v>
      </c>
      <c r="L10" s="88" t="s">
        <v>197</v>
      </c>
      <c r="M10" s="91" t="s">
        <v>198</v>
      </c>
      <c r="N10" s="172" t="s">
        <v>349</v>
      </c>
      <c r="O10" s="57" t="s">
        <v>199</v>
      </c>
    </row>
    <row r="11" spans="1:15" ht="56" x14ac:dyDescent="0.15">
      <c r="A11" s="84" t="str">
        <f t="shared" ref="A11" si="6">C11&amp;"_"&amp;F11&amp;"_"&amp;J11</f>
        <v>30022_2_10</v>
      </c>
      <c r="B11" s="85" t="s">
        <v>196</v>
      </c>
      <c r="C11" s="86">
        <f>floors!$C$2</f>
        <v>30022</v>
      </c>
      <c r="D11" s="87" t="str">
        <f ca="1">VLOOKUP($C11,OFFSET([2]quests!$A$1,0,0,COUNTA([2]quests!$A:$A),MATCH(D$1,[2]quests!$1:$1,0)-MATCH($C$1,[2]quests!$1:$1,0)+1),MATCH(D$1,[2]quests!$1:$1,0)-MATCH($C$1,[2]quests!$1:$1,0)+1,FALSE)</f>
        <v>凶鼠ネコを咬む</v>
      </c>
      <c r="E11" s="87" t="str">
        <f ca="1">VLOOKUP($C11,OFFSET([2]quests!$A$1,0,0,COUNTA([2]quests!$A:$A),MATCH(E$1,[2]quests!$1:$1,0)-MATCH($C$1,[2]quests!$1:$1,0)+1),MATCH(E$1,[2]quests!$1:$1,0)-MATCH($C$1,[2]quests!$1:$1,0)+1,FALSE)</f>
        <v>ドロップイベント6（マルチ専用）</v>
      </c>
      <c r="F11" s="88">
        <v>2</v>
      </c>
      <c r="G11" s="87" t="str">
        <f ca="1">VLOOKUP($C11&amp;"_"&amp;$F11,OFFSET([2]stages!$A$1,0,0,COUNTA([2]stages!$A:$A),MATCH(G$1,[2]stages!$2:$2,0)-MATCH("temp_stage",[2]stages!$2:$2,0)+1),MATCH(G$1,[2]stages!$2:$2,0)-MATCH("temp_stage",[2]stages!$2:$2,0)+1,FALSE)</f>
        <v>【超絶級】凶鼠ネコを咬む</v>
      </c>
      <c r="H11" s="87" t="str">
        <f ca="1">VLOOKUP($C11&amp;"_"&amp;$F11,OFFSET([2]stages!$A$1,0,0,COUNTA([2]stages!$A:$A),MATCH(H$1,[2]stages!$2:$2,0)-MATCH("temp_stage",[2]stages!$2:$2,0)+1),MATCH(H$1,[2]stages!$2:$2,0)-MATCH("temp_stage",[2]stages!$2:$2,0)+1,FALSE)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1" s="89">
        <v>3</v>
      </c>
      <c r="J11" s="94">
        <f t="shared" si="1"/>
        <v>10</v>
      </c>
      <c r="K11" s="90" t="str">
        <f t="shared" si="2"/>
        <v>3002210</v>
      </c>
      <c r="L11" s="88" t="s">
        <v>128</v>
      </c>
      <c r="M11" s="91" t="s">
        <v>198</v>
      </c>
      <c r="N11" s="172" t="s">
        <v>352</v>
      </c>
      <c r="O11" s="57" t="s">
        <v>199</v>
      </c>
    </row>
    <row r="12" spans="1:15" ht="56" x14ac:dyDescent="0.15">
      <c r="A12" s="84" t="str">
        <f t="shared" ref="A12:A13" si="7">C12&amp;"_"&amp;F12&amp;"_"&amp;J12</f>
        <v>30022_2_11</v>
      </c>
      <c r="B12" s="85" t="s">
        <v>196</v>
      </c>
      <c r="C12" s="86">
        <f>floors!$C$2</f>
        <v>30022</v>
      </c>
      <c r="D12" s="87" t="str">
        <f ca="1">VLOOKUP($C12,OFFSET([2]quests!$A$1,0,0,COUNTA([2]quests!$A:$A),MATCH(D$1,[2]quests!$1:$1,0)-MATCH($C$1,[2]quests!$1:$1,0)+1),MATCH(D$1,[2]quests!$1:$1,0)-MATCH($C$1,[2]quests!$1:$1,0)+1,FALSE)</f>
        <v>凶鼠ネコを咬む</v>
      </c>
      <c r="E12" s="87" t="str">
        <f ca="1">VLOOKUP($C12,OFFSET([2]quests!$A$1,0,0,COUNTA([2]quests!$A:$A),MATCH(E$1,[2]quests!$1:$1,0)-MATCH($C$1,[2]quests!$1:$1,0)+1),MATCH(E$1,[2]quests!$1:$1,0)-MATCH($C$1,[2]quests!$1:$1,0)+1,FALSE)</f>
        <v>ドロップイベント6（マルチ専用）</v>
      </c>
      <c r="F12" s="88">
        <v>2</v>
      </c>
      <c r="G12" s="87" t="str">
        <f ca="1">VLOOKUP($C12&amp;"_"&amp;$F12,OFFSET([2]stages!$A$1,0,0,COUNTA([2]stages!$A:$A),MATCH(G$1,[2]stages!$2:$2,0)-MATCH("temp_stage",[2]stages!$2:$2,0)+1),MATCH(G$1,[2]stages!$2:$2,0)-MATCH("temp_stage",[2]stages!$2:$2,0)+1,FALSE)</f>
        <v>【超絶級】凶鼠ネコを咬む</v>
      </c>
      <c r="H12" s="87" t="str">
        <f ca="1">VLOOKUP($C12&amp;"_"&amp;$F12,OFFSET([2]stages!$A$1,0,0,COUNTA([2]stages!$A:$A),MATCH(H$1,[2]stages!$2:$2,0)-MATCH("temp_stage",[2]stages!$2:$2,0)+1),MATCH(H$1,[2]stages!$2:$2,0)-MATCH("temp_stage",[2]stages!$2:$2,0)+1,FALSE)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2" s="89">
        <v>4</v>
      </c>
      <c r="J12" s="94">
        <f t="shared" si="1"/>
        <v>11</v>
      </c>
      <c r="K12" s="90" t="str">
        <f t="shared" si="2"/>
        <v>3002211</v>
      </c>
      <c r="L12" s="88" t="s">
        <v>128</v>
      </c>
      <c r="M12" s="91" t="s">
        <v>198</v>
      </c>
      <c r="N12" s="172" t="s">
        <v>350</v>
      </c>
      <c r="O12" s="57" t="s">
        <v>199</v>
      </c>
    </row>
    <row r="13" spans="1:15" ht="56" x14ac:dyDescent="0.15">
      <c r="A13" s="84" t="str">
        <f t="shared" si="7"/>
        <v>30022_2_12</v>
      </c>
      <c r="B13" s="85" t="s">
        <v>196</v>
      </c>
      <c r="C13" s="86">
        <f>floors!$C$2</f>
        <v>30022</v>
      </c>
      <c r="D13" s="87" t="str">
        <f ca="1">VLOOKUP($C13,OFFSET([2]quests!$A$1,0,0,COUNTA([2]quests!$A:$A),MATCH(D$1,[2]quests!$1:$1,0)-MATCH($C$1,[2]quests!$1:$1,0)+1),MATCH(D$1,[2]quests!$1:$1,0)-MATCH($C$1,[2]quests!$1:$1,0)+1,FALSE)</f>
        <v>凶鼠ネコを咬む</v>
      </c>
      <c r="E13" s="87" t="str">
        <f ca="1">VLOOKUP($C13,OFFSET([2]quests!$A$1,0,0,COUNTA([2]quests!$A:$A),MATCH(E$1,[2]quests!$1:$1,0)-MATCH($C$1,[2]quests!$1:$1,0)+1),MATCH(E$1,[2]quests!$1:$1,0)-MATCH($C$1,[2]quests!$1:$1,0)+1,FALSE)</f>
        <v>ドロップイベント6（マルチ専用）</v>
      </c>
      <c r="F13" s="88">
        <v>2</v>
      </c>
      <c r="G13" s="87" t="str">
        <f ca="1">VLOOKUP($C13&amp;"_"&amp;$F13,OFFSET([2]stages!$A$1,0,0,COUNTA([2]stages!$A:$A),MATCH(G$1,[2]stages!$2:$2,0)-MATCH("temp_stage",[2]stages!$2:$2,0)+1),MATCH(G$1,[2]stages!$2:$2,0)-MATCH("temp_stage",[2]stages!$2:$2,0)+1,FALSE)</f>
        <v>【超絶級】凶鼠ネコを咬む</v>
      </c>
      <c r="H13" s="87" t="str">
        <f ca="1">VLOOKUP($C13&amp;"_"&amp;$F13,OFFSET([2]stages!$A$1,0,0,COUNTA([2]stages!$A:$A),MATCH(H$1,[2]stages!$2:$2,0)-MATCH("temp_stage",[2]stages!$2:$2,0)+1),MATCH(H$1,[2]stages!$2:$2,0)-MATCH("temp_stage",[2]stages!$2:$2,0)+1,FALSE)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3" s="89">
        <v>4</v>
      </c>
      <c r="J13" s="94">
        <f t="shared" si="1"/>
        <v>12</v>
      </c>
      <c r="K13" s="90" t="str">
        <f t="shared" si="2"/>
        <v>3002212</v>
      </c>
      <c r="L13" s="88" t="s">
        <v>128</v>
      </c>
      <c r="M13" s="91" t="s">
        <v>198</v>
      </c>
      <c r="N13" s="172" t="s">
        <v>351</v>
      </c>
      <c r="O13" s="57" t="s">
        <v>199</v>
      </c>
    </row>
    <row r="14" spans="1:15" ht="56" x14ac:dyDescent="0.15">
      <c r="A14" s="84" t="str">
        <f t="shared" ref="A14" si="8">C14&amp;"_"&amp;F14&amp;"_"&amp;J14</f>
        <v>30022_2_13</v>
      </c>
      <c r="B14" s="85" t="s">
        <v>196</v>
      </c>
      <c r="C14" s="86">
        <f>floors!$C$2</f>
        <v>30022</v>
      </c>
      <c r="D14" s="87" t="str">
        <f ca="1">VLOOKUP($C14,OFFSET([2]quests!$A$1,0,0,COUNTA([2]quests!$A:$A),MATCH(D$1,[2]quests!$1:$1,0)-MATCH($C$1,[2]quests!$1:$1,0)+1),MATCH(D$1,[2]quests!$1:$1,0)-MATCH($C$1,[2]quests!$1:$1,0)+1,FALSE)</f>
        <v>凶鼠ネコを咬む</v>
      </c>
      <c r="E14" s="87" t="str">
        <f ca="1">VLOOKUP($C14,OFFSET([2]quests!$A$1,0,0,COUNTA([2]quests!$A:$A),MATCH(E$1,[2]quests!$1:$1,0)-MATCH($C$1,[2]quests!$1:$1,0)+1),MATCH(E$1,[2]quests!$1:$1,0)-MATCH($C$1,[2]quests!$1:$1,0)+1,FALSE)</f>
        <v>ドロップイベント6（マルチ専用）</v>
      </c>
      <c r="F14" s="88">
        <v>2</v>
      </c>
      <c r="G14" s="87" t="str">
        <f ca="1">VLOOKUP($C14&amp;"_"&amp;$F14,OFFSET([2]stages!$A$1,0,0,COUNTA([2]stages!$A:$A),MATCH(G$1,[2]stages!$2:$2,0)-MATCH("temp_stage",[2]stages!$2:$2,0)+1),MATCH(G$1,[2]stages!$2:$2,0)-MATCH("temp_stage",[2]stages!$2:$2,0)+1,FALSE)</f>
        <v>【超絶級】凶鼠ネコを咬む</v>
      </c>
      <c r="H14" s="87" t="str">
        <f ca="1">VLOOKUP($C14&amp;"_"&amp;$F14,OFFSET([2]stages!$A$1,0,0,COUNTA([2]stages!$A:$A),MATCH(H$1,[2]stages!$2:$2,0)-MATCH("temp_stage",[2]stages!$2:$2,0)+1),MATCH(H$1,[2]stages!$2:$2,0)-MATCH("temp_stage",[2]stages!$2:$2,0)+1,FALSE)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4" s="89">
        <v>4</v>
      </c>
      <c r="J14" s="94">
        <f t="shared" si="1"/>
        <v>13</v>
      </c>
      <c r="K14" s="90" t="str">
        <f t="shared" si="2"/>
        <v>3002213</v>
      </c>
      <c r="L14" s="88" t="s">
        <v>128</v>
      </c>
      <c r="M14" s="91" t="s">
        <v>198</v>
      </c>
      <c r="N14" s="172" t="s">
        <v>353</v>
      </c>
      <c r="O14" s="57" t="s">
        <v>199</v>
      </c>
    </row>
  </sheetData>
  <phoneticPr fontId="6"/>
  <dataValidations count="1">
    <dataValidation type="list" allowBlank="1" showInputMessage="1" showErrorMessage="1" sqref="B2:B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7"/>
  <sheetViews>
    <sheetView showGridLines="0" workbookViewId="0">
      <pane ySplit="1" topLeftCell="A2" activePane="bottomLeft" state="frozen"/>
      <selection pane="bottomLeft" activeCell="B14" sqref="B14"/>
    </sheetView>
  </sheetViews>
  <sheetFormatPr baseColWidth="12" defaultColWidth="13" defaultRowHeight="15" outlineLevelCol="1" x14ac:dyDescent="0.15"/>
  <cols>
    <col min="2" max="2" width="13" style="92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7" t="s">
        <v>60</v>
      </c>
      <c r="B1" s="78" t="s">
        <v>314</v>
      </c>
      <c r="C1" s="71" t="s">
        <v>315</v>
      </c>
      <c r="D1" s="79" t="s">
        <v>316</v>
      </c>
      <c r="E1" s="79" t="s">
        <v>33</v>
      </c>
      <c r="F1" s="71" t="s">
        <v>317</v>
      </c>
      <c r="G1" s="79" t="s">
        <v>318</v>
      </c>
      <c r="H1" s="79" t="s">
        <v>33</v>
      </c>
      <c r="I1" s="71" t="s">
        <v>319</v>
      </c>
      <c r="J1" s="71" t="s">
        <v>320</v>
      </c>
      <c r="K1" s="80" t="s">
        <v>321</v>
      </c>
      <c r="L1" s="81" t="s">
        <v>322</v>
      </c>
      <c r="M1" s="81" t="s">
        <v>323</v>
      </c>
      <c r="N1" s="82" t="s">
        <v>324</v>
      </c>
      <c r="O1" s="83" t="s">
        <v>325</v>
      </c>
    </row>
    <row r="2" spans="1:15" x14ac:dyDescent="0.15">
      <c r="A2" s="84" t="str">
        <f t="shared" ref="A2:A27" si="0">C2&amp;"_"&amp;F2&amp;"_"&amp;J2</f>
        <v>30022_1_6</v>
      </c>
      <c r="B2" s="85" t="s">
        <v>326</v>
      </c>
      <c r="C2" s="86">
        <v>30022</v>
      </c>
      <c r="D2" s="87" t="s">
        <v>327</v>
      </c>
      <c r="E2" s="87" t="s">
        <v>328</v>
      </c>
      <c r="F2" s="88">
        <v>1</v>
      </c>
      <c r="G2" s="87" t="s">
        <v>329</v>
      </c>
      <c r="H2" s="87" t="s">
        <v>328</v>
      </c>
      <c r="I2" s="89">
        <v>0</v>
      </c>
      <c r="J2" s="88">
        <v>6</v>
      </c>
      <c r="K2">
        <v>12</v>
      </c>
      <c r="L2" s="88" t="s">
        <v>330</v>
      </c>
      <c r="M2" s="196" t="str">
        <f>VLOOKUP(K2,[7]stage_hints!$A:$C,3,FALSE)</f>
        <v>ユニットのお気に入り登録</v>
      </c>
      <c r="N2" s="197" t="str">
        <f>VLOOKUP(K2,[7]stage_hints!$A:$D,4,FALSE)</f>
        <v>大事なユニットを誤って消さないように_x000D_フォルダから「お気に入り登録」しましょう</v>
      </c>
      <c r="O2" s="57" t="s">
        <v>199</v>
      </c>
    </row>
    <row r="3" spans="1:15" x14ac:dyDescent="0.15">
      <c r="A3" s="84" t="str">
        <f t="shared" si="0"/>
        <v>30022_1_7</v>
      </c>
      <c r="B3" s="85" t="s">
        <v>326</v>
      </c>
      <c r="C3" s="86">
        <v>30022</v>
      </c>
      <c r="D3" s="87" t="s">
        <v>327</v>
      </c>
      <c r="E3" s="87" t="s">
        <v>328</v>
      </c>
      <c r="F3" s="88">
        <v>1</v>
      </c>
      <c r="G3" s="87" t="s">
        <v>329</v>
      </c>
      <c r="H3" s="87" t="s">
        <v>328</v>
      </c>
      <c r="I3" s="89">
        <v>0</v>
      </c>
      <c r="J3" s="88">
        <v>7</v>
      </c>
      <c r="K3">
        <v>17</v>
      </c>
      <c r="L3" s="88" t="s">
        <v>330</v>
      </c>
      <c r="M3" s="196" t="str">
        <f>VLOOKUP(K3,[7]stage_hints!$A:$C,3,FALSE)</f>
        <v>リンクガチャ</v>
      </c>
      <c r="N3" s="197" t="str">
        <f>VLOOKUP(K3,[7]stage_hints!$A:$D,4,FALSE)</f>
        <v>無料のリンクガチャを回して_x000D_経験値素材や売却素材を獲得しましょう</v>
      </c>
      <c r="O3" s="57" t="s">
        <v>331</v>
      </c>
    </row>
    <row r="4" spans="1:15" x14ac:dyDescent="0.15">
      <c r="A4" s="84" t="str">
        <f t="shared" si="0"/>
        <v>30022_1_8</v>
      </c>
      <c r="B4" s="85" t="s">
        <v>326</v>
      </c>
      <c r="C4" s="86">
        <v>30022</v>
      </c>
      <c r="D4" s="87" t="s">
        <v>327</v>
      </c>
      <c r="E4" s="87" t="s">
        <v>328</v>
      </c>
      <c r="F4" s="88">
        <v>1</v>
      </c>
      <c r="G4" s="87" t="s">
        <v>329</v>
      </c>
      <c r="H4" s="87" t="s">
        <v>328</v>
      </c>
      <c r="I4" s="89">
        <v>0</v>
      </c>
      <c r="J4" s="88">
        <v>8</v>
      </c>
      <c r="K4">
        <v>19</v>
      </c>
      <c r="L4" s="88" t="s">
        <v>330</v>
      </c>
      <c r="M4" s="196" t="str">
        <f>VLOOKUP(K4,[7]stage_hints!$A:$C,3,FALSE)</f>
        <v>ソロ専用チャレンジタワー</v>
      </c>
      <c r="N4" s="197" t="str">
        <f>VLOOKUP(K4,[7]stage_hints!$A:$D,4,FALSE)</f>
        <v>ソロ専用の「チャレンジタワー」では_x000D_各フロアごとにクリア報酬がもらえます</v>
      </c>
      <c r="O4" s="57" t="s">
        <v>332</v>
      </c>
    </row>
    <row r="5" spans="1:15" x14ac:dyDescent="0.15">
      <c r="A5" s="84" t="str">
        <f t="shared" si="0"/>
        <v>30022_1_9</v>
      </c>
      <c r="B5" s="85" t="s">
        <v>326</v>
      </c>
      <c r="C5" s="86">
        <v>30022</v>
      </c>
      <c r="D5" s="87" t="s">
        <v>327</v>
      </c>
      <c r="E5" s="87" t="s">
        <v>328</v>
      </c>
      <c r="F5" s="88">
        <v>1</v>
      </c>
      <c r="G5" s="87" t="s">
        <v>329</v>
      </c>
      <c r="H5" s="87" t="s">
        <v>328</v>
      </c>
      <c r="I5" s="89">
        <v>0</v>
      </c>
      <c r="J5" s="88">
        <v>9</v>
      </c>
      <c r="K5">
        <v>21</v>
      </c>
      <c r="L5" s="88" t="s">
        <v>330</v>
      </c>
      <c r="M5" s="196" t="str">
        <f>VLOOKUP(K5,[7]stage_hints!$A:$C,3,FALSE)</f>
        <v>スキルを有効に</v>
      </c>
      <c r="N5" s="197" t="str">
        <f>VLOOKUP(K5,[7]stage_hints!$A:$D,4,FALSE)</f>
        <v>ターン経過でユニットのスキルが使えます_x000D_強力スキルでバトルを有利に進めましょう</v>
      </c>
      <c r="O5" s="57" t="s">
        <v>333</v>
      </c>
    </row>
    <row r="6" spans="1:15" x14ac:dyDescent="0.15">
      <c r="A6" s="84" t="str">
        <f t="shared" si="0"/>
        <v>30022_1_10</v>
      </c>
      <c r="B6" s="85" t="s">
        <v>326</v>
      </c>
      <c r="C6" s="86">
        <v>30022</v>
      </c>
      <c r="D6" s="87" t="s">
        <v>327</v>
      </c>
      <c r="E6" s="87" t="s">
        <v>328</v>
      </c>
      <c r="F6" s="88">
        <v>1</v>
      </c>
      <c r="G6" s="87" t="s">
        <v>329</v>
      </c>
      <c r="H6" s="87" t="s">
        <v>328</v>
      </c>
      <c r="I6" s="89">
        <v>0</v>
      </c>
      <c r="J6" s="88">
        <v>10</v>
      </c>
      <c r="K6">
        <v>27</v>
      </c>
      <c r="L6" s="88" t="s">
        <v>330</v>
      </c>
      <c r="M6" s="196" t="str">
        <f>VLOOKUP(K6,[7]stage_hints!$A:$C,3,FALSE)</f>
        <v>ホーム画面からデッキを編成</v>
      </c>
      <c r="N6" s="197" t="str">
        <f>VLOOKUP(K6,[7]stage_hints!$A:$D,4,FALSE)</f>
        <v>ホーム画面でユニットを長押しすると_x000D_すぐにパーティ編成に移動できます</v>
      </c>
      <c r="O6" s="57" t="s">
        <v>199</v>
      </c>
    </row>
    <row r="7" spans="1:15" x14ac:dyDescent="0.15">
      <c r="A7" s="84" t="str">
        <f t="shared" si="0"/>
        <v>30022_1_11</v>
      </c>
      <c r="B7" s="85" t="s">
        <v>326</v>
      </c>
      <c r="C7" s="86">
        <v>30022</v>
      </c>
      <c r="D7" s="87" t="s">
        <v>327</v>
      </c>
      <c r="E7" s="87" t="s">
        <v>328</v>
      </c>
      <c r="F7" s="88">
        <v>1</v>
      </c>
      <c r="G7" s="87" t="s">
        <v>329</v>
      </c>
      <c r="H7" s="87" t="s">
        <v>328</v>
      </c>
      <c r="I7" s="89">
        <v>0</v>
      </c>
      <c r="J7" s="88">
        <v>11</v>
      </c>
      <c r="K7">
        <v>28</v>
      </c>
      <c r="L7" s="88" t="s">
        <v>330</v>
      </c>
      <c r="M7" s="196" t="str">
        <f>VLOOKUP(K7,[7]stage_hints!$A:$C,3,FALSE)</f>
        <v>ステータス情報は長押しで</v>
      </c>
      <c r="N7" s="197" t="str">
        <f>VLOOKUP(K7,[7]stage_hints!$A:$D,4,FALSE)</f>
        <v>ユニットのアイコンを長押しすると_x000D_ステータス情報を確認することができます</v>
      </c>
      <c r="O7" s="57" t="s">
        <v>199</v>
      </c>
    </row>
    <row r="8" spans="1:15" x14ac:dyDescent="0.15">
      <c r="A8" s="84" t="str">
        <f t="shared" si="0"/>
        <v>30022_1_12</v>
      </c>
      <c r="B8" s="85" t="s">
        <v>326</v>
      </c>
      <c r="C8" s="86">
        <v>30022</v>
      </c>
      <c r="D8" s="87" t="s">
        <v>327</v>
      </c>
      <c r="E8" s="87" t="s">
        <v>328</v>
      </c>
      <c r="F8" s="88">
        <v>1</v>
      </c>
      <c r="G8" s="87" t="s">
        <v>329</v>
      </c>
      <c r="H8" s="87" t="s">
        <v>328</v>
      </c>
      <c r="I8" s="89">
        <v>0</v>
      </c>
      <c r="J8" s="88">
        <v>12</v>
      </c>
      <c r="K8">
        <v>29</v>
      </c>
      <c r="L8" s="88" t="s">
        <v>330</v>
      </c>
      <c r="M8" s="196" t="str">
        <f>VLOOKUP(K8,[7]stage_hints!$A:$C,3,FALSE)</f>
        <v>「バグ」のメリット</v>
      </c>
      <c r="N8" s="197" t="str">
        <f>VLOOKUP(K8,[7]stage_hints!$A:$D,4,FALSE)</f>
        <v>ユニットの「バグ」を増やすと_x000D_報酬をもらえる確率がアップします</v>
      </c>
      <c r="O8" s="57" t="s">
        <v>334</v>
      </c>
    </row>
    <row r="9" spans="1:15" x14ac:dyDescent="0.15">
      <c r="A9" s="84" t="str">
        <f t="shared" si="0"/>
        <v>30022_1_13</v>
      </c>
      <c r="B9" s="85" t="s">
        <v>326</v>
      </c>
      <c r="C9" s="86">
        <v>30022</v>
      </c>
      <c r="D9" s="87" t="s">
        <v>327</v>
      </c>
      <c r="E9" s="87" t="s">
        <v>328</v>
      </c>
      <c r="F9" s="88">
        <v>1</v>
      </c>
      <c r="G9" s="87" t="s">
        <v>329</v>
      </c>
      <c r="H9" s="87" t="s">
        <v>328</v>
      </c>
      <c r="I9" s="89">
        <v>0</v>
      </c>
      <c r="J9" s="88">
        <v>13</v>
      </c>
      <c r="K9">
        <v>30</v>
      </c>
      <c r="L9" s="88" t="s">
        <v>330</v>
      </c>
      <c r="M9" s="196" t="str">
        <f>VLOOKUP(K9,[7]stage_hints!$A:$C,3,FALSE)</f>
        <v>「バグ」の増やし方</v>
      </c>
      <c r="N9" s="197" t="str">
        <f>VLOOKUP(K9,[7]stage_hints!$A:$D,4,FALSE)</f>
        <v>同じユニット同士を強化で合成すると_x000D_「バグ」を増やすことができます</v>
      </c>
      <c r="O9" s="57" t="s">
        <v>335</v>
      </c>
    </row>
    <row r="10" spans="1:15" x14ac:dyDescent="0.15">
      <c r="A10" s="84" t="str">
        <f t="shared" si="0"/>
        <v>30022_1_14</v>
      </c>
      <c r="B10" s="85" t="s">
        <v>326</v>
      </c>
      <c r="C10" s="86">
        <v>30022</v>
      </c>
      <c r="D10" s="87" t="s">
        <v>327</v>
      </c>
      <c r="E10" s="87" t="s">
        <v>328</v>
      </c>
      <c r="F10" s="88">
        <v>1</v>
      </c>
      <c r="G10" s="87" t="s">
        <v>329</v>
      </c>
      <c r="H10" s="87" t="s">
        <v>328</v>
      </c>
      <c r="I10" s="89">
        <v>0</v>
      </c>
      <c r="J10" s="88">
        <v>14</v>
      </c>
      <c r="K10">
        <v>32</v>
      </c>
      <c r="L10" s="88" t="s">
        <v>330</v>
      </c>
      <c r="M10" s="196" t="str">
        <f>VLOOKUP(K10,[7]stage_hints!$A:$C,3,FALSE)</f>
        <v>敵の連続攻撃には</v>
      </c>
      <c r="N10" s="197" t="str">
        <f>VLOOKUP(K10,[7]stage_hints!$A:$D,4,FALSE)</f>
        <v>カウンタースキルを持つユニットがいれば_x000D_ダメージ回数分の反撃ができます</v>
      </c>
      <c r="O10" s="57" t="s">
        <v>336</v>
      </c>
    </row>
    <row r="11" spans="1:15" x14ac:dyDescent="0.15">
      <c r="A11" s="84" t="str">
        <f t="shared" si="0"/>
        <v>30022_1_15</v>
      </c>
      <c r="B11" s="85" t="s">
        <v>326</v>
      </c>
      <c r="C11" s="86">
        <v>30022</v>
      </c>
      <c r="D11" s="87" t="s">
        <v>327</v>
      </c>
      <c r="E11" s="87" t="s">
        <v>328</v>
      </c>
      <c r="F11" s="88">
        <v>1</v>
      </c>
      <c r="G11" s="87" t="s">
        <v>329</v>
      </c>
      <c r="H11" s="87" t="s">
        <v>328</v>
      </c>
      <c r="I11" s="89">
        <v>0</v>
      </c>
      <c r="J11" s="88">
        <v>15</v>
      </c>
      <c r="K11">
        <v>33</v>
      </c>
      <c r="L11" s="88" t="s">
        <v>330</v>
      </c>
      <c r="M11" s="196" t="str">
        <f>VLOOKUP(K11,[7]stage_hints!$A:$C,3,FALSE)</f>
        <v>敵のカウンター攻撃には</v>
      </c>
      <c r="N11" s="197" t="str">
        <f>VLOOKUP(K11,[7]stage_hints!$A:$D,4,FALSE)</f>
        <v>カウンターブレイクスキルを持っていれば_x000D_敵のカウンターを解除して攻撃ができます</v>
      </c>
      <c r="O11" s="57" t="s">
        <v>199</v>
      </c>
    </row>
    <row r="12" spans="1:15" x14ac:dyDescent="0.15">
      <c r="A12" s="84" t="str">
        <f t="shared" si="0"/>
        <v>30022_1_16</v>
      </c>
      <c r="B12" s="85" t="s">
        <v>326</v>
      </c>
      <c r="C12" s="86">
        <v>30022</v>
      </c>
      <c r="D12" s="87" t="s">
        <v>327</v>
      </c>
      <c r="E12" s="87" t="s">
        <v>328</v>
      </c>
      <c r="F12" s="88">
        <v>1</v>
      </c>
      <c r="G12" s="87" t="s">
        <v>329</v>
      </c>
      <c r="H12" s="87" t="s">
        <v>328</v>
      </c>
      <c r="I12" s="89">
        <v>0</v>
      </c>
      <c r="J12" s="88">
        <v>16</v>
      </c>
      <c r="K12">
        <v>34</v>
      </c>
      <c r="L12" s="88" t="s">
        <v>330</v>
      </c>
      <c r="M12" s="196" t="str">
        <f>VLOOKUP(K12,[7]stage_hints!$A:$C,3,FALSE)</f>
        <v>ステータスをスキルで下げられたら</v>
      </c>
      <c r="N12" s="197" t="str">
        <f>VLOOKUP(K12,[7]stage_hints!$A:$D,4,FALSE)</f>
        <v>ステータスダウンのスキルを受けたら_x000D_ステータスアップスキルで上書きしましょう</v>
      </c>
      <c r="O12" s="57" t="s">
        <v>331</v>
      </c>
    </row>
    <row r="13" spans="1:15" x14ac:dyDescent="0.15">
      <c r="A13" s="84" t="str">
        <f t="shared" si="0"/>
        <v>30022_1_17</v>
      </c>
      <c r="B13" s="85" t="s">
        <v>326</v>
      </c>
      <c r="C13" s="86">
        <v>30022</v>
      </c>
      <c r="D13" s="87" t="s">
        <v>327</v>
      </c>
      <c r="E13" s="87" t="s">
        <v>328</v>
      </c>
      <c r="F13" s="88">
        <v>1</v>
      </c>
      <c r="G13" s="87" t="s">
        <v>329</v>
      </c>
      <c r="H13" s="87" t="s">
        <v>328</v>
      </c>
      <c r="I13" s="89">
        <v>0</v>
      </c>
      <c r="J13" s="88">
        <v>17</v>
      </c>
      <c r="K13">
        <v>35</v>
      </c>
      <c r="L13" s="88" t="s">
        <v>330</v>
      </c>
      <c r="M13" s="196" t="str">
        <f>VLOOKUP(K13,[7]stage_hints!$A:$C,3,FALSE)</f>
        <v>敵のステータスがスキルで上がったら</v>
      </c>
      <c r="N13" s="197" t="str">
        <f>VLOOKUP(K13,[7]stage_hints!$A:$D,4,FALSE)</f>
        <v>敵のステータスがスキルでアップしたときは_x000D_ステータスダウンスキルで上書きしましょう</v>
      </c>
      <c r="O13" s="57" t="s">
        <v>337</v>
      </c>
    </row>
    <row r="14" spans="1:15" x14ac:dyDescent="0.15">
      <c r="A14" s="84" t="str">
        <f t="shared" si="0"/>
        <v>30022_1_18</v>
      </c>
      <c r="B14" s="85" t="s">
        <v>326</v>
      </c>
      <c r="C14" s="86">
        <v>30022</v>
      </c>
      <c r="D14" s="87" t="s">
        <v>327</v>
      </c>
      <c r="E14" s="87" t="s">
        <v>328</v>
      </c>
      <c r="F14" s="88">
        <v>1</v>
      </c>
      <c r="G14" s="87" t="s">
        <v>329</v>
      </c>
      <c r="H14" s="87" t="s">
        <v>328</v>
      </c>
      <c r="I14" s="89">
        <v>0</v>
      </c>
      <c r="J14" s="88">
        <v>18</v>
      </c>
      <c r="K14">
        <v>36</v>
      </c>
      <c r="L14" s="88" t="s">
        <v>330</v>
      </c>
      <c r="M14" s="196" t="str">
        <f>VLOOKUP(K14,[7]stage_hints!$A:$C,3,FALSE)</f>
        <v>チャレンジタワーのボス</v>
      </c>
      <c r="N14" s="197" t="str">
        <f>VLOOKUP(K14,[7]stage_hints!$A:$D,4,FALSE)</f>
        <v>チャレンジタワーでのみ登場するボスは_x000D_一定確率で獲得することができます</v>
      </c>
      <c r="O14" s="57" t="s">
        <v>331</v>
      </c>
    </row>
    <row r="15" spans="1:15" x14ac:dyDescent="0.15">
      <c r="A15" s="84" t="str">
        <f t="shared" si="0"/>
        <v>30022_1_19</v>
      </c>
      <c r="B15" s="85" t="s">
        <v>326</v>
      </c>
      <c r="C15" s="86">
        <v>30022</v>
      </c>
      <c r="D15" s="87" t="s">
        <v>327</v>
      </c>
      <c r="E15" s="87" t="s">
        <v>328</v>
      </c>
      <c r="F15" s="88">
        <v>1</v>
      </c>
      <c r="G15" s="87" t="s">
        <v>329</v>
      </c>
      <c r="H15" s="87" t="s">
        <v>328</v>
      </c>
      <c r="I15" s="89">
        <v>0</v>
      </c>
      <c r="J15" s="88">
        <v>19</v>
      </c>
      <c r="K15">
        <v>37</v>
      </c>
      <c r="L15" s="88" t="s">
        <v>330</v>
      </c>
      <c r="M15" s="196" t="str">
        <f>VLOOKUP(K15,[7]stage_hints!$A:$C,3,FALSE)</f>
        <v>限界突破値の引き継ぎ</v>
      </c>
      <c r="N15" s="197" t="str">
        <f>VLOOKUP(K15,[7]stage_hints!$A:$D,4,FALSE)</f>
        <v>同じユニットを強化で合成すると_x000D_限界突破値を引き継げます（覚醒前後も可）</v>
      </c>
      <c r="O15" s="57" t="s">
        <v>338</v>
      </c>
    </row>
    <row r="16" spans="1:15" x14ac:dyDescent="0.15">
      <c r="A16" s="84" t="str">
        <f t="shared" si="0"/>
        <v>30022_2_21</v>
      </c>
      <c r="B16" s="85" t="s">
        <v>326</v>
      </c>
      <c r="C16" s="86">
        <v>30022</v>
      </c>
      <c r="D16" s="87" t="s">
        <v>327</v>
      </c>
      <c r="E16" s="87" t="s">
        <v>328</v>
      </c>
      <c r="F16" s="88">
        <v>2</v>
      </c>
      <c r="G16" s="87" t="s">
        <v>329</v>
      </c>
      <c r="H16" s="87" t="s">
        <v>328</v>
      </c>
      <c r="I16" s="89">
        <v>0</v>
      </c>
      <c r="J16" s="88">
        <v>21</v>
      </c>
      <c r="K16">
        <v>12</v>
      </c>
      <c r="L16" s="88" t="s">
        <v>330</v>
      </c>
      <c r="M16" s="196" t="str">
        <f>VLOOKUP(K16,[7]stage_hints!$A:$C,3,FALSE)</f>
        <v>ユニットのお気に入り登録</v>
      </c>
      <c r="N16" s="197" t="str">
        <f>VLOOKUP(K16,[7]stage_hints!$A:$D,4,FALSE)</f>
        <v>大事なユニットを誤って消さないように_x000D_フォルダから「お気に入り登録」しましょう</v>
      </c>
      <c r="O16" s="57" t="s">
        <v>331</v>
      </c>
    </row>
    <row r="17" spans="1:15" x14ac:dyDescent="0.15">
      <c r="A17" s="84" t="str">
        <f t="shared" si="0"/>
        <v>30022_2_22</v>
      </c>
      <c r="B17" s="85" t="s">
        <v>326</v>
      </c>
      <c r="C17" s="86">
        <v>30022</v>
      </c>
      <c r="D17" s="87" t="s">
        <v>327</v>
      </c>
      <c r="E17" s="87" t="s">
        <v>328</v>
      </c>
      <c r="F17" s="88">
        <v>2</v>
      </c>
      <c r="G17" s="87" t="s">
        <v>329</v>
      </c>
      <c r="H17" s="87" t="s">
        <v>328</v>
      </c>
      <c r="I17" s="89">
        <v>0</v>
      </c>
      <c r="J17" s="88">
        <v>22</v>
      </c>
      <c r="K17">
        <v>17</v>
      </c>
      <c r="L17" s="88" t="s">
        <v>330</v>
      </c>
      <c r="M17" s="196" t="str">
        <f>VLOOKUP(K17,[7]stage_hints!$A:$C,3,FALSE)</f>
        <v>リンクガチャ</v>
      </c>
      <c r="N17" s="197" t="str">
        <f>VLOOKUP(K17,[7]stage_hints!$A:$D,4,FALSE)</f>
        <v>無料のリンクガチャを回して_x000D_経験値素材や売却素材を獲得しましょう</v>
      </c>
      <c r="O17" s="57" t="s">
        <v>331</v>
      </c>
    </row>
    <row r="18" spans="1:15" x14ac:dyDescent="0.15">
      <c r="A18" s="84" t="str">
        <f t="shared" si="0"/>
        <v>30022_2_23</v>
      </c>
      <c r="B18" s="85" t="s">
        <v>326</v>
      </c>
      <c r="C18" s="86">
        <v>30022</v>
      </c>
      <c r="D18" s="87" t="s">
        <v>327</v>
      </c>
      <c r="E18" s="87" t="s">
        <v>328</v>
      </c>
      <c r="F18" s="88">
        <v>2</v>
      </c>
      <c r="G18" s="87" t="s">
        <v>329</v>
      </c>
      <c r="H18" s="87" t="s">
        <v>328</v>
      </c>
      <c r="I18" s="89">
        <v>0</v>
      </c>
      <c r="J18" s="88">
        <v>23</v>
      </c>
      <c r="K18">
        <v>19</v>
      </c>
      <c r="L18" s="88" t="s">
        <v>330</v>
      </c>
      <c r="M18" s="196" t="str">
        <f>VLOOKUP(K18,[7]stage_hints!$A:$C,3,FALSE)</f>
        <v>ソロ専用チャレンジタワー</v>
      </c>
      <c r="N18" s="197" t="str">
        <f>VLOOKUP(K18,[7]stage_hints!$A:$D,4,FALSE)</f>
        <v>ソロ専用の「チャレンジタワー」では_x000D_各フロアごとにクリア報酬がもらえます</v>
      </c>
      <c r="O18" s="57" t="s">
        <v>331</v>
      </c>
    </row>
    <row r="19" spans="1:15" x14ac:dyDescent="0.15">
      <c r="A19" s="84" t="str">
        <f t="shared" si="0"/>
        <v>30022_2_24</v>
      </c>
      <c r="B19" s="85" t="s">
        <v>326</v>
      </c>
      <c r="C19" s="86">
        <v>30022</v>
      </c>
      <c r="D19" s="87" t="s">
        <v>327</v>
      </c>
      <c r="E19" s="87" t="s">
        <v>328</v>
      </c>
      <c r="F19" s="88">
        <v>2</v>
      </c>
      <c r="G19" s="87" t="s">
        <v>329</v>
      </c>
      <c r="H19" s="87" t="s">
        <v>328</v>
      </c>
      <c r="I19" s="89">
        <v>0</v>
      </c>
      <c r="J19" s="88">
        <v>24</v>
      </c>
      <c r="K19">
        <v>21</v>
      </c>
      <c r="L19" s="88" t="s">
        <v>330</v>
      </c>
      <c r="M19" s="196" t="str">
        <f>VLOOKUP(K19,[7]stage_hints!$A:$C,3,FALSE)</f>
        <v>スキルを有効に</v>
      </c>
      <c r="N19" s="197" t="str">
        <f>VLOOKUP(K19,[7]stage_hints!$A:$D,4,FALSE)</f>
        <v>ターン経過でユニットのスキルが使えます_x000D_強力スキルでバトルを有利に進めましょう</v>
      </c>
      <c r="O19" s="57" t="s">
        <v>332</v>
      </c>
    </row>
    <row r="20" spans="1:15" x14ac:dyDescent="0.15">
      <c r="A20" s="84" t="str">
        <f t="shared" si="0"/>
        <v>30022_2_25</v>
      </c>
      <c r="B20" s="85" t="s">
        <v>326</v>
      </c>
      <c r="C20" s="86">
        <v>30022</v>
      </c>
      <c r="D20" s="87" t="s">
        <v>327</v>
      </c>
      <c r="E20" s="87" t="s">
        <v>328</v>
      </c>
      <c r="F20" s="88">
        <v>2</v>
      </c>
      <c r="G20" s="87" t="s">
        <v>329</v>
      </c>
      <c r="H20" s="87" t="s">
        <v>328</v>
      </c>
      <c r="I20" s="89">
        <v>0</v>
      </c>
      <c r="J20" s="88">
        <v>25</v>
      </c>
      <c r="K20">
        <v>29</v>
      </c>
      <c r="L20" s="88" t="s">
        <v>330</v>
      </c>
      <c r="M20" s="196" t="str">
        <f>VLOOKUP(K20,[7]stage_hints!$A:$C,3,FALSE)</f>
        <v>「バグ」のメリット</v>
      </c>
      <c r="N20" s="197" t="str">
        <f>VLOOKUP(K20,[7]stage_hints!$A:$D,4,FALSE)</f>
        <v>ユニットの「バグ」を増やすと_x000D_報酬をもらえる確率がアップします</v>
      </c>
      <c r="O20" s="57" t="s">
        <v>332</v>
      </c>
    </row>
    <row r="21" spans="1:15" x14ac:dyDescent="0.15">
      <c r="A21" s="84" t="str">
        <f t="shared" si="0"/>
        <v>30022_2_26</v>
      </c>
      <c r="B21" s="85" t="s">
        <v>326</v>
      </c>
      <c r="C21" s="86">
        <v>30022</v>
      </c>
      <c r="D21" s="87" t="s">
        <v>327</v>
      </c>
      <c r="E21" s="87" t="s">
        <v>328</v>
      </c>
      <c r="F21" s="88">
        <v>2</v>
      </c>
      <c r="G21" s="87" t="s">
        <v>329</v>
      </c>
      <c r="H21" s="87" t="s">
        <v>328</v>
      </c>
      <c r="I21" s="89">
        <v>0</v>
      </c>
      <c r="J21" s="88">
        <v>26</v>
      </c>
      <c r="K21">
        <v>30</v>
      </c>
      <c r="L21" s="88" t="s">
        <v>330</v>
      </c>
      <c r="M21" s="196" t="str">
        <f>VLOOKUP(K21,[7]stage_hints!$A:$C,3,FALSE)</f>
        <v>「バグ」の増やし方</v>
      </c>
      <c r="N21" s="197" t="str">
        <f>VLOOKUP(K21,[7]stage_hints!$A:$D,4,FALSE)</f>
        <v>同じユニット同士を強化で合成すると_x000D_「バグ」を増やすことができます</v>
      </c>
      <c r="O21" s="57" t="s">
        <v>332</v>
      </c>
    </row>
    <row r="22" spans="1:15" x14ac:dyDescent="0.15">
      <c r="A22" s="84" t="str">
        <f t="shared" si="0"/>
        <v>30022_2_27</v>
      </c>
      <c r="B22" s="85" t="s">
        <v>326</v>
      </c>
      <c r="C22" s="86">
        <v>30022</v>
      </c>
      <c r="D22" s="87" t="s">
        <v>327</v>
      </c>
      <c r="E22" s="87" t="s">
        <v>328</v>
      </c>
      <c r="F22" s="88">
        <v>2</v>
      </c>
      <c r="G22" s="87" t="s">
        <v>329</v>
      </c>
      <c r="H22" s="87" t="s">
        <v>328</v>
      </c>
      <c r="I22" s="89">
        <v>0</v>
      </c>
      <c r="J22" s="88">
        <v>27</v>
      </c>
      <c r="K22">
        <v>32</v>
      </c>
      <c r="L22" s="88" t="s">
        <v>330</v>
      </c>
      <c r="M22" s="196" t="str">
        <f>VLOOKUP(K22,[7]stage_hints!$A:$C,3,FALSE)</f>
        <v>敵の連続攻撃には</v>
      </c>
      <c r="N22" s="197" t="str">
        <f>VLOOKUP(K22,[7]stage_hints!$A:$D,4,FALSE)</f>
        <v>カウンタースキルを持つユニットがいれば_x000D_ダメージ回数分の反撃ができます</v>
      </c>
      <c r="O22" s="57" t="s">
        <v>332</v>
      </c>
    </row>
    <row r="23" spans="1:15" x14ac:dyDescent="0.15">
      <c r="A23" s="84" t="str">
        <f t="shared" si="0"/>
        <v>30022_2_28</v>
      </c>
      <c r="B23" s="85" t="s">
        <v>326</v>
      </c>
      <c r="C23" s="86">
        <v>30022</v>
      </c>
      <c r="D23" s="87" t="s">
        <v>327</v>
      </c>
      <c r="E23" s="87" t="s">
        <v>328</v>
      </c>
      <c r="F23" s="88">
        <v>2</v>
      </c>
      <c r="G23" s="87" t="s">
        <v>329</v>
      </c>
      <c r="H23" s="87" t="s">
        <v>328</v>
      </c>
      <c r="I23" s="89">
        <v>0</v>
      </c>
      <c r="J23" s="88">
        <v>28</v>
      </c>
      <c r="K23">
        <v>33</v>
      </c>
      <c r="L23" s="88" t="s">
        <v>330</v>
      </c>
      <c r="M23" s="196" t="str">
        <f>VLOOKUP(K23,[7]stage_hints!$A:$C,3,FALSE)</f>
        <v>敵のカウンター攻撃には</v>
      </c>
      <c r="N23" s="197" t="str">
        <f>VLOOKUP(K23,[7]stage_hints!$A:$D,4,FALSE)</f>
        <v>カウンターブレイクスキルを持っていれば_x000D_敵のカウンターを解除して攻撃ができます</v>
      </c>
      <c r="O23" s="57" t="s">
        <v>331</v>
      </c>
    </row>
    <row r="24" spans="1:15" x14ac:dyDescent="0.15">
      <c r="A24" s="84" t="str">
        <f t="shared" si="0"/>
        <v>30022_2_29</v>
      </c>
      <c r="B24" s="85" t="s">
        <v>326</v>
      </c>
      <c r="C24" s="86">
        <v>30022</v>
      </c>
      <c r="D24" s="87" t="s">
        <v>327</v>
      </c>
      <c r="E24" s="87" t="s">
        <v>328</v>
      </c>
      <c r="F24" s="88">
        <v>2</v>
      </c>
      <c r="G24" s="87" t="s">
        <v>329</v>
      </c>
      <c r="H24" s="87" t="s">
        <v>328</v>
      </c>
      <c r="I24" s="89">
        <v>0</v>
      </c>
      <c r="J24" s="88">
        <v>29</v>
      </c>
      <c r="K24">
        <v>34</v>
      </c>
      <c r="L24" s="88" t="s">
        <v>330</v>
      </c>
      <c r="M24" s="196" t="str">
        <f>VLOOKUP(K24,[7]stage_hints!$A:$C,3,FALSE)</f>
        <v>ステータスをスキルで下げられたら</v>
      </c>
      <c r="N24" s="197" t="str">
        <f>VLOOKUP(K24,[7]stage_hints!$A:$D,4,FALSE)</f>
        <v>ステータスダウンのスキルを受けたら_x000D_ステータスアップスキルで上書きしましょう</v>
      </c>
      <c r="O24" s="57" t="s">
        <v>332</v>
      </c>
    </row>
    <row r="25" spans="1:15" x14ac:dyDescent="0.15">
      <c r="A25" s="84" t="str">
        <f t="shared" si="0"/>
        <v>30022_2_30</v>
      </c>
      <c r="B25" s="85" t="s">
        <v>326</v>
      </c>
      <c r="C25" s="86">
        <v>30022</v>
      </c>
      <c r="D25" s="87" t="s">
        <v>327</v>
      </c>
      <c r="E25" s="87" t="s">
        <v>339</v>
      </c>
      <c r="F25" s="88">
        <v>2</v>
      </c>
      <c r="G25" s="87" t="s">
        <v>329</v>
      </c>
      <c r="H25" s="87" t="s">
        <v>339</v>
      </c>
      <c r="I25" s="89">
        <v>0</v>
      </c>
      <c r="J25" s="88">
        <v>30</v>
      </c>
      <c r="K25">
        <v>35</v>
      </c>
      <c r="L25" s="88" t="s">
        <v>330</v>
      </c>
      <c r="M25" s="196" t="str">
        <f>VLOOKUP(K25,[7]stage_hints!$A:$C,3,FALSE)</f>
        <v>敵のステータスがスキルで上がったら</v>
      </c>
      <c r="N25" s="197" t="str">
        <f>VLOOKUP(K25,[7]stage_hints!$A:$D,4,FALSE)</f>
        <v>敵のステータスがスキルでアップしたときは_x000D_ステータスダウンスキルで上書きしましょう</v>
      </c>
      <c r="O25" s="57" t="s">
        <v>199</v>
      </c>
    </row>
    <row r="26" spans="1:15" x14ac:dyDescent="0.15">
      <c r="A26" s="84" t="str">
        <f t="shared" si="0"/>
        <v>30022_2_31</v>
      </c>
      <c r="B26" s="85" t="s">
        <v>326</v>
      </c>
      <c r="C26" s="86">
        <v>30022</v>
      </c>
      <c r="D26" s="87" t="s">
        <v>327</v>
      </c>
      <c r="E26" s="87" t="s">
        <v>340</v>
      </c>
      <c r="F26" s="88">
        <v>2</v>
      </c>
      <c r="G26" s="87" t="s">
        <v>329</v>
      </c>
      <c r="H26" s="87" t="s">
        <v>340</v>
      </c>
      <c r="I26" s="89">
        <v>0</v>
      </c>
      <c r="J26" s="88">
        <v>31</v>
      </c>
      <c r="K26">
        <v>36</v>
      </c>
      <c r="L26" s="88" t="s">
        <v>330</v>
      </c>
      <c r="M26" s="196" t="str">
        <f>VLOOKUP(K26,[7]stage_hints!$A:$C,3,FALSE)</f>
        <v>チャレンジタワーのボス</v>
      </c>
      <c r="N26" s="197" t="str">
        <f>VLOOKUP(K26,[7]stage_hints!$A:$D,4,FALSE)</f>
        <v>チャレンジタワーでのみ登場するボスは_x000D_一定確率で獲得することができます</v>
      </c>
      <c r="O26" s="57" t="s">
        <v>332</v>
      </c>
    </row>
    <row r="27" spans="1:15" x14ac:dyDescent="0.15">
      <c r="A27" s="84" t="str">
        <f t="shared" si="0"/>
        <v>30022_2_32</v>
      </c>
      <c r="B27" s="85" t="s">
        <v>326</v>
      </c>
      <c r="C27" s="86">
        <v>30022</v>
      </c>
      <c r="D27" s="87" t="s">
        <v>327</v>
      </c>
      <c r="E27" s="87" t="s">
        <v>341</v>
      </c>
      <c r="F27" s="88">
        <v>2</v>
      </c>
      <c r="G27" s="87" t="s">
        <v>329</v>
      </c>
      <c r="H27" s="87" t="s">
        <v>341</v>
      </c>
      <c r="I27" s="89">
        <v>0</v>
      </c>
      <c r="J27" s="88">
        <v>32</v>
      </c>
      <c r="K27">
        <v>37</v>
      </c>
      <c r="L27" s="88" t="s">
        <v>330</v>
      </c>
      <c r="M27" s="196" t="str">
        <f>VLOOKUP(K27,[7]stage_hints!$A:$C,3,FALSE)</f>
        <v>限界突破値の引き継ぎ</v>
      </c>
      <c r="N27" s="197" t="str">
        <f>VLOOKUP(K27,[7]stage_hints!$A:$D,4,FALSE)</f>
        <v>同じユニットを強化で合成すると_x000D_限界突破値を引き継げます（覚醒前後も可）</v>
      </c>
      <c r="O27" s="57" t="s">
        <v>331</v>
      </c>
    </row>
  </sheetData>
  <phoneticPr fontId="6"/>
  <dataValidations count="1">
    <dataValidation type="list" allowBlank="1" showInputMessage="1" showErrorMessage="1" sqref="B2:B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stage_hints_failue</vt:lpstr>
      <vt:lpstr>stage_hints_complete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2017-03-08T05:34:44Z</dcterms:modified>
</cp:coreProperties>
</file>