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activeTab="2"/>
  </bookViews>
  <sheets>
    <sheet name="確率の考え方" sheetId="110" r:id="rId1"/>
    <sheet name="Sheet1" sheetId="107" r:id="rId2"/>
    <sheet name="output" sheetId="103" r:id="rId3"/>
    <sheet name="input_381010" sheetId="157" r:id="rId4"/>
    <sheet name="tables_381010" sheetId="158" r:id="rId5"/>
    <sheet name="input_381100" sheetId="153" r:id="rId6"/>
    <sheet name="tables_381100" sheetId="154" r:id="rId7"/>
    <sheet name="tables_settle_363100" sheetId="15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tables_381010!$A$1:$V$294</definedName>
    <definedName name="_xlnm._FilterDatabase" localSheetId="6" hidden="1">tables_381100!$A$1:$V$294</definedName>
    <definedName name="_xlnm._FilterDatabase" localSheetId="7" hidden="1">tables_settle_363100!$A$1:$V$6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A295" i="154"/>
  <c r="I295" i="154"/>
  <c r="D295" i="154"/>
  <c r="J295" i="154"/>
  <c r="E295" i="154"/>
  <c r="F295" i="154"/>
  <c r="C295" i="154"/>
  <c r="H295" i="154"/>
  <c r="K295" i="154"/>
  <c r="L295" i="154"/>
  <c r="M295" i="154"/>
  <c r="N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295" i="154"/>
  <c r="E6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1" i="153"/>
  <c r="B21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R3" i="153"/>
  <c r="O138" i="154"/>
  <c r="R4" i="153"/>
  <c r="O139" i="154"/>
  <c r="E27" i="153"/>
  <c r="B27" i="153"/>
  <c r="G27" i="153"/>
  <c r="H27" i="153"/>
  <c r="O140" i="154"/>
  <c r="E28" i="153"/>
  <c r="B28" i="153"/>
  <c r="G28" i="153"/>
  <c r="H28" i="153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R5" i="153"/>
  <c r="O189" i="154"/>
  <c r="R6" i="153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3" i="153"/>
  <c r="B22" i="153"/>
  <c r="G22" i="153"/>
  <c r="H22" i="153"/>
  <c r="O256" i="154"/>
  <c r="G23" i="153"/>
  <c r="E23" i="153"/>
  <c r="H23" i="153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6" i="154"/>
  <c r="O297" i="154"/>
  <c r="O298" i="154"/>
  <c r="O299" i="154"/>
  <c r="P295" i="154"/>
  <c r="A296" i="154"/>
  <c r="H296" i="154"/>
  <c r="K296" i="154"/>
  <c r="L296" i="154"/>
  <c r="M296" i="154"/>
  <c r="N296" i="154"/>
  <c r="P296" i="154"/>
  <c r="A297" i="154"/>
  <c r="H297" i="154"/>
  <c r="K297" i="154"/>
  <c r="L297" i="154"/>
  <c r="M297" i="154"/>
  <c r="N297" i="154"/>
  <c r="P297" i="154"/>
  <c r="A298" i="154"/>
  <c r="H298" i="154"/>
  <c r="K298" i="154"/>
  <c r="L298" i="154"/>
  <c r="M298" i="154"/>
  <c r="N298" i="154"/>
  <c r="P298" i="154"/>
  <c r="A299" i="154"/>
  <c r="H299" i="154"/>
  <c r="K299" i="154"/>
  <c r="L299" i="154"/>
  <c r="M299" i="154"/>
  <c r="N299" i="154"/>
  <c r="P299" i="154"/>
  <c r="A2" i="157"/>
  <c r="A295" i="158"/>
  <c r="I295" i="158"/>
  <c r="D295" i="158"/>
  <c r="J295" i="158"/>
  <c r="E295" i="158"/>
  <c r="F295" i="158"/>
  <c r="C295" i="158"/>
  <c r="H295" i="158"/>
  <c r="K295" i="158"/>
  <c r="L295" i="158"/>
  <c r="M295" i="158"/>
  <c r="N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O295" i="158"/>
  <c r="E6" i="157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R3" i="157"/>
  <c r="O138" i="158"/>
  <c r="R4" i="157"/>
  <c r="O139" i="158"/>
  <c r="E27" i="157"/>
  <c r="B27" i="157"/>
  <c r="G27" i="157"/>
  <c r="H27" i="157"/>
  <c r="O140" i="158"/>
  <c r="E28" i="157"/>
  <c r="B28" i="157"/>
  <c r="G28" i="157"/>
  <c r="H28" i="157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R5" i="157"/>
  <c r="O189" i="158"/>
  <c r="R6" i="157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3" i="157"/>
  <c r="B22" i="157"/>
  <c r="G22" i="157"/>
  <c r="H22" i="157"/>
  <c r="O256" i="158"/>
  <c r="G23" i="157"/>
  <c r="E23" i="157"/>
  <c r="H23" i="157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6" i="158"/>
  <c r="O297" i="158"/>
  <c r="O298" i="158"/>
  <c r="O299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138" i="158"/>
  <c r="D138" i="158"/>
  <c r="J138" i="158"/>
  <c r="E138" i="158"/>
  <c r="C138" i="158"/>
  <c r="I139" i="158"/>
  <c r="D139" i="158"/>
  <c r="J139" i="158"/>
  <c r="E139" i="158"/>
  <c r="C139" i="158"/>
  <c r="I189" i="158"/>
  <c r="D189" i="158"/>
  <c r="J189" i="158"/>
  <c r="E189" i="158"/>
  <c r="C189" i="158"/>
  <c r="I190" i="158"/>
  <c r="D190" i="158"/>
  <c r="J190" i="158"/>
  <c r="E190" i="158"/>
  <c r="C190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I2" i="158"/>
  <c r="D2" i="158"/>
  <c r="J2" i="158"/>
  <c r="E2" i="158"/>
  <c r="F2" i="158"/>
  <c r="C2" i="158"/>
  <c r="I3" i="158"/>
  <c r="D3" i="158"/>
  <c r="J3" i="158"/>
  <c r="E3" i="158"/>
  <c r="F3" i="158"/>
  <c r="C3" i="158"/>
  <c r="I4" i="158"/>
  <c r="D4" i="158"/>
  <c r="J4" i="158"/>
  <c r="E4" i="158"/>
  <c r="F4" i="158"/>
  <c r="C4" i="158"/>
  <c r="I5" i="158"/>
  <c r="D5" i="158"/>
  <c r="J5" i="158"/>
  <c r="E5" i="158"/>
  <c r="F5" i="158"/>
  <c r="C5" i="158"/>
  <c r="I6" i="158"/>
  <c r="D6" i="158"/>
  <c r="J6" i="158"/>
  <c r="E6" i="158"/>
  <c r="F6" i="158"/>
  <c r="C6" i="158"/>
  <c r="I7" i="158"/>
  <c r="D7" i="158"/>
  <c r="J7" i="158"/>
  <c r="E7" i="158"/>
  <c r="F7" i="158"/>
  <c r="C7" i="158"/>
  <c r="I8" i="158"/>
  <c r="D8" i="158"/>
  <c r="J8" i="158"/>
  <c r="E8" i="158"/>
  <c r="F8" i="158"/>
  <c r="C8" i="158"/>
  <c r="I9" i="158"/>
  <c r="D9" i="158"/>
  <c r="J9" i="158"/>
  <c r="E9" i="158"/>
  <c r="F9" i="158"/>
  <c r="C9" i="158"/>
  <c r="I10" i="158"/>
  <c r="D10" i="158"/>
  <c r="J10" i="158"/>
  <c r="E10" i="158"/>
  <c r="F10" i="158"/>
  <c r="C10" i="158"/>
  <c r="I11" i="158"/>
  <c r="D11" i="158"/>
  <c r="J11" i="158"/>
  <c r="E11" i="158"/>
  <c r="F11" i="158"/>
  <c r="C11" i="158"/>
  <c r="I12" i="158"/>
  <c r="D12" i="158"/>
  <c r="J12" i="158"/>
  <c r="E12" i="158"/>
  <c r="F12" i="158"/>
  <c r="C12" i="158"/>
  <c r="I13" i="158"/>
  <c r="D13" i="158"/>
  <c r="J13" i="158"/>
  <c r="E13" i="158"/>
  <c r="F13" i="158"/>
  <c r="C13" i="158"/>
  <c r="I14" i="158"/>
  <c r="D14" i="158"/>
  <c r="J14" i="158"/>
  <c r="E14" i="158"/>
  <c r="F14" i="158"/>
  <c r="C14" i="158"/>
  <c r="I15" i="158"/>
  <c r="D15" i="158"/>
  <c r="J15" i="158"/>
  <c r="E15" i="158"/>
  <c r="F15" i="158"/>
  <c r="C15" i="158"/>
  <c r="I16" i="158"/>
  <c r="D16" i="158"/>
  <c r="J16" i="158"/>
  <c r="E16" i="158"/>
  <c r="F16" i="158"/>
  <c r="C16" i="158"/>
  <c r="I17" i="158"/>
  <c r="D17" i="158"/>
  <c r="J17" i="158"/>
  <c r="E17" i="158"/>
  <c r="F17" i="158"/>
  <c r="C17" i="158"/>
  <c r="I18" i="158"/>
  <c r="D18" i="158"/>
  <c r="J18" i="158"/>
  <c r="E18" i="158"/>
  <c r="F18" i="158"/>
  <c r="C18" i="158"/>
  <c r="I19" i="158"/>
  <c r="D19" i="158"/>
  <c r="J19" i="158"/>
  <c r="E19" i="158"/>
  <c r="F19" i="158"/>
  <c r="C19" i="158"/>
  <c r="I20" i="158"/>
  <c r="D20" i="158"/>
  <c r="J20" i="158"/>
  <c r="E20" i="158"/>
  <c r="F20" i="158"/>
  <c r="C20" i="158"/>
  <c r="I21" i="158"/>
  <c r="D21" i="158"/>
  <c r="J21" i="158"/>
  <c r="E21" i="158"/>
  <c r="F21" i="158"/>
  <c r="C21" i="158"/>
  <c r="I22" i="158"/>
  <c r="D22" i="158"/>
  <c r="J22" i="158"/>
  <c r="E22" i="158"/>
  <c r="F22" i="158"/>
  <c r="C22" i="158"/>
  <c r="I23" i="158"/>
  <c r="D23" i="158"/>
  <c r="J23" i="158"/>
  <c r="E23" i="158"/>
  <c r="F23" i="158"/>
  <c r="C23" i="158"/>
  <c r="I24" i="158"/>
  <c r="D24" i="158"/>
  <c r="J24" i="158"/>
  <c r="E24" i="158"/>
  <c r="F24" i="158"/>
  <c r="C24" i="158"/>
  <c r="I25" i="158"/>
  <c r="D25" i="158"/>
  <c r="J25" i="158"/>
  <c r="E25" i="158"/>
  <c r="F25" i="158"/>
  <c r="C25" i="158"/>
  <c r="I26" i="158"/>
  <c r="D26" i="158"/>
  <c r="J26" i="158"/>
  <c r="E26" i="158"/>
  <c r="F26" i="158"/>
  <c r="C26" i="158"/>
  <c r="I27" i="158"/>
  <c r="D27" i="158"/>
  <c r="J27" i="158"/>
  <c r="E27" i="158"/>
  <c r="F27" i="158"/>
  <c r="C27" i="158"/>
  <c r="I28" i="158"/>
  <c r="D28" i="158"/>
  <c r="J28" i="158"/>
  <c r="E28" i="158"/>
  <c r="F28" i="158"/>
  <c r="C28" i="158"/>
  <c r="I29" i="158"/>
  <c r="D29" i="158"/>
  <c r="J29" i="158"/>
  <c r="E29" i="158"/>
  <c r="F29" i="158"/>
  <c r="C29" i="158"/>
  <c r="I30" i="158"/>
  <c r="D30" i="158"/>
  <c r="J30" i="158"/>
  <c r="E30" i="158"/>
  <c r="F30" i="158"/>
  <c r="C30" i="158"/>
  <c r="I31" i="158"/>
  <c r="D31" i="158"/>
  <c r="J31" i="158"/>
  <c r="E31" i="158"/>
  <c r="F31" i="158"/>
  <c r="C31" i="158"/>
  <c r="I32" i="158"/>
  <c r="D32" i="158"/>
  <c r="J32" i="158"/>
  <c r="E32" i="158"/>
  <c r="F32" i="158"/>
  <c r="C32" i="158"/>
  <c r="I33" i="158"/>
  <c r="D33" i="158"/>
  <c r="J33" i="158"/>
  <c r="E33" i="158"/>
  <c r="F33" i="158"/>
  <c r="C33" i="158"/>
  <c r="I34" i="158"/>
  <c r="D34" i="158"/>
  <c r="J34" i="158"/>
  <c r="E34" i="158"/>
  <c r="F34" i="158"/>
  <c r="C34" i="158"/>
  <c r="I35" i="158"/>
  <c r="D35" i="158"/>
  <c r="J35" i="158"/>
  <c r="E35" i="158"/>
  <c r="F35" i="158"/>
  <c r="C35" i="158"/>
  <c r="I36" i="158"/>
  <c r="D36" i="158"/>
  <c r="J36" i="158"/>
  <c r="E36" i="158"/>
  <c r="F36" i="158"/>
  <c r="C36" i="158"/>
  <c r="I37" i="158"/>
  <c r="D37" i="158"/>
  <c r="J37" i="158"/>
  <c r="E37" i="158"/>
  <c r="F37" i="158"/>
  <c r="C37" i="158"/>
  <c r="I38" i="158"/>
  <c r="D38" i="158"/>
  <c r="J38" i="158"/>
  <c r="E38" i="158"/>
  <c r="F38" i="158"/>
  <c r="C38" i="158"/>
  <c r="I39" i="158"/>
  <c r="D39" i="158"/>
  <c r="J39" i="158"/>
  <c r="E39" i="158"/>
  <c r="F39" i="158"/>
  <c r="C39" i="158"/>
  <c r="I40" i="158"/>
  <c r="D40" i="158"/>
  <c r="J40" i="158"/>
  <c r="E40" i="158"/>
  <c r="F40" i="158"/>
  <c r="C40" i="158"/>
  <c r="I41" i="158"/>
  <c r="D41" i="158"/>
  <c r="J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F138" i="158"/>
  <c r="F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F189" i="158"/>
  <c r="F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D215" i="158"/>
  <c r="J215" i="158"/>
  <c r="E215" i="158"/>
  <c r="F215" i="158"/>
  <c r="C215" i="158"/>
  <c r="I216" i="158"/>
  <c r="D216" i="158"/>
  <c r="J216" i="158"/>
  <c r="E216" i="158"/>
  <c r="F216" i="158"/>
  <c r="C216" i="158"/>
  <c r="I217" i="158"/>
  <c r="D217" i="158"/>
  <c r="J217" i="158"/>
  <c r="E217" i="158"/>
  <c r="F217" i="158"/>
  <c r="C217" i="158"/>
  <c r="I218" i="158"/>
  <c r="D218" i="158"/>
  <c r="J218" i="158"/>
  <c r="E218" i="158"/>
  <c r="F218" i="158"/>
  <c r="C218" i="158"/>
  <c r="I219" i="158"/>
  <c r="D219" i="158"/>
  <c r="J219" i="158"/>
  <c r="E219" i="158"/>
  <c r="F219" i="158"/>
  <c r="C219" i="158"/>
  <c r="I220" i="158"/>
  <c r="D220" i="158"/>
  <c r="J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R7" i="153"/>
  <c r="R8" i="153"/>
  <c r="R9" i="153"/>
  <c r="R10" i="153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" i="154"/>
  <c r="R7" i="157"/>
  <c r="R8" i="157"/>
  <c r="R9" i="157"/>
  <c r="R10" i="157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" i="158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P2" i="156"/>
  <c r="P3" i="156"/>
  <c r="P4" i="156"/>
  <c r="P5" i="156"/>
  <c r="P6" i="156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F2" i="156"/>
  <c r="F3" i="156"/>
  <c r="F4" i="156"/>
  <c r="F5" i="156"/>
  <c r="F6" i="156"/>
  <c r="I2" i="156"/>
  <c r="D2" i="156"/>
  <c r="I3" i="156"/>
  <c r="D3" i="156"/>
  <c r="I4" i="156"/>
  <c r="D4" i="156"/>
  <c r="I5" i="156"/>
  <c r="D5" i="156"/>
  <c r="I6" i="156"/>
  <c r="D6" i="156"/>
  <c r="B30" i="153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<sst xmlns="http://schemas.openxmlformats.org/spreadsheetml/2006/main" count="552" uniqueCount="266">
  <si>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</si>
  <si>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</si>
  <si>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</si>
  <si>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</si>
  <si>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</si>
  <si>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</si>
  <si>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</si>
  <si>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</si>
  <si>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</si>
  <si>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</si>
  <si>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</si>
  <si>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</si>
  <si>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</si>
  <si>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</si>
  <si>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</si>
  <si>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</si>
  <si>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</si>
  <si>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</si>
  <si>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</si>
  <si>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</si>
  <si>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</si>
  <si>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</si>
  <si>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</si>
  <si>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</si>
  <si>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</si>
  <si>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</si>
  <si>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</si>
  <si>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</si>
  <si>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</si>
  <si>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</si>
  <si>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</si>
  <si>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</si>
  <si>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</si>
  <si>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</si>
  <si>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</si>
  <si>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</si>
  <si>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</si>
  <si>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</si>
  <si>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</si>
  <si>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</si>
  <si>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</si>
  <si>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</si>
  <si>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</si>
  <si>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</si>
  <si>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</si>
  <si>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</si>
  <si>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</si>
  <si>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</si>
  <si>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</si>
  <si>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</si>
  <si>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</si>
  <si>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</si>
  <si>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</si>
  <si>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</si>
  <si>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</si>
  <si>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</si>
  <si>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</si>
  <si>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</si>
  <si>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</si>
  <si>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</si>
  <si>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</si>
  <si>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</si>
  <si>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</si>
  <si>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</si>
  <si>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</si>
  <si>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</si>
  <si>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</si>
  <si>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</si>
  <si>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</si>
  <si>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</si>
  <si>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</si>
  <si>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</si>
  <si>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</si>
  <si>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</si>
  <si>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</si>
  <si>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</si>
  <si>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</si>
  <si>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</si>
  <si>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</si>
  <si>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</si>
  <si>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</si>
  <si>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</si>
  <si>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</si>
  <si>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</si>
  <si>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</si>
  <si>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</si>
  <si>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</si>
  <si>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</si>
  <si>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</si>
  <si>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</si>
  <si>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</si>
  <si>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</si>
  <si>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</si>
  <si>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</si>
  <si>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</si>
  <si>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</si>
  <si>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</si>
  <si>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</si>
  <si>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</si>
  <si>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</si>
  <si>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</si>
  <si>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</si>
  <si>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</si>
  <si>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</si>
  <si>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</si>
  <si>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</si>
  <si>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</si>
  <si>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</si>
  <si>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</si>
  <si>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</si>
  <si>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</si>
  <si>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</si>
  <si>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</si>
  <si>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</si>
  <si>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</si>
  <si>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</si>
  <si>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</si>
  <si>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</si>
  <si>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</si>
  <si>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</si>
  <si>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</si>
  <si>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</si>
  <si>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</si>
  <si>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</si>
  <si>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</si>
  <si>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</si>
  <si>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</si>
  <si>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</si>
  <si>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</si>
  <si>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</si>
  <si>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</si>
  <si>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</si>
  <si>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</si>
  <si>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</si>
  <si>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</si>
  <si>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</si>
  <si>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</si>
  <si>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</si>
  <si>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</si>
  <si>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</si>
  <si>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</si>
  <si>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</si>
  <si>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</si>
  <si>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</si>
  <si>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</si>
  <si>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</si>
  <si>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</si>
  <si>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</si>
  <si>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</si>
  <si>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</si>
  <si>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</si>
  <si>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</si>
  <si>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</si>
  <si>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</si>
  <si>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</si>
  <si>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</si>
  <si>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</si>
  <si>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</si>
  <si>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</si>
  <si>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</si>
  <si>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</si>
  <si>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</si>
  <si>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</si>
  <si>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</si>
  <si>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</si>
  <si>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</si>
  <si>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</si>
  <si>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</si>
  <si>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</si>
  <si>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</si>
  <si>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</si>
  <si>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</si>
  <si>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</si>
  <si>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</si>
  <si>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</si>
  <si>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</si>
  <si>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</si>
  <si>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</si>
  <si>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</si>
  <si>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</si>
  <si>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</si>
  <si>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</si>
  <si>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</si>
  <si>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</si>
  <si>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</si>
  <si>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</si>
  <si>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</si>
  <si>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</si>
  <si>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</si>
  <si>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</si>
  <si>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</si>
  <si>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</si>
  <si>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</si>
  <si>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</si>
  <si>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</si>
  <si>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</si>
  <si>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</si>
  <si>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</si>
  <si>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</si>
  <si>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</si>
  <si>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</si>
  <si>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</si>
  <si>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</si>
  <si>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</si>
  <si>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</si>
  <si>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</si>
  <si>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</si>
  <si>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</si>
  <si>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</si>
  <si>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</si>
  <si>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</si>
  <si>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</si>
  <si>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</si>
  <si>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gacha_settle_tables_</t>
    <phoneticPr fontId="21"/>
  </si>
  <si>
    <t>ja</t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</si>
  <si>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</si>
  <si>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</si>
  <si>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</si>
  <si>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</si>
  <si>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</si>
  <si>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</si>
  <si>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</si>
  <si>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</si>
  <si>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</si>
  <si>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</si>
  <si>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</si>
  <si>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</si>
  <si>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</si>
  <si>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</si>
  <si>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</si>
  <si>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</si>
  <si>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</si>
  <si>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</si>
  <si>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</si>
  <si>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</si>
  <si>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</si>
  <si>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</si>
  <si>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</si>
  <si>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</si>
  <si>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</si>
  <si>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</si>
  <si>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unit</t>
    <phoneticPr fontId="21"/>
  </si>
  <si>
    <t>PremiumSSS4R3less</t>
    <phoneticPr fontId="21"/>
  </si>
  <si>
    <t>PremiumSSS5R3less</t>
    <phoneticPr fontId="21"/>
  </si>
  <si>
    <t>unit</t>
    <phoneticPr fontId="21"/>
  </si>
  <si>
    <t>秘術の果実x3</t>
    <phoneticPr fontId="21"/>
  </si>
  <si>
    <t>秘術の果実</t>
    <phoneticPr fontId="21"/>
  </si>
  <si>
    <t>400万DL突破記念ガチャ特典</t>
    <rPh sb="13" eb="15">
      <t>トクテン</t>
    </rPh>
    <phoneticPr fontId="21"/>
  </si>
  <si>
    <t>358104</t>
    <phoneticPr fontId="21"/>
  </si>
  <si>
    <t>3581041</t>
    <phoneticPr fontId="21"/>
  </si>
  <si>
    <t>3581051</t>
    <phoneticPr fontId="21"/>
  </si>
  <si>
    <t>STEP4特典として
秘術の果実1体をプレゼント！</t>
    <phoneticPr fontId="21"/>
  </si>
  <si>
    <t>STEP5特典として
秘術の果実3体をプレゼント！</t>
    <phoneticPr fontId="21"/>
  </si>
  <si>
    <t>358105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</si>
  <si>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</si>
  <si>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</si>
  <si>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</si>
  <si>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</si>
  <si>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</si>
  <si>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</si>
  <si>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</si>
  <si>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363100</t>
    <phoneticPr fontId="21"/>
  </si>
  <si>
    <t>tables_settle_364100</t>
    <phoneticPr fontId="21"/>
  </si>
  <si>
    <t>skip</t>
    <phoneticPr fontId="21"/>
  </si>
  <si>
    <t>tables_381100</t>
    <phoneticPr fontId="21"/>
  </si>
  <si>
    <t>tables_381010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</si>
</sst>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99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7" fillId="0" borderId="1" xfId="2978" applyFont="1" applyBorder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26" fillId="0" borderId="1" xfId="2" quotePrefix="1" applyFont="1" applyBorder="1" applyAlignment="1">
      <alignment vertical="center"/>
    </xf>
    <xf numFmtId="0" fontId="5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4" fillId="0" borderId="1" xfId="3036" applyFont="1" applyBorder="1"/>
    <xf numFmtId="0" fontId="3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  <xf numFmtId="0" fontId="27" fillId="25" borderId="1" xfId="0" applyFont="1" applyFill="1" applyBorder="1" applyAlignment="1">
      <alignment vertical="center"/>
    </xf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hp</v>
          </cell>
          <cell r="L884" t="str">
            <v>体力タイプ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Drop2N</v>
          </cell>
          <cell r="K885" t="str">
            <v>hp</v>
          </cell>
          <cell r="L885" t="str">
            <v>体力タイプ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hp</v>
          </cell>
          <cell r="L886" t="str">
            <v>体力タイプ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balance</v>
          </cell>
          <cell r="L887" t="str">
            <v>バランスタイプ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5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お掃除ver.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リヴァイ お掃除ver.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エレン・イェーガー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エレン・イェーガー（人間）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エレン・イェーガー（巨人）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ミカサ・アッカーマン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ミカサ・アッカーマン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エルヴィン・スミス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エルヴィン・スミス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ハンジ・ゾエ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ハンジ・ゾエ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アルミン・アルレルト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アルミン・アルレルト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サシャ・ブラウス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サシャ・ブラウス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クリスタ・レンズ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クリスタ・レンズ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ジャン・キルシュタイン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ジャン・キルシュタイン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215</v>
      </c>
      <c r="K40" s="84" t="s">
        <v>190</v>
      </c>
      <c r="M40" s="84" t="s">
        <v>240</v>
      </c>
    </row>
    <row r="41" spans="1:13" x14ac:dyDescent="0.15">
      <c r="J41" s="84" t="s">
        <v>216</v>
      </c>
      <c r="K41" s="84" t="s">
        <v>217</v>
      </c>
      <c r="M41" s="66" t="s">
        <v>185</v>
      </c>
    </row>
    <row r="42" spans="1:13" x14ac:dyDescent="0.15">
      <c r="J42" s="84" t="s">
        <v>218</v>
      </c>
      <c r="K42" s="84" t="s">
        <v>219</v>
      </c>
    </row>
    <row r="43" spans="1:13" x14ac:dyDescent="0.15">
      <c r="J43" s="84" t="s">
        <v>220</v>
      </c>
      <c r="K43" s="84" t="s">
        <v>221</v>
      </c>
    </row>
    <row r="44" spans="1:13" x14ac:dyDescent="0.15">
      <c r="J44" s="84" t="s">
        <v>222</v>
      </c>
      <c r="K44" s="84" t="s">
        <v>223</v>
      </c>
    </row>
    <row r="45" spans="1:13" x14ac:dyDescent="0.15">
      <c r="J45" s="84" t="s">
        <v>224</v>
      </c>
      <c r="K45" s="84" t="s">
        <v>225</v>
      </c>
    </row>
    <row r="46" spans="1:13" x14ac:dyDescent="0.15">
      <c r="J46" s="84" t="s">
        <v>226</v>
      </c>
      <c r="K46" s="84" t="s">
        <v>227</v>
      </c>
    </row>
    <row r="47" spans="1:13" x14ac:dyDescent="0.15">
      <c r="J47" s="84" t="s">
        <v>228</v>
      </c>
      <c r="K47" s="84" t="s">
        <v>232</v>
      </c>
    </row>
    <row r="48" spans="1:13" x14ac:dyDescent="0.15">
      <c r="J48" s="84" t="s">
        <v>229</v>
      </c>
      <c r="K48" s="84" t="s">
        <v>233</v>
      </c>
    </row>
    <row r="49" spans="10:11" x14ac:dyDescent="0.15">
      <c r="J49" s="84" t="s">
        <v>230</v>
      </c>
      <c r="K49" s="84" t="s">
        <v>234</v>
      </c>
    </row>
    <row r="50" spans="10:11" x14ac:dyDescent="0.15">
      <c r="J50" s="84" t="s">
        <v>231</v>
      </c>
      <c r="K50" s="84" t="s">
        <v>235</v>
      </c>
    </row>
    <row r="51" spans="10:11" x14ac:dyDescent="0.15">
      <c r="J51" s="84" t="s">
        <v>237</v>
      </c>
      <c r="K51" s="84" t="s">
        <v>236</v>
      </c>
    </row>
    <row r="52" spans="10:11" x14ac:dyDescent="0.15">
      <c r="J52" s="84" t="s">
        <v>238</v>
      </c>
      <c r="K52" s="84" t="s">
        <v>239</v>
      </c>
    </row>
    <row r="53" spans="10:11" x14ac:dyDescent="0.15">
      <c r="J53" s="84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E33" sqref="E3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260</v>
      </c>
      <c r="B2" s="61" t="s">
        <v>110</v>
      </c>
      <c r="C2" s="50" t="str">
        <f t="shared" ref="C2" si="0">RIGHT(F2,6)</f>
        <v>381100</v>
      </c>
      <c r="D2" s="19" t="s">
        <v>45</v>
      </c>
      <c r="E2" s="17" t="str">
        <f t="shared" ref="E2" si="1">B2&amp;C2&amp;D2</f>
        <v>gacha_select_tables_381100.tmp</v>
      </c>
      <c r="F2" s="97" t="s">
        <v>264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260</v>
      </c>
      <c r="B3" s="61" t="s">
        <v>110</v>
      </c>
      <c r="C3" s="50" t="str">
        <f t="shared" ref="C3:C7" si="2">RIGHT(F3,6)</f>
        <v>381010</v>
      </c>
      <c r="D3" s="19" t="s">
        <v>45</v>
      </c>
      <c r="E3" s="17" t="str">
        <f t="shared" ref="E3:E10" si="3">B3&amp;C3&amp;D3</f>
        <v>gacha_select_tables_381010.tmp</v>
      </c>
      <c r="F3" s="97" t="s">
        <v>265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263</v>
      </c>
      <c r="B4" s="77" t="s">
        <v>213</v>
      </c>
      <c r="C4" s="50" t="str">
        <f t="shared" si="2"/>
        <v>364100</v>
      </c>
      <c r="D4" s="19" t="s">
        <v>45</v>
      </c>
      <c r="E4" s="17" t="str">
        <f t="shared" ref="E4:E7" si="4">B4&amp;C4&amp;D4</f>
        <v>gacha_settle_tables_364100.tmp</v>
      </c>
      <c r="F4" s="95" t="s">
        <v>262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9" t="s">
        <v>254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92" t="s">
        <v>257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9" t="s">
        <v>254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2" t="s">
        <v>258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9" t="s">
        <v>254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2" t="s">
        <v>259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254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9" t="s">
        <v>254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9" t="s">
        <v>254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C29" sqref="C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381010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320</v>
      </c>
      <c r="M3" s="37" t="str">
        <f>VLOOKUP(L3,[1]characters!$A:$C,3,FALSE)</f>
        <v>烈志士 近藤勇</v>
      </c>
      <c r="N3" s="63">
        <v>5.0000000000000001E-3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VLOOKUP(L3,tables_381010!B:C,2,FALSE)</f>
        <v>PremiumSS4</v>
      </c>
      <c r="R3" s="62">
        <f t="shared" ref="R3:R20" si="1">N3*A$36</f>
        <v>34400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321</v>
      </c>
      <c r="M4" s="37" t="str">
        <f>VLOOKUP(L4,[1]characters!$A:$C,3,FALSE)</f>
        <v>巌鉄の烈志士 近藤勇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VLOOKUP(L4,tables_381010!B:C,2,FALSE)</f>
        <v>PremiumSS5</v>
      </c>
      <c r="R4" s="62">
        <f t="shared" si="1"/>
        <v>68800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5.0000000000000012E-4</v>
      </c>
      <c r="F5">
        <f>(COUNTIF(tables_381010!C:C,input_381010!A28)+COUNTIF(tables_381010!C:C,input_381010!A29))</f>
        <v>42</v>
      </c>
      <c r="H5" s="85">
        <v>0.03</v>
      </c>
      <c r="I5" s="31">
        <v>2</v>
      </c>
      <c r="L5" s="98">
        <v>465</v>
      </c>
      <c r="M5" s="37" t="str">
        <f>VLOOKUP(L5,[1]characters!$A:$C,3,FALSE)</f>
        <v>真撃 ランスロット</v>
      </c>
      <c r="N5" s="63">
        <v>5.0000000000000001E-3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VLOOKUP(L5,tables_381010!B:C,2,FALSE)</f>
        <v>PremiumSS4</v>
      </c>
      <c r="R5" s="62">
        <f t="shared" si="1"/>
        <v>34400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1.1046511627906977E-2</v>
      </c>
      <c r="F6">
        <f>(COUNTIF(tables_381010!C:C,input_381010!A25)+COUNTIF(tables_381010!C:C,input_381010!A18)+COUNTIF(tables_381010!C:C,input_381010!A20)+COUNTIF(tables_381010!C:C,input_381010!A22))</f>
        <v>86</v>
      </c>
      <c r="H6" s="91">
        <v>0</v>
      </c>
      <c r="I6" s="31">
        <v>0</v>
      </c>
      <c r="L6" s="60">
        <v>466</v>
      </c>
      <c r="M6" s="37" t="str">
        <f>VLOOKUP(L6,[1]characters!$A:$C,3,FALSE)</f>
        <v>真断の勇覇 ランスロット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VLOOKUP(L6,tables_381010!B:C,2,FALSE)</f>
        <v>PremiumSS5</v>
      </c>
      <c r="R6" s="62">
        <f t="shared" si="1"/>
        <v>68800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VLOOKUP(L7,tables_381010!B:C,2,FALSE)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VLOOKUP(L8,tables_381010!B:C,2,FALSE)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90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VLOOKUP(L9,tables_381010!B:C,2,FALSE)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90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VLOOKUP(L10,tables_381010!B:C,2,FALSE)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256</v>
      </c>
      <c r="L11" s="90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VLOOKUP(L11,tables_381010!B:C,2,FALSE)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VLOOKUP(L12,tables_381010!B:C,2,FALSE)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0.01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VLOOKUP(L13,tables_381010!B:C,2,FALSE)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VLOOKUP(L14,tables_381010!B:C,2,FALSE)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0.19069767441860466</v>
      </c>
      <c r="C17" s="86">
        <f t="shared" ref="C17:C31" si="2">SUMIF(Q:Q,A17,N:N)</f>
        <v>0</v>
      </c>
      <c r="D17" s="74">
        <f t="shared" ref="D17:D32" si="3">B17-C17</f>
        <v>0.19069767441860466</v>
      </c>
      <c r="E17">
        <f>COUNTIF(tables_381010!C:C,input_381010!A17)-COUNTIF(Q:Q,A17)</f>
        <v>20</v>
      </c>
      <c r="F17" s="43">
        <f>IFERROR(B17/E17,0)</f>
        <v>9.5348837209302331E-3</v>
      </c>
      <c r="G17">
        <f t="shared" ref="G17:G31" si="4">A$36*B17</f>
        <v>1312000</v>
      </c>
      <c r="H17">
        <f t="shared" ref="H17:H31" si="5">IFERROR(ROUND(G17/E17,5),0)</f>
        <v>65600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3.0232558139534876E-2</v>
      </c>
      <c r="C18" s="86">
        <f t="shared" si="2"/>
        <v>0</v>
      </c>
      <c r="D18" s="74">
        <f t="shared" si="3"/>
        <v>3.0232558139534876E-2</v>
      </c>
      <c r="E18">
        <f>COUNTIF(tables_381010!C:C,input_381010!A18)-COUNTIF(Q:Q,A18)</f>
        <v>20</v>
      </c>
      <c r="F18" s="43">
        <f>IFERROR(B18/E18,0)</f>
        <v>1.5116279069767439E-3</v>
      </c>
      <c r="G18">
        <f t="shared" si="4"/>
        <v>207999.99999999994</v>
      </c>
      <c r="H18">
        <f t="shared" si="5"/>
        <v>10400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0.28720930232558139</v>
      </c>
      <c r="C19" s="86">
        <f t="shared" si="2"/>
        <v>0</v>
      </c>
      <c r="D19" s="74">
        <f t="shared" si="3"/>
        <v>0.28720930232558139</v>
      </c>
      <c r="E19">
        <f>COUNTIF(tables_381010!C:C,input_381010!A19)-COUNTIF(Q:Q,A19)</f>
        <v>52</v>
      </c>
      <c r="F19" s="43">
        <f t="shared" ref="F19:F31" si="8">IFERROR(B19/E19,0)</f>
        <v>5.5232558139534883E-3</v>
      </c>
      <c r="G19">
        <f t="shared" si="4"/>
        <v>1976000</v>
      </c>
      <c r="H19">
        <f t="shared" si="5"/>
        <v>38000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0.25848837209302328</v>
      </c>
      <c r="C20" s="86">
        <f t="shared" si="2"/>
        <v>0</v>
      </c>
      <c r="D20" s="74">
        <f t="shared" si="3"/>
        <v>0.25848837209302328</v>
      </c>
      <c r="E20">
        <f>COUNTIF(tables_381010!C:C,input_381010!A20)-COUNTIF(Q:Q,A20)</f>
        <v>52</v>
      </c>
      <c r="F20" s="43">
        <f t="shared" si="8"/>
        <v>4.9709302325581396E-3</v>
      </c>
      <c r="G20">
        <f t="shared" si="4"/>
        <v>1778400.0000000002</v>
      </c>
      <c r="H20">
        <f t="shared" si="5"/>
        <v>34200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2.8720930232558142E-2</v>
      </c>
      <c r="C21" s="86">
        <f t="shared" si="2"/>
        <v>0</v>
      </c>
      <c r="D21" s="74">
        <f t="shared" si="3"/>
        <v>2.8720930232558142E-2</v>
      </c>
      <c r="E21">
        <f>COUNTIF(tables_381010!C:C,input_381010!A21)-COUNTIF(Q:Q,A21)</f>
        <v>52</v>
      </c>
      <c r="F21" s="43">
        <f t="shared" si="8"/>
        <v>5.5232558139534885E-4</v>
      </c>
      <c r="G21">
        <f t="shared" si="4"/>
        <v>197600</v>
      </c>
      <c r="H21">
        <f t="shared" si="5"/>
        <v>3800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9.9045348837209307E-2</v>
      </c>
      <c r="C22" s="86">
        <f t="shared" si="2"/>
        <v>0</v>
      </c>
      <c r="D22" s="74">
        <f t="shared" si="3"/>
        <v>9.9045348837209307E-2</v>
      </c>
      <c r="E22">
        <f>COUNTIF(tables_381010!C:C,input_381010!A22)-COUNTIF(Q:Q,A22)</f>
        <v>10</v>
      </c>
      <c r="F22" s="43">
        <f t="shared" si="8"/>
        <v>9.9045348837209311E-3</v>
      </c>
      <c r="G22">
        <f t="shared" si="4"/>
        <v>681432</v>
      </c>
      <c r="H22">
        <f t="shared" si="5"/>
        <v>68143.199999999997</v>
      </c>
      <c r="I22">
        <f t="shared" si="6"/>
        <v>0.19999999999708962</v>
      </c>
      <c r="J22">
        <f t="shared" si="7"/>
        <v>5.0000000000727596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1.1419767441860466E-2</v>
      </c>
      <c r="C23" s="86">
        <f t="shared" si="2"/>
        <v>0</v>
      </c>
      <c r="D23" s="74">
        <f t="shared" si="3"/>
        <v>1.1419767441860466E-2</v>
      </c>
      <c r="E23">
        <f>COUNTIF(tables_381010!C:C,input_381010!A23)-COUNTIF(Q:Q,A23)</f>
        <v>10</v>
      </c>
      <c r="F23" s="43">
        <f t="shared" si="8"/>
        <v>1.1419767441860466E-3</v>
      </c>
      <c r="G23">
        <f t="shared" si="4"/>
        <v>78568</v>
      </c>
      <c r="H23">
        <f t="shared" si="5"/>
        <v>7856.8</v>
      </c>
      <c r="I23">
        <f t="shared" si="6"/>
        <v>0.8000000000001819</v>
      </c>
      <c r="J23">
        <f t="shared" si="7"/>
        <v>1.2499999999997158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2.2093023255813953E-2</v>
      </c>
      <c r="C24" s="86">
        <f t="shared" si="2"/>
        <v>0</v>
      </c>
      <c r="D24" s="74">
        <f t="shared" si="3"/>
        <v>2.2093023255813953E-2</v>
      </c>
      <c r="E24">
        <f>COUNTIF(tables_381010!C:C,input_381010!A24)-COUNTIF(Q:Q,A24)</f>
        <v>4</v>
      </c>
      <c r="F24" s="43">
        <f t="shared" si="8"/>
        <v>5.5232558139534883E-3</v>
      </c>
      <c r="G24">
        <f t="shared" si="4"/>
        <v>152000</v>
      </c>
      <c r="H24">
        <f t="shared" si="5"/>
        <v>38000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1.9883720930232558E-2</v>
      </c>
      <c r="C25" s="86">
        <f t="shared" si="2"/>
        <v>0</v>
      </c>
      <c r="D25" s="74">
        <f t="shared" si="3"/>
        <v>1.9883720930232558E-2</v>
      </c>
      <c r="E25">
        <f>COUNTIF(tables_381010!C:C,input_381010!A25)-COUNTIF(Q:Q,A25)</f>
        <v>4</v>
      </c>
      <c r="F25" s="43">
        <f t="shared" si="8"/>
        <v>4.9709302325581396E-3</v>
      </c>
      <c r="G25">
        <f t="shared" si="4"/>
        <v>136800</v>
      </c>
      <c r="H25">
        <f t="shared" si="5"/>
        <v>34200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2.2093023255813954E-3</v>
      </c>
      <c r="C26" s="86">
        <f t="shared" si="2"/>
        <v>0</v>
      </c>
      <c r="D26" s="74">
        <f t="shared" si="3"/>
        <v>2.2093023255813954E-3</v>
      </c>
      <c r="E26">
        <f>COUNTIF(tables_381010!C:C,input_381010!A26)-COUNTIF(Q:Q,A26)</f>
        <v>4</v>
      </c>
      <c r="F26" s="43">
        <f t="shared" si="8"/>
        <v>5.5232558139534885E-4</v>
      </c>
      <c r="G26">
        <f t="shared" si="4"/>
        <v>15200</v>
      </c>
      <c r="H26">
        <f t="shared" si="5"/>
        <v>3800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1.2350000000000002E-2</v>
      </c>
      <c r="C27" s="86">
        <f t="shared" si="2"/>
        <v>0.01</v>
      </c>
      <c r="D27" s="74">
        <f t="shared" si="3"/>
        <v>2.3500000000000014E-3</v>
      </c>
      <c r="E27">
        <f>COUNTIF(tables_381010!C:C,input_381010!A27)-COUNTIF(Q:Q,A27)</f>
        <v>26</v>
      </c>
      <c r="F27" s="43">
        <f>IFERROR(B27/E27,0)</f>
        <v>4.7500000000000005E-4</v>
      </c>
      <c r="G27">
        <f t="shared" si="4"/>
        <v>84968.000000000015</v>
      </c>
      <c r="H27">
        <f t="shared" si="5"/>
        <v>3268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6.5000000000000019E-4</v>
      </c>
      <c r="C28" s="86">
        <f t="shared" si="2"/>
        <v>0.02</v>
      </c>
      <c r="D28" s="74">
        <f t="shared" si="3"/>
        <v>-1.9349999999999999E-2</v>
      </c>
      <c r="E28">
        <f>COUNTIF(tables_381010!C:C,input_381010!A28)-COUNTIF(Q:Q,A28)</f>
        <v>26</v>
      </c>
      <c r="F28" s="43">
        <f t="shared" si="8"/>
        <v>2.5000000000000008E-5</v>
      </c>
      <c r="G28">
        <f t="shared" si="4"/>
        <v>4472.0000000000009</v>
      </c>
      <c r="H28">
        <f t="shared" si="5"/>
        <v>172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7.0000000000000019E-3</v>
      </c>
      <c r="C29" s="86">
        <f t="shared" si="2"/>
        <v>0</v>
      </c>
      <c r="D29" s="74">
        <f t="shared" si="3"/>
        <v>7.0000000000000019E-3</v>
      </c>
      <c r="E29">
        <f>COUNTIF(tables_381010!C:C,input_381010!A29)-COUNTIF(Q:Q,A29)</f>
        <v>14</v>
      </c>
      <c r="F29" s="43">
        <f t="shared" si="8"/>
        <v>5.0000000000000012E-4</v>
      </c>
      <c r="G29">
        <f t="shared" si="4"/>
        <v>48160.000000000015</v>
      </c>
      <c r="H29">
        <f t="shared" si="5"/>
        <v>3440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COUNTIF(tables_381010!C:C,input_381010!A30)-COUNTIF(Q:Q,A30)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COUNTIF(tables_381010!C:C,input_381010!A31)-COUNTIF(Q:Q,A31)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0.9700000000000002</v>
      </c>
      <c r="C32" s="41">
        <f>SUM(C19:C31)</f>
        <v>0.03</v>
      </c>
      <c r="D32" s="42">
        <f t="shared" si="3"/>
        <v>0.94000000000000017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6880000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SUMIF(tables_381010!C:C,input_381010!A40,tables_381010!O:O)</f>
        <v>1976000</v>
      </c>
      <c r="C40" s="54">
        <f t="shared" ref="C40:C46" ca="1" si="9">B40/B$47</f>
        <v>0.46517759614298088</v>
      </c>
      <c r="E40">
        <v>3</v>
      </c>
      <c r="F40">
        <f ca="1">SUMIF(tables_381010!J:J,input_381010!E40,tables_381010!O:O)</f>
        <v>3440000</v>
      </c>
      <c r="G40">
        <f ca="1">F40/A36</f>
        <v>0.5</v>
      </c>
    </row>
    <row r="41" spans="1:7" x14ac:dyDescent="0.15">
      <c r="A41" s="33" t="s">
        <v>104</v>
      </c>
      <c r="B41">
        <f ca="1">SUMIF(tables_381010!C:C,input_381010!A41,tables_381010!O:O)</f>
        <v>1778400</v>
      </c>
      <c r="C41" s="54">
        <f t="shared" ca="1" si="9"/>
        <v>0.41865983652868283</v>
      </c>
      <c r="E41">
        <v>4</v>
      </c>
      <c r="F41">
        <f ca="1">SUMIF(tables_381010!J:J,input_381010!E41,tables_381010!O:O)</f>
        <v>2958400.0000000019</v>
      </c>
      <c r="G41">
        <f ca="1">F41/A36</f>
        <v>0.43000000000000027</v>
      </c>
    </row>
    <row r="42" spans="1:7" x14ac:dyDescent="0.15">
      <c r="A42" s="33" t="s">
        <v>106</v>
      </c>
      <c r="B42">
        <f ca="1">SUMIF(tables_381010!C:C,input_381010!A42,tables_381010!O:O)</f>
        <v>153768</v>
      </c>
      <c r="C42" s="54">
        <f t="shared" ca="1" si="9"/>
        <v>3.619910354438962E-2</v>
      </c>
      <c r="E42">
        <v>5</v>
      </c>
      <c r="F42">
        <f ca="1">SUMIF(tables_381010!J:J,input_381010!E42,tables_381010!O:O)</f>
        <v>481599.99999999988</v>
      </c>
      <c r="G42">
        <f ca="1">F42/A36</f>
        <v>6.9999999999999979E-2</v>
      </c>
    </row>
    <row r="43" spans="1:7" x14ac:dyDescent="0.15">
      <c r="A43" s="33" t="s">
        <v>109</v>
      </c>
      <c r="B43">
        <f>SUMIF(tables_381010!C:C,input_381010!A43,tables_381010!O:O)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SUMIF(tables_381010!C:C,input_381010!A44,tables_381010!O:O)</f>
        <v>197600</v>
      </c>
      <c r="C44" s="54">
        <f t="shared" ca="1" si="9"/>
        <v>4.651775961429809E-2</v>
      </c>
      <c r="E44" t="s">
        <v>54</v>
      </c>
      <c r="F44" s="55"/>
    </row>
    <row r="45" spans="1:7" x14ac:dyDescent="0.15">
      <c r="A45" s="33" t="s">
        <v>107</v>
      </c>
      <c r="B45">
        <f ca="1">SUMIF(tables_381010!C:C,input_381010!A45,tables_381010!O:O)</f>
        <v>142072</v>
      </c>
      <c r="C45" s="54">
        <f t="shared" ca="1" si="9"/>
        <v>3.3445704169648573E-2</v>
      </c>
      <c r="E45" t="s">
        <v>204</v>
      </c>
      <c r="F45" s="55">
        <f ca="1">SUMIF(tables_381010!I:I,input_381010!E45,tables_381010!P:P)</f>
        <v>0.22093023255813943</v>
      </c>
    </row>
    <row r="46" spans="1:7" x14ac:dyDescent="0.15">
      <c r="A46" s="33" t="s">
        <v>108</v>
      </c>
      <c r="B46">
        <f>SUMIF(tables_381010!C:C,input_381010!A46,tables_381010!O:O)</f>
        <v>0</v>
      </c>
      <c r="C46" s="54">
        <f t="shared" ca="1" si="9"/>
        <v>0</v>
      </c>
      <c r="E46" t="s">
        <v>205</v>
      </c>
      <c r="F46" s="55">
        <f ca="1">SUMIF(tables_381010!I:I,input_381010!E46,tables_381010!P:P)</f>
        <v>0.22093023255813965</v>
      </c>
    </row>
    <row r="47" spans="1:7" x14ac:dyDescent="0.15">
      <c r="A47" s="39" t="s">
        <v>59</v>
      </c>
      <c r="B47">
        <f ca="1">SUM(B40:B46)</f>
        <v>4247840</v>
      </c>
      <c r="C47" s="55">
        <f ca="1">SUM(C40:C46)</f>
        <v>0.99999999999999989</v>
      </c>
      <c r="E47" t="s">
        <v>206</v>
      </c>
      <c r="F47" s="55">
        <f ca="1">SUMIF(tables_381010!I:I,input_381010!E47,tables_381010!P:P)</f>
        <v>0.50813953488372055</v>
      </c>
    </row>
    <row r="48" spans="1:7" x14ac:dyDescent="0.15">
      <c r="E48" t="s">
        <v>207</v>
      </c>
      <c r="F48" s="55">
        <f ca="1">SUMIF(tables_381010!I:I,input_381010!E48,tables_381010!P:P)</f>
        <v>5.0000000000000017E-2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9"/>
  <sheetViews>
    <sheetView showGridLines="0" zoomScale="75" zoomScaleNormal="75" zoomScalePageLayoutView="75" workbookViewId="0">
      <pane ySplit="1" topLeftCell="A279" activePane="bottomLeft" state="frozen"/>
      <selection activeCell="H276" sqref="H276"/>
      <selection pane="bottomLeft" activeCell="B295" sqref="B295:B29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input_381010!A$2</f>
        <v>381010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IFERROR(VLOOKUP(B2,input_381010!L:R,7,FALSE),VLOOKUP(tables_381010!C2,input_381010!A:H,8,FALSE))</f>
        <v>65600</v>
      </c>
      <c r="P2" s="46">
        <f t="shared" ref="P2:P65" ca="1" si="2">O2/SUM(O:O)</f>
        <v>9.5348837209302331E-3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input_381010!A$2</f>
        <v>381010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IFERROR(VLOOKUP(B3,input_381010!L:R,7,FALSE),VLOOKUP(tables_381010!C3,input_381010!A:H,8,FALSE))</f>
        <v>10400</v>
      </c>
      <c r="P3" s="46">
        <f t="shared" ca="1" si="2"/>
        <v>1.5116279069767441E-3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input_381010!A$2</f>
        <v>381010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IFERROR(VLOOKUP(B4,input_381010!L:R,7,FALSE),VLOOKUP(tables_381010!C4,input_381010!A:H,8,FALSE))</f>
        <v>65600</v>
      </c>
      <c r="P4" s="46">
        <f t="shared" ca="1" si="2"/>
        <v>9.5348837209302331E-3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input_381010!A$2</f>
        <v>381010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IFERROR(VLOOKUP(B5,input_381010!L:R,7,FALSE),VLOOKUP(tables_381010!C5,input_381010!A:H,8,FALSE))</f>
        <v>10400</v>
      </c>
      <c r="P5" s="46">
        <f t="shared" ca="1" si="2"/>
        <v>1.5116279069767441E-3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input_381010!A$2</f>
        <v>381010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IFERROR(VLOOKUP(B6,input_381010!L:R,7,FALSE),VLOOKUP(tables_381010!C6,input_381010!A:H,8,FALSE))</f>
        <v>65600</v>
      </c>
      <c r="P6" s="46">
        <f t="shared" ca="1" si="2"/>
        <v>9.5348837209302331E-3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input_381010!A$2</f>
        <v>381010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IFERROR(VLOOKUP(B7,input_381010!L:R,7,FALSE),VLOOKUP(tables_381010!C7,input_381010!A:H,8,FALSE))</f>
        <v>10400</v>
      </c>
      <c r="P7" s="46">
        <f t="shared" ca="1" si="2"/>
        <v>1.5116279069767441E-3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input_381010!A$2</f>
        <v>381010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IFERROR(VLOOKUP(B8,input_381010!L:R,7,FALSE),VLOOKUP(tables_381010!C8,input_381010!A:H,8,FALSE))</f>
        <v>65600</v>
      </c>
      <c r="P8" s="46">
        <f t="shared" ca="1" si="2"/>
        <v>9.5348837209302331E-3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input_381010!A$2</f>
        <v>381010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IFERROR(VLOOKUP(B9,input_381010!L:R,7,FALSE),VLOOKUP(tables_381010!C9,input_381010!A:H,8,FALSE))</f>
        <v>10400</v>
      </c>
      <c r="P9" s="46">
        <f t="shared" ca="1" si="2"/>
        <v>1.5116279069767441E-3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input_381010!A$2</f>
        <v>381010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IFERROR(VLOOKUP(B10,input_381010!L:R,7,FALSE),VLOOKUP(tables_381010!C10,input_381010!A:H,8,FALSE))</f>
        <v>65600</v>
      </c>
      <c r="P10" s="46">
        <f t="shared" ca="1" si="2"/>
        <v>9.5348837209302331E-3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input_381010!A$2</f>
        <v>381010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IFERROR(VLOOKUP(B11,input_381010!L:R,7,FALSE),VLOOKUP(tables_381010!C11,input_381010!A:H,8,FALSE))</f>
        <v>10400</v>
      </c>
      <c r="P11" s="46">
        <f t="shared" ca="1" si="2"/>
        <v>1.5116279069767441E-3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input_381010!A$2</f>
        <v>381010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IFERROR(VLOOKUP(B12,input_381010!L:R,7,FALSE),VLOOKUP(tables_381010!C12,input_381010!A:H,8,FALSE))</f>
        <v>65600</v>
      </c>
      <c r="P12" s="46">
        <f t="shared" ca="1" si="2"/>
        <v>9.5348837209302331E-3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input_381010!A$2</f>
        <v>381010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IFERROR(VLOOKUP(B13,input_381010!L:R,7,FALSE),VLOOKUP(tables_381010!C13,input_381010!A:H,8,FALSE))</f>
        <v>10400</v>
      </c>
      <c r="P13" s="46">
        <f t="shared" ca="1" si="2"/>
        <v>1.5116279069767441E-3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input_381010!A$2</f>
        <v>381010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IFERROR(VLOOKUP(B14,input_381010!L:R,7,FALSE),VLOOKUP(tables_381010!C14,input_381010!A:H,8,FALSE))</f>
        <v>65600</v>
      </c>
      <c r="P14" s="46">
        <f t="shared" ca="1" si="2"/>
        <v>9.5348837209302331E-3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input_381010!A$2</f>
        <v>381010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IFERROR(VLOOKUP(B15,input_381010!L:R,7,FALSE),VLOOKUP(tables_381010!C15,input_381010!A:H,8,FALSE))</f>
        <v>10400</v>
      </c>
      <c r="P15" s="46">
        <f t="shared" ca="1" si="2"/>
        <v>1.5116279069767441E-3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input_381010!A$2</f>
        <v>381010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IFERROR(VLOOKUP(B16,input_381010!L:R,7,FALSE),VLOOKUP(tables_381010!C16,input_381010!A:H,8,FALSE))</f>
        <v>65600</v>
      </c>
      <c r="P16" s="46">
        <f t="shared" ca="1" si="2"/>
        <v>9.5348837209302331E-3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input_381010!A$2</f>
        <v>381010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IFERROR(VLOOKUP(B17,input_381010!L:R,7,FALSE),VLOOKUP(tables_381010!C17,input_381010!A:H,8,FALSE))</f>
        <v>10400</v>
      </c>
      <c r="P17" s="46">
        <f t="shared" ca="1" si="2"/>
        <v>1.5116279069767441E-3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input_381010!A$2</f>
        <v>381010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IFERROR(VLOOKUP(B18,input_381010!L:R,7,FALSE),VLOOKUP(tables_381010!C18,input_381010!A:H,8,FALSE))</f>
        <v>65600</v>
      </c>
      <c r="P18" s="46">
        <f t="shared" ca="1" si="2"/>
        <v>9.5348837209302331E-3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input_381010!A$2</f>
        <v>381010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IFERROR(VLOOKUP(B19,input_381010!L:R,7,FALSE),VLOOKUP(tables_381010!C19,input_381010!A:H,8,FALSE))</f>
        <v>10400</v>
      </c>
      <c r="P19" s="46">
        <f t="shared" ca="1" si="2"/>
        <v>1.5116279069767441E-3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input_381010!A$2</f>
        <v>381010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IFERROR(VLOOKUP(B20,input_381010!L:R,7,FALSE),VLOOKUP(tables_381010!C20,input_381010!A:H,8,FALSE))</f>
        <v>65600</v>
      </c>
      <c r="P20" s="46">
        <f t="shared" ca="1" si="2"/>
        <v>9.5348837209302331E-3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input_381010!A$2</f>
        <v>381010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IFERROR(VLOOKUP(B21,input_381010!L:R,7,FALSE),VLOOKUP(tables_381010!C21,input_381010!A:H,8,FALSE))</f>
        <v>10400</v>
      </c>
      <c r="P21" s="46">
        <f t="shared" ca="1" si="2"/>
        <v>1.5116279069767441E-3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input_381010!A$2</f>
        <v>381010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IFERROR(VLOOKUP(B22,input_381010!L:R,7,FALSE),VLOOKUP(tables_381010!C22,input_381010!A:H,8,FALSE))</f>
        <v>65600</v>
      </c>
      <c r="P22" s="46">
        <f t="shared" ca="1" si="2"/>
        <v>9.5348837209302331E-3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input_381010!A$2</f>
        <v>381010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IFERROR(VLOOKUP(B23,input_381010!L:R,7,FALSE),VLOOKUP(tables_381010!C23,input_381010!A:H,8,FALSE))</f>
        <v>10400</v>
      </c>
      <c r="P23" s="46">
        <f t="shared" ca="1" si="2"/>
        <v>1.5116279069767441E-3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input_381010!A$2</f>
        <v>381010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IFERROR(VLOOKUP(B24,input_381010!L:R,7,FALSE),VLOOKUP(tables_381010!C24,input_381010!A:H,8,FALSE))</f>
        <v>65600</v>
      </c>
      <c r="P24" s="46">
        <f t="shared" ca="1" si="2"/>
        <v>9.5348837209302331E-3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input_381010!A$2</f>
        <v>381010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IFERROR(VLOOKUP(B25,input_381010!L:R,7,FALSE),VLOOKUP(tables_381010!C25,input_381010!A:H,8,FALSE))</f>
        <v>10400</v>
      </c>
      <c r="P25" s="46">
        <f t="shared" ca="1" si="2"/>
        <v>1.5116279069767441E-3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input_381010!A$2</f>
        <v>381010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IFERROR(VLOOKUP(B26,input_381010!L:R,7,FALSE),VLOOKUP(tables_381010!C26,input_381010!A:H,8,FALSE))</f>
        <v>65600</v>
      </c>
      <c r="P26" s="46">
        <f t="shared" ca="1" si="2"/>
        <v>9.5348837209302331E-3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input_381010!A$2</f>
        <v>381010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IFERROR(VLOOKUP(B27,input_381010!L:R,7,FALSE),VLOOKUP(tables_381010!C27,input_381010!A:H,8,FALSE))</f>
        <v>10400</v>
      </c>
      <c r="P27" s="46">
        <f t="shared" ca="1" si="2"/>
        <v>1.5116279069767441E-3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input_381010!A$2</f>
        <v>381010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IFERROR(VLOOKUP(B28,input_381010!L:R,7,FALSE),VLOOKUP(tables_381010!C28,input_381010!A:H,8,FALSE))</f>
        <v>65600</v>
      </c>
      <c r="P28" s="46">
        <f t="shared" ca="1" si="2"/>
        <v>9.5348837209302331E-3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input_381010!A$2</f>
        <v>381010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IFERROR(VLOOKUP(B29,input_381010!L:R,7,FALSE),VLOOKUP(tables_381010!C29,input_381010!A:H,8,FALSE))</f>
        <v>10400</v>
      </c>
      <c r="P29" s="46">
        <f t="shared" ca="1" si="2"/>
        <v>1.5116279069767441E-3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input_381010!A$2</f>
        <v>381010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IFERROR(VLOOKUP(B30,input_381010!L:R,7,FALSE),VLOOKUP(tables_381010!C30,input_381010!A:H,8,FALSE))</f>
        <v>65600</v>
      </c>
      <c r="P30" s="46">
        <f t="shared" ca="1" si="2"/>
        <v>9.5348837209302331E-3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input_381010!A$2</f>
        <v>381010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IFERROR(VLOOKUP(B31,input_381010!L:R,7,FALSE),VLOOKUP(tables_381010!C31,input_381010!A:H,8,FALSE))</f>
        <v>10400</v>
      </c>
      <c r="P31" s="46">
        <f t="shared" ca="1" si="2"/>
        <v>1.5116279069767441E-3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input_381010!A$2</f>
        <v>381010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IFERROR(VLOOKUP(B32,input_381010!L:R,7,FALSE),VLOOKUP(tables_381010!C32,input_381010!A:H,8,FALSE))</f>
        <v>65600</v>
      </c>
      <c r="P32" s="46">
        <f t="shared" ca="1" si="2"/>
        <v>9.5348837209302331E-3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input_381010!A$2</f>
        <v>381010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IFERROR(VLOOKUP(B33,input_381010!L:R,7,FALSE),VLOOKUP(tables_381010!C33,input_381010!A:H,8,FALSE))</f>
        <v>10400</v>
      </c>
      <c r="P33" s="46">
        <f t="shared" ca="1" si="2"/>
        <v>1.5116279069767441E-3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input_381010!A$2</f>
        <v>381010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IFERROR(VLOOKUP(B34,input_381010!L:R,7,FALSE),VLOOKUP(tables_381010!C34,input_381010!A:H,8,FALSE))</f>
        <v>65600</v>
      </c>
      <c r="P34" s="46">
        <f t="shared" ca="1" si="2"/>
        <v>9.5348837209302331E-3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input_381010!A$2</f>
        <v>381010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IFERROR(VLOOKUP(B35,input_381010!L:R,7,FALSE),VLOOKUP(tables_381010!C35,input_381010!A:H,8,FALSE))</f>
        <v>10400</v>
      </c>
      <c r="P35" s="46">
        <f t="shared" ca="1" si="2"/>
        <v>1.5116279069767441E-3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input_381010!A$2</f>
        <v>381010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IFERROR(VLOOKUP(B36,input_381010!L:R,7,FALSE),VLOOKUP(tables_381010!C36,input_381010!A:H,8,FALSE))</f>
        <v>65600</v>
      </c>
      <c r="P36" s="46">
        <f t="shared" ca="1" si="2"/>
        <v>9.5348837209302331E-3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input_381010!A$2</f>
        <v>381010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IFERROR(VLOOKUP(B37,input_381010!L:R,7,FALSE),VLOOKUP(tables_381010!C37,input_381010!A:H,8,FALSE))</f>
        <v>10400</v>
      </c>
      <c r="P37" s="46">
        <f t="shared" ca="1" si="2"/>
        <v>1.5116279069767441E-3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input_381010!A$2</f>
        <v>381010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IFERROR(VLOOKUP(B38,input_381010!L:R,7,FALSE),VLOOKUP(tables_381010!C38,input_381010!A:H,8,FALSE))</f>
        <v>65600</v>
      </c>
      <c r="P38" s="46">
        <f t="shared" ca="1" si="2"/>
        <v>9.5348837209302331E-3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input_381010!A$2</f>
        <v>381010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IFERROR(VLOOKUP(B39,input_381010!L:R,7,FALSE),VLOOKUP(tables_381010!C39,input_381010!A:H,8,FALSE))</f>
        <v>10400</v>
      </c>
      <c r="P39" s="46">
        <f t="shared" ca="1" si="2"/>
        <v>1.5116279069767441E-3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input_381010!A$2</f>
        <v>381010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IFERROR(VLOOKUP(B40,input_381010!L:R,7,FALSE),VLOOKUP(tables_381010!C40,input_381010!A:H,8,FALSE))</f>
        <v>65600</v>
      </c>
      <c r="P40" s="46">
        <f t="shared" ca="1" si="2"/>
        <v>9.5348837209302331E-3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input_381010!A$2</f>
        <v>381010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IFERROR(VLOOKUP(B41,input_381010!L:R,7,FALSE),VLOOKUP(tables_381010!C41,input_381010!A:H,8,FALSE))</f>
        <v>10400</v>
      </c>
      <c r="P41" s="46">
        <f t="shared" ca="1" si="2"/>
        <v>1.5116279069767441E-3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input_381010!A$2</f>
        <v>381010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IFERROR(VLOOKUP(B42,input_381010!L:R,7,FALSE),VLOOKUP(tables_381010!C42,input_381010!A:H,8,FALSE))</f>
        <v>38000</v>
      </c>
      <c r="P42" s="46">
        <f t="shared" ca="1" si="2"/>
        <v>5.5232558139534883E-3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input_381010!A$2</f>
        <v>381010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IFERROR(VLOOKUP(B43,input_381010!L:R,7,FALSE),VLOOKUP(tables_381010!C43,input_381010!A:H,8,FALSE))</f>
        <v>34200</v>
      </c>
      <c r="P43" s="46">
        <f t="shared" ca="1" si="2"/>
        <v>4.9709302325581396E-3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input_381010!A$2</f>
        <v>381010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IFERROR(VLOOKUP(B44,input_381010!L:R,7,FALSE),VLOOKUP(tables_381010!C44,input_381010!A:H,8,FALSE))</f>
        <v>3800</v>
      </c>
      <c r="P44" s="46">
        <f t="shared" ca="1" si="2"/>
        <v>5.5232558139534885E-4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input_381010!A$2</f>
        <v>381010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IFERROR(VLOOKUP(B45,input_381010!L:R,7,FALSE),VLOOKUP(tables_381010!C45,input_381010!A:H,8,FALSE))</f>
        <v>38000</v>
      </c>
      <c r="P45" s="46">
        <f t="shared" ca="1" si="2"/>
        <v>5.5232558139534883E-3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input_381010!A$2</f>
        <v>381010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IFERROR(VLOOKUP(B46,input_381010!L:R,7,FALSE),VLOOKUP(tables_381010!C46,input_381010!A:H,8,FALSE))</f>
        <v>34200</v>
      </c>
      <c r="P46" s="46">
        <f t="shared" ca="1" si="2"/>
        <v>4.9709302325581396E-3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input_381010!A$2</f>
        <v>381010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IFERROR(VLOOKUP(B47,input_381010!L:R,7,FALSE),VLOOKUP(tables_381010!C47,input_381010!A:H,8,FALSE))</f>
        <v>3800</v>
      </c>
      <c r="P47" s="46">
        <f t="shared" ca="1" si="2"/>
        <v>5.5232558139534885E-4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input_381010!A$2</f>
        <v>381010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IFERROR(VLOOKUP(B48,input_381010!L:R,7,FALSE),VLOOKUP(tables_381010!C48,input_381010!A:H,8,FALSE))</f>
        <v>38000</v>
      </c>
      <c r="P48" s="46">
        <f t="shared" ca="1" si="2"/>
        <v>5.5232558139534883E-3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input_381010!A$2</f>
        <v>381010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IFERROR(VLOOKUP(B49,input_381010!L:R,7,FALSE),VLOOKUP(tables_381010!C49,input_381010!A:H,8,FALSE))</f>
        <v>34200</v>
      </c>
      <c r="P49" s="46">
        <f t="shared" ca="1" si="2"/>
        <v>4.9709302325581396E-3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input_381010!A$2</f>
        <v>381010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IFERROR(VLOOKUP(B50,input_381010!L:R,7,FALSE),VLOOKUP(tables_381010!C50,input_381010!A:H,8,FALSE))</f>
        <v>3800</v>
      </c>
      <c r="P50" s="46">
        <f t="shared" ca="1" si="2"/>
        <v>5.5232558139534885E-4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input_381010!A$2</f>
        <v>381010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IFERROR(VLOOKUP(B51,input_381010!L:R,7,FALSE),VLOOKUP(tables_381010!C51,input_381010!A:H,8,FALSE))</f>
        <v>38000</v>
      </c>
      <c r="P51" s="46">
        <f t="shared" ca="1" si="2"/>
        <v>5.5232558139534883E-3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input_381010!A$2</f>
        <v>381010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IFERROR(VLOOKUP(B52,input_381010!L:R,7,FALSE),VLOOKUP(tables_381010!C52,input_381010!A:H,8,FALSE))</f>
        <v>34200</v>
      </c>
      <c r="P52" s="46">
        <f t="shared" ca="1" si="2"/>
        <v>4.9709302325581396E-3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input_381010!A$2</f>
        <v>381010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IFERROR(VLOOKUP(B53,input_381010!L:R,7,FALSE),VLOOKUP(tables_381010!C53,input_381010!A:H,8,FALSE))</f>
        <v>3800</v>
      </c>
      <c r="P53" s="46">
        <f t="shared" ca="1" si="2"/>
        <v>5.5232558139534885E-4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input_381010!A$2</f>
        <v>381010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IFERROR(VLOOKUP(B54,input_381010!L:R,7,FALSE),VLOOKUP(tables_381010!C54,input_381010!A:H,8,FALSE))</f>
        <v>38000</v>
      </c>
      <c r="P54" s="46">
        <f t="shared" ca="1" si="2"/>
        <v>5.5232558139534883E-3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input_381010!A$2</f>
        <v>381010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IFERROR(VLOOKUP(B55,input_381010!L:R,7,FALSE),VLOOKUP(tables_381010!C55,input_381010!A:H,8,FALSE))</f>
        <v>34200</v>
      </c>
      <c r="P55" s="46">
        <f t="shared" ca="1" si="2"/>
        <v>4.9709302325581396E-3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input_381010!A$2</f>
        <v>381010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IFERROR(VLOOKUP(B56,input_381010!L:R,7,FALSE),VLOOKUP(tables_381010!C56,input_381010!A:H,8,FALSE))</f>
        <v>3800</v>
      </c>
      <c r="P56" s="46">
        <f t="shared" ca="1" si="2"/>
        <v>5.5232558139534885E-4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input_381010!A$2</f>
        <v>381010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IFERROR(VLOOKUP(B57,input_381010!L:R,7,FALSE),VLOOKUP(tables_381010!C57,input_381010!A:H,8,FALSE))</f>
        <v>38000</v>
      </c>
      <c r="P57" s="46">
        <f t="shared" ca="1" si="2"/>
        <v>5.5232558139534883E-3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input_381010!A$2</f>
        <v>381010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IFERROR(VLOOKUP(B58,input_381010!L:R,7,FALSE),VLOOKUP(tables_381010!C58,input_381010!A:H,8,FALSE))</f>
        <v>34200</v>
      </c>
      <c r="P58" s="46">
        <f t="shared" ca="1" si="2"/>
        <v>4.9709302325581396E-3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input_381010!A$2</f>
        <v>381010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IFERROR(VLOOKUP(B59,input_381010!L:R,7,FALSE),VLOOKUP(tables_381010!C59,input_381010!A:H,8,FALSE))</f>
        <v>3800</v>
      </c>
      <c r="P59" s="46">
        <f t="shared" ca="1" si="2"/>
        <v>5.5232558139534885E-4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input_381010!A$2</f>
        <v>381010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IFERROR(VLOOKUP(B60,input_381010!L:R,7,FALSE),VLOOKUP(tables_381010!C60,input_381010!A:H,8,FALSE))</f>
        <v>38000</v>
      </c>
      <c r="P60" s="46">
        <f t="shared" ca="1" si="2"/>
        <v>5.5232558139534883E-3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input_381010!A$2</f>
        <v>381010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IFERROR(VLOOKUP(B61,input_381010!L:R,7,FALSE),VLOOKUP(tables_381010!C61,input_381010!A:H,8,FALSE))</f>
        <v>34200</v>
      </c>
      <c r="P61" s="46">
        <f t="shared" ca="1" si="2"/>
        <v>4.9709302325581396E-3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input_381010!A$2</f>
        <v>381010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IFERROR(VLOOKUP(B62,input_381010!L:R,7,FALSE),VLOOKUP(tables_381010!C62,input_381010!A:H,8,FALSE))</f>
        <v>3800</v>
      </c>
      <c r="P62" s="46">
        <f t="shared" ca="1" si="2"/>
        <v>5.5232558139534885E-4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input_381010!A$2</f>
        <v>381010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IFERROR(VLOOKUP(B63,input_381010!L:R,7,FALSE),VLOOKUP(tables_381010!C63,input_381010!A:H,8,FALSE))</f>
        <v>38000</v>
      </c>
      <c r="P63" s="46">
        <f t="shared" ca="1" si="2"/>
        <v>5.5232558139534883E-3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input_381010!A$2</f>
        <v>381010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IFERROR(VLOOKUP(B64,input_381010!L:R,7,FALSE),VLOOKUP(tables_381010!C64,input_381010!A:H,8,FALSE))</f>
        <v>34200</v>
      </c>
      <c r="P64" s="46">
        <f t="shared" ca="1" si="2"/>
        <v>4.9709302325581396E-3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input_381010!A$2</f>
        <v>381010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IFERROR(VLOOKUP(B65,input_381010!L:R,7,FALSE),VLOOKUP(tables_381010!C65,input_381010!A:H,8,FALSE))</f>
        <v>3800</v>
      </c>
      <c r="P65" s="46">
        <f t="shared" ca="1" si="2"/>
        <v>5.5232558139534885E-4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input_381010!A$2</f>
        <v>381010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IFERROR(VLOOKUP(B66,input_381010!L:R,7,FALSE),VLOOKUP(tables_381010!C66,input_381010!A:H,8,FALSE))</f>
        <v>38000</v>
      </c>
      <c r="P66" s="46">
        <f t="shared" ref="P66:P129" ca="1" si="5">O66/SUM(O:O)</f>
        <v>5.5232558139534883E-3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input_381010!A$2</f>
        <v>381010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IFERROR(VLOOKUP(B67,input_381010!L:R,7,FALSE),VLOOKUP(tables_381010!C67,input_381010!A:H,8,FALSE))</f>
        <v>34200</v>
      </c>
      <c r="P67" s="46">
        <f t="shared" ca="1" si="5"/>
        <v>4.9709302325581396E-3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input_381010!A$2</f>
        <v>381010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IFERROR(VLOOKUP(B68,input_381010!L:R,7,FALSE),VLOOKUP(tables_381010!C68,input_381010!A:H,8,FALSE))</f>
        <v>3800</v>
      </c>
      <c r="P68" s="46">
        <f t="shared" ca="1" si="5"/>
        <v>5.5232558139534885E-4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input_381010!A$2</f>
        <v>381010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IFERROR(VLOOKUP(B69,input_381010!L:R,7,FALSE),VLOOKUP(tables_381010!C69,input_381010!A:H,8,FALSE))</f>
        <v>38000</v>
      </c>
      <c r="P69" s="46">
        <f t="shared" ca="1" si="5"/>
        <v>5.5232558139534883E-3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input_381010!A$2</f>
        <v>381010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IFERROR(VLOOKUP(B70,input_381010!L:R,7,FALSE),VLOOKUP(tables_381010!C70,input_381010!A:H,8,FALSE))</f>
        <v>34200</v>
      </c>
      <c r="P70" s="46">
        <f t="shared" ca="1" si="5"/>
        <v>4.9709302325581396E-3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input_381010!A$2</f>
        <v>381010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IFERROR(VLOOKUP(B71,input_381010!L:R,7,FALSE),VLOOKUP(tables_381010!C71,input_381010!A:H,8,FALSE))</f>
        <v>3800</v>
      </c>
      <c r="P71" s="46">
        <f t="shared" ca="1" si="5"/>
        <v>5.5232558139534885E-4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input_381010!A$2</f>
        <v>381010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IFERROR(VLOOKUP(B72,input_381010!L:R,7,FALSE),VLOOKUP(tables_381010!C72,input_381010!A:H,8,FALSE))</f>
        <v>38000</v>
      </c>
      <c r="P72" s="46">
        <f t="shared" ca="1" si="5"/>
        <v>5.5232558139534883E-3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input_381010!A$2</f>
        <v>381010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IFERROR(VLOOKUP(B73,input_381010!L:R,7,FALSE),VLOOKUP(tables_381010!C73,input_381010!A:H,8,FALSE))</f>
        <v>34200</v>
      </c>
      <c r="P73" s="46">
        <f t="shared" ca="1" si="5"/>
        <v>4.9709302325581396E-3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input_381010!A$2</f>
        <v>381010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IFERROR(VLOOKUP(B74,input_381010!L:R,7,FALSE),VLOOKUP(tables_381010!C74,input_381010!A:H,8,FALSE))</f>
        <v>3800</v>
      </c>
      <c r="P74" s="46">
        <f t="shared" ca="1" si="5"/>
        <v>5.5232558139534885E-4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input_381010!A$2</f>
        <v>381010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IFERROR(VLOOKUP(B75,input_381010!L:R,7,FALSE),VLOOKUP(tables_381010!C75,input_381010!A:H,8,FALSE))</f>
        <v>38000</v>
      </c>
      <c r="P75" s="46">
        <f t="shared" ca="1" si="5"/>
        <v>5.5232558139534883E-3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input_381010!A$2</f>
        <v>381010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IFERROR(VLOOKUP(B76,input_381010!L:R,7,FALSE),VLOOKUP(tables_381010!C76,input_381010!A:H,8,FALSE))</f>
        <v>34200</v>
      </c>
      <c r="P76" s="46">
        <f t="shared" ca="1" si="5"/>
        <v>4.9709302325581396E-3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input_381010!A$2</f>
        <v>381010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IFERROR(VLOOKUP(B77,input_381010!L:R,7,FALSE),VLOOKUP(tables_381010!C77,input_381010!A:H,8,FALSE))</f>
        <v>3800</v>
      </c>
      <c r="P77" s="46">
        <f t="shared" ca="1" si="5"/>
        <v>5.5232558139534885E-4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input_381010!A$2</f>
        <v>381010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IFERROR(VLOOKUP(B78,input_381010!L:R,7,FALSE),VLOOKUP(tables_381010!C78,input_381010!A:H,8,FALSE))</f>
        <v>38000</v>
      </c>
      <c r="P78" s="46">
        <f t="shared" ca="1" si="5"/>
        <v>5.5232558139534883E-3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input_381010!A$2</f>
        <v>381010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IFERROR(VLOOKUP(B79,input_381010!L:R,7,FALSE),VLOOKUP(tables_381010!C79,input_381010!A:H,8,FALSE))</f>
        <v>34200</v>
      </c>
      <c r="P79" s="46">
        <f t="shared" ca="1" si="5"/>
        <v>4.9709302325581396E-3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input_381010!A$2</f>
        <v>381010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IFERROR(VLOOKUP(B80,input_381010!L:R,7,FALSE),VLOOKUP(tables_381010!C80,input_381010!A:H,8,FALSE))</f>
        <v>3800</v>
      </c>
      <c r="P80" s="46">
        <f t="shared" ca="1" si="5"/>
        <v>5.5232558139534885E-4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input_381010!A$2</f>
        <v>381010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IFERROR(VLOOKUP(B81,input_381010!L:R,7,FALSE),VLOOKUP(tables_381010!C81,input_381010!A:H,8,FALSE))</f>
        <v>38000</v>
      </c>
      <c r="P81" s="46">
        <f t="shared" ca="1" si="5"/>
        <v>5.5232558139534883E-3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input_381010!A$2</f>
        <v>381010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IFERROR(VLOOKUP(B82,input_381010!L:R,7,FALSE),VLOOKUP(tables_381010!C82,input_381010!A:H,8,FALSE))</f>
        <v>34200</v>
      </c>
      <c r="P82" s="46">
        <f t="shared" ca="1" si="5"/>
        <v>4.9709302325581396E-3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input_381010!A$2</f>
        <v>381010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IFERROR(VLOOKUP(B83,input_381010!L:R,7,FALSE),VLOOKUP(tables_381010!C83,input_381010!A:H,8,FALSE))</f>
        <v>3800</v>
      </c>
      <c r="P83" s="46">
        <f t="shared" ca="1" si="5"/>
        <v>5.5232558139534885E-4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input_381010!A$2</f>
        <v>381010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IFERROR(VLOOKUP(B84,input_381010!L:R,7,FALSE),VLOOKUP(tables_381010!C84,input_381010!A:H,8,FALSE))</f>
        <v>38000</v>
      </c>
      <c r="P84" s="46">
        <f t="shared" ca="1" si="5"/>
        <v>5.5232558139534883E-3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input_381010!A$2</f>
        <v>381010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IFERROR(VLOOKUP(B85,input_381010!L:R,7,FALSE),VLOOKUP(tables_381010!C85,input_381010!A:H,8,FALSE))</f>
        <v>34200</v>
      </c>
      <c r="P85" s="46">
        <f t="shared" ca="1" si="5"/>
        <v>4.9709302325581396E-3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input_381010!A$2</f>
        <v>381010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IFERROR(VLOOKUP(B86,input_381010!L:R,7,FALSE),VLOOKUP(tables_381010!C86,input_381010!A:H,8,FALSE))</f>
        <v>3800</v>
      </c>
      <c r="P86" s="46">
        <f t="shared" ca="1" si="5"/>
        <v>5.5232558139534885E-4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input_381010!A$2</f>
        <v>381010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IFERROR(VLOOKUP(B87,input_381010!L:R,7,FALSE),VLOOKUP(tables_381010!C87,input_381010!A:H,8,FALSE))</f>
        <v>38000</v>
      </c>
      <c r="P87" s="46">
        <f t="shared" ca="1" si="5"/>
        <v>5.5232558139534883E-3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input_381010!A$2</f>
        <v>381010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IFERROR(VLOOKUP(B88,input_381010!L:R,7,FALSE),VLOOKUP(tables_381010!C88,input_381010!A:H,8,FALSE))</f>
        <v>34200</v>
      </c>
      <c r="P88" s="46">
        <f t="shared" ca="1" si="5"/>
        <v>4.9709302325581396E-3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input_381010!A$2</f>
        <v>381010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IFERROR(VLOOKUP(B89,input_381010!L:R,7,FALSE),VLOOKUP(tables_381010!C89,input_381010!A:H,8,FALSE))</f>
        <v>3800</v>
      </c>
      <c r="P89" s="46">
        <f t="shared" ca="1" si="5"/>
        <v>5.5232558139534885E-4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input_381010!A$2</f>
        <v>381010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IFERROR(VLOOKUP(B90,input_381010!L:R,7,FALSE),VLOOKUP(tables_381010!C90,input_381010!A:H,8,FALSE))</f>
        <v>38000</v>
      </c>
      <c r="P90" s="46">
        <f t="shared" ca="1" si="5"/>
        <v>5.5232558139534883E-3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input_381010!A$2</f>
        <v>381010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IFERROR(VLOOKUP(B91,input_381010!L:R,7,FALSE),VLOOKUP(tables_381010!C91,input_381010!A:H,8,FALSE))</f>
        <v>34200</v>
      </c>
      <c r="P91" s="46">
        <f t="shared" ca="1" si="5"/>
        <v>4.9709302325581396E-3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input_381010!A$2</f>
        <v>381010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IFERROR(VLOOKUP(B92,input_381010!L:R,7,FALSE),VLOOKUP(tables_381010!C92,input_381010!A:H,8,FALSE))</f>
        <v>3800</v>
      </c>
      <c r="P92" s="46">
        <f t="shared" ca="1" si="5"/>
        <v>5.5232558139534885E-4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input_381010!A$2</f>
        <v>381010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IFERROR(VLOOKUP(B93,input_381010!L:R,7,FALSE),VLOOKUP(tables_381010!C93,input_381010!A:H,8,FALSE))</f>
        <v>38000</v>
      </c>
      <c r="P93" s="46">
        <f t="shared" ca="1" si="5"/>
        <v>5.5232558139534883E-3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input_381010!A$2</f>
        <v>381010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IFERROR(VLOOKUP(B94,input_381010!L:R,7,FALSE),VLOOKUP(tables_381010!C94,input_381010!A:H,8,FALSE))</f>
        <v>34200</v>
      </c>
      <c r="P94" s="46">
        <f t="shared" ca="1" si="5"/>
        <v>4.9709302325581396E-3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input_381010!A$2</f>
        <v>381010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IFERROR(VLOOKUP(B95,input_381010!L:R,7,FALSE),VLOOKUP(tables_381010!C95,input_381010!A:H,8,FALSE))</f>
        <v>3800</v>
      </c>
      <c r="P95" s="46">
        <f t="shared" ca="1" si="5"/>
        <v>5.5232558139534885E-4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input_381010!A$2</f>
        <v>381010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IFERROR(VLOOKUP(B96,input_381010!L:R,7,FALSE),VLOOKUP(tables_381010!C96,input_381010!A:H,8,FALSE))</f>
        <v>38000</v>
      </c>
      <c r="P96" s="46">
        <f t="shared" ca="1" si="5"/>
        <v>5.5232558139534883E-3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input_381010!A$2</f>
        <v>381010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IFERROR(VLOOKUP(B97,input_381010!L:R,7,FALSE),VLOOKUP(tables_381010!C97,input_381010!A:H,8,FALSE))</f>
        <v>34200</v>
      </c>
      <c r="P97" s="46">
        <f t="shared" ca="1" si="5"/>
        <v>4.9709302325581396E-3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input_381010!A$2</f>
        <v>381010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IFERROR(VLOOKUP(B98,input_381010!L:R,7,FALSE),VLOOKUP(tables_381010!C98,input_381010!A:H,8,FALSE))</f>
        <v>3800</v>
      </c>
      <c r="P98" s="46">
        <f t="shared" ca="1" si="5"/>
        <v>5.5232558139534885E-4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input_381010!A$2</f>
        <v>381010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IFERROR(VLOOKUP(B99,input_381010!L:R,7,FALSE),VLOOKUP(tables_381010!C99,input_381010!A:H,8,FALSE))</f>
        <v>38000</v>
      </c>
      <c r="P99" s="46">
        <f t="shared" ca="1" si="5"/>
        <v>5.5232558139534883E-3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input_381010!A$2</f>
        <v>381010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IFERROR(VLOOKUP(B100,input_381010!L:R,7,FALSE),VLOOKUP(tables_381010!C100,input_381010!A:H,8,FALSE))</f>
        <v>34200</v>
      </c>
      <c r="P100" s="46">
        <f t="shared" ca="1" si="5"/>
        <v>4.9709302325581396E-3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input_381010!A$2</f>
        <v>381010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IFERROR(VLOOKUP(B101,input_381010!L:R,7,FALSE),VLOOKUP(tables_381010!C101,input_381010!A:H,8,FALSE))</f>
        <v>3800</v>
      </c>
      <c r="P101" s="46">
        <f t="shared" ca="1" si="5"/>
        <v>5.5232558139534885E-4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input_381010!A$2</f>
        <v>381010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IFERROR(VLOOKUP(B102,input_381010!L:R,7,FALSE),VLOOKUP(tables_381010!C102,input_381010!A:H,8,FALSE))</f>
        <v>38000</v>
      </c>
      <c r="P102" s="46">
        <f t="shared" ca="1" si="5"/>
        <v>5.5232558139534883E-3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input_381010!A$2</f>
        <v>381010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IFERROR(VLOOKUP(B103,input_381010!L:R,7,FALSE),VLOOKUP(tables_381010!C103,input_381010!A:H,8,FALSE))</f>
        <v>34200</v>
      </c>
      <c r="P103" s="46">
        <f t="shared" ca="1" si="5"/>
        <v>4.9709302325581396E-3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input_381010!A$2</f>
        <v>381010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IFERROR(VLOOKUP(B104,input_381010!L:R,7,FALSE),VLOOKUP(tables_381010!C104,input_381010!A:H,8,FALSE))</f>
        <v>3800</v>
      </c>
      <c r="P104" s="46">
        <f t="shared" ca="1" si="5"/>
        <v>5.5232558139534885E-4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input_381010!A$2</f>
        <v>381010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IFERROR(VLOOKUP(B105,input_381010!L:R,7,FALSE),VLOOKUP(tables_381010!C105,input_381010!A:H,8,FALSE))</f>
        <v>38000</v>
      </c>
      <c r="P105" s="46">
        <f t="shared" ca="1" si="5"/>
        <v>5.5232558139534883E-3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input_381010!A$2</f>
        <v>381010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IFERROR(VLOOKUP(B106,input_381010!L:R,7,FALSE),VLOOKUP(tables_381010!C106,input_381010!A:H,8,FALSE))</f>
        <v>34200</v>
      </c>
      <c r="P106" s="46">
        <f t="shared" ca="1" si="5"/>
        <v>4.9709302325581396E-3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input_381010!A$2</f>
        <v>381010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IFERROR(VLOOKUP(B107,input_381010!L:R,7,FALSE),VLOOKUP(tables_381010!C107,input_381010!A:H,8,FALSE))</f>
        <v>3800</v>
      </c>
      <c r="P107" s="46">
        <f t="shared" ca="1" si="5"/>
        <v>5.5232558139534885E-4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input_381010!A$2</f>
        <v>381010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IFERROR(VLOOKUP(B108,input_381010!L:R,7,FALSE),VLOOKUP(tables_381010!C108,input_381010!A:H,8,FALSE))</f>
        <v>38000</v>
      </c>
      <c r="P108" s="46">
        <f t="shared" ca="1" si="5"/>
        <v>5.5232558139534883E-3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input_381010!A$2</f>
        <v>381010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IFERROR(VLOOKUP(B109,input_381010!L:R,7,FALSE),VLOOKUP(tables_381010!C109,input_381010!A:H,8,FALSE))</f>
        <v>34200</v>
      </c>
      <c r="P109" s="46">
        <f t="shared" ca="1" si="5"/>
        <v>4.9709302325581396E-3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input_381010!A$2</f>
        <v>381010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IFERROR(VLOOKUP(B110,input_381010!L:R,7,FALSE),VLOOKUP(tables_381010!C110,input_381010!A:H,8,FALSE))</f>
        <v>3800</v>
      </c>
      <c r="P110" s="46">
        <f t="shared" ca="1" si="5"/>
        <v>5.5232558139534885E-4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input_381010!A$2</f>
        <v>381010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IFERROR(VLOOKUP(B111,input_381010!L:R,7,FALSE),VLOOKUP(tables_381010!C111,input_381010!A:H,8,FALSE))</f>
        <v>38000</v>
      </c>
      <c r="P111" s="46">
        <f t="shared" ca="1" si="5"/>
        <v>5.5232558139534883E-3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input_381010!A$2</f>
        <v>381010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IFERROR(VLOOKUP(B112,input_381010!L:R,7,FALSE),VLOOKUP(tables_381010!C112,input_381010!A:H,8,FALSE))</f>
        <v>34200</v>
      </c>
      <c r="P112" s="46">
        <f t="shared" ca="1" si="5"/>
        <v>4.9709302325581396E-3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input_381010!A$2</f>
        <v>381010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IFERROR(VLOOKUP(B113,input_381010!L:R,7,FALSE),VLOOKUP(tables_381010!C113,input_381010!A:H,8,FALSE))</f>
        <v>3800</v>
      </c>
      <c r="P113" s="46">
        <f t="shared" ca="1" si="5"/>
        <v>5.5232558139534885E-4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input_381010!A$2</f>
        <v>381010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IFERROR(VLOOKUP(B114,input_381010!L:R,7,FALSE),VLOOKUP(tables_381010!C114,input_381010!A:H,8,FALSE))</f>
        <v>38000</v>
      </c>
      <c r="P114" s="46">
        <f t="shared" ca="1" si="5"/>
        <v>5.5232558139534883E-3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input_381010!A$2</f>
        <v>381010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IFERROR(VLOOKUP(B115,input_381010!L:R,7,FALSE),VLOOKUP(tables_381010!C115,input_381010!A:H,8,FALSE))</f>
        <v>34200</v>
      </c>
      <c r="P115" s="46">
        <f t="shared" ca="1" si="5"/>
        <v>4.9709302325581396E-3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input_381010!A$2</f>
        <v>381010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IFERROR(VLOOKUP(B116,input_381010!L:R,7,FALSE),VLOOKUP(tables_381010!C116,input_381010!A:H,8,FALSE))</f>
        <v>3800</v>
      </c>
      <c r="P116" s="46">
        <f t="shared" ca="1" si="5"/>
        <v>5.5232558139534885E-4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input_381010!A$2</f>
        <v>381010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IFERROR(VLOOKUP(B117,input_381010!L:R,7,FALSE),VLOOKUP(tables_381010!C117,input_381010!A:H,8,FALSE))</f>
        <v>38000</v>
      </c>
      <c r="P117" s="46">
        <f t="shared" ca="1" si="5"/>
        <v>5.5232558139534883E-3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input_381010!A$2</f>
        <v>381010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IFERROR(VLOOKUP(B118,input_381010!L:R,7,FALSE),VLOOKUP(tables_381010!C118,input_381010!A:H,8,FALSE))</f>
        <v>34200</v>
      </c>
      <c r="P118" s="46">
        <f t="shared" ca="1" si="5"/>
        <v>4.9709302325581396E-3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input_381010!A$2</f>
        <v>381010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IFERROR(VLOOKUP(B119,input_381010!L:R,7,FALSE),VLOOKUP(tables_381010!C119,input_381010!A:H,8,FALSE))</f>
        <v>3800</v>
      </c>
      <c r="P119" s="46">
        <f t="shared" ca="1" si="5"/>
        <v>5.5232558139534885E-4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input_381010!A$2</f>
        <v>381010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IFERROR(VLOOKUP(B120,input_381010!L:R,7,FALSE),VLOOKUP(tables_381010!C120,input_381010!A:H,8,FALSE))</f>
        <v>38000</v>
      </c>
      <c r="P120" s="46">
        <f t="shared" ca="1" si="5"/>
        <v>5.5232558139534883E-3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input_381010!A$2</f>
        <v>381010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IFERROR(VLOOKUP(B121,input_381010!L:R,7,FALSE),VLOOKUP(tables_381010!C121,input_381010!A:H,8,FALSE))</f>
        <v>34200</v>
      </c>
      <c r="P121" s="46">
        <f t="shared" ca="1" si="5"/>
        <v>4.9709302325581396E-3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input_381010!A$2</f>
        <v>381010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IFERROR(VLOOKUP(B122,input_381010!L:R,7,FALSE),VLOOKUP(tables_381010!C122,input_381010!A:H,8,FALSE))</f>
        <v>3800</v>
      </c>
      <c r="P122" s="46">
        <f t="shared" ca="1" si="5"/>
        <v>5.5232558139534885E-4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input_381010!A$2</f>
        <v>381010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IFERROR(VLOOKUP(B123,input_381010!L:R,7,FALSE),VLOOKUP(tables_381010!C123,input_381010!A:H,8,FALSE))</f>
        <v>38000</v>
      </c>
      <c r="P123" s="46">
        <f t="shared" ca="1" si="5"/>
        <v>5.5232558139534883E-3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input_381010!A$2</f>
        <v>381010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IFERROR(VLOOKUP(B124,input_381010!L:R,7,FALSE),VLOOKUP(tables_381010!C124,input_381010!A:H,8,FALSE))</f>
        <v>34200</v>
      </c>
      <c r="P124" s="46">
        <f t="shared" ca="1" si="5"/>
        <v>4.9709302325581396E-3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input_381010!A$2</f>
        <v>381010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IFERROR(VLOOKUP(B125,input_381010!L:R,7,FALSE),VLOOKUP(tables_381010!C125,input_381010!A:H,8,FALSE))</f>
        <v>3800</v>
      </c>
      <c r="P125" s="46">
        <f t="shared" ca="1" si="5"/>
        <v>5.5232558139534885E-4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input_381010!A$2</f>
        <v>381010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IFERROR(VLOOKUP(B126,input_381010!L:R,7,FALSE),VLOOKUP(tables_381010!C126,input_381010!A:H,8,FALSE))</f>
        <v>38000</v>
      </c>
      <c r="P126" s="46">
        <f t="shared" ca="1" si="5"/>
        <v>5.5232558139534883E-3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input_381010!A$2</f>
        <v>381010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IFERROR(VLOOKUP(B127,input_381010!L:R,7,FALSE),VLOOKUP(tables_381010!C127,input_381010!A:H,8,FALSE))</f>
        <v>34200</v>
      </c>
      <c r="P127" s="46">
        <f t="shared" ca="1" si="5"/>
        <v>4.9709302325581396E-3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input_381010!A$2</f>
        <v>381010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IFERROR(VLOOKUP(B128,input_381010!L:R,7,FALSE),VLOOKUP(tables_381010!C128,input_381010!A:H,8,FALSE))</f>
        <v>3800</v>
      </c>
      <c r="P128" s="46">
        <f t="shared" ca="1" si="5"/>
        <v>5.5232558139534885E-4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input_381010!A$2</f>
        <v>381010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IFERROR(VLOOKUP(B129,input_381010!L:R,7,FALSE),VLOOKUP(tables_381010!C129,input_381010!A:H,8,FALSE))</f>
        <v>38000</v>
      </c>
      <c r="P129" s="46">
        <f t="shared" ca="1" si="5"/>
        <v>5.5232558139534883E-3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input_381010!A$2</f>
        <v>381010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IFERROR(VLOOKUP(B130,input_381010!L:R,7,FALSE),VLOOKUP(tables_381010!C130,input_381010!A:H,8,FALSE))</f>
        <v>34200</v>
      </c>
      <c r="P130" s="46">
        <f t="shared" ref="P130:P193" ca="1" si="8">O130/SUM(O:O)</f>
        <v>4.9709302325581396E-3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input_381010!A$2</f>
        <v>381010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IFERROR(VLOOKUP(B131,input_381010!L:R,7,FALSE),VLOOKUP(tables_381010!C131,input_381010!A:H,8,FALSE))</f>
        <v>3800</v>
      </c>
      <c r="P131" s="46">
        <f t="shared" ca="1" si="8"/>
        <v>5.5232558139534885E-4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input_381010!A$2</f>
        <v>381010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IFERROR(VLOOKUP(B132,input_381010!L:R,7,FALSE),VLOOKUP(tables_381010!C132,input_381010!A:H,8,FALSE))</f>
        <v>38000</v>
      </c>
      <c r="P132" s="46">
        <f t="shared" ca="1" si="8"/>
        <v>5.5232558139534883E-3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input_381010!A$2</f>
        <v>381010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IFERROR(VLOOKUP(B133,input_381010!L:R,7,FALSE),VLOOKUP(tables_381010!C133,input_381010!A:H,8,FALSE))</f>
        <v>34200</v>
      </c>
      <c r="P133" s="46">
        <f t="shared" ca="1" si="8"/>
        <v>4.9709302325581396E-3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input_381010!A$2</f>
        <v>381010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IFERROR(VLOOKUP(B134,input_381010!L:R,7,FALSE),VLOOKUP(tables_381010!C134,input_381010!A:H,8,FALSE))</f>
        <v>3800</v>
      </c>
      <c r="P134" s="46">
        <f t="shared" ca="1" si="8"/>
        <v>5.5232558139534885E-4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input_381010!A$2</f>
        <v>381010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IFERROR(VLOOKUP(B135,input_381010!L:R,7,FALSE),VLOOKUP(tables_381010!C135,input_381010!A:H,8,FALSE))</f>
        <v>38000</v>
      </c>
      <c r="P135" s="46">
        <f t="shared" ca="1" si="8"/>
        <v>5.5232558139534883E-3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input_381010!A$2</f>
        <v>381010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IFERROR(VLOOKUP(B136,input_381010!L:R,7,FALSE),VLOOKUP(tables_381010!C136,input_381010!A:H,8,FALSE))</f>
        <v>34200</v>
      </c>
      <c r="P136" s="46">
        <f t="shared" ca="1" si="8"/>
        <v>4.9709302325581396E-3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input_381010!A$2</f>
        <v>381010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IFERROR(VLOOKUP(B137,input_381010!L:R,7,FALSE),VLOOKUP(tables_381010!C137,input_381010!A:H,8,FALSE))</f>
        <v>3800</v>
      </c>
      <c r="P137" s="46">
        <f t="shared" ca="1" si="8"/>
        <v>5.5232558139534885E-4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input_381010!A$2</f>
        <v>381010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>IFERROR(VLOOKUP(B138,input_381010!L:R,7,FALSE),VLOOKUP(tables_381010!C138,input_381010!A:H,8,FALSE))</f>
        <v>34400</v>
      </c>
      <c r="P138" s="46">
        <f t="shared" ca="1" si="8"/>
        <v>5.0000000000000001E-3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input_381010!A$2</f>
        <v>381010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>IFERROR(VLOOKUP(B139,input_381010!L:R,7,FALSE),VLOOKUP(tables_381010!C139,input_381010!A:H,8,FALSE))</f>
        <v>68800</v>
      </c>
      <c r="P139" s="46">
        <f t="shared" ca="1" si="8"/>
        <v>0.01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input_381010!A$2</f>
        <v>381010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IFERROR(VLOOKUP(B140,input_381010!L:R,7,FALSE),VLOOKUP(tables_381010!C140,input_381010!A:H,8,FALSE))</f>
        <v>3268</v>
      </c>
      <c r="P140" s="46">
        <f t="shared" ca="1" si="8"/>
        <v>4.75E-4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input_381010!A$2</f>
        <v>381010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IFERROR(VLOOKUP(B141,input_381010!L:R,7,FALSE),VLOOKUP(tables_381010!C141,input_381010!A:H,8,FALSE))</f>
        <v>172</v>
      </c>
      <c r="P141" s="46">
        <f t="shared" ca="1" si="8"/>
        <v>2.5000000000000001E-5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input_381010!A$2</f>
        <v>381010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IFERROR(VLOOKUP(B142,input_381010!L:R,7,FALSE),VLOOKUP(tables_381010!C142,input_381010!A:H,8,FALSE))</f>
        <v>3268</v>
      </c>
      <c r="P142" s="46">
        <f t="shared" ca="1" si="8"/>
        <v>4.75E-4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input_381010!A$2</f>
        <v>381010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IFERROR(VLOOKUP(B143,input_381010!L:R,7,FALSE),VLOOKUP(tables_381010!C143,input_381010!A:H,8,FALSE))</f>
        <v>172</v>
      </c>
      <c r="P143" s="46">
        <f t="shared" ca="1" si="8"/>
        <v>2.5000000000000001E-5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input_381010!A$2</f>
        <v>381010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IFERROR(VLOOKUP(B144,input_381010!L:R,7,FALSE),VLOOKUP(tables_381010!C144,input_381010!A:H,8,FALSE))</f>
        <v>3268</v>
      </c>
      <c r="P144" s="46">
        <f t="shared" ca="1" si="8"/>
        <v>4.75E-4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input_381010!A$2</f>
        <v>381010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IFERROR(VLOOKUP(B145,input_381010!L:R,7,FALSE),VLOOKUP(tables_381010!C145,input_381010!A:H,8,FALSE))</f>
        <v>172</v>
      </c>
      <c r="P145" s="46">
        <f t="shared" ca="1" si="8"/>
        <v>2.5000000000000001E-5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input_381010!A$2</f>
        <v>381010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IFERROR(VLOOKUP(B146,input_381010!L:R,7,FALSE),VLOOKUP(tables_381010!C146,input_381010!A:H,8,FALSE))</f>
        <v>38000</v>
      </c>
      <c r="P146" s="46">
        <f t="shared" ca="1" si="8"/>
        <v>5.5232558139534883E-3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input_381010!A$2</f>
        <v>381010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IFERROR(VLOOKUP(B147,input_381010!L:R,7,FALSE),VLOOKUP(tables_381010!C147,input_381010!A:H,8,FALSE))</f>
        <v>34200</v>
      </c>
      <c r="P147" s="46">
        <f t="shared" ca="1" si="8"/>
        <v>4.9709302325581396E-3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input_381010!A$2</f>
        <v>381010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IFERROR(VLOOKUP(B148,input_381010!L:R,7,FALSE),VLOOKUP(tables_381010!C148,input_381010!A:H,8,FALSE))</f>
        <v>3800</v>
      </c>
      <c r="P148" s="46">
        <f t="shared" ca="1" si="8"/>
        <v>5.5232558139534885E-4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input_381010!A$2</f>
        <v>381010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IFERROR(VLOOKUP(B149,input_381010!L:R,7,FALSE),VLOOKUP(tables_381010!C149,input_381010!A:H,8,FALSE))</f>
        <v>3268</v>
      </c>
      <c r="P149" s="46">
        <f t="shared" ca="1" si="8"/>
        <v>4.75E-4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input_381010!A$2</f>
        <v>381010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IFERROR(VLOOKUP(B150,input_381010!L:R,7,FALSE),VLOOKUP(tables_381010!C150,input_381010!A:H,8,FALSE))</f>
        <v>172</v>
      </c>
      <c r="P150" s="46">
        <f t="shared" ca="1" si="8"/>
        <v>2.5000000000000001E-5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input_381010!A$2</f>
        <v>381010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IFERROR(VLOOKUP(B151,input_381010!L:R,7,FALSE),VLOOKUP(tables_381010!C151,input_381010!A:H,8,FALSE))</f>
        <v>3268</v>
      </c>
      <c r="P151" s="46">
        <f t="shared" ca="1" si="8"/>
        <v>4.75E-4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input_381010!A$2</f>
        <v>381010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IFERROR(VLOOKUP(B152,input_381010!L:R,7,FALSE),VLOOKUP(tables_381010!C152,input_381010!A:H,8,FALSE))</f>
        <v>172</v>
      </c>
      <c r="P152" s="46">
        <f t="shared" ca="1" si="8"/>
        <v>2.5000000000000001E-5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input_381010!A$2</f>
        <v>381010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IFERROR(VLOOKUP(B153,input_381010!L:R,7,FALSE),VLOOKUP(tables_381010!C153,input_381010!A:H,8,FALSE))</f>
        <v>38000</v>
      </c>
      <c r="P153" s="46">
        <f t="shared" ca="1" si="8"/>
        <v>5.5232558139534883E-3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input_381010!A$2</f>
        <v>381010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IFERROR(VLOOKUP(B154,input_381010!L:R,7,FALSE),VLOOKUP(tables_381010!C154,input_381010!A:H,8,FALSE))</f>
        <v>34200</v>
      </c>
      <c r="P154" s="46">
        <f t="shared" ca="1" si="8"/>
        <v>4.9709302325581396E-3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input_381010!A$2</f>
        <v>381010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IFERROR(VLOOKUP(B155,input_381010!L:R,7,FALSE),VLOOKUP(tables_381010!C155,input_381010!A:H,8,FALSE))</f>
        <v>3800</v>
      </c>
      <c r="P155" s="46">
        <f t="shared" ca="1" si="8"/>
        <v>5.5232558139534885E-4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input_381010!A$2</f>
        <v>381010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IFERROR(VLOOKUP(B156,input_381010!L:R,7,FALSE),VLOOKUP(tables_381010!C156,input_381010!A:H,8,FALSE))</f>
        <v>3268</v>
      </c>
      <c r="P156" s="46">
        <f t="shared" ca="1" si="8"/>
        <v>4.75E-4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input_381010!A$2</f>
        <v>381010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IFERROR(VLOOKUP(B157,input_381010!L:R,7,FALSE),VLOOKUP(tables_381010!C157,input_381010!A:H,8,FALSE))</f>
        <v>172</v>
      </c>
      <c r="P157" s="46">
        <f t="shared" ca="1" si="8"/>
        <v>2.5000000000000001E-5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input_381010!A$2</f>
        <v>381010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IFERROR(VLOOKUP(B158,input_381010!L:R,7,FALSE),VLOOKUP(tables_381010!C158,input_381010!A:H,8,FALSE))</f>
        <v>38000</v>
      </c>
      <c r="P158" s="46">
        <f t="shared" ca="1" si="8"/>
        <v>5.5232558139534883E-3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input_381010!A$2</f>
        <v>381010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IFERROR(VLOOKUP(B159,input_381010!L:R,7,FALSE),VLOOKUP(tables_381010!C159,input_381010!A:H,8,FALSE))</f>
        <v>34200</v>
      </c>
      <c r="P159" s="46">
        <f t="shared" ca="1" si="8"/>
        <v>4.9709302325581396E-3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input_381010!A$2</f>
        <v>381010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IFERROR(VLOOKUP(B160,input_381010!L:R,7,FALSE),VLOOKUP(tables_381010!C160,input_381010!A:H,8,FALSE))</f>
        <v>3800</v>
      </c>
      <c r="P160" s="46">
        <f t="shared" ca="1" si="8"/>
        <v>5.5232558139534885E-4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input_381010!A$2</f>
        <v>381010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IFERROR(VLOOKUP(B161,input_381010!L:R,7,FALSE),VLOOKUP(tables_381010!C161,input_381010!A:H,8,FALSE))</f>
        <v>38000</v>
      </c>
      <c r="P161" s="46">
        <f t="shared" ca="1" si="8"/>
        <v>5.5232558139534883E-3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input_381010!A$2</f>
        <v>381010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IFERROR(VLOOKUP(B162,input_381010!L:R,7,FALSE),VLOOKUP(tables_381010!C162,input_381010!A:H,8,FALSE))</f>
        <v>34200</v>
      </c>
      <c r="P162" s="46">
        <f t="shared" ca="1" si="8"/>
        <v>4.9709302325581396E-3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input_381010!A$2</f>
        <v>381010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IFERROR(VLOOKUP(B163,input_381010!L:R,7,FALSE),VLOOKUP(tables_381010!C163,input_381010!A:H,8,FALSE))</f>
        <v>3800</v>
      </c>
      <c r="P163" s="46">
        <f t="shared" ca="1" si="8"/>
        <v>5.5232558139534885E-4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input_381010!A$2</f>
        <v>381010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IFERROR(VLOOKUP(B164,input_381010!L:R,7,FALSE),VLOOKUP(tables_381010!C164,input_381010!A:H,8,FALSE))</f>
        <v>3268</v>
      </c>
      <c r="P164" s="46">
        <f t="shared" ca="1" si="8"/>
        <v>4.75E-4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input_381010!A$2</f>
        <v>381010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IFERROR(VLOOKUP(B165,input_381010!L:R,7,FALSE),VLOOKUP(tables_381010!C165,input_381010!A:H,8,FALSE))</f>
        <v>172</v>
      </c>
      <c r="P165" s="46">
        <f t="shared" ca="1" si="8"/>
        <v>2.5000000000000001E-5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input_381010!A$2</f>
        <v>381010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IFERROR(VLOOKUP(B166,input_381010!L:R,7,FALSE),VLOOKUP(tables_381010!C166,input_381010!A:H,8,FALSE))</f>
        <v>38000</v>
      </c>
      <c r="P166" s="46">
        <f t="shared" ca="1" si="8"/>
        <v>5.5232558139534883E-3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input_381010!A$2</f>
        <v>381010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IFERROR(VLOOKUP(B167,input_381010!L:R,7,FALSE),VLOOKUP(tables_381010!C167,input_381010!A:H,8,FALSE))</f>
        <v>34200</v>
      </c>
      <c r="P167" s="46">
        <f t="shared" ca="1" si="8"/>
        <v>4.9709302325581396E-3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input_381010!A$2</f>
        <v>381010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IFERROR(VLOOKUP(B168,input_381010!L:R,7,FALSE),VLOOKUP(tables_381010!C168,input_381010!A:H,8,FALSE))</f>
        <v>3800</v>
      </c>
      <c r="P168" s="46">
        <f t="shared" ca="1" si="8"/>
        <v>5.5232558139534885E-4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input_381010!A$2</f>
        <v>381010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IFERROR(VLOOKUP(B169,input_381010!L:R,7,FALSE),VLOOKUP(tables_381010!C169,input_381010!A:H,8,FALSE))</f>
        <v>3268</v>
      </c>
      <c r="P169" s="46">
        <f t="shared" ca="1" si="8"/>
        <v>4.75E-4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input_381010!A$2</f>
        <v>381010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IFERROR(VLOOKUP(B170,input_381010!L:R,7,FALSE),VLOOKUP(tables_381010!C170,input_381010!A:H,8,FALSE))</f>
        <v>172</v>
      </c>
      <c r="P170" s="46">
        <f t="shared" ca="1" si="8"/>
        <v>2.5000000000000001E-5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input_381010!A$2</f>
        <v>381010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IFERROR(VLOOKUP(B171,input_381010!L:R,7,FALSE),VLOOKUP(tables_381010!C171,input_381010!A:H,8,FALSE))</f>
        <v>38000</v>
      </c>
      <c r="P171" s="46">
        <f t="shared" ca="1" si="8"/>
        <v>5.5232558139534883E-3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input_381010!A$2</f>
        <v>381010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IFERROR(VLOOKUP(B172,input_381010!L:R,7,FALSE),VLOOKUP(tables_381010!C172,input_381010!A:H,8,FALSE))</f>
        <v>34200</v>
      </c>
      <c r="P172" s="46">
        <f t="shared" ca="1" si="8"/>
        <v>4.9709302325581396E-3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input_381010!A$2</f>
        <v>381010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IFERROR(VLOOKUP(B173,input_381010!L:R,7,FALSE),VLOOKUP(tables_381010!C173,input_381010!A:H,8,FALSE))</f>
        <v>3800</v>
      </c>
      <c r="P173" s="46">
        <f t="shared" ca="1" si="8"/>
        <v>5.5232558139534885E-4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input_381010!A$2</f>
        <v>381010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IFERROR(VLOOKUP(B174,input_381010!L:R,7,FALSE),VLOOKUP(tables_381010!C174,input_381010!A:H,8,FALSE))</f>
        <v>3268</v>
      </c>
      <c r="P174" s="46">
        <f t="shared" ca="1" si="8"/>
        <v>4.75E-4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input_381010!A$2</f>
        <v>381010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IFERROR(VLOOKUP(B175,input_381010!L:R,7,FALSE),VLOOKUP(tables_381010!C175,input_381010!A:H,8,FALSE))</f>
        <v>172</v>
      </c>
      <c r="P175" s="46">
        <f t="shared" ca="1" si="8"/>
        <v>2.5000000000000001E-5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input_381010!A$2</f>
        <v>381010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IFERROR(VLOOKUP(B176,input_381010!L:R,7,FALSE),VLOOKUP(tables_381010!C176,input_381010!A:H,8,FALSE))</f>
        <v>3268</v>
      </c>
      <c r="P176" s="46">
        <f t="shared" ca="1" si="8"/>
        <v>4.75E-4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input_381010!A$2</f>
        <v>381010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IFERROR(VLOOKUP(B177,input_381010!L:R,7,FALSE),VLOOKUP(tables_381010!C177,input_381010!A:H,8,FALSE))</f>
        <v>172</v>
      </c>
      <c r="P177" s="46">
        <f t="shared" ca="1" si="8"/>
        <v>2.5000000000000001E-5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input_381010!A$2</f>
        <v>381010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IFERROR(VLOOKUP(B178,input_381010!L:R,7,FALSE),VLOOKUP(tables_381010!C178,input_381010!A:H,8,FALSE))</f>
        <v>38000</v>
      </c>
      <c r="P178" s="46">
        <f t="shared" ca="1" si="8"/>
        <v>5.5232558139534883E-3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input_381010!A$2</f>
        <v>381010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IFERROR(VLOOKUP(B179,input_381010!L:R,7,FALSE),VLOOKUP(tables_381010!C179,input_381010!A:H,8,FALSE))</f>
        <v>34200</v>
      </c>
      <c r="P179" s="46">
        <f t="shared" ca="1" si="8"/>
        <v>4.9709302325581396E-3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input_381010!A$2</f>
        <v>381010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IFERROR(VLOOKUP(B180,input_381010!L:R,7,FALSE),VLOOKUP(tables_381010!C180,input_381010!A:H,8,FALSE))</f>
        <v>3800</v>
      </c>
      <c r="P180" s="46">
        <f t="shared" ca="1" si="8"/>
        <v>5.5232558139534885E-4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input_381010!A$2</f>
        <v>381010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IFERROR(VLOOKUP(B181,input_381010!L:R,7,FALSE),VLOOKUP(tables_381010!C181,input_381010!A:H,8,FALSE))</f>
        <v>38000</v>
      </c>
      <c r="P181" s="46">
        <f t="shared" ca="1" si="8"/>
        <v>5.5232558139534883E-3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input_381010!A$2</f>
        <v>381010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IFERROR(VLOOKUP(B182,input_381010!L:R,7,FALSE),VLOOKUP(tables_381010!C182,input_381010!A:H,8,FALSE))</f>
        <v>34200</v>
      </c>
      <c r="P182" s="46">
        <f t="shared" ca="1" si="8"/>
        <v>4.9709302325581396E-3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input_381010!A$2</f>
        <v>381010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IFERROR(VLOOKUP(B183,input_381010!L:R,7,FALSE),VLOOKUP(tables_381010!C183,input_381010!A:H,8,FALSE))</f>
        <v>3800</v>
      </c>
      <c r="P183" s="46">
        <f t="shared" ca="1" si="8"/>
        <v>5.5232558139534885E-4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input_381010!A$2</f>
        <v>381010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IFERROR(VLOOKUP(B184,input_381010!L:R,7,FALSE),VLOOKUP(tables_381010!C184,input_381010!A:H,8,FALSE))</f>
        <v>3268</v>
      </c>
      <c r="P184" s="46">
        <f t="shared" ca="1" si="8"/>
        <v>4.75E-4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input_381010!A$2</f>
        <v>381010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IFERROR(VLOOKUP(B185,input_381010!L:R,7,FALSE),VLOOKUP(tables_381010!C185,input_381010!A:H,8,FALSE))</f>
        <v>172</v>
      </c>
      <c r="P185" s="46">
        <f t="shared" ca="1" si="8"/>
        <v>2.5000000000000001E-5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input_381010!A$2</f>
        <v>381010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IFERROR(VLOOKUP(B186,input_381010!L:R,7,FALSE),VLOOKUP(tables_381010!C186,input_381010!A:H,8,FALSE))</f>
        <v>38000</v>
      </c>
      <c r="P186" s="46">
        <f t="shared" ca="1" si="8"/>
        <v>5.5232558139534883E-3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input_381010!A$2</f>
        <v>381010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IFERROR(VLOOKUP(B187,input_381010!L:R,7,FALSE),VLOOKUP(tables_381010!C187,input_381010!A:H,8,FALSE))</f>
        <v>34200</v>
      </c>
      <c r="P187" s="46">
        <f t="shared" ca="1" si="8"/>
        <v>4.9709302325581396E-3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input_381010!A$2</f>
        <v>381010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IFERROR(VLOOKUP(B188,input_381010!L:R,7,FALSE),VLOOKUP(tables_381010!C188,input_381010!A:H,8,FALSE))</f>
        <v>3800</v>
      </c>
      <c r="P188" s="46">
        <f t="shared" ca="1" si="8"/>
        <v>5.5232558139534885E-4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input_381010!A$2</f>
        <v>381010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>IFERROR(VLOOKUP(B189,input_381010!L:R,7,FALSE),VLOOKUP(tables_381010!C189,input_381010!A:H,8,FALSE))</f>
        <v>34400</v>
      </c>
      <c r="P189" s="46">
        <f t="shared" ca="1" si="8"/>
        <v>5.0000000000000001E-3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input_381010!A$2</f>
        <v>381010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>IFERROR(VLOOKUP(B190,input_381010!L:R,7,FALSE),VLOOKUP(tables_381010!C190,input_381010!A:H,8,FALSE))</f>
        <v>68800</v>
      </c>
      <c r="P190" s="46">
        <f t="shared" ca="1" si="8"/>
        <v>0.01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input_381010!A$2</f>
        <v>381010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IFERROR(VLOOKUP(B191,input_381010!L:R,7,FALSE),VLOOKUP(tables_381010!C191,input_381010!A:H,8,FALSE))</f>
        <v>3268</v>
      </c>
      <c r="P191" s="46">
        <f t="shared" ca="1" si="8"/>
        <v>4.75E-4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input_381010!A$2</f>
        <v>381010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IFERROR(VLOOKUP(B192,input_381010!L:R,7,FALSE),VLOOKUP(tables_381010!C192,input_381010!A:H,8,FALSE))</f>
        <v>172</v>
      </c>
      <c r="P192" s="46">
        <f t="shared" ca="1" si="8"/>
        <v>2.5000000000000001E-5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input_381010!A$2</f>
        <v>381010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IFERROR(VLOOKUP(B193,input_381010!L:R,7,FALSE),VLOOKUP(tables_381010!C193,input_381010!A:H,8,FALSE))</f>
        <v>38000</v>
      </c>
      <c r="P193" s="46">
        <f t="shared" ca="1" si="8"/>
        <v>5.5232558139534883E-3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input_381010!A$2</f>
        <v>381010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IFERROR(VLOOKUP(B194,input_381010!L:R,7,FALSE),VLOOKUP(tables_381010!C194,input_381010!A:H,8,FALSE))</f>
        <v>34200</v>
      </c>
      <c r="P194" s="46">
        <f t="shared" ref="P194:P257" ca="1" si="11">O194/SUM(O:O)</f>
        <v>4.9709302325581396E-3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input_381010!A$2</f>
        <v>381010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IFERROR(VLOOKUP(B195,input_381010!L:R,7,FALSE),VLOOKUP(tables_381010!C195,input_381010!A:H,8,FALSE))</f>
        <v>3800</v>
      </c>
      <c r="P195" s="46">
        <f t="shared" ca="1" si="11"/>
        <v>5.5232558139534885E-4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input_381010!A$2</f>
        <v>381010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IFERROR(VLOOKUP(B196,input_381010!L:R,7,FALSE),VLOOKUP(tables_381010!C196,input_381010!A:H,8,FALSE))</f>
        <v>3268</v>
      </c>
      <c r="P196" s="46">
        <f t="shared" ca="1" si="11"/>
        <v>4.75E-4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input_381010!A$2</f>
        <v>381010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IFERROR(VLOOKUP(B197,input_381010!L:R,7,FALSE),VLOOKUP(tables_381010!C197,input_381010!A:H,8,FALSE))</f>
        <v>172</v>
      </c>
      <c r="P197" s="46">
        <f t="shared" ca="1" si="11"/>
        <v>2.5000000000000001E-5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input_381010!A$2</f>
        <v>381010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IFERROR(VLOOKUP(B198,input_381010!L:R,7,FALSE),VLOOKUP(tables_381010!C198,input_381010!A:H,8,FALSE))</f>
        <v>38000</v>
      </c>
      <c r="P198" s="46">
        <f t="shared" ca="1" si="11"/>
        <v>5.5232558139534883E-3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input_381010!A$2</f>
        <v>381010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IFERROR(VLOOKUP(B199,input_381010!L:R,7,FALSE),VLOOKUP(tables_381010!C199,input_381010!A:H,8,FALSE))</f>
        <v>34200</v>
      </c>
      <c r="P199" s="46">
        <f t="shared" ca="1" si="11"/>
        <v>4.9709302325581396E-3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input_381010!A$2</f>
        <v>381010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IFERROR(VLOOKUP(B200,input_381010!L:R,7,FALSE),VLOOKUP(tables_381010!C200,input_381010!A:H,8,FALSE))</f>
        <v>3800</v>
      </c>
      <c r="P200" s="46">
        <f t="shared" ca="1" si="11"/>
        <v>5.5232558139534885E-4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input_381010!A$2</f>
        <v>381010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IFERROR(VLOOKUP(B201,input_381010!L:R,7,FALSE),VLOOKUP(tables_381010!C201,input_381010!A:H,8,FALSE))</f>
        <v>3268</v>
      </c>
      <c r="P201" s="46">
        <f t="shared" ca="1" si="11"/>
        <v>4.75E-4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input_381010!A$2</f>
        <v>381010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IFERROR(VLOOKUP(B202,input_381010!L:R,7,FALSE),VLOOKUP(tables_381010!C202,input_381010!A:H,8,FALSE))</f>
        <v>172</v>
      </c>
      <c r="P202" s="46">
        <f t="shared" ca="1" si="11"/>
        <v>2.5000000000000001E-5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input_381010!A$2</f>
        <v>381010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IFERROR(VLOOKUP(B203,input_381010!L:R,7,FALSE),VLOOKUP(tables_381010!C203,input_381010!A:H,8,FALSE))</f>
        <v>38000</v>
      </c>
      <c r="P203" s="46">
        <f t="shared" ca="1" si="11"/>
        <v>5.5232558139534883E-3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input_381010!A$2</f>
        <v>381010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IFERROR(VLOOKUP(B204,input_381010!L:R,7,FALSE),VLOOKUP(tables_381010!C204,input_381010!A:H,8,FALSE))</f>
        <v>34200</v>
      </c>
      <c r="P204" s="46">
        <f t="shared" ca="1" si="11"/>
        <v>4.9709302325581396E-3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input_381010!A$2</f>
        <v>381010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IFERROR(VLOOKUP(B205,input_381010!L:R,7,FALSE),VLOOKUP(tables_381010!C205,input_381010!A:H,8,FALSE))</f>
        <v>3800</v>
      </c>
      <c r="P205" s="46">
        <f t="shared" ca="1" si="11"/>
        <v>5.5232558139534885E-4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input_381010!A$2</f>
        <v>381010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IFERROR(VLOOKUP(B206,input_381010!L:R,7,FALSE),VLOOKUP(tables_381010!C206,input_381010!A:H,8,FALSE))</f>
        <v>3268</v>
      </c>
      <c r="P206" s="46">
        <f t="shared" ca="1" si="11"/>
        <v>4.75E-4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input_381010!A$2</f>
        <v>381010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IFERROR(VLOOKUP(B207,input_381010!L:R,7,FALSE),VLOOKUP(tables_381010!C207,input_381010!A:H,8,FALSE))</f>
        <v>172</v>
      </c>
      <c r="P207" s="46">
        <f t="shared" ca="1" si="11"/>
        <v>2.5000000000000001E-5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input_381010!A$2</f>
        <v>381010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IFERROR(VLOOKUP(B208,input_381010!L:R,7,FALSE),VLOOKUP(tables_381010!C208,input_381010!A:H,8,FALSE))</f>
        <v>3268</v>
      </c>
      <c r="P208" s="46">
        <f t="shared" ca="1" si="11"/>
        <v>4.75E-4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input_381010!A$2</f>
        <v>381010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IFERROR(VLOOKUP(B209,input_381010!L:R,7,FALSE),VLOOKUP(tables_381010!C209,input_381010!A:H,8,FALSE))</f>
        <v>172</v>
      </c>
      <c r="P209" s="46">
        <f t="shared" ca="1" si="11"/>
        <v>2.5000000000000001E-5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input_381010!A$2</f>
        <v>381010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IFERROR(VLOOKUP(B210,input_381010!L:R,7,FALSE),VLOOKUP(tables_381010!C210,input_381010!A:H,8,FALSE))</f>
        <v>38000</v>
      </c>
      <c r="P210" s="46">
        <f t="shared" ca="1" si="11"/>
        <v>5.5232558139534883E-3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input_381010!A$2</f>
        <v>381010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IFERROR(VLOOKUP(B211,input_381010!L:R,7,FALSE),VLOOKUP(tables_381010!C211,input_381010!A:H,8,FALSE))</f>
        <v>34200</v>
      </c>
      <c r="P211" s="46">
        <f t="shared" ca="1" si="11"/>
        <v>4.9709302325581396E-3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input_381010!A$2</f>
        <v>381010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IFERROR(VLOOKUP(B212,input_381010!L:R,7,FALSE),VLOOKUP(tables_381010!C212,input_381010!A:H,8,FALSE))</f>
        <v>3800</v>
      </c>
      <c r="P212" s="46">
        <f t="shared" ca="1" si="11"/>
        <v>5.5232558139534885E-4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input_381010!A$2</f>
        <v>381010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IFERROR(VLOOKUP(B213,input_381010!L:R,7,FALSE),VLOOKUP(tables_381010!C213,input_381010!A:H,8,FALSE))</f>
        <v>3268</v>
      </c>
      <c r="P213" s="46">
        <f t="shared" ca="1" si="11"/>
        <v>4.75E-4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input_381010!A$2</f>
        <v>381010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IFERROR(VLOOKUP(B214,input_381010!L:R,7,FALSE),VLOOKUP(tables_381010!C214,input_381010!A:H,8,FALSE))</f>
        <v>172</v>
      </c>
      <c r="P214" s="46">
        <f t="shared" ca="1" si="11"/>
        <v>2.5000000000000001E-5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input_381010!A$2</f>
        <v>381010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IFERROR(VLOOKUP(B215,input_381010!L:R,7,FALSE),VLOOKUP(tables_381010!C215,input_381010!A:H,8,FALSE))</f>
        <v>3268</v>
      </c>
      <c r="P215" s="46">
        <f t="shared" ca="1" si="11"/>
        <v>4.75E-4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input_381010!A$2</f>
        <v>381010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IFERROR(VLOOKUP(B216,input_381010!L:R,7,FALSE),VLOOKUP(tables_381010!C216,input_381010!A:H,8,FALSE))</f>
        <v>172</v>
      </c>
      <c r="P216" s="46">
        <f t="shared" ca="1" si="11"/>
        <v>2.5000000000000001E-5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input_381010!A$2</f>
        <v>381010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IFERROR(VLOOKUP(B217,input_381010!L:R,7,FALSE),VLOOKUP(tables_381010!C217,input_381010!A:H,8,FALSE))</f>
        <v>38000</v>
      </c>
      <c r="P217" s="46">
        <f t="shared" ca="1" si="11"/>
        <v>5.5232558139534883E-3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input_381010!A$2</f>
        <v>381010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IFERROR(VLOOKUP(B218,input_381010!L:R,7,FALSE),VLOOKUP(tables_381010!C218,input_381010!A:H,8,FALSE))</f>
        <v>34200</v>
      </c>
      <c r="P218" s="46">
        <f t="shared" ca="1" si="11"/>
        <v>4.9709302325581396E-3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input_381010!A$2</f>
        <v>381010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IFERROR(VLOOKUP(B219,input_381010!L:R,7,FALSE),VLOOKUP(tables_381010!C219,input_381010!A:H,8,FALSE))</f>
        <v>3800</v>
      </c>
      <c r="P219" s="46">
        <f t="shared" ca="1" si="11"/>
        <v>5.5232558139534885E-4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input_381010!A$2</f>
        <v>381010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IFERROR(VLOOKUP(B220,input_381010!L:R,7,FALSE),VLOOKUP(tables_381010!C220,input_381010!A:H,8,FALSE))</f>
        <v>38000</v>
      </c>
      <c r="P220" s="46">
        <f t="shared" ca="1" si="11"/>
        <v>5.5232558139534883E-3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input_381010!A$2</f>
        <v>381010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IFERROR(VLOOKUP(B221,input_381010!L:R,7,FALSE),VLOOKUP(tables_381010!C221,input_381010!A:H,8,FALSE))</f>
        <v>34200</v>
      </c>
      <c r="P221" s="46">
        <f t="shared" ca="1" si="11"/>
        <v>4.9709302325581396E-3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input_381010!A$2</f>
        <v>381010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IFERROR(VLOOKUP(B222,input_381010!L:R,7,FALSE),VLOOKUP(tables_381010!C222,input_381010!A:H,8,FALSE))</f>
        <v>3800</v>
      </c>
      <c r="P222" s="46">
        <f t="shared" ca="1" si="11"/>
        <v>5.5232558139534885E-4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input_381010!A$2</f>
        <v>381010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IFERROR(VLOOKUP(B223,input_381010!L:R,7,FALSE),VLOOKUP(tables_381010!C223,input_381010!A:H,8,FALSE))</f>
        <v>3268</v>
      </c>
      <c r="P223" s="46">
        <f t="shared" ca="1" si="11"/>
        <v>4.75E-4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input_381010!A$2</f>
        <v>381010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IFERROR(VLOOKUP(B224,input_381010!L:R,7,FALSE),VLOOKUP(tables_381010!C224,input_381010!A:H,8,FALSE))</f>
        <v>172</v>
      </c>
      <c r="P224" s="46">
        <f t="shared" ca="1" si="11"/>
        <v>2.5000000000000001E-5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input_381010!A$2</f>
        <v>381010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IFERROR(VLOOKUP(B225,input_381010!L:R,7,FALSE),VLOOKUP(tables_381010!C225,input_381010!A:H,8,FALSE))</f>
        <v>38000</v>
      </c>
      <c r="P225" s="46">
        <f t="shared" ca="1" si="11"/>
        <v>5.5232558139534883E-3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input_381010!A$2</f>
        <v>381010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IFERROR(VLOOKUP(B226,input_381010!L:R,7,FALSE),VLOOKUP(tables_381010!C226,input_381010!A:H,8,FALSE))</f>
        <v>34200</v>
      </c>
      <c r="P226" s="46">
        <f t="shared" ca="1" si="11"/>
        <v>4.9709302325581396E-3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input_381010!A$2</f>
        <v>381010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IFERROR(VLOOKUP(B227,input_381010!L:R,7,FALSE),VLOOKUP(tables_381010!C227,input_381010!A:H,8,FALSE))</f>
        <v>3800</v>
      </c>
      <c r="P227" s="46">
        <f t="shared" ca="1" si="11"/>
        <v>5.5232558139534885E-4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input_381010!A$2</f>
        <v>381010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IFERROR(VLOOKUP(B228,input_381010!L:R,7,FALSE),VLOOKUP(tables_381010!C228,input_381010!A:H,8,FALSE))</f>
        <v>38000</v>
      </c>
      <c r="P228" s="46">
        <f t="shared" ca="1" si="11"/>
        <v>5.5232558139534883E-3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input_381010!A$2</f>
        <v>381010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IFERROR(VLOOKUP(B229,input_381010!L:R,7,FALSE),VLOOKUP(tables_381010!C229,input_381010!A:H,8,FALSE))</f>
        <v>34200</v>
      </c>
      <c r="P229" s="46">
        <f t="shared" ca="1" si="11"/>
        <v>4.9709302325581396E-3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input_381010!A$2</f>
        <v>381010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IFERROR(VLOOKUP(B230,input_381010!L:R,7,FALSE),VLOOKUP(tables_381010!C230,input_381010!A:H,8,FALSE))</f>
        <v>3800</v>
      </c>
      <c r="P230" s="46">
        <f t="shared" ca="1" si="11"/>
        <v>5.5232558139534885E-4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input_381010!A$2</f>
        <v>381010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IFERROR(VLOOKUP(B231,input_381010!L:R,7,FALSE),VLOOKUP(tables_381010!C231,input_381010!A:H,8,FALSE))</f>
        <v>3268</v>
      </c>
      <c r="P231" s="46">
        <f t="shared" ca="1" si="11"/>
        <v>4.75E-4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input_381010!A$2</f>
        <v>381010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IFERROR(VLOOKUP(B232,input_381010!L:R,7,FALSE),VLOOKUP(tables_381010!C232,input_381010!A:H,8,FALSE))</f>
        <v>172</v>
      </c>
      <c r="P232" s="46">
        <f t="shared" ca="1" si="11"/>
        <v>2.5000000000000001E-5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input_381010!A$2</f>
        <v>381010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IFERROR(VLOOKUP(B233,input_381010!L:R,7,FALSE),VLOOKUP(tables_381010!C233,input_381010!A:H,8,FALSE))</f>
        <v>38000</v>
      </c>
      <c r="P233" s="46">
        <f t="shared" ca="1" si="11"/>
        <v>5.5232558139534883E-3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input_381010!A$2</f>
        <v>381010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IFERROR(VLOOKUP(B234,input_381010!L:R,7,FALSE),VLOOKUP(tables_381010!C234,input_381010!A:H,8,FALSE))</f>
        <v>34200</v>
      </c>
      <c r="P234" s="46">
        <f t="shared" ca="1" si="11"/>
        <v>4.9709302325581396E-3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input_381010!A$2</f>
        <v>381010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IFERROR(VLOOKUP(B235,input_381010!L:R,7,FALSE),VLOOKUP(tables_381010!C235,input_381010!A:H,8,FALSE))</f>
        <v>3800</v>
      </c>
      <c r="P235" s="46">
        <f t="shared" ca="1" si="11"/>
        <v>5.5232558139534885E-4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input_381010!A$2</f>
        <v>381010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IFERROR(VLOOKUP(B236,input_381010!L:R,7,FALSE),VLOOKUP(tables_381010!C236,input_381010!A:H,8,FALSE))</f>
        <v>3268</v>
      </c>
      <c r="P236" s="46">
        <f t="shared" ca="1" si="11"/>
        <v>4.75E-4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input_381010!A$2</f>
        <v>381010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IFERROR(VLOOKUP(B237,input_381010!L:R,7,FALSE),VLOOKUP(tables_381010!C237,input_381010!A:H,8,FALSE))</f>
        <v>172</v>
      </c>
      <c r="P237" s="46">
        <f t="shared" ca="1" si="11"/>
        <v>2.5000000000000001E-5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input_381010!A$2</f>
        <v>381010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IFERROR(VLOOKUP(B238,input_381010!L:R,7,FALSE),VLOOKUP(tables_381010!C238,input_381010!A:H,8,FALSE))</f>
        <v>3268</v>
      </c>
      <c r="P238" s="46">
        <f t="shared" ca="1" si="11"/>
        <v>4.75E-4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input_381010!A$2</f>
        <v>381010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IFERROR(VLOOKUP(B239,input_381010!L:R,7,FALSE),VLOOKUP(tables_381010!C239,input_381010!A:H,8,FALSE))</f>
        <v>172</v>
      </c>
      <c r="P239" s="46">
        <f t="shared" ca="1" si="11"/>
        <v>2.5000000000000001E-5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input_381010!A$2</f>
        <v>381010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IFERROR(VLOOKUP(B240,input_381010!L:R,7,FALSE),VLOOKUP(tables_381010!C240,input_381010!A:H,8,FALSE))</f>
        <v>38000</v>
      </c>
      <c r="P240" s="46">
        <f t="shared" ca="1" si="11"/>
        <v>5.5232558139534883E-3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input_381010!A$2</f>
        <v>381010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IFERROR(VLOOKUP(B241,input_381010!L:R,7,FALSE),VLOOKUP(tables_381010!C241,input_381010!A:H,8,FALSE))</f>
        <v>34200</v>
      </c>
      <c r="P241" s="46">
        <f t="shared" ca="1" si="11"/>
        <v>4.9709302325581396E-3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input_381010!A$2</f>
        <v>381010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IFERROR(VLOOKUP(B242,input_381010!L:R,7,FALSE),VLOOKUP(tables_381010!C242,input_381010!A:H,8,FALSE))</f>
        <v>3800</v>
      </c>
      <c r="P242" s="46">
        <f t="shared" ca="1" si="11"/>
        <v>5.5232558139534885E-4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input_381010!A$2</f>
        <v>381010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IFERROR(VLOOKUP(B243,input_381010!L:R,7,FALSE),VLOOKUP(tables_381010!C243,input_381010!A:H,8,FALSE))</f>
        <v>38000</v>
      </c>
      <c r="P243" s="46">
        <f t="shared" ca="1" si="11"/>
        <v>5.5232558139534883E-3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input_381010!A$2</f>
        <v>381010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IFERROR(VLOOKUP(B244,input_381010!L:R,7,FALSE),VLOOKUP(tables_381010!C244,input_381010!A:H,8,FALSE))</f>
        <v>34200</v>
      </c>
      <c r="P244" s="46">
        <f t="shared" ca="1" si="11"/>
        <v>4.9709302325581396E-3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input_381010!A$2</f>
        <v>381010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IFERROR(VLOOKUP(B245,input_381010!L:R,7,FALSE),VLOOKUP(tables_381010!C245,input_381010!A:H,8,FALSE))</f>
        <v>3800</v>
      </c>
      <c r="P245" s="46">
        <f t="shared" ca="1" si="11"/>
        <v>5.5232558139534885E-4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input_381010!A$2</f>
        <v>381010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IFERROR(VLOOKUP(B246,input_381010!L:R,7,FALSE),VLOOKUP(tables_381010!C246,input_381010!A:H,8,FALSE))</f>
        <v>38000</v>
      </c>
      <c r="P246" s="46">
        <f t="shared" ca="1" si="11"/>
        <v>5.5232558139534883E-3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input_381010!A$2</f>
        <v>381010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IFERROR(VLOOKUP(B247,input_381010!L:R,7,FALSE),VLOOKUP(tables_381010!C247,input_381010!A:H,8,FALSE))</f>
        <v>34200</v>
      </c>
      <c r="P247" s="46">
        <f t="shared" ca="1" si="11"/>
        <v>4.9709302325581396E-3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input_381010!A$2</f>
        <v>381010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IFERROR(VLOOKUP(B248,input_381010!L:R,7,FALSE),VLOOKUP(tables_381010!C248,input_381010!A:H,8,FALSE))</f>
        <v>3800</v>
      </c>
      <c r="P248" s="46">
        <f t="shared" ca="1" si="11"/>
        <v>5.5232558139534885E-4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input_381010!A$2</f>
        <v>381010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IFERROR(VLOOKUP(B249,input_381010!L:R,7,FALSE),VLOOKUP(tables_381010!C249,input_381010!A:H,8,FALSE))</f>
        <v>38000</v>
      </c>
      <c r="P249" s="46">
        <f t="shared" ca="1" si="11"/>
        <v>5.5232558139534883E-3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input_381010!A$2</f>
        <v>381010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IFERROR(VLOOKUP(B250,input_381010!L:R,7,FALSE),VLOOKUP(tables_381010!C250,input_381010!A:H,8,FALSE))</f>
        <v>34200</v>
      </c>
      <c r="P250" s="46">
        <f t="shared" ca="1" si="11"/>
        <v>4.9709302325581396E-3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input_381010!A$2</f>
        <v>381010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IFERROR(VLOOKUP(B251,input_381010!L:R,7,FALSE),VLOOKUP(tables_381010!C251,input_381010!A:H,8,FALSE))</f>
        <v>3800</v>
      </c>
      <c r="P251" s="46">
        <f t="shared" ca="1" si="11"/>
        <v>5.5232558139534885E-4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input_381010!A$2</f>
        <v>381010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IFERROR(VLOOKUP(B252,input_381010!L:R,7,FALSE),VLOOKUP(tables_381010!C252,input_381010!A:H,8,FALSE))</f>
        <v>3268</v>
      </c>
      <c r="P252" s="46">
        <f t="shared" ca="1" si="11"/>
        <v>4.75E-4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input_381010!A$2</f>
        <v>381010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IFERROR(VLOOKUP(B253,input_381010!L:R,7,FALSE),VLOOKUP(tables_381010!C253,input_381010!A:H,8,FALSE))</f>
        <v>172</v>
      </c>
      <c r="P253" s="46">
        <f t="shared" ca="1" si="11"/>
        <v>2.5000000000000001E-5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input_381010!A$2</f>
        <v>381010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IFERROR(VLOOKUP(B254,input_381010!L:R,7,FALSE),VLOOKUP(tables_381010!C254,input_381010!A:H,8,FALSE))</f>
        <v>3268</v>
      </c>
      <c r="P254" s="46">
        <f t="shared" ca="1" si="11"/>
        <v>4.75E-4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input_381010!A$2</f>
        <v>381010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IFERROR(VLOOKUP(B255,input_381010!L:R,7,FALSE),VLOOKUP(tables_381010!C255,input_381010!A:H,8,FALSE))</f>
        <v>172</v>
      </c>
      <c r="P255" s="46">
        <f t="shared" ca="1" si="11"/>
        <v>2.5000000000000001E-5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input_381010!A$2</f>
        <v>381010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IFERROR(VLOOKUP(B256,input_381010!L:R,7,FALSE),VLOOKUP(tables_381010!C256,input_381010!A:H,8,FALSE))</f>
        <v>68143.199999999997</v>
      </c>
      <c r="P256" s="46">
        <f t="shared" ca="1" si="11"/>
        <v>9.9045348837209293E-3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input_381010!A$2</f>
        <v>381010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IFERROR(VLOOKUP(B257,input_381010!L:R,7,FALSE),VLOOKUP(tables_381010!C257,input_381010!A:H,8,FALSE))</f>
        <v>7856.8</v>
      </c>
      <c r="P257" s="46">
        <f t="shared" ca="1" si="11"/>
        <v>1.1419767441860466E-3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input_381010!A$2</f>
        <v>381010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IFERROR(VLOOKUP(B258,input_381010!L:R,7,FALSE),VLOOKUP(tables_381010!C258,input_381010!A:H,8,FALSE))</f>
        <v>68143.199999999997</v>
      </c>
      <c r="P258" s="46">
        <f t="shared" ref="P258:P294" ca="1" si="14">O258/SUM(O:O)</f>
        <v>9.9045348837209293E-3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input_381010!A$2</f>
        <v>381010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IFERROR(VLOOKUP(B259,input_381010!L:R,7,FALSE),VLOOKUP(tables_381010!C259,input_381010!A:H,8,FALSE))</f>
        <v>7856.8</v>
      </c>
      <c r="P259" s="46">
        <f t="shared" ca="1" si="14"/>
        <v>1.1419767441860466E-3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input_381010!A$2</f>
        <v>381010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IFERROR(VLOOKUP(B260,input_381010!L:R,7,FALSE),VLOOKUP(tables_381010!C260,input_381010!A:H,8,FALSE))</f>
        <v>3440</v>
      </c>
      <c r="P260" s="46">
        <f t="shared" ca="1" si="14"/>
        <v>5.0000000000000001E-4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input_381010!A$2</f>
        <v>381010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IFERROR(VLOOKUP(B261,input_381010!L:R,7,FALSE),VLOOKUP(tables_381010!C261,input_381010!A:H,8,FALSE))</f>
        <v>3440</v>
      </c>
      <c r="P261" s="46">
        <f t="shared" ca="1" si="14"/>
        <v>5.0000000000000001E-4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input_381010!A$2</f>
        <v>381010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IFERROR(VLOOKUP(B262,input_381010!L:R,7,FALSE),VLOOKUP(tables_381010!C262,input_381010!A:H,8,FALSE))</f>
        <v>3268</v>
      </c>
      <c r="P262" s="46">
        <f t="shared" ca="1" si="14"/>
        <v>4.75E-4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input_381010!A$2</f>
        <v>381010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IFERROR(VLOOKUP(B263,input_381010!L:R,7,FALSE),VLOOKUP(tables_381010!C263,input_381010!A:H,8,FALSE))</f>
        <v>172</v>
      </c>
      <c r="P263" s="46">
        <f t="shared" ca="1" si="14"/>
        <v>2.5000000000000001E-5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input_381010!A$2</f>
        <v>381010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IFERROR(VLOOKUP(B264,input_381010!L:R,7,FALSE),VLOOKUP(tables_381010!C264,input_381010!A:H,8,FALSE))</f>
        <v>3268</v>
      </c>
      <c r="P264" s="46">
        <f t="shared" ca="1" si="14"/>
        <v>4.75E-4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input_381010!A$2</f>
        <v>381010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IFERROR(VLOOKUP(B265,input_381010!L:R,7,FALSE),VLOOKUP(tables_381010!C265,input_381010!A:H,8,FALSE))</f>
        <v>172</v>
      </c>
      <c r="P265" s="46">
        <f t="shared" ca="1" si="14"/>
        <v>2.5000000000000001E-5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input_381010!A$2</f>
        <v>381010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IFERROR(VLOOKUP(B266,input_381010!L:R,7,FALSE),VLOOKUP(tables_381010!C266,input_381010!A:H,8,FALSE))</f>
        <v>38000</v>
      </c>
      <c r="P266" s="46">
        <f t="shared" ca="1" si="14"/>
        <v>5.5232558139534883E-3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input_381010!A$2</f>
        <v>381010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IFERROR(VLOOKUP(B267,input_381010!L:R,7,FALSE),VLOOKUP(tables_381010!C267,input_381010!A:H,8,FALSE))</f>
        <v>34200</v>
      </c>
      <c r="P267" s="46">
        <f t="shared" ca="1" si="14"/>
        <v>4.9709302325581396E-3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input_381010!A$2</f>
        <v>381010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IFERROR(VLOOKUP(B268,input_381010!L:R,7,FALSE),VLOOKUP(tables_381010!C268,input_381010!A:H,8,FALSE))</f>
        <v>3800</v>
      </c>
      <c r="P268" s="46">
        <f t="shared" ca="1" si="14"/>
        <v>5.5232558139534885E-4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input_381010!A$2</f>
        <v>381010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IFERROR(VLOOKUP(B269,input_381010!L:R,7,FALSE),VLOOKUP(tables_381010!C269,input_381010!A:H,8,FALSE))</f>
        <v>38000</v>
      </c>
      <c r="P269" s="46">
        <f t="shared" ca="1" si="14"/>
        <v>5.5232558139534883E-3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input_381010!A$2</f>
        <v>381010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IFERROR(VLOOKUP(B270,input_381010!L:R,7,FALSE),VLOOKUP(tables_381010!C270,input_381010!A:H,8,FALSE))</f>
        <v>34200</v>
      </c>
      <c r="P270" s="46">
        <f t="shared" ca="1" si="14"/>
        <v>4.9709302325581396E-3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input_381010!A$2</f>
        <v>381010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IFERROR(VLOOKUP(B271,input_381010!L:R,7,FALSE),VLOOKUP(tables_381010!C271,input_381010!A:H,8,FALSE))</f>
        <v>3800</v>
      </c>
      <c r="P271" s="46">
        <f t="shared" ca="1" si="14"/>
        <v>5.5232558139534885E-4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input_381010!A$2</f>
        <v>381010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IFERROR(VLOOKUP(B272,input_381010!L:R,7,FALSE),VLOOKUP(tables_381010!C272,input_381010!A:H,8,FALSE))</f>
        <v>3440</v>
      </c>
      <c r="P272" s="46">
        <f t="shared" ca="1" si="14"/>
        <v>5.0000000000000001E-4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input_381010!A$2</f>
        <v>381010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IFERROR(VLOOKUP(B273,input_381010!L:R,7,FALSE),VLOOKUP(tables_381010!C273,input_381010!A:H,8,FALSE))</f>
        <v>3440</v>
      </c>
      <c r="P273" s="46">
        <f t="shared" ca="1" si="14"/>
        <v>5.0000000000000001E-4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input_381010!A$2</f>
        <v>381010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IFERROR(VLOOKUP(B274,input_381010!L:R,7,FALSE),VLOOKUP(tables_381010!C274,input_381010!A:H,8,FALSE))</f>
        <v>68143.199999999997</v>
      </c>
      <c r="P274" s="46">
        <f t="shared" ca="1" si="14"/>
        <v>9.9045348837209293E-3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input_381010!A$2</f>
        <v>381010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IFERROR(VLOOKUP(B275,input_381010!L:R,7,FALSE),VLOOKUP(tables_381010!C275,input_381010!A:H,8,FALSE))</f>
        <v>7856.8</v>
      </c>
      <c r="P275" s="46">
        <f t="shared" ca="1" si="14"/>
        <v>1.1419767441860466E-3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input_381010!A$2</f>
        <v>381010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IFERROR(VLOOKUP(B276,input_381010!L:R,7,FALSE),VLOOKUP(tables_381010!C276,input_381010!A:H,8,FALSE))</f>
        <v>68143.199999999997</v>
      </c>
      <c r="P276" s="46">
        <f t="shared" ca="1" si="14"/>
        <v>9.9045348837209293E-3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input_381010!A$2</f>
        <v>381010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IFERROR(VLOOKUP(B277,input_381010!L:R,7,FALSE),VLOOKUP(tables_381010!C277,input_381010!A:H,8,FALSE))</f>
        <v>7856.8</v>
      </c>
      <c r="P277" s="46">
        <f t="shared" ca="1" si="14"/>
        <v>1.1419767441860466E-3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input_381010!A$2</f>
        <v>381010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IFERROR(VLOOKUP(B278,input_381010!L:R,7,FALSE),VLOOKUP(tables_381010!C278,input_381010!A:H,8,FALSE))</f>
        <v>68143.199999999997</v>
      </c>
      <c r="P278" s="46">
        <f t="shared" ca="1" si="14"/>
        <v>9.9045348837209293E-3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input_381010!A$2</f>
        <v>381010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IFERROR(VLOOKUP(B279,input_381010!L:R,7,FALSE),VLOOKUP(tables_381010!C279,input_381010!A:H,8,FALSE))</f>
        <v>7856.8</v>
      </c>
      <c r="P279" s="46">
        <f t="shared" ca="1" si="14"/>
        <v>1.1419767441860466E-3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input_381010!A$2</f>
        <v>381010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IFERROR(VLOOKUP(B280,input_381010!L:R,7,FALSE),VLOOKUP(tables_381010!C280,input_381010!A:H,8,FALSE))</f>
        <v>68143.199999999997</v>
      </c>
      <c r="P280" s="46">
        <f t="shared" ca="1" si="14"/>
        <v>9.9045348837209293E-3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input_381010!A$2</f>
        <v>381010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IFERROR(VLOOKUP(B281,input_381010!L:R,7,FALSE),VLOOKUP(tables_381010!C281,input_381010!A:H,8,FALSE))</f>
        <v>7856.8</v>
      </c>
      <c r="P281" s="46">
        <f t="shared" ca="1" si="14"/>
        <v>1.1419767441860466E-3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input_381010!A$2</f>
        <v>381010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IFERROR(VLOOKUP(B282,input_381010!L:R,7,FALSE),VLOOKUP(tables_381010!C282,input_381010!A:H,8,FALSE))</f>
        <v>3440</v>
      </c>
      <c r="P282" s="46">
        <f t="shared" ca="1" si="14"/>
        <v>5.0000000000000001E-4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input_381010!A$2</f>
        <v>381010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IFERROR(VLOOKUP(B283,input_381010!L:R,7,FALSE),VLOOKUP(tables_381010!C283,input_381010!A:H,8,FALSE))</f>
        <v>3440</v>
      </c>
      <c r="P283" s="46">
        <f t="shared" ca="1" si="14"/>
        <v>5.0000000000000001E-4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input_381010!A$2</f>
        <v>381010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IFERROR(VLOOKUP(B284,input_381010!L:R,7,FALSE),VLOOKUP(tables_381010!C284,input_381010!A:H,8,FALSE))</f>
        <v>3440</v>
      </c>
      <c r="P284" s="46">
        <f t="shared" ca="1" si="14"/>
        <v>5.0000000000000001E-4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input_381010!A$2</f>
        <v>381010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IFERROR(VLOOKUP(B285,input_381010!L:R,7,FALSE),VLOOKUP(tables_381010!C285,input_381010!A:H,8,FALSE))</f>
        <v>3440</v>
      </c>
      <c r="P285" s="46">
        <f t="shared" ca="1" si="14"/>
        <v>5.0000000000000001E-4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input_381010!A$2</f>
        <v>381010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IFERROR(VLOOKUP(B286,input_381010!L:R,7,FALSE),VLOOKUP(tables_381010!C286,input_381010!A:H,8,FALSE))</f>
        <v>68143.199999999997</v>
      </c>
      <c r="P286" s="46">
        <f t="shared" ca="1" si="14"/>
        <v>9.9045348837209293E-3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input_381010!A$2</f>
        <v>381010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IFERROR(VLOOKUP(B287,input_381010!L:R,7,FALSE),VLOOKUP(tables_381010!C287,input_381010!A:H,8,FALSE))</f>
        <v>7856.8</v>
      </c>
      <c r="P287" s="46">
        <f t="shared" ca="1" si="14"/>
        <v>1.1419767441860466E-3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input_381010!A$2</f>
        <v>381010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IFERROR(VLOOKUP(B288,input_381010!L:R,7,FALSE),VLOOKUP(tables_381010!C288,input_381010!A:H,8,FALSE))</f>
        <v>68143.199999999997</v>
      </c>
      <c r="P288" s="46">
        <f t="shared" ca="1" si="14"/>
        <v>9.9045348837209293E-3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input_381010!A$2</f>
        <v>381010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IFERROR(VLOOKUP(B289,input_381010!L:R,7,FALSE),VLOOKUP(tables_381010!C289,input_381010!A:H,8,FALSE))</f>
        <v>7856.8</v>
      </c>
      <c r="P289" s="46">
        <f t="shared" ca="1" si="14"/>
        <v>1.1419767441860466E-3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input_381010!A$2</f>
        <v>381010</v>
      </c>
      <c r="B290" s="5">
        <v>937</v>
      </c>
      <c r="C290" s="7" t="str">
        <f t="shared" ref="C290:C294" si="17">D290&amp;J290&amp;E290&amp;F290&amp;G290</f>
        <v>PremiumSS5R5only</v>
      </c>
      <c r="D290" s="7" t="str">
        <f t="shared" ref="D290:D294" si="18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IFERROR(VLOOKUP(B290,input_381010!L:R,7,FALSE),VLOOKUP(tables_381010!C290,input_381010!A:H,8,FALSE))</f>
        <v>3440</v>
      </c>
      <c r="P290" s="46">
        <f t="shared" ca="1" si="14"/>
        <v>5.0000000000000001E-4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input_381010!A$2</f>
        <v>381010</v>
      </c>
      <c r="B291" s="5">
        <v>939</v>
      </c>
      <c r="C291" s="7" t="str">
        <f t="shared" si="17"/>
        <v>Premium4R3less</v>
      </c>
      <c r="D291" s="7" t="str">
        <f t="shared" si="18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IFERROR(VLOOKUP(B291,input_381010!L:R,7,FALSE),VLOOKUP(tables_381010!C291,input_381010!A:H,8,FALSE))</f>
        <v>68143.199999999997</v>
      </c>
      <c r="P291" s="46">
        <f t="shared" ca="1" si="14"/>
        <v>9.9045348837209293E-3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input_381010!A$2</f>
        <v>381010</v>
      </c>
      <c r="B292" s="5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IFERROR(VLOOKUP(B292,input_381010!L:R,7,FALSE),VLOOKUP(tables_381010!C292,input_381010!A:H,8,FALSE))</f>
        <v>7856.8</v>
      </c>
      <c r="P292" s="46">
        <f t="shared" ca="1" si="14"/>
        <v>1.1419767441860466E-3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input_381010!A$2</f>
        <v>381010</v>
      </c>
      <c r="B293" s="5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IFERROR(VLOOKUP(B293,input_381010!L:R,7,FALSE),VLOOKUP(tables_381010!C293,input_381010!A:H,8,FALSE))</f>
        <v>3440</v>
      </c>
      <c r="P293" s="46">
        <f t="shared" ca="1" si="14"/>
        <v>5.0000000000000001E-4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input_381010!A$2</f>
        <v>381010</v>
      </c>
      <c r="B294" s="5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IFERROR(VLOOKUP(B294,input_381010!L:R,7,FALSE),VLOOKUP(tables_381010!C294,input_381010!A:H,8,FALSE))</f>
        <v>3440</v>
      </c>
      <c r="P294" s="46">
        <f t="shared" ca="1" si="14"/>
        <v>5.0000000000000001E-4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input_381010!A$2</f>
        <v>381010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ref="D295:D299" si="20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IFERROR(VLOOKUP(B295,input_381010!L:R,7,FALSE),VLOOKUP(tables_381010!C295,input_381010!A:H,8,FALSE))</f>
        <v>3440</v>
      </c>
      <c r="P295" s="46">
        <f t="shared" ref="P295:P299" ca="1" si="21">O295/SUM(O:O)</f>
        <v>5.0000000000000001E-4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input_381010!A$2</f>
        <v>381010</v>
      </c>
      <c r="B296" s="5">
        <v>1014</v>
      </c>
      <c r="C296" s="7" t="str">
        <f t="shared" si="19"/>
        <v>PremiumSS5R5only</v>
      </c>
      <c r="D296" s="7" t="str">
        <f t="shared" si="20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IFERROR(VLOOKUP(B296,input_381010!L:R,7,FALSE),VLOOKUP(tables_381010!C296,input_381010!A:H,8,FALSE))</f>
        <v>3440</v>
      </c>
      <c r="P296" s="46">
        <f t="shared" ca="1" si="21"/>
        <v>5.0000000000000001E-4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input_381010!A$2</f>
        <v>381010</v>
      </c>
      <c r="B297" s="5">
        <v>1016</v>
      </c>
      <c r="C297" s="7" t="str">
        <f t="shared" si="19"/>
        <v>Premium4R3less</v>
      </c>
      <c r="D297" s="7" t="str">
        <f t="shared" si="20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IFERROR(VLOOKUP(B297,input_381010!L:R,7,FALSE),VLOOKUP(tables_381010!C297,input_381010!A:H,8,FALSE))</f>
        <v>68143.199999999997</v>
      </c>
      <c r="P297" s="46">
        <f t="shared" ca="1" si="21"/>
        <v>9.9045348837209293E-3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input_381010!A$2</f>
        <v>381010</v>
      </c>
      <c r="B298" s="5">
        <v>1017</v>
      </c>
      <c r="C298" s="7" t="str">
        <f t="shared" si="19"/>
        <v>Premium5R3less</v>
      </c>
      <c r="D298" s="7" t="str">
        <f t="shared" si="20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IFERROR(VLOOKUP(B298,input_381010!L:R,7,FALSE),VLOOKUP(tables_381010!C298,input_381010!A:H,8,FALSE))</f>
        <v>7856.8</v>
      </c>
      <c r="P298" s="46">
        <f t="shared" ca="1" si="21"/>
        <v>1.1419767441860466E-3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input_381010!A$2</f>
        <v>381010</v>
      </c>
      <c r="B299" s="5">
        <v>1018</v>
      </c>
      <c r="C299" s="7" t="str">
        <f t="shared" si="19"/>
        <v>PremiumSS5R5only</v>
      </c>
      <c r="D299" s="7" t="str">
        <f t="shared" si="20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IFERROR(VLOOKUP(B299,input_381010!L:R,7,FALSE),VLOOKUP(tables_381010!C299,input_381010!A:H,8,FALSE))</f>
        <v>3440</v>
      </c>
      <c r="P299" s="46">
        <f t="shared" ca="1" si="21"/>
        <v>5.0000000000000001E-4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H36" sqref="H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381100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320</v>
      </c>
      <c r="M3" s="37" t="str">
        <f>VLOOKUP(L3,[1]characters!$A:$C,3,FALSE)</f>
        <v>烈志士 近藤勇</v>
      </c>
      <c r="N3" s="63">
        <v>5.0000000000000001E-3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VLOOKUP(L3,tables_381100!B:C,2,FALSE)</f>
        <v>PremiumSS4</v>
      </c>
      <c r="R3" s="62">
        <f t="shared" ref="R3:R20" si="1">N3*A$36</f>
        <v>34400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321</v>
      </c>
      <c r="M4" s="37" t="str">
        <f>VLOOKUP(L4,[1]characters!$A:$C,3,FALSE)</f>
        <v>巌鉄の烈志士 近藤勇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VLOOKUP(L4,tables_381100!B:C,2,FALSE)</f>
        <v>PremiumSS5</v>
      </c>
      <c r="R4" s="62">
        <f t="shared" si="1"/>
        <v>68800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5.0000000000000012E-4</v>
      </c>
      <c r="F5">
        <f>(COUNTIF(tables_381100!C:C,input_381100!A28)+COUNTIF(tables_381100!C:C,input_381100!A29))</f>
        <v>42</v>
      </c>
      <c r="H5" s="85">
        <v>0.03</v>
      </c>
      <c r="I5" s="31">
        <v>2</v>
      </c>
      <c r="L5" s="98">
        <v>465</v>
      </c>
      <c r="M5" s="37" t="str">
        <f>VLOOKUP(L5,[1]characters!$A:$C,3,FALSE)</f>
        <v>真撃 ランスロット</v>
      </c>
      <c r="N5" s="63">
        <v>5.0000000000000001E-3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VLOOKUP(L5,tables_381100!B:C,2,FALSE)</f>
        <v>PremiumSS4</v>
      </c>
      <c r="R5" s="62">
        <f t="shared" si="1"/>
        <v>34400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1.1046511627906977E-2</v>
      </c>
      <c r="F6">
        <f>(COUNTIF(tables_381100!C:C,input_381100!A25)+COUNTIF(tables_381100!C:C,input_381100!A18)+COUNTIF(tables_381100!C:C,input_381100!A20)+COUNTIF(tables_381100!C:C,input_381100!A22))</f>
        <v>86</v>
      </c>
      <c r="H6" s="91">
        <v>0</v>
      </c>
      <c r="I6" s="31">
        <v>0</v>
      </c>
      <c r="L6" s="60">
        <v>466</v>
      </c>
      <c r="M6" s="37" t="str">
        <f>VLOOKUP(L6,[1]characters!$A:$C,3,FALSE)</f>
        <v>真断の勇覇 ランスロット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VLOOKUP(L6,tables_381100!B:C,2,FALSE)</f>
        <v>PremiumSS5</v>
      </c>
      <c r="R6" s="62">
        <f t="shared" si="1"/>
        <v>68800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VLOOKUP(L7,tables_381100!B:C,2,FALSE)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VLOOKUP(L8,tables_381100!B:C,2,FALSE)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90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VLOOKUP(L9,tables_381100!B:C,2,FALSE)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90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VLOOKUP(L10,tables_381100!B:C,2,FALSE)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255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VLOOKUP(L11,tables_381100!B:C,2,FALSE)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VLOOKUP(L12,tables_381100!B:C,2,FALSE)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0.01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VLOOKUP(L13,tables_381100!B:C,2,FALSE)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VLOOKUP(L14,tables_381100!B:C,2,FALSE)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COUNTIF(tables_381100!C:C,input_381100!A17)-COUNTIF(Q:Q,A17)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0.22093023255813954</v>
      </c>
      <c r="C18" s="86">
        <f t="shared" si="2"/>
        <v>0</v>
      </c>
      <c r="D18" s="74">
        <f t="shared" si="3"/>
        <v>0.22093023255813954</v>
      </c>
      <c r="E18">
        <f>COUNTIF(tables_381100!C:C,input_381100!A18)-COUNTIF(Q:Q,A18)</f>
        <v>20</v>
      </c>
      <c r="F18" s="43">
        <f>IFERROR(B18/E18,0)</f>
        <v>1.1046511627906977E-2</v>
      </c>
      <c r="G18">
        <f t="shared" si="4"/>
        <v>1520000</v>
      </c>
      <c r="H18">
        <f t="shared" si="5"/>
        <v>76000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COUNTIF(tables_381100!C:C,input_381100!A19)-COUNTIF(Q:Q,A19)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0.54569767441860462</v>
      </c>
      <c r="C20" s="86">
        <f t="shared" si="2"/>
        <v>0</v>
      </c>
      <c r="D20" s="74">
        <f t="shared" si="3"/>
        <v>0.54569767441860462</v>
      </c>
      <c r="E20">
        <f>COUNTIF(tables_381100!C:C,input_381100!A20)-COUNTIF(Q:Q,A20)</f>
        <v>52</v>
      </c>
      <c r="F20" s="43">
        <f t="shared" si="8"/>
        <v>1.0494186046511627E-2</v>
      </c>
      <c r="G20">
        <f t="shared" si="4"/>
        <v>3754399.9999999995</v>
      </c>
      <c r="H20">
        <f t="shared" si="5"/>
        <v>72200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2.8720930232558142E-2</v>
      </c>
      <c r="C21" s="86">
        <f t="shared" si="2"/>
        <v>0</v>
      </c>
      <c r="D21" s="74">
        <f t="shared" si="3"/>
        <v>2.8720930232558142E-2</v>
      </c>
      <c r="E21">
        <f>COUNTIF(tables_381100!C:C,input_381100!A21)-COUNTIF(Q:Q,A21)</f>
        <v>52</v>
      </c>
      <c r="F21" s="43">
        <f t="shared" si="8"/>
        <v>5.5232558139534885E-4</v>
      </c>
      <c r="G21">
        <f t="shared" si="4"/>
        <v>197600</v>
      </c>
      <c r="H21">
        <f t="shared" si="5"/>
        <v>3800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9.9045348837209307E-2</v>
      </c>
      <c r="C22" s="86">
        <f t="shared" si="2"/>
        <v>0</v>
      </c>
      <c r="D22" s="74">
        <f t="shared" si="3"/>
        <v>9.9045348837209307E-2</v>
      </c>
      <c r="E22">
        <f>COUNTIF(tables_381100!C:C,input_381100!A22)-COUNTIF(Q:Q,A22)</f>
        <v>10</v>
      </c>
      <c r="F22" s="43">
        <f t="shared" si="8"/>
        <v>9.9045348837209311E-3</v>
      </c>
      <c r="G22">
        <f t="shared" si="4"/>
        <v>681432</v>
      </c>
      <c r="H22">
        <f t="shared" si="5"/>
        <v>68143.199999999997</v>
      </c>
      <c r="I22">
        <f t="shared" si="6"/>
        <v>0.19999999999708962</v>
      </c>
      <c r="J22">
        <f t="shared" si="7"/>
        <v>5.0000000000727596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1.1419767441860466E-2</v>
      </c>
      <c r="C23" s="86">
        <f t="shared" si="2"/>
        <v>0</v>
      </c>
      <c r="D23" s="74">
        <f t="shared" si="3"/>
        <v>1.1419767441860466E-2</v>
      </c>
      <c r="E23">
        <f>COUNTIF(tables_381100!C:C,input_381100!A23)-COUNTIF(Q:Q,A23)</f>
        <v>10</v>
      </c>
      <c r="F23" s="43">
        <f t="shared" si="8"/>
        <v>1.1419767441860466E-3</v>
      </c>
      <c r="G23">
        <f t="shared" si="4"/>
        <v>78568</v>
      </c>
      <c r="H23">
        <f t="shared" si="5"/>
        <v>7856.8</v>
      </c>
      <c r="I23">
        <f t="shared" si="6"/>
        <v>0.8000000000001819</v>
      </c>
      <c r="J23">
        <f t="shared" si="7"/>
        <v>1.2499999999997158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6">
        <f t="shared" si="2"/>
        <v>0</v>
      </c>
      <c r="D24" s="74">
        <f t="shared" si="3"/>
        <v>0</v>
      </c>
      <c r="E24">
        <f>COUNTIF(tables_381100!C:C,input_381100!A24)-COUNTIF(Q:Q,A24)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4.1976744186046508E-2</v>
      </c>
      <c r="C25" s="86">
        <f t="shared" si="2"/>
        <v>0</v>
      </c>
      <c r="D25" s="74">
        <f t="shared" si="3"/>
        <v>4.1976744186046508E-2</v>
      </c>
      <c r="E25">
        <f>COUNTIF(tables_381100!C:C,input_381100!A25)-COUNTIF(Q:Q,A25)</f>
        <v>4</v>
      </c>
      <c r="F25" s="43">
        <f t="shared" si="8"/>
        <v>1.0494186046511627E-2</v>
      </c>
      <c r="G25">
        <f t="shared" si="4"/>
        <v>288800</v>
      </c>
      <c r="H25">
        <f t="shared" si="5"/>
        <v>72200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2.2093023255813954E-3</v>
      </c>
      <c r="C26" s="86">
        <f t="shared" si="2"/>
        <v>0</v>
      </c>
      <c r="D26" s="74">
        <f t="shared" si="3"/>
        <v>2.2093023255813954E-3</v>
      </c>
      <c r="E26">
        <f>COUNTIF(tables_381100!C:C,input_381100!A26)-COUNTIF(Q:Q,A26)</f>
        <v>4</v>
      </c>
      <c r="F26" s="43">
        <f t="shared" si="8"/>
        <v>5.5232558139534885E-4</v>
      </c>
      <c r="G26">
        <f t="shared" si="4"/>
        <v>15200</v>
      </c>
      <c r="H26">
        <f t="shared" si="5"/>
        <v>3800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1.2350000000000002E-2</v>
      </c>
      <c r="C27" s="86">
        <f t="shared" si="2"/>
        <v>0.01</v>
      </c>
      <c r="D27" s="74">
        <f t="shared" si="3"/>
        <v>2.3500000000000014E-3</v>
      </c>
      <c r="E27">
        <f>COUNTIF(tables_381100!C:C,input_381100!A27)-COUNTIF(Q:Q,A27)</f>
        <v>26</v>
      </c>
      <c r="F27" s="43">
        <f>IFERROR(B27/E27,0)</f>
        <v>4.7500000000000005E-4</v>
      </c>
      <c r="G27">
        <f t="shared" si="4"/>
        <v>84968.000000000015</v>
      </c>
      <c r="H27">
        <f t="shared" si="5"/>
        <v>3268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6.5000000000000019E-4</v>
      </c>
      <c r="C28" s="86">
        <f t="shared" si="2"/>
        <v>0.02</v>
      </c>
      <c r="D28" s="74">
        <f t="shared" si="3"/>
        <v>-1.9349999999999999E-2</v>
      </c>
      <c r="E28">
        <f>COUNTIF(tables_381100!C:C,input_381100!A28)-COUNTIF(Q:Q,A28)</f>
        <v>26</v>
      </c>
      <c r="F28" s="43">
        <f t="shared" si="8"/>
        <v>2.5000000000000008E-5</v>
      </c>
      <c r="G28">
        <f t="shared" si="4"/>
        <v>4472.0000000000009</v>
      </c>
      <c r="H28">
        <f t="shared" si="5"/>
        <v>172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7.0000000000000019E-3</v>
      </c>
      <c r="C29" s="86">
        <f t="shared" si="2"/>
        <v>0</v>
      </c>
      <c r="D29" s="74">
        <f t="shared" si="3"/>
        <v>7.0000000000000019E-3</v>
      </c>
      <c r="E29">
        <f>COUNTIF(tables_381100!C:C,input_381100!A29)-COUNTIF(Q:Q,A29)</f>
        <v>14</v>
      </c>
      <c r="F29" s="43">
        <f t="shared" si="8"/>
        <v>5.0000000000000012E-4</v>
      </c>
      <c r="G29">
        <f t="shared" si="4"/>
        <v>48160.000000000015</v>
      </c>
      <c r="H29">
        <f t="shared" si="5"/>
        <v>3440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COUNTIF(tables_381100!C:C,input_381100!A30)-COUNTIF(Q:Q,A30)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COUNTIF(tables_381100!C:C,input_381100!A31)-COUNTIF(Q:Q,A31)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0.96999999999999986</v>
      </c>
      <c r="C32" s="41">
        <f>SUM(C19:C31)</f>
        <v>0.03</v>
      </c>
      <c r="D32" s="42">
        <f t="shared" si="3"/>
        <v>0.93999999999999984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6880000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SUMIF(tables_381100!C:C,input_381100!A40,tables_381100!O:O)</f>
        <v>0</v>
      </c>
      <c r="C40" s="54">
        <f t="shared" ref="C40:C46" ca="1" si="9">B40/B$47</f>
        <v>0</v>
      </c>
      <c r="E40">
        <v>3</v>
      </c>
      <c r="F40">
        <f ca="1">SUMIF(tables_381100!J:J,input_381100!E40,tables_381100!O:O)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SUMIF(tables_381100!C:C,input_381100!A41,tables_381100!O:O)</f>
        <v>3754400</v>
      </c>
      <c r="C41" s="54">
        <f t="shared" ca="1" si="9"/>
        <v>0.8838374326716637</v>
      </c>
      <c r="E41">
        <v>4</v>
      </c>
      <c r="F41">
        <f ca="1">SUMIF(tables_381100!J:J,input_381100!E41,tables_381100!O:O)</f>
        <v>6398400.0000000019</v>
      </c>
      <c r="G41">
        <f ca="1">F41/A36</f>
        <v>0.93000000000000027</v>
      </c>
    </row>
    <row r="42" spans="1:7" x14ac:dyDescent="0.15">
      <c r="A42" s="33" t="s">
        <v>106</v>
      </c>
      <c r="B42">
        <f ca="1">SUMIF(tables_381100!C:C,input_381100!A42,tables_381100!O:O)</f>
        <v>153768</v>
      </c>
      <c r="C42" s="54">
        <f t="shared" ca="1" si="9"/>
        <v>3.619910354438962E-2</v>
      </c>
      <c r="E42">
        <v>5</v>
      </c>
      <c r="F42">
        <f ca="1">SUMIF(tables_381100!J:J,input_381100!E42,tables_381100!O:O)</f>
        <v>481599.99999999988</v>
      </c>
      <c r="G42">
        <f ca="1">F42/A36</f>
        <v>6.9999999999999979E-2</v>
      </c>
    </row>
    <row r="43" spans="1:7" x14ac:dyDescent="0.15">
      <c r="A43" s="33" t="s">
        <v>109</v>
      </c>
      <c r="B43">
        <f>SUMIF(tables_381100!C:C,input_381100!A43,tables_381100!O:O)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SUMIF(tables_381100!C:C,input_381100!A44,tables_381100!O:O)</f>
        <v>197600</v>
      </c>
      <c r="C44" s="54">
        <f t="shared" ca="1" si="9"/>
        <v>4.651775961429809E-2</v>
      </c>
      <c r="E44" t="s">
        <v>54</v>
      </c>
      <c r="F44" s="55"/>
    </row>
    <row r="45" spans="1:7" x14ac:dyDescent="0.15">
      <c r="A45" s="33" t="s">
        <v>107</v>
      </c>
      <c r="B45">
        <f ca="1">SUMIF(tables_381100!C:C,input_381100!A45,tables_381100!O:O)</f>
        <v>142072</v>
      </c>
      <c r="C45" s="54">
        <f t="shared" ca="1" si="9"/>
        <v>3.3445704169648573E-2</v>
      </c>
      <c r="E45" t="s">
        <v>204</v>
      </c>
      <c r="F45" s="55">
        <f ca="1">SUMIF(tables_381100!I:I,input_381100!E45,tables_381100!P:P)</f>
        <v>0.22093023255813957</v>
      </c>
    </row>
    <row r="46" spans="1:7" x14ac:dyDescent="0.15">
      <c r="A46" s="33" t="s">
        <v>108</v>
      </c>
      <c r="B46">
        <f>SUMIF(tables_381100!C:C,input_381100!A46,tables_381100!O:O)</f>
        <v>0</v>
      </c>
      <c r="C46" s="54">
        <f t="shared" ca="1" si="9"/>
        <v>0</v>
      </c>
      <c r="E46" t="s">
        <v>205</v>
      </c>
      <c r="F46" s="55">
        <f ca="1">SUMIF(tables_381100!I:I,input_381100!E46,tables_381100!P:P)</f>
        <v>0.22093023255813943</v>
      </c>
    </row>
    <row r="47" spans="1:7" x14ac:dyDescent="0.15">
      <c r="A47" s="39" t="s">
        <v>59</v>
      </c>
      <c r="B47">
        <f ca="1">SUM(B40:B46)</f>
        <v>4247840</v>
      </c>
      <c r="C47" s="55">
        <f ca="1">SUM(C40:C46)</f>
        <v>0.99999999999999989</v>
      </c>
      <c r="E47" t="s">
        <v>206</v>
      </c>
      <c r="F47" s="55">
        <f ca="1">SUMIF(tables_381100!I:I,input_381100!E47,tables_381100!P:P)</f>
        <v>0.50813953488372099</v>
      </c>
    </row>
    <row r="48" spans="1:7" x14ac:dyDescent="0.15">
      <c r="E48" t="s">
        <v>207</v>
      </c>
      <c r="F48" s="55">
        <f ca="1">SUMIF(tables_381100!I:I,input_381100!E48,tables_381100!P:P)</f>
        <v>5.0000000000000017E-2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9"/>
  <sheetViews>
    <sheetView showGridLines="0" zoomScale="75" zoomScaleNormal="75" zoomScalePageLayoutView="75" workbookViewId="0">
      <pane ySplit="1" topLeftCell="A273" activePane="bottomLeft" state="frozen"/>
      <selection activeCell="D34" sqref="D34"/>
      <selection pane="bottomLeft" activeCell="B299" sqref="B29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input_381100!A$2</f>
        <v>381100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IFERROR(VLOOKUP(B2,input_381100!L:R,7,FALSE),VLOOKUP(tables_381100!C2,input_381100!A:H,8,FALSE))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input_381100!A$2</f>
        <v>381100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IFERROR(VLOOKUP(B3,input_381100!L:R,7,FALSE),VLOOKUP(tables_381100!C3,input_381100!A:H,8,FALSE))</f>
        <v>76000</v>
      </c>
      <c r="P3" s="46">
        <f t="shared" ca="1" si="2"/>
        <v>1.1046511627906977E-2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input_381100!A$2</f>
        <v>381100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IFERROR(VLOOKUP(B4,input_381100!L:R,7,FALSE),VLOOKUP(tables_381100!C4,input_381100!A:H,8,FALSE))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input_381100!A$2</f>
        <v>381100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IFERROR(VLOOKUP(B5,input_381100!L:R,7,FALSE),VLOOKUP(tables_381100!C5,input_381100!A:H,8,FALSE))</f>
        <v>76000</v>
      </c>
      <c r="P5" s="46">
        <f t="shared" ca="1" si="2"/>
        <v>1.1046511627906977E-2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input_381100!A$2</f>
        <v>381100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IFERROR(VLOOKUP(B6,input_381100!L:R,7,FALSE),VLOOKUP(tables_381100!C6,input_381100!A:H,8,FALSE))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input_381100!A$2</f>
        <v>381100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IFERROR(VLOOKUP(B7,input_381100!L:R,7,FALSE),VLOOKUP(tables_381100!C7,input_381100!A:H,8,FALSE))</f>
        <v>76000</v>
      </c>
      <c r="P7" s="46">
        <f t="shared" ca="1" si="2"/>
        <v>1.1046511627906977E-2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input_381100!A$2</f>
        <v>381100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IFERROR(VLOOKUP(B8,input_381100!L:R,7,FALSE),VLOOKUP(tables_381100!C8,input_381100!A:H,8,FALSE))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input_381100!A$2</f>
        <v>381100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IFERROR(VLOOKUP(B9,input_381100!L:R,7,FALSE),VLOOKUP(tables_381100!C9,input_381100!A:H,8,FALSE))</f>
        <v>76000</v>
      </c>
      <c r="P9" s="46">
        <f t="shared" ca="1" si="2"/>
        <v>1.1046511627906977E-2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input_381100!A$2</f>
        <v>381100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IFERROR(VLOOKUP(B10,input_381100!L:R,7,FALSE),VLOOKUP(tables_381100!C10,input_381100!A:H,8,FALSE))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input_381100!A$2</f>
        <v>381100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IFERROR(VLOOKUP(B11,input_381100!L:R,7,FALSE),VLOOKUP(tables_381100!C11,input_381100!A:H,8,FALSE))</f>
        <v>76000</v>
      </c>
      <c r="P11" s="46">
        <f t="shared" ca="1" si="2"/>
        <v>1.1046511627906977E-2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input_381100!A$2</f>
        <v>381100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IFERROR(VLOOKUP(B12,input_381100!L:R,7,FALSE),VLOOKUP(tables_381100!C12,input_381100!A:H,8,FALSE))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input_381100!A$2</f>
        <v>381100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IFERROR(VLOOKUP(B13,input_381100!L:R,7,FALSE),VLOOKUP(tables_381100!C13,input_381100!A:H,8,FALSE))</f>
        <v>76000</v>
      </c>
      <c r="P13" s="46">
        <f t="shared" ca="1" si="2"/>
        <v>1.1046511627906977E-2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input_381100!A$2</f>
        <v>381100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IFERROR(VLOOKUP(B14,input_381100!L:R,7,FALSE),VLOOKUP(tables_381100!C14,input_381100!A:H,8,FALSE))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input_381100!A$2</f>
        <v>381100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IFERROR(VLOOKUP(B15,input_381100!L:R,7,FALSE),VLOOKUP(tables_381100!C15,input_381100!A:H,8,FALSE))</f>
        <v>76000</v>
      </c>
      <c r="P15" s="46">
        <f t="shared" ca="1" si="2"/>
        <v>1.1046511627906977E-2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input_381100!A$2</f>
        <v>381100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IFERROR(VLOOKUP(B16,input_381100!L:R,7,FALSE),VLOOKUP(tables_381100!C16,input_381100!A:H,8,FALSE))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input_381100!A$2</f>
        <v>381100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IFERROR(VLOOKUP(B17,input_381100!L:R,7,FALSE),VLOOKUP(tables_381100!C17,input_381100!A:H,8,FALSE))</f>
        <v>76000</v>
      </c>
      <c r="P17" s="46">
        <f t="shared" ca="1" si="2"/>
        <v>1.1046511627906977E-2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input_381100!A$2</f>
        <v>381100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IFERROR(VLOOKUP(B18,input_381100!L:R,7,FALSE),VLOOKUP(tables_381100!C18,input_381100!A:H,8,FALSE))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input_381100!A$2</f>
        <v>381100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IFERROR(VLOOKUP(B19,input_381100!L:R,7,FALSE),VLOOKUP(tables_381100!C19,input_381100!A:H,8,FALSE))</f>
        <v>76000</v>
      </c>
      <c r="P19" s="46">
        <f t="shared" ca="1" si="2"/>
        <v>1.1046511627906977E-2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input_381100!A$2</f>
        <v>381100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IFERROR(VLOOKUP(B20,input_381100!L:R,7,FALSE),VLOOKUP(tables_381100!C20,input_381100!A:H,8,FALSE))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input_381100!A$2</f>
        <v>381100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IFERROR(VLOOKUP(B21,input_381100!L:R,7,FALSE),VLOOKUP(tables_381100!C21,input_381100!A:H,8,FALSE))</f>
        <v>76000</v>
      </c>
      <c r="P21" s="46">
        <f t="shared" ca="1" si="2"/>
        <v>1.1046511627906977E-2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input_381100!A$2</f>
        <v>381100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IFERROR(VLOOKUP(B22,input_381100!L:R,7,FALSE),VLOOKUP(tables_381100!C22,input_381100!A:H,8,FALSE))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input_381100!A$2</f>
        <v>381100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IFERROR(VLOOKUP(B23,input_381100!L:R,7,FALSE),VLOOKUP(tables_381100!C23,input_381100!A:H,8,FALSE))</f>
        <v>76000</v>
      </c>
      <c r="P23" s="46">
        <f t="shared" ca="1" si="2"/>
        <v>1.1046511627906977E-2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input_381100!A$2</f>
        <v>381100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IFERROR(VLOOKUP(B24,input_381100!L:R,7,FALSE),VLOOKUP(tables_381100!C24,input_381100!A:H,8,FALSE))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input_381100!A$2</f>
        <v>381100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IFERROR(VLOOKUP(B25,input_381100!L:R,7,FALSE),VLOOKUP(tables_381100!C25,input_381100!A:H,8,FALSE))</f>
        <v>76000</v>
      </c>
      <c r="P25" s="46">
        <f t="shared" ca="1" si="2"/>
        <v>1.1046511627906977E-2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input_381100!A$2</f>
        <v>381100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IFERROR(VLOOKUP(B26,input_381100!L:R,7,FALSE),VLOOKUP(tables_381100!C26,input_381100!A:H,8,FALSE))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input_381100!A$2</f>
        <v>381100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IFERROR(VLOOKUP(B27,input_381100!L:R,7,FALSE),VLOOKUP(tables_381100!C27,input_381100!A:H,8,FALSE))</f>
        <v>76000</v>
      </c>
      <c r="P27" s="46">
        <f t="shared" ca="1" si="2"/>
        <v>1.1046511627906977E-2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input_381100!A$2</f>
        <v>381100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IFERROR(VLOOKUP(B28,input_381100!L:R,7,FALSE),VLOOKUP(tables_381100!C28,input_381100!A:H,8,FALSE))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input_381100!A$2</f>
        <v>381100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IFERROR(VLOOKUP(B29,input_381100!L:R,7,FALSE),VLOOKUP(tables_381100!C29,input_381100!A:H,8,FALSE))</f>
        <v>76000</v>
      </c>
      <c r="P29" s="46">
        <f t="shared" ca="1" si="2"/>
        <v>1.1046511627906977E-2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input_381100!A$2</f>
        <v>381100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IFERROR(VLOOKUP(B30,input_381100!L:R,7,FALSE),VLOOKUP(tables_381100!C30,input_381100!A:H,8,FALSE))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input_381100!A$2</f>
        <v>381100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IFERROR(VLOOKUP(B31,input_381100!L:R,7,FALSE),VLOOKUP(tables_381100!C31,input_381100!A:H,8,FALSE))</f>
        <v>76000</v>
      </c>
      <c r="P31" s="46">
        <f t="shared" ca="1" si="2"/>
        <v>1.1046511627906977E-2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input_381100!A$2</f>
        <v>381100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IFERROR(VLOOKUP(B32,input_381100!L:R,7,FALSE),VLOOKUP(tables_381100!C32,input_381100!A:H,8,FALSE))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input_381100!A$2</f>
        <v>381100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IFERROR(VLOOKUP(B33,input_381100!L:R,7,FALSE),VLOOKUP(tables_381100!C33,input_381100!A:H,8,FALSE))</f>
        <v>76000</v>
      </c>
      <c r="P33" s="46">
        <f t="shared" ca="1" si="2"/>
        <v>1.1046511627906977E-2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input_381100!A$2</f>
        <v>381100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IFERROR(VLOOKUP(B34,input_381100!L:R,7,FALSE),VLOOKUP(tables_381100!C34,input_381100!A:H,8,FALSE))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input_381100!A$2</f>
        <v>381100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IFERROR(VLOOKUP(B35,input_381100!L:R,7,FALSE),VLOOKUP(tables_381100!C35,input_381100!A:H,8,FALSE))</f>
        <v>76000</v>
      </c>
      <c r="P35" s="46">
        <f t="shared" ca="1" si="2"/>
        <v>1.1046511627906977E-2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input_381100!A$2</f>
        <v>381100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IFERROR(VLOOKUP(B36,input_381100!L:R,7,FALSE),VLOOKUP(tables_381100!C36,input_381100!A:H,8,FALSE))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input_381100!A$2</f>
        <v>381100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IFERROR(VLOOKUP(B37,input_381100!L:R,7,FALSE),VLOOKUP(tables_381100!C37,input_381100!A:H,8,FALSE))</f>
        <v>76000</v>
      </c>
      <c r="P37" s="46">
        <f t="shared" ca="1" si="2"/>
        <v>1.1046511627906977E-2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input_381100!A$2</f>
        <v>381100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IFERROR(VLOOKUP(B38,input_381100!L:R,7,FALSE),VLOOKUP(tables_381100!C38,input_381100!A:H,8,FALSE))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input_381100!A$2</f>
        <v>381100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IFERROR(VLOOKUP(B39,input_381100!L:R,7,FALSE),VLOOKUP(tables_381100!C39,input_381100!A:H,8,FALSE))</f>
        <v>76000</v>
      </c>
      <c r="P39" s="46">
        <f t="shared" ca="1" si="2"/>
        <v>1.1046511627906977E-2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input_381100!A$2</f>
        <v>381100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IFERROR(VLOOKUP(B40,input_381100!L:R,7,FALSE),VLOOKUP(tables_381100!C40,input_381100!A:H,8,FALSE))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input_381100!A$2</f>
        <v>381100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IFERROR(VLOOKUP(B41,input_381100!L:R,7,FALSE),VLOOKUP(tables_381100!C41,input_381100!A:H,8,FALSE))</f>
        <v>76000</v>
      </c>
      <c r="P41" s="46">
        <f t="shared" ca="1" si="2"/>
        <v>1.1046511627906977E-2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input_381100!A$2</f>
        <v>381100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IFERROR(VLOOKUP(B42,input_381100!L:R,7,FALSE),VLOOKUP(tables_381100!C42,input_381100!A:H,8,FALSE))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input_381100!A$2</f>
        <v>381100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IFERROR(VLOOKUP(B43,input_381100!L:R,7,FALSE),VLOOKUP(tables_381100!C43,input_381100!A:H,8,FALSE))</f>
        <v>72200</v>
      </c>
      <c r="P43" s="46">
        <f t="shared" ca="1" si="2"/>
        <v>1.0494186046511629E-2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input_381100!A$2</f>
        <v>381100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IFERROR(VLOOKUP(B44,input_381100!L:R,7,FALSE),VLOOKUP(tables_381100!C44,input_381100!A:H,8,FALSE))</f>
        <v>3800</v>
      </c>
      <c r="P44" s="46">
        <f t="shared" ca="1" si="2"/>
        <v>5.5232558139534885E-4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input_381100!A$2</f>
        <v>381100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IFERROR(VLOOKUP(B45,input_381100!L:R,7,FALSE),VLOOKUP(tables_381100!C45,input_381100!A:H,8,FALSE))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input_381100!A$2</f>
        <v>381100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IFERROR(VLOOKUP(B46,input_381100!L:R,7,FALSE),VLOOKUP(tables_381100!C46,input_381100!A:H,8,FALSE))</f>
        <v>72200</v>
      </c>
      <c r="P46" s="46">
        <f t="shared" ca="1" si="2"/>
        <v>1.0494186046511629E-2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input_381100!A$2</f>
        <v>381100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IFERROR(VLOOKUP(B47,input_381100!L:R,7,FALSE),VLOOKUP(tables_381100!C47,input_381100!A:H,8,FALSE))</f>
        <v>3800</v>
      </c>
      <c r="P47" s="46">
        <f t="shared" ca="1" si="2"/>
        <v>5.5232558139534885E-4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input_381100!A$2</f>
        <v>381100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IFERROR(VLOOKUP(B48,input_381100!L:R,7,FALSE),VLOOKUP(tables_381100!C48,input_381100!A:H,8,FALSE))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input_381100!A$2</f>
        <v>381100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IFERROR(VLOOKUP(B49,input_381100!L:R,7,FALSE),VLOOKUP(tables_381100!C49,input_381100!A:H,8,FALSE))</f>
        <v>72200</v>
      </c>
      <c r="P49" s="46">
        <f t="shared" ca="1" si="2"/>
        <v>1.0494186046511629E-2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input_381100!A$2</f>
        <v>381100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IFERROR(VLOOKUP(B50,input_381100!L:R,7,FALSE),VLOOKUP(tables_381100!C50,input_381100!A:H,8,FALSE))</f>
        <v>3800</v>
      </c>
      <c r="P50" s="46">
        <f t="shared" ca="1" si="2"/>
        <v>5.5232558139534885E-4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input_381100!A$2</f>
        <v>381100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IFERROR(VLOOKUP(B51,input_381100!L:R,7,FALSE),VLOOKUP(tables_381100!C51,input_381100!A:H,8,FALSE))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input_381100!A$2</f>
        <v>381100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IFERROR(VLOOKUP(B52,input_381100!L:R,7,FALSE),VLOOKUP(tables_381100!C52,input_381100!A:H,8,FALSE))</f>
        <v>72200</v>
      </c>
      <c r="P52" s="46">
        <f t="shared" ca="1" si="2"/>
        <v>1.0494186046511629E-2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input_381100!A$2</f>
        <v>381100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IFERROR(VLOOKUP(B53,input_381100!L:R,7,FALSE),VLOOKUP(tables_381100!C53,input_381100!A:H,8,FALSE))</f>
        <v>3800</v>
      </c>
      <c r="P53" s="46">
        <f t="shared" ca="1" si="2"/>
        <v>5.5232558139534885E-4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input_381100!A$2</f>
        <v>381100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IFERROR(VLOOKUP(B54,input_381100!L:R,7,FALSE),VLOOKUP(tables_381100!C54,input_381100!A:H,8,FALSE))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input_381100!A$2</f>
        <v>381100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IFERROR(VLOOKUP(B55,input_381100!L:R,7,FALSE),VLOOKUP(tables_381100!C55,input_381100!A:H,8,FALSE))</f>
        <v>72200</v>
      </c>
      <c r="P55" s="46">
        <f t="shared" ca="1" si="2"/>
        <v>1.0494186046511629E-2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input_381100!A$2</f>
        <v>381100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IFERROR(VLOOKUP(B56,input_381100!L:R,7,FALSE),VLOOKUP(tables_381100!C56,input_381100!A:H,8,FALSE))</f>
        <v>3800</v>
      </c>
      <c r="P56" s="46">
        <f t="shared" ca="1" si="2"/>
        <v>5.5232558139534885E-4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input_381100!A$2</f>
        <v>381100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IFERROR(VLOOKUP(B57,input_381100!L:R,7,FALSE),VLOOKUP(tables_381100!C57,input_381100!A:H,8,FALSE))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input_381100!A$2</f>
        <v>381100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IFERROR(VLOOKUP(B58,input_381100!L:R,7,FALSE),VLOOKUP(tables_381100!C58,input_381100!A:H,8,FALSE))</f>
        <v>72200</v>
      </c>
      <c r="P58" s="46">
        <f t="shared" ca="1" si="2"/>
        <v>1.0494186046511629E-2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input_381100!A$2</f>
        <v>381100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IFERROR(VLOOKUP(B59,input_381100!L:R,7,FALSE),VLOOKUP(tables_381100!C59,input_381100!A:H,8,FALSE))</f>
        <v>3800</v>
      </c>
      <c r="P59" s="46">
        <f t="shared" ca="1" si="2"/>
        <v>5.5232558139534885E-4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input_381100!A$2</f>
        <v>381100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IFERROR(VLOOKUP(B60,input_381100!L:R,7,FALSE),VLOOKUP(tables_381100!C60,input_381100!A:H,8,FALSE))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input_381100!A$2</f>
        <v>381100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IFERROR(VLOOKUP(B61,input_381100!L:R,7,FALSE),VLOOKUP(tables_381100!C61,input_381100!A:H,8,FALSE))</f>
        <v>72200</v>
      </c>
      <c r="P61" s="46">
        <f t="shared" ca="1" si="2"/>
        <v>1.0494186046511629E-2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input_381100!A$2</f>
        <v>381100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IFERROR(VLOOKUP(B62,input_381100!L:R,7,FALSE),VLOOKUP(tables_381100!C62,input_381100!A:H,8,FALSE))</f>
        <v>3800</v>
      </c>
      <c r="P62" s="46">
        <f t="shared" ca="1" si="2"/>
        <v>5.5232558139534885E-4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input_381100!A$2</f>
        <v>381100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IFERROR(VLOOKUP(B63,input_381100!L:R,7,FALSE),VLOOKUP(tables_381100!C63,input_381100!A:H,8,FALSE))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input_381100!A$2</f>
        <v>381100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IFERROR(VLOOKUP(B64,input_381100!L:R,7,FALSE),VLOOKUP(tables_381100!C64,input_381100!A:H,8,FALSE))</f>
        <v>72200</v>
      </c>
      <c r="P64" s="46">
        <f t="shared" ca="1" si="2"/>
        <v>1.0494186046511629E-2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input_381100!A$2</f>
        <v>381100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IFERROR(VLOOKUP(B65,input_381100!L:R,7,FALSE),VLOOKUP(tables_381100!C65,input_381100!A:H,8,FALSE))</f>
        <v>3800</v>
      </c>
      <c r="P65" s="46">
        <f t="shared" ca="1" si="2"/>
        <v>5.5232558139534885E-4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input_381100!A$2</f>
        <v>381100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IFERROR(VLOOKUP(B66,input_381100!L:R,7,FALSE),VLOOKUP(tables_381100!C66,input_381100!A:H,8,FALSE))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input_381100!A$2</f>
        <v>381100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IFERROR(VLOOKUP(B67,input_381100!L:R,7,FALSE),VLOOKUP(tables_381100!C67,input_381100!A:H,8,FALSE))</f>
        <v>72200</v>
      </c>
      <c r="P67" s="46">
        <f t="shared" ca="1" si="5"/>
        <v>1.0494186046511629E-2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input_381100!A$2</f>
        <v>381100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IFERROR(VLOOKUP(B68,input_381100!L:R,7,FALSE),VLOOKUP(tables_381100!C68,input_381100!A:H,8,FALSE))</f>
        <v>3800</v>
      </c>
      <c r="P68" s="46">
        <f t="shared" ca="1" si="5"/>
        <v>5.5232558139534885E-4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input_381100!A$2</f>
        <v>381100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IFERROR(VLOOKUP(B69,input_381100!L:R,7,FALSE),VLOOKUP(tables_381100!C69,input_381100!A:H,8,FALSE))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input_381100!A$2</f>
        <v>381100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IFERROR(VLOOKUP(B70,input_381100!L:R,7,FALSE),VLOOKUP(tables_381100!C70,input_381100!A:H,8,FALSE))</f>
        <v>72200</v>
      </c>
      <c r="P70" s="46">
        <f t="shared" ca="1" si="5"/>
        <v>1.0494186046511629E-2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input_381100!A$2</f>
        <v>381100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IFERROR(VLOOKUP(B71,input_381100!L:R,7,FALSE),VLOOKUP(tables_381100!C71,input_381100!A:H,8,FALSE))</f>
        <v>3800</v>
      </c>
      <c r="P71" s="46">
        <f t="shared" ca="1" si="5"/>
        <v>5.5232558139534885E-4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input_381100!A$2</f>
        <v>381100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IFERROR(VLOOKUP(B72,input_381100!L:R,7,FALSE),VLOOKUP(tables_381100!C72,input_381100!A:H,8,FALSE))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input_381100!A$2</f>
        <v>381100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IFERROR(VLOOKUP(B73,input_381100!L:R,7,FALSE),VLOOKUP(tables_381100!C73,input_381100!A:H,8,FALSE))</f>
        <v>72200</v>
      </c>
      <c r="P73" s="46">
        <f t="shared" ca="1" si="5"/>
        <v>1.0494186046511629E-2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input_381100!A$2</f>
        <v>381100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IFERROR(VLOOKUP(B74,input_381100!L:R,7,FALSE),VLOOKUP(tables_381100!C74,input_381100!A:H,8,FALSE))</f>
        <v>3800</v>
      </c>
      <c r="P74" s="46">
        <f t="shared" ca="1" si="5"/>
        <v>5.5232558139534885E-4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input_381100!A$2</f>
        <v>381100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IFERROR(VLOOKUP(B75,input_381100!L:R,7,FALSE),VLOOKUP(tables_381100!C75,input_381100!A:H,8,FALSE))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input_381100!A$2</f>
        <v>381100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IFERROR(VLOOKUP(B76,input_381100!L:R,7,FALSE),VLOOKUP(tables_381100!C76,input_381100!A:H,8,FALSE))</f>
        <v>72200</v>
      </c>
      <c r="P76" s="46">
        <f t="shared" ca="1" si="5"/>
        <v>1.0494186046511629E-2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input_381100!A$2</f>
        <v>381100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IFERROR(VLOOKUP(B77,input_381100!L:R,7,FALSE),VLOOKUP(tables_381100!C77,input_381100!A:H,8,FALSE))</f>
        <v>3800</v>
      </c>
      <c r="P77" s="46">
        <f t="shared" ca="1" si="5"/>
        <v>5.5232558139534885E-4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input_381100!A$2</f>
        <v>381100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IFERROR(VLOOKUP(B78,input_381100!L:R,7,FALSE),VLOOKUP(tables_381100!C78,input_381100!A:H,8,FALSE))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input_381100!A$2</f>
        <v>381100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IFERROR(VLOOKUP(B79,input_381100!L:R,7,FALSE),VLOOKUP(tables_381100!C79,input_381100!A:H,8,FALSE))</f>
        <v>72200</v>
      </c>
      <c r="P79" s="46">
        <f t="shared" ca="1" si="5"/>
        <v>1.0494186046511629E-2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input_381100!A$2</f>
        <v>381100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IFERROR(VLOOKUP(B80,input_381100!L:R,7,FALSE),VLOOKUP(tables_381100!C80,input_381100!A:H,8,FALSE))</f>
        <v>3800</v>
      </c>
      <c r="P80" s="46">
        <f t="shared" ca="1" si="5"/>
        <v>5.5232558139534885E-4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input_381100!A$2</f>
        <v>381100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IFERROR(VLOOKUP(B81,input_381100!L:R,7,FALSE),VLOOKUP(tables_381100!C81,input_381100!A:H,8,FALSE))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input_381100!A$2</f>
        <v>381100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IFERROR(VLOOKUP(B82,input_381100!L:R,7,FALSE),VLOOKUP(tables_381100!C82,input_381100!A:H,8,FALSE))</f>
        <v>72200</v>
      </c>
      <c r="P82" s="46">
        <f t="shared" ca="1" si="5"/>
        <v>1.0494186046511629E-2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input_381100!A$2</f>
        <v>381100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IFERROR(VLOOKUP(B83,input_381100!L:R,7,FALSE),VLOOKUP(tables_381100!C83,input_381100!A:H,8,FALSE))</f>
        <v>3800</v>
      </c>
      <c r="P83" s="46">
        <f t="shared" ca="1" si="5"/>
        <v>5.5232558139534885E-4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input_381100!A$2</f>
        <v>381100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IFERROR(VLOOKUP(B84,input_381100!L:R,7,FALSE),VLOOKUP(tables_381100!C84,input_381100!A:H,8,FALSE))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input_381100!A$2</f>
        <v>381100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IFERROR(VLOOKUP(B85,input_381100!L:R,7,FALSE),VLOOKUP(tables_381100!C85,input_381100!A:H,8,FALSE))</f>
        <v>72200</v>
      </c>
      <c r="P85" s="46">
        <f t="shared" ca="1" si="5"/>
        <v>1.0494186046511629E-2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input_381100!A$2</f>
        <v>381100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IFERROR(VLOOKUP(B86,input_381100!L:R,7,FALSE),VLOOKUP(tables_381100!C86,input_381100!A:H,8,FALSE))</f>
        <v>3800</v>
      </c>
      <c r="P86" s="46">
        <f t="shared" ca="1" si="5"/>
        <v>5.5232558139534885E-4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input_381100!A$2</f>
        <v>381100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IFERROR(VLOOKUP(B87,input_381100!L:R,7,FALSE),VLOOKUP(tables_381100!C87,input_381100!A:H,8,FALSE))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input_381100!A$2</f>
        <v>381100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IFERROR(VLOOKUP(B88,input_381100!L:R,7,FALSE),VLOOKUP(tables_381100!C88,input_381100!A:H,8,FALSE))</f>
        <v>72200</v>
      </c>
      <c r="P88" s="46">
        <f t="shared" ca="1" si="5"/>
        <v>1.0494186046511629E-2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input_381100!A$2</f>
        <v>381100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IFERROR(VLOOKUP(B89,input_381100!L:R,7,FALSE),VLOOKUP(tables_381100!C89,input_381100!A:H,8,FALSE))</f>
        <v>3800</v>
      </c>
      <c r="P89" s="46">
        <f t="shared" ca="1" si="5"/>
        <v>5.5232558139534885E-4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input_381100!A$2</f>
        <v>381100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IFERROR(VLOOKUP(B90,input_381100!L:R,7,FALSE),VLOOKUP(tables_381100!C90,input_381100!A:H,8,FALSE))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input_381100!A$2</f>
        <v>381100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IFERROR(VLOOKUP(B91,input_381100!L:R,7,FALSE),VLOOKUP(tables_381100!C91,input_381100!A:H,8,FALSE))</f>
        <v>72200</v>
      </c>
      <c r="P91" s="46">
        <f t="shared" ca="1" si="5"/>
        <v>1.0494186046511629E-2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input_381100!A$2</f>
        <v>381100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IFERROR(VLOOKUP(B92,input_381100!L:R,7,FALSE),VLOOKUP(tables_381100!C92,input_381100!A:H,8,FALSE))</f>
        <v>3800</v>
      </c>
      <c r="P92" s="46">
        <f t="shared" ca="1" si="5"/>
        <v>5.5232558139534885E-4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input_381100!A$2</f>
        <v>381100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IFERROR(VLOOKUP(B93,input_381100!L:R,7,FALSE),VLOOKUP(tables_381100!C93,input_381100!A:H,8,FALSE))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input_381100!A$2</f>
        <v>381100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IFERROR(VLOOKUP(B94,input_381100!L:R,7,FALSE),VLOOKUP(tables_381100!C94,input_381100!A:H,8,FALSE))</f>
        <v>72200</v>
      </c>
      <c r="P94" s="46">
        <f t="shared" ca="1" si="5"/>
        <v>1.0494186046511629E-2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input_381100!A$2</f>
        <v>381100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IFERROR(VLOOKUP(B95,input_381100!L:R,7,FALSE),VLOOKUP(tables_381100!C95,input_381100!A:H,8,FALSE))</f>
        <v>3800</v>
      </c>
      <c r="P95" s="46">
        <f t="shared" ca="1" si="5"/>
        <v>5.5232558139534885E-4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input_381100!A$2</f>
        <v>381100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IFERROR(VLOOKUP(B96,input_381100!L:R,7,FALSE),VLOOKUP(tables_381100!C96,input_381100!A:H,8,FALSE))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input_381100!A$2</f>
        <v>381100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IFERROR(VLOOKUP(B97,input_381100!L:R,7,FALSE),VLOOKUP(tables_381100!C97,input_381100!A:H,8,FALSE))</f>
        <v>72200</v>
      </c>
      <c r="P97" s="46">
        <f t="shared" ca="1" si="5"/>
        <v>1.0494186046511629E-2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input_381100!A$2</f>
        <v>381100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IFERROR(VLOOKUP(B98,input_381100!L:R,7,FALSE),VLOOKUP(tables_381100!C98,input_381100!A:H,8,FALSE))</f>
        <v>3800</v>
      </c>
      <c r="P98" s="46">
        <f t="shared" ca="1" si="5"/>
        <v>5.5232558139534885E-4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input_381100!A$2</f>
        <v>381100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IFERROR(VLOOKUP(B99,input_381100!L:R,7,FALSE),VLOOKUP(tables_381100!C99,input_381100!A:H,8,FALSE))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input_381100!A$2</f>
        <v>381100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IFERROR(VLOOKUP(B100,input_381100!L:R,7,FALSE),VLOOKUP(tables_381100!C100,input_381100!A:H,8,FALSE))</f>
        <v>72200</v>
      </c>
      <c r="P100" s="46">
        <f t="shared" ca="1" si="5"/>
        <v>1.0494186046511629E-2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input_381100!A$2</f>
        <v>381100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IFERROR(VLOOKUP(B101,input_381100!L:R,7,FALSE),VLOOKUP(tables_381100!C101,input_381100!A:H,8,FALSE))</f>
        <v>3800</v>
      </c>
      <c r="P101" s="46">
        <f t="shared" ca="1" si="5"/>
        <v>5.5232558139534885E-4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input_381100!A$2</f>
        <v>381100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IFERROR(VLOOKUP(B102,input_381100!L:R,7,FALSE),VLOOKUP(tables_381100!C102,input_381100!A:H,8,FALSE))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input_381100!A$2</f>
        <v>381100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IFERROR(VLOOKUP(B103,input_381100!L:R,7,FALSE),VLOOKUP(tables_381100!C103,input_381100!A:H,8,FALSE))</f>
        <v>72200</v>
      </c>
      <c r="P103" s="46">
        <f t="shared" ca="1" si="5"/>
        <v>1.0494186046511629E-2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input_381100!A$2</f>
        <v>381100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IFERROR(VLOOKUP(B104,input_381100!L:R,7,FALSE),VLOOKUP(tables_381100!C104,input_381100!A:H,8,FALSE))</f>
        <v>3800</v>
      </c>
      <c r="P104" s="46">
        <f t="shared" ca="1" si="5"/>
        <v>5.5232558139534885E-4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input_381100!A$2</f>
        <v>381100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IFERROR(VLOOKUP(B105,input_381100!L:R,7,FALSE),VLOOKUP(tables_381100!C105,input_381100!A:H,8,FALSE))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input_381100!A$2</f>
        <v>381100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IFERROR(VLOOKUP(B106,input_381100!L:R,7,FALSE),VLOOKUP(tables_381100!C106,input_381100!A:H,8,FALSE))</f>
        <v>72200</v>
      </c>
      <c r="P106" s="46">
        <f t="shared" ca="1" si="5"/>
        <v>1.0494186046511629E-2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input_381100!A$2</f>
        <v>381100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IFERROR(VLOOKUP(B107,input_381100!L:R,7,FALSE),VLOOKUP(tables_381100!C107,input_381100!A:H,8,FALSE))</f>
        <v>3800</v>
      </c>
      <c r="P107" s="46">
        <f t="shared" ca="1" si="5"/>
        <v>5.5232558139534885E-4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input_381100!A$2</f>
        <v>381100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IFERROR(VLOOKUP(B108,input_381100!L:R,7,FALSE),VLOOKUP(tables_381100!C108,input_381100!A:H,8,FALSE))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input_381100!A$2</f>
        <v>381100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IFERROR(VLOOKUP(B109,input_381100!L:R,7,FALSE),VLOOKUP(tables_381100!C109,input_381100!A:H,8,FALSE))</f>
        <v>72200</v>
      </c>
      <c r="P109" s="46">
        <f t="shared" ca="1" si="5"/>
        <v>1.0494186046511629E-2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input_381100!A$2</f>
        <v>381100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IFERROR(VLOOKUP(B110,input_381100!L:R,7,FALSE),VLOOKUP(tables_381100!C110,input_381100!A:H,8,FALSE))</f>
        <v>3800</v>
      </c>
      <c r="P110" s="46">
        <f t="shared" ca="1" si="5"/>
        <v>5.5232558139534885E-4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input_381100!A$2</f>
        <v>381100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IFERROR(VLOOKUP(B111,input_381100!L:R,7,FALSE),VLOOKUP(tables_381100!C111,input_381100!A:H,8,FALSE))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input_381100!A$2</f>
        <v>381100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IFERROR(VLOOKUP(B112,input_381100!L:R,7,FALSE),VLOOKUP(tables_381100!C112,input_381100!A:H,8,FALSE))</f>
        <v>72200</v>
      </c>
      <c r="P112" s="46">
        <f t="shared" ca="1" si="5"/>
        <v>1.0494186046511629E-2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input_381100!A$2</f>
        <v>381100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IFERROR(VLOOKUP(B113,input_381100!L:R,7,FALSE),VLOOKUP(tables_381100!C113,input_381100!A:H,8,FALSE))</f>
        <v>3800</v>
      </c>
      <c r="P113" s="46">
        <f t="shared" ca="1" si="5"/>
        <v>5.5232558139534885E-4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input_381100!A$2</f>
        <v>381100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IFERROR(VLOOKUP(B114,input_381100!L:R,7,FALSE),VLOOKUP(tables_381100!C114,input_381100!A:H,8,FALSE))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input_381100!A$2</f>
        <v>381100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IFERROR(VLOOKUP(B115,input_381100!L:R,7,FALSE),VLOOKUP(tables_381100!C115,input_381100!A:H,8,FALSE))</f>
        <v>72200</v>
      </c>
      <c r="P115" s="46">
        <f t="shared" ca="1" si="5"/>
        <v>1.0494186046511629E-2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input_381100!A$2</f>
        <v>381100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IFERROR(VLOOKUP(B116,input_381100!L:R,7,FALSE),VLOOKUP(tables_381100!C116,input_381100!A:H,8,FALSE))</f>
        <v>3800</v>
      </c>
      <c r="P116" s="46">
        <f t="shared" ca="1" si="5"/>
        <v>5.5232558139534885E-4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input_381100!A$2</f>
        <v>381100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IFERROR(VLOOKUP(B117,input_381100!L:R,7,FALSE),VLOOKUP(tables_381100!C117,input_381100!A:H,8,FALSE))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input_381100!A$2</f>
        <v>381100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IFERROR(VLOOKUP(B118,input_381100!L:R,7,FALSE),VLOOKUP(tables_381100!C118,input_381100!A:H,8,FALSE))</f>
        <v>72200</v>
      </c>
      <c r="P118" s="46">
        <f t="shared" ca="1" si="5"/>
        <v>1.0494186046511629E-2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input_381100!A$2</f>
        <v>381100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IFERROR(VLOOKUP(B119,input_381100!L:R,7,FALSE),VLOOKUP(tables_381100!C119,input_381100!A:H,8,FALSE))</f>
        <v>3800</v>
      </c>
      <c r="P119" s="46">
        <f t="shared" ca="1" si="5"/>
        <v>5.5232558139534885E-4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input_381100!A$2</f>
        <v>381100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IFERROR(VLOOKUP(B120,input_381100!L:R,7,FALSE),VLOOKUP(tables_381100!C120,input_381100!A:H,8,FALSE))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input_381100!A$2</f>
        <v>381100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IFERROR(VLOOKUP(B121,input_381100!L:R,7,FALSE),VLOOKUP(tables_381100!C121,input_381100!A:H,8,FALSE))</f>
        <v>72200</v>
      </c>
      <c r="P121" s="46">
        <f t="shared" ca="1" si="5"/>
        <v>1.0494186046511629E-2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input_381100!A$2</f>
        <v>381100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IFERROR(VLOOKUP(B122,input_381100!L:R,7,FALSE),VLOOKUP(tables_381100!C122,input_381100!A:H,8,FALSE))</f>
        <v>3800</v>
      </c>
      <c r="P122" s="46">
        <f t="shared" ca="1" si="5"/>
        <v>5.5232558139534885E-4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input_381100!A$2</f>
        <v>381100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IFERROR(VLOOKUP(B123,input_381100!L:R,7,FALSE),VLOOKUP(tables_381100!C123,input_381100!A:H,8,FALSE))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input_381100!A$2</f>
        <v>381100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IFERROR(VLOOKUP(B124,input_381100!L:R,7,FALSE),VLOOKUP(tables_381100!C124,input_381100!A:H,8,FALSE))</f>
        <v>72200</v>
      </c>
      <c r="P124" s="46">
        <f t="shared" ca="1" si="5"/>
        <v>1.0494186046511629E-2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input_381100!A$2</f>
        <v>381100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IFERROR(VLOOKUP(B125,input_381100!L:R,7,FALSE),VLOOKUP(tables_381100!C125,input_381100!A:H,8,FALSE))</f>
        <v>3800</v>
      </c>
      <c r="P125" s="46">
        <f t="shared" ca="1" si="5"/>
        <v>5.5232558139534885E-4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input_381100!A$2</f>
        <v>381100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IFERROR(VLOOKUP(B126,input_381100!L:R,7,FALSE),VLOOKUP(tables_381100!C126,input_381100!A:H,8,FALSE))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input_381100!A$2</f>
        <v>381100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IFERROR(VLOOKUP(B127,input_381100!L:R,7,FALSE),VLOOKUP(tables_381100!C127,input_381100!A:H,8,FALSE))</f>
        <v>72200</v>
      </c>
      <c r="P127" s="46">
        <f t="shared" ca="1" si="5"/>
        <v>1.0494186046511629E-2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input_381100!A$2</f>
        <v>381100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IFERROR(VLOOKUP(B128,input_381100!L:R,7,FALSE),VLOOKUP(tables_381100!C128,input_381100!A:H,8,FALSE))</f>
        <v>3800</v>
      </c>
      <c r="P128" s="46">
        <f t="shared" ca="1" si="5"/>
        <v>5.5232558139534885E-4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input_381100!A$2</f>
        <v>381100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IFERROR(VLOOKUP(B129,input_381100!L:R,7,FALSE),VLOOKUP(tables_381100!C129,input_381100!A:H,8,FALSE))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input_381100!A$2</f>
        <v>381100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IFERROR(VLOOKUP(B130,input_381100!L:R,7,FALSE),VLOOKUP(tables_381100!C130,input_381100!A:H,8,FALSE))</f>
        <v>72200</v>
      </c>
      <c r="P130" s="46">
        <f t="shared" ref="P130:P193" ca="1" si="8">O130/SUM(O:O)</f>
        <v>1.0494186046511629E-2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input_381100!A$2</f>
        <v>381100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IFERROR(VLOOKUP(B131,input_381100!L:R,7,FALSE),VLOOKUP(tables_381100!C131,input_381100!A:H,8,FALSE))</f>
        <v>3800</v>
      </c>
      <c r="P131" s="46">
        <f t="shared" ca="1" si="8"/>
        <v>5.5232558139534885E-4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input_381100!A$2</f>
        <v>381100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IFERROR(VLOOKUP(B132,input_381100!L:R,7,FALSE),VLOOKUP(tables_381100!C132,input_381100!A:H,8,FALSE))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input_381100!A$2</f>
        <v>381100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IFERROR(VLOOKUP(B133,input_381100!L:R,7,FALSE),VLOOKUP(tables_381100!C133,input_381100!A:H,8,FALSE))</f>
        <v>72200</v>
      </c>
      <c r="P133" s="46">
        <f t="shared" ca="1" si="8"/>
        <v>1.0494186046511629E-2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input_381100!A$2</f>
        <v>381100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IFERROR(VLOOKUP(B134,input_381100!L:R,7,FALSE),VLOOKUP(tables_381100!C134,input_381100!A:H,8,FALSE))</f>
        <v>3800</v>
      </c>
      <c r="P134" s="46">
        <f t="shared" ca="1" si="8"/>
        <v>5.5232558139534885E-4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input_381100!A$2</f>
        <v>381100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IFERROR(VLOOKUP(B135,input_381100!L:R,7,FALSE),VLOOKUP(tables_381100!C135,input_381100!A:H,8,FALSE))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input_381100!A$2</f>
        <v>381100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IFERROR(VLOOKUP(B136,input_381100!L:R,7,FALSE),VLOOKUP(tables_381100!C136,input_381100!A:H,8,FALSE))</f>
        <v>72200</v>
      </c>
      <c r="P136" s="46">
        <f t="shared" ca="1" si="8"/>
        <v>1.0494186046511629E-2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input_381100!A$2</f>
        <v>381100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IFERROR(VLOOKUP(B137,input_381100!L:R,7,FALSE),VLOOKUP(tables_381100!C137,input_381100!A:H,8,FALSE))</f>
        <v>3800</v>
      </c>
      <c r="P137" s="46">
        <f t="shared" ca="1" si="8"/>
        <v>5.5232558139534885E-4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input_381100!A$2</f>
        <v>381100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>IFERROR(VLOOKUP(B138,input_381100!L:R,7,FALSE),VLOOKUP(tables_381100!C138,input_381100!A:H,8,FALSE))</f>
        <v>34400</v>
      </c>
      <c r="P138" s="46">
        <f t="shared" ca="1" si="8"/>
        <v>5.0000000000000001E-3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input_381100!A$2</f>
        <v>381100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>IFERROR(VLOOKUP(B139,input_381100!L:R,7,FALSE),VLOOKUP(tables_381100!C139,input_381100!A:H,8,FALSE))</f>
        <v>68800</v>
      </c>
      <c r="P139" s="46">
        <f t="shared" ca="1" si="8"/>
        <v>0.01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input_381100!A$2</f>
        <v>381100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IFERROR(VLOOKUP(B140,input_381100!L:R,7,FALSE),VLOOKUP(tables_381100!C140,input_381100!A:H,8,FALSE))</f>
        <v>3268</v>
      </c>
      <c r="P140" s="46">
        <f t="shared" ca="1" si="8"/>
        <v>4.75E-4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input_381100!A$2</f>
        <v>381100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IFERROR(VLOOKUP(B141,input_381100!L:R,7,FALSE),VLOOKUP(tables_381100!C141,input_381100!A:H,8,FALSE))</f>
        <v>172</v>
      </c>
      <c r="P141" s="46">
        <f t="shared" ca="1" si="8"/>
        <v>2.5000000000000001E-5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input_381100!A$2</f>
        <v>381100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IFERROR(VLOOKUP(B142,input_381100!L:R,7,FALSE),VLOOKUP(tables_381100!C142,input_381100!A:H,8,FALSE))</f>
        <v>3268</v>
      </c>
      <c r="P142" s="46">
        <f t="shared" ca="1" si="8"/>
        <v>4.75E-4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input_381100!A$2</f>
        <v>381100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IFERROR(VLOOKUP(B143,input_381100!L:R,7,FALSE),VLOOKUP(tables_381100!C143,input_381100!A:H,8,FALSE))</f>
        <v>172</v>
      </c>
      <c r="P143" s="46">
        <f t="shared" ca="1" si="8"/>
        <v>2.5000000000000001E-5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input_381100!A$2</f>
        <v>381100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IFERROR(VLOOKUP(B144,input_381100!L:R,7,FALSE),VLOOKUP(tables_381100!C144,input_381100!A:H,8,FALSE))</f>
        <v>3268</v>
      </c>
      <c r="P144" s="46">
        <f t="shared" ca="1" si="8"/>
        <v>4.75E-4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input_381100!A$2</f>
        <v>381100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IFERROR(VLOOKUP(B145,input_381100!L:R,7,FALSE),VLOOKUP(tables_381100!C145,input_381100!A:H,8,FALSE))</f>
        <v>172</v>
      </c>
      <c r="P145" s="46">
        <f t="shared" ca="1" si="8"/>
        <v>2.5000000000000001E-5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input_381100!A$2</f>
        <v>381100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IFERROR(VLOOKUP(B146,input_381100!L:R,7,FALSE),VLOOKUP(tables_381100!C146,input_381100!A:H,8,FALSE))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input_381100!A$2</f>
        <v>381100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IFERROR(VLOOKUP(B147,input_381100!L:R,7,FALSE),VLOOKUP(tables_381100!C147,input_381100!A:H,8,FALSE))</f>
        <v>72200</v>
      </c>
      <c r="P147" s="46">
        <f t="shared" ca="1" si="8"/>
        <v>1.0494186046511629E-2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input_381100!A$2</f>
        <v>381100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IFERROR(VLOOKUP(B148,input_381100!L:R,7,FALSE),VLOOKUP(tables_381100!C148,input_381100!A:H,8,FALSE))</f>
        <v>3800</v>
      </c>
      <c r="P148" s="46">
        <f t="shared" ca="1" si="8"/>
        <v>5.5232558139534885E-4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input_381100!A$2</f>
        <v>381100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IFERROR(VLOOKUP(B149,input_381100!L:R,7,FALSE),VLOOKUP(tables_381100!C149,input_381100!A:H,8,FALSE))</f>
        <v>3268</v>
      </c>
      <c r="P149" s="46">
        <f t="shared" ca="1" si="8"/>
        <v>4.75E-4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input_381100!A$2</f>
        <v>381100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IFERROR(VLOOKUP(B150,input_381100!L:R,7,FALSE),VLOOKUP(tables_381100!C150,input_381100!A:H,8,FALSE))</f>
        <v>172</v>
      </c>
      <c r="P150" s="46">
        <f t="shared" ca="1" si="8"/>
        <v>2.5000000000000001E-5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input_381100!A$2</f>
        <v>381100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IFERROR(VLOOKUP(B151,input_381100!L:R,7,FALSE),VLOOKUP(tables_381100!C151,input_381100!A:H,8,FALSE))</f>
        <v>3268</v>
      </c>
      <c r="P151" s="46">
        <f t="shared" ca="1" si="8"/>
        <v>4.75E-4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input_381100!A$2</f>
        <v>381100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IFERROR(VLOOKUP(B152,input_381100!L:R,7,FALSE),VLOOKUP(tables_381100!C152,input_381100!A:H,8,FALSE))</f>
        <v>172</v>
      </c>
      <c r="P152" s="46">
        <f t="shared" ca="1" si="8"/>
        <v>2.5000000000000001E-5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input_381100!A$2</f>
        <v>381100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IFERROR(VLOOKUP(B153,input_381100!L:R,7,FALSE),VLOOKUP(tables_381100!C153,input_381100!A:H,8,FALSE))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input_381100!A$2</f>
        <v>381100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IFERROR(VLOOKUP(B154,input_381100!L:R,7,FALSE),VLOOKUP(tables_381100!C154,input_381100!A:H,8,FALSE))</f>
        <v>72200</v>
      </c>
      <c r="P154" s="46">
        <f t="shared" ca="1" si="8"/>
        <v>1.0494186046511629E-2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input_381100!A$2</f>
        <v>381100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IFERROR(VLOOKUP(B155,input_381100!L:R,7,FALSE),VLOOKUP(tables_381100!C155,input_381100!A:H,8,FALSE))</f>
        <v>3800</v>
      </c>
      <c r="P155" s="46">
        <f t="shared" ca="1" si="8"/>
        <v>5.5232558139534885E-4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input_381100!A$2</f>
        <v>381100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IFERROR(VLOOKUP(B156,input_381100!L:R,7,FALSE),VLOOKUP(tables_381100!C156,input_381100!A:H,8,FALSE))</f>
        <v>3268</v>
      </c>
      <c r="P156" s="46">
        <f t="shared" ca="1" si="8"/>
        <v>4.75E-4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input_381100!A$2</f>
        <v>381100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IFERROR(VLOOKUP(B157,input_381100!L:R,7,FALSE),VLOOKUP(tables_381100!C157,input_381100!A:H,8,FALSE))</f>
        <v>172</v>
      </c>
      <c r="P157" s="46">
        <f t="shared" ca="1" si="8"/>
        <v>2.5000000000000001E-5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input_381100!A$2</f>
        <v>381100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IFERROR(VLOOKUP(B158,input_381100!L:R,7,FALSE),VLOOKUP(tables_381100!C158,input_381100!A:H,8,FALSE))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input_381100!A$2</f>
        <v>381100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IFERROR(VLOOKUP(B159,input_381100!L:R,7,FALSE),VLOOKUP(tables_381100!C159,input_381100!A:H,8,FALSE))</f>
        <v>72200</v>
      </c>
      <c r="P159" s="46">
        <f t="shared" ca="1" si="8"/>
        <v>1.0494186046511629E-2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input_381100!A$2</f>
        <v>381100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IFERROR(VLOOKUP(B160,input_381100!L:R,7,FALSE),VLOOKUP(tables_381100!C160,input_381100!A:H,8,FALSE))</f>
        <v>3800</v>
      </c>
      <c r="P160" s="46">
        <f t="shared" ca="1" si="8"/>
        <v>5.5232558139534885E-4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input_381100!A$2</f>
        <v>381100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IFERROR(VLOOKUP(B161,input_381100!L:R,7,FALSE),VLOOKUP(tables_381100!C161,input_381100!A:H,8,FALSE))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input_381100!A$2</f>
        <v>381100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IFERROR(VLOOKUP(B162,input_381100!L:R,7,FALSE),VLOOKUP(tables_381100!C162,input_381100!A:H,8,FALSE))</f>
        <v>72200</v>
      </c>
      <c r="P162" s="46">
        <f t="shared" ca="1" si="8"/>
        <v>1.0494186046511629E-2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input_381100!A$2</f>
        <v>381100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IFERROR(VLOOKUP(B163,input_381100!L:R,7,FALSE),VLOOKUP(tables_381100!C163,input_381100!A:H,8,FALSE))</f>
        <v>3800</v>
      </c>
      <c r="P163" s="46">
        <f t="shared" ca="1" si="8"/>
        <v>5.5232558139534885E-4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input_381100!A$2</f>
        <v>381100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IFERROR(VLOOKUP(B164,input_381100!L:R,7,FALSE),VLOOKUP(tables_381100!C164,input_381100!A:H,8,FALSE))</f>
        <v>3268</v>
      </c>
      <c r="P164" s="46">
        <f t="shared" ca="1" si="8"/>
        <v>4.75E-4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input_381100!A$2</f>
        <v>381100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IFERROR(VLOOKUP(B165,input_381100!L:R,7,FALSE),VLOOKUP(tables_381100!C165,input_381100!A:H,8,FALSE))</f>
        <v>172</v>
      </c>
      <c r="P165" s="46">
        <f t="shared" ca="1" si="8"/>
        <v>2.5000000000000001E-5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input_381100!A$2</f>
        <v>381100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IFERROR(VLOOKUP(B166,input_381100!L:R,7,FALSE),VLOOKUP(tables_381100!C166,input_381100!A:H,8,FALSE))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input_381100!A$2</f>
        <v>381100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IFERROR(VLOOKUP(B167,input_381100!L:R,7,FALSE),VLOOKUP(tables_381100!C167,input_381100!A:H,8,FALSE))</f>
        <v>72200</v>
      </c>
      <c r="P167" s="46">
        <f t="shared" ca="1" si="8"/>
        <v>1.0494186046511629E-2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input_381100!A$2</f>
        <v>381100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IFERROR(VLOOKUP(B168,input_381100!L:R,7,FALSE),VLOOKUP(tables_381100!C168,input_381100!A:H,8,FALSE))</f>
        <v>3800</v>
      </c>
      <c r="P168" s="46">
        <f t="shared" ca="1" si="8"/>
        <v>5.5232558139534885E-4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input_381100!A$2</f>
        <v>381100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IFERROR(VLOOKUP(B169,input_381100!L:R,7,FALSE),VLOOKUP(tables_381100!C169,input_381100!A:H,8,FALSE))</f>
        <v>3268</v>
      </c>
      <c r="P169" s="46">
        <f t="shared" ca="1" si="8"/>
        <v>4.75E-4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input_381100!A$2</f>
        <v>381100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IFERROR(VLOOKUP(B170,input_381100!L:R,7,FALSE),VLOOKUP(tables_381100!C170,input_381100!A:H,8,FALSE))</f>
        <v>172</v>
      </c>
      <c r="P170" s="46">
        <f t="shared" ca="1" si="8"/>
        <v>2.5000000000000001E-5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input_381100!A$2</f>
        <v>381100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IFERROR(VLOOKUP(B171,input_381100!L:R,7,FALSE),VLOOKUP(tables_381100!C171,input_381100!A:H,8,FALSE))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input_381100!A$2</f>
        <v>381100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IFERROR(VLOOKUP(B172,input_381100!L:R,7,FALSE),VLOOKUP(tables_381100!C172,input_381100!A:H,8,FALSE))</f>
        <v>72200</v>
      </c>
      <c r="P172" s="46">
        <f t="shared" ca="1" si="8"/>
        <v>1.0494186046511629E-2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input_381100!A$2</f>
        <v>381100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IFERROR(VLOOKUP(B173,input_381100!L:R,7,FALSE),VLOOKUP(tables_381100!C173,input_381100!A:H,8,FALSE))</f>
        <v>3800</v>
      </c>
      <c r="P173" s="46">
        <f t="shared" ca="1" si="8"/>
        <v>5.5232558139534885E-4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input_381100!A$2</f>
        <v>381100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IFERROR(VLOOKUP(B174,input_381100!L:R,7,FALSE),VLOOKUP(tables_381100!C174,input_381100!A:H,8,FALSE))</f>
        <v>3268</v>
      </c>
      <c r="P174" s="46">
        <f t="shared" ca="1" si="8"/>
        <v>4.75E-4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input_381100!A$2</f>
        <v>381100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IFERROR(VLOOKUP(B175,input_381100!L:R,7,FALSE),VLOOKUP(tables_381100!C175,input_381100!A:H,8,FALSE))</f>
        <v>172</v>
      </c>
      <c r="P175" s="46">
        <f t="shared" ca="1" si="8"/>
        <v>2.5000000000000001E-5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input_381100!A$2</f>
        <v>381100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IFERROR(VLOOKUP(B176,input_381100!L:R,7,FALSE),VLOOKUP(tables_381100!C176,input_381100!A:H,8,FALSE))</f>
        <v>3268</v>
      </c>
      <c r="P176" s="46">
        <f t="shared" ca="1" si="8"/>
        <v>4.75E-4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input_381100!A$2</f>
        <v>381100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IFERROR(VLOOKUP(B177,input_381100!L:R,7,FALSE),VLOOKUP(tables_381100!C177,input_381100!A:H,8,FALSE))</f>
        <v>172</v>
      </c>
      <c r="P177" s="46">
        <f t="shared" ca="1" si="8"/>
        <v>2.5000000000000001E-5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input_381100!A$2</f>
        <v>381100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IFERROR(VLOOKUP(B178,input_381100!L:R,7,FALSE),VLOOKUP(tables_381100!C178,input_381100!A:H,8,FALSE))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input_381100!A$2</f>
        <v>381100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IFERROR(VLOOKUP(B179,input_381100!L:R,7,FALSE),VLOOKUP(tables_381100!C179,input_381100!A:H,8,FALSE))</f>
        <v>72200</v>
      </c>
      <c r="P179" s="46">
        <f t="shared" ca="1" si="8"/>
        <v>1.0494186046511629E-2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input_381100!A$2</f>
        <v>381100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IFERROR(VLOOKUP(B180,input_381100!L:R,7,FALSE),VLOOKUP(tables_381100!C180,input_381100!A:H,8,FALSE))</f>
        <v>3800</v>
      </c>
      <c r="P180" s="46">
        <f t="shared" ca="1" si="8"/>
        <v>5.5232558139534885E-4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input_381100!A$2</f>
        <v>381100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IFERROR(VLOOKUP(B181,input_381100!L:R,7,FALSE),VLOOKUP(tables_381100!C181,input_381100!A:H,8,FALSE))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input_381100!A$2</f>
        <v>381100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IFERROR(VLOOKUP(B182,input_381100!L:R,7,FALSE),VLOOKUP(tables_381100!C182,input_381100!A:H,8,FALSE))</f>
        <v>72200</v>
      </c>
      <c r="P182" s="46">
        <f t="shared" ca="1" si="8"/>
        <v>1.0494186046511629E-2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input_381100!A$2</f>
        <v>381100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IFERROR(VLOOKUP(B183,input_381100!L:R,7,FALSE),VLOOKUP(tables_381100!C183,input_381100!A:H,8,FALSE))</f>
        <v>3800</v>
      </c>
      <c r="P183" s="46">
        <f t="shared" ca="1" si="8"/>
        <v>5.5232558139534885E-4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input_381100!A$2</f>
        <v>381100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IFERROR(VLOOKUP(B184,input_381100!L:R,7,FALSE),VLOOKUP(tables_381100!C184,input_381100!A:H,8,FALSE))</f>
        <v>3268</v>
      </c>
      <c r="P184" s="46">
        <f t="shared" ca="1" si="8"/>
        <v>4.75E-4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input_381100!A$2</f>
        <v>381100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IFERROR(VLOOKUP(B185,input_381100!L:R,7,FALSE),VLOOKUP(tables_381100!C185,input_381100!A:H,8,FALSE))</f>
        <v>172</v>
      </c>
      <c r="P185" s="46">
        <f t="shared" ca="1" si="8"/>
        <v>2.5000000000000001E-5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input_381100!A$2</f>
        <v>381100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IFERROR(VLOOKUP(B186,input_381100!L:R,7,FALSE),VLOOKUP(tables_381100!C186,input_381100!A:H,8,FALSE))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input_381100!A$2</f>
        <v>381100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IFERROR(VLOOKUP(B187,input_381100!L:R,7,FALSE),VLOOKUP(tables_381100!C187,input_381100!A:H,8,FALSE))</f>
        <v>72200</v>
      </c>
      <c r="P187" s="46">
        <f t="shared" ca="1" si="8"/>
        <v>1.0494186046511629E-2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input_381100!A$2</f>
        <v>381100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IFERROR(VLOOKUP(B188,input_381100!L:R,7,FALSE),VLOOKUP(tables_381100!C188,input_381100!A:H,8,FALSE))</f>
        <v>3800</v>
      </c>
      <c r="P188" s="46">
        <f t="shared" ca="1" si="8"/>
        <v>5.5232558139534885E-4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input_381100!A$2</f>
        <v>381100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>IFERROR(VLOOKUP(B189,input_381100!L:R,7,FALSE),VLOOKUP(tables_381100!C189,input_381100!A:H,8,FALSE))</f>
        <v>34400</v>
      </c>
      <c r="P189" s="46">
        <f t="shared" ca="1" si="8"/>
        <v>5.0000000000000001E-3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input_381100!A$2</f>
        <v>381100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>IFERROR(VLOOKUP(B190,input_381100!L:R,7,FALSE),VLOOKUP(tables_381100!C190,input_381100!A:H,8,FALSE))</f>
        <v>68800</v>
      </c>
      <c r="P190" s="46">
        <f t="shared" ca="1" si="8"/>
        <v>0.01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input_381100!A$2</f>
        <v>381100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IFERROR(VLOOKUP(B191,input_381100!L:R,7,FALSE),VLOOKUP(tables_381100!C191,input_381100!A:H,8,FALSE))</f>
        <v>3268</v>
      </c>
      <c r="P191" s="46">
        <f t="shared" ca="1" si="8"/>
        <v>4.75E-4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input_381100!A$2</f>
        <v>381100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IFERROR(VLOOKUP(B192,input_381100!L:R,7,FALSE),VLOOKUP(tables_381100!C192,input_381100!A:H,8,FALSE))</f>
        <v>172</v>
      </c>
      <c r="P192" s="46">
        <f t="shared" ca="1" si="8"/>
        <v>2.5000000000000001E-5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input_381100!A$2</f>
        <v>381100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IFERROR(VLOOKUP(B193,input_381100!L:R,7,FALSE),VLOOKUP(tables_381100!C193,input_381100!A:H,8,FALSE))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input_381100!A$2</f>
        <v>381100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IFERROR(VLOOKUP(B194,input_381100!L:R,7,FALSE),VLOOKUP(tables_381100!C194,input_381100!A:H,8,FALSE))</f>
        <v>72200</v>
      </c>
      <c r="P194" s="46">
        <f t="shared" ref="P194:P257" ca="1" si="11">O194/SUM(O:O)</f>
        <v>1.0494186046511629E-2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input_381100!A$2</f>
        <v>381100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IFERROR(VLOOKUP(B195,input_381100!L:R,7,FALSE),VLOOKUP(tables_381100!C195,input_381100!A:H,8,FALSE))</f>
        <v>3800</v>
      </c>
      <c r="P195" s="46">
        <f t="shared" ca="1" si="11"/>
        <v>5.5232558139534885E-4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input_381100!A$2</f>
        <v>381100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IFERROR(VLOOKUP(B196,input_381100!L:R,7,FALSE),VLOOKUP(tables_381100!C196,input_381100!A:H,8,FALSE))</f>
        <v>3268</v>
      </c>
      <c r="P196" s="46">
        <f t="shared" ca="1" si="11"/>
        <v>4.75E-4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input_381100!A$2</f>
        <v>381100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IFERROR(VLOOKUP(B197,input_381100!L:R,7,FALSE),VLOOKUP(tables_381100!C197,input_381100!A:H,8,FALSE))</f>
        <v>172</v>
      </c>
      <c r="P197" s="46">
        <f t="shared" ca="1" si="11"/>
        <v>2.5000000000000001E-5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input_381100!A$2</f>
        <v>381100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IFERROR(VLOOKUP(B198,input_381100!L:R,7,FALSE),VLOOKUP(tables_381100!C198,input_381100!A:H,8,FALSE))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input_381100!A$2</f>
        <v>381100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IFERROR(VLOOKUP(B199,input_381100!L:R,7,FALSE),VLOOKUP(tables_381100!C199,input_381100!A:H,8,FALSE))</f>
        <v>72200</v>
      </c>
      <c r="P199" s="46">
        <f t="shared" ca="1" si="11"/>
        <v>1.0494186046511629E-2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input_381100!A$2</f>
        <v>381100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IFERROR(VLOOKUP(B200,input_381100!L:R,7,FALSE),VLOOKUP(tables_381100!C200,input_381100!A:H,8,FALSE))</f>
        <v>3800</v>
      </c>
      <c r="P200" s="46">
        <f t="shared" ca="1" si="11"/>
        <v>5.5232558139534885E-4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input_381100!A$2</f>
        <v>381100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IFERROR(VLOOKUP(B201,input_381100!L:R,7,FALSE),VLOOKUP(tables_381100!C201,input_381100!A:H,8,FALSE))</f>
        <v>3268</v>
      </c>
      <c r="P201" s="46">
        <f t="shared" ca="1" si="11"/>
        <v>4.75E-4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input_381100!A$2</f>
        <v>381100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IFERROR(VLOOKUP(B202,input_381100!L:R,7,FALSE),VLOOKUP(tables_381100!C202,input_381100!A:H,8,FALSE))</f>
        <v>172</v>
      </c>
      <c r="P202" s="46">
        <f t="shared" ca="1" si="11"/>
        <v>2.5000000000000001E-5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input_381100!A$2</f>
        <v>381100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IFERROR(VLOOKUP(B203,input_381100!L:R,7,FALSE),VLOOKUP(tables_381100!C203,input_381100!A:H,8,FALSE))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input_381100!A$2</f>
        <v>381100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IFERROR(VLOOKUP(B204,input_381100!L:R,7,FALSE),VLOOKUP(tables_381100!C204,input_381100!A:H,8,FALSE))</f>
        <v>72200</v>
      </c>
      <c r="P204" s="46">
        <f t="shared" ca="1" si="11"/>
        <v>1.0494186046511629E-2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input_381100!A$2</f>
        <v>381100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IFERROR(VLOOKUP(B205,input_381100!L:R,7,FALSE),VLOOKUP(tables_381100!C205,input_381100!A:H,8,FALSE))</f>
        <v>3800</v>
      </c>
      <c r="P205" s="46">
        <f t="shared" ca="1" si="11"/>
        <v>5.5232558139534885E-4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input_381100!A$2</f>
        <v>381100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IFERROR(VLOOKUP(B206,input_381100!L:R,7,FALSE),VLOOKUP(tables_381100!C206,input_381100!A:H,8,FALSE))</f>
        <v>3268</v>
      </c>
      <c r="P206" s="46">
        <f t="shared" ca="1" si="11"/>
        <v>4.75E-4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input_381100!A$2</f>
        <v>381100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IFERROR(VLOOKUP(B207,input_381100!L:R,7,FALSE),VLOOKUP(tables_381100!C207,input_381100!A:H,8,FALSE))</f>
        <v>172</v>
      </c>
      <c r="P207" s="46">
        <f t="shared" ca="1" si="11"/>
        <v>2.5000000000000001E-5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input_381100!A$2</f>
        <v>381100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IFERROR(VLOOKUP(B208,input_381100!L:R,7,FALSE),VLOOKUP(tables_381100!C208,input_381100!A:H,8,FALSE))</f>
        <v>3268</v>
      </c>
      <c r="P208" s="46">
        <f t="shared" ca="1" si="11"/>
        <v>4.75E-4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input_381100!A$2</f>
        <v>381100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IFERROR(VLOOKUP(B209,input_381100!L:R,7,FALSE),VLOOKUP(tables_381100!C209,input_381100!A:H,8,FALSE))</f>
        <v>172</v>
      </c>
      <c r="P209" s="46">
        <f t="shared" ca="1" si="11"/>
        <v>2.5000000000000001E-5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input_381100!A$2</f>
        <v>381100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IFERROR(VLOOKUP(B210,input_381100!L:R,7,FALSE),VLOOKUP(tables_381100!C210,input_381100!A:H,8,FALSE))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input_381100!A$2</f>
        <v>381100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IFERROR(VLOOKUP(B211,input_381100!L:R,7,FALSE),VLOOKUP(tables_381100!C211,input_381100!A:H,8,FALSE))</f>
        <v>72200</v>
      </c>
      <c r="P211" s="46">
        <f t="shared" ca="1" si="11"/>
        <v>1.0494186046511629E-2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input_381100!A$2</f>
        <v>381100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IFERROR(VLOOKUP(B212,input_381100!L:R,7,FALSE),VLOOKUP(tables_381100!C212,input_381100!A:H,8,FALSE))</f>
        <v>3800</v>
      </c>
      <c r="P212" s="46">
        <f t="shared" ca="1" si="11"/>
        <v>5.5232558139534885E-4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input_381100!A$2</f>
        <v>381100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IFERROR(VLOOKUP(B213,input_381100!L:R,7,FALSE),VLOOKUP(tables_381100!C213,input_381100!A:H,8,FALSE))</f>
        <v>3268</v>
      </c>
      <c r="P213" s="46">
        <f t="shared" ca="1" si="11"/>
        <v>4.75E-4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input_381100!A$2</f>
        <v>381100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IFERROR(VLOOKUP(B214,input_381100!L:R,7,FALSE),VLOOKUP(tables_381100!C214,input_381100!A:H,8,FALSE))</f>
        <v>172</v>
      </c>
      <c r="P214" s="46">
        <f t="shared" ca="1" si="11"/>
        <v>2.5000000000000001E-5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input_381100!A$2</f>
        <v>381100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IFERROR(VLOOKUP(B215,input_381100!L:R,7,FALSE),VLOOKUP(tables_381100!C215,input_381100!A:H,8,FALSE))</f>
        <v>3268</v>
      </c>
      <c r="P215" s="46">
        <f t="shared" ca="1" si="11"/>
        <v>4.75E-4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input_381100!A$2</f>
        <v>381100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IFERROR(VLOOKUP(B216,input_381100!L:R,7,FALSE),VLOOKUP(tables_381100!C216,input_381100!A:H,8,FALSE))</f>
        <v>172</v>
      </c>
      <c r="P216" s="46">
        <f t="shared" ca="1" si="11"/>
        <v>2.5000000000000001E-5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input_381100!A$2</f>
        <v>381100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IFERROR(VLOOKUP(B217,input_381100!L:R,7,FALSE),VLOOKUP(tables_381100!C217,input_381100!A:H,8,FALSE))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input_381100!A$2</f>
        <v>381100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IFERROR(VLOOKUP(B218,input_381100!L:R,7,FALSE),VLOOKUP(tables_381100!C218,input_381100!A:H,8,FALSE))</f>
        <v>72200</v>
      </c>
      <c r="P218" s="46">
        <f t="shared" ca="1" si="11"/>
        <v>1.0494186046511629E-2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input_381100!A$2</f>
        <v>381100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IFERROR(VLOOKUP(B219,input_381100!L:R,7,FALSE),VLOOKUP(tables_381100!C219,input_381100!A:H,8,FALSE))</f>
        <v>3800</v>
      </c>
      <c r="P219" s="46">
        <f t="shared" ca="1" si="11"/>
        <v>5.5232558139534885E-4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input_381100!A$2</f>
        <v>381100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IFERROR(VLOOKUP(B220,input_381100!L:R,7,FALSE),VLOOKUP(tables_381100!C220,input_381100!A:H,8,FALSE))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input_381100!A$2</f>
        <v>381100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IFERROR(VLOOKUP(B221,input_381100!L:R,7,FALSE),VLOOKUP(tables_381100!C221,input_381100!A:H,8,FALSE))</f>
        <v>72200</v>
      </c>
      <c r="P221" s="46">
        <f t="shared" ca="1" si="11"/>
        <v>1.0494186046511629E-2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input_381100!A$2</f>
        <v>381100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IFERROR(VLOOKUP(B222,input_381100!L:R,7,FALSE),VLOOKUP(tables_381100!C222,input_381100!A:H,8,FALSE))</f>
        <v>3800</v>
      </c>
      <c r="P222" s="46">
        <f t="shared" ca="1" si="11"/>
        <v>5.5232558139534885E-4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input_381100!A$2</f>
        <v>381100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IFERROR(VLOOKUP(B223,input_381100!L:R,7,FALSE),VLOOKUP(tables_381100!C223,input_381100!A:H,8,FALSE))</f>
        <v>3268</v>
      </c>
      <c r="P223" s="46">
        <f t="shared" ca="1" si="11"/>
        <v>4.75E-4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input_381100!A$2</f>
        <v>381100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IFERROR(VLOOKUP(B224,input_381100!L:R,7,FALSE),VLOOKUP(tables_381100!C224,input_381100!A:H,8,FALSE))</f>
        <v>172</v>
      </c>
      <c r="P224" s="46">
        <f t="shared" ca="1" si="11"/>
        <v>2.5000000000000001E-5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input_381100!A$2</f>
        <v>381100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IFERROR(VLOOKUP(B225,input_381100!L:R,7,FALSE),VLOOKUP(tables_381100!C225,input_381100!A:H,8,FALSE))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input_381100!A$2</f>
        <v>381100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IFERROR(VLOOKUP(B226,input_381100!L:R,7,FALSE),VLOOKUP(tables_381100!C226,input_381100!A:H,8,FALSE))</f>
        <v>72200</v>
      </c>
      <c r="P226" s="46">
        <f t="shared" ca="1" si="11"/>
        <v>1.0494186046511629E-2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input_381100!A$2</f>
        <v>381100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IFERROR(VLOOKUP(B227,input_381100!L:R,7,FALSE),VLOOKUP(tables_381100!C227,input_381100!A:H,8,FALSE))</f>
        <v>3800</v>
      </c>
      <c r="P227" s="46">
        <f t="shared" ca="1" si="11"/>
        <v>5.5232558139534885E-4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input_381100!A$2</f>
        <v>381100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IFERROR(VLOOKUP(B228,input_381100!L:R,7,FALSE),VLOOKUP(tables_381100!C228,input_381100!A:H,8,FALSE))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input_381100!A$2</f>
        <v>381100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IFERROR(VLOOKUP(B229,input_381100!L:R,7,FALSE),VLOOKUP(tables_381100!C229,input_381100!A:H,8,FALSE))</f>
        <v>72200</v>
      </c>
      <c r="P229" s="46">
        <f t="shared" ca="1" si="11"/>
        <v>1.0494186046511629E-2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input_381100!A$2</f>
        <v>381100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IFERROR(VLOOKUP(B230,input_381100!L:R,7,FALSE),VLOOKUP(tables_381100!C230,input_381100!A:H,8,FALSE))</f>
        <v>3800</v>
      </c>
      <c r="P230" s="46">
        <f t="shared" ca="1" si="11"/>
        <v>5.5232558139534885E-4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input_381100!A$2</f>
        <v>381100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IFERROR(VLOOKUP(B231,input_381100!L:R,7,FALSE),VLOOKUP(tables_381100!C231,input_381100!A:H,8,FALSE))</f>
        <v>3268</v>
      </c>
      <c r="P231" s="46">
        <f t="shared" ca="1" si="11"/>
        <v>4.75E-4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input_381100!A$2</f>
        <v>381100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IFERROR(VLOOKUP(B232,input_381100!L:R,7,FALSE),VLOOKUP(tables_381100!C232,input_381100!A:H,8,FALSE))</f>
        <v>172</v>
      </c>
      <c r="P232" s="46">
        <f t="shared" ca="1" si="11"/>
        <v>2.5000000000000001E-5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input_381100!A$2</f>
        <v>381100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IFERROR(VLOOKUP(B233,input_381100!L:R,7,FALSE),VLOOKUP(tables_381100!C233,input_381100!A:H,8,FALSE))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input_381100!A$2</f>
        <v>381100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IFERROR(VLOOKUP(B234,input_381100!L:R,7,FALSE),VLOOKUP(tables_381100!C234,input_381100!A:H,8,FALSE))</f>
        <v>72200</v>
      </c>
      <c r="P234" s="46">
        <f t="shared" ca="1" si="11"/>
        <v>1.0494186046511629E-2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input_381100!A$2</f>
        <v>381100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IFERROR(VLOOKUP(B235,input_381100!L:R,7,FALSE),VLOOKUP(tables_381100!C235,input_381100!A:H,8,FALSE))</f>
        <v>3800</v>
      </c>
      <c r="P235" s="46">
        <f t="shared" ca="1" si="11"/>
        <v>5.5232558139534885E-4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input_381100!A$2</f>
        <v>381100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IFERROR(VLOOKUP(B236,input_381100!L:R,7,FALSE),VLOOKUP(tables_381100!C236,input_381100!A:H,8,FALSE))</f>
        <v>3268</v>
      </c>
      <c r="P236" s="46">
        <f t="shared" ca="1" si="11"/>
        <v>4.75E-4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input_381100!A$2</f>
        <v>381100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IFERROR(VLOOKUP(B237,input_381100!L:R,7,FALSE),VLOOKUP(tables_381100!C237,input_381100!A:H,8,FALSE))</f>
        <v>172</v>
      </c>
      <c r="P237" s="46">
        <f t="shared" ca="1" si="11"/>
        <v>2.5000000000000001E-5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input_381100!A$2</f>
        <v>381100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IFERROR(VLOOKUP(B238,input_381100!L:R,7,FALSE),VLOOKUP(tables_381100!C238,input_381100!A:H,8,FALSE))</f>
        <v>3268</v>
      </c>
      <c r="P238" s="46">
        <f t="shared" ca="1" si="11"/>
        <v>4.75E-4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input_381100!A$2</f>
        <v>381100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IFERROR(VLOOKUP(B239,input_381100!L:R,7,FALSE),VLOOKUP(tables_381100!C239,input_381100!A:H,8,FALSE))</f>
        <v>172</v>
      </c>
      <c r="P239" s="46">
        <f t="shared" ca="1" si="11"/>
        <v>2.5000000000000001E-5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input_381100!A$2</f>
        <v>381100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IFERROR(VLOOKUP(B240,input_381100!L:R,7,FALSE),VLOOKUP(tables_381100!C240,input_381100!A:H,8,FALSE))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input_381100!A$2</f>
        <v>381100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IFERROR(VLOOKUP(B241,input_381100!L:R,7,FALSE),VLOOKUP(tables_381100!C241,input_381100!A:H,8,FALSE))</f>
        <v>72200</v>
      </c>
      <c r="P241" s="46">
        <f t="shared" ca="1" si="11"/>
        <v>1.0494186046511629E-2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input_381100!A$2</f>
        <v>381100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IFERROR(VLOOKUP(B242,input_381100!L:R,7,FALSE),VLOOKUP(tables_381100!C242,input_381100!A:H,8,FALSE))</f>
        <v>3800</v>
      </c>
      <c r="P242" s="46">
        <f t="shared" ca="1" si="11"/>
        <v>5.5232558139534885E-4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input_381100!A$2</f>
        <v>381100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IFERROR(VLOOKUP(B243,input_381100!L:R,7,FALSE),VLOOKUP(tables_381100!C243,input_381100!A:H,8,FALSE))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input_381100!A$2</f>
        <v>381100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IFERROR(VLOOKUP(B244,input_381100!L:R,7,FALSE),VLOOKUP(tables_381100!C244,input_381100!A:H,8,FALSE))</f>
        <v>72200</v>
      </c>
      <c r="P244" s="46">
        <f t="shared" ca="1" si="11"/>
        <v>1.0494186046511629E-2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input_381100!A$2</f>
        <v>381100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IFERROR(VLOOKUP(B245,input_381100!L:R,7,FALSE),VLOOKUP(tables_381100!C245,input_381100!A:H,8,FALSE))</f>
        <v>3800</v>
      </c>
      <c r="P245" s="46">
        <f t="shared" ca="1" si="11"/>
        <v>5.5232558139534885E-4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input_381100!A$2</f>
        <v>381100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IFERROR(VLOOKUP(B246,input_381100!L:R,7,FALSE),VLOOKUP(tables_381100!C246,input_381100!A:H,8,FALSE))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input_381100!A$2</f>
        <v>381100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IFERROR(VLOOKUP(B247,input_381100!L:R,7,FALSE),VLOOKUP(tables_381100!C247,input_381100!A:H,8,FALSE))</f>
        <v>72200</v>
      </c>
      <c r="P247" s="46">
        <f t="shared" ca="1" si="11"/>
        <v>1.0494186046511629E-2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input_381100!A$2</f>
        <v>381100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IFERROR(VLOOKUP(B248,input_381100!L:R,7,FALSE),VLOOKUP(tables_381100!C248,input_381100!A:H,8,FALSE))</f>
        <v>3800</v>
      </c>
      <c r="P248" s="46">
        <f t="shared" ca="1" si="11"/>
        <v>5.5232558139534885E-4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input_381100!A$2</f>
        <v>381100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IFERROR(VLOOKUP(B249,input_381100!L:R,7,FALSE),VLOOKUP(tables_381100!C249,input_381100!A:H,8,FALSE))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input_381100!A$2</f>
        <v>381100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IFERROR(VLOOKUP(B250,input_381100!L:R,7,FALSE),VLOOKUP(tables_381100!C250,input_381100!A:H,8,FALSE))</f>
        <v>72200</v>
      </c>
      <c r="P250" s="46">
        <f t="shared" ca="1" si="11"/>
        <v>1.0494186046511629E-2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input_381100!A$2</f>
        <v>381100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IFERROR(VLOOKUP(B251,input_381100!L:R,7,FALSE),VLOOKUP(tables_381100!C251,input_381100!A:H,8,FALSE))</f>
        <v>3800</v>
      </c>
      <c r="P251" s="46">
        <f t="shared" ca="1" si="11"/>
        <v>5.5232558139534885E-4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input_381100!A$2</f>
        <v>381100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IFERROR(VLOOKUP(B252,input_381100!L:R,7,FALSE),VLOOKUP(tables_381100!C252,input_381100!A:H,8,FALSE))</f>
        <v>3268</v>
      </c>
      <c r="P252" s="46">
        <f t="shared" ca="1" si="11"/>
        <v>4.75E-4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input_381100!A$2</f>
        <v>381100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IFERROR(VLOOKUP(B253,input_381100!L:R,7,FALSE),VLOOKUP(tables_381100!C253,input_381100!A:H,8,FALSE))</f>
        <v>172</v>
      </c>
      <c r="P253" s="46">
        <f t="shared" ca="1" si="11"/>
        <v>2.5000000000000001E-5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input_381100!A$2</f>
        <v>381100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IFERROR(VLOOKUP(B254,input_381100!L:R,7,FALSE),VLOOKUP(tables_381100!C254,input_381100!A:H,8,FALSE))</f>
        <v>3268</v>
      </c>
      <c r="P254" s="46">
        <f t="shared" ca="1" si="11"/>
        <v>4.75E-4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input_381100!A$2</f>
        <v>381100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IFERROR(VLOOKUP(B255,input_381100!L:R,7,FALSE),VLOOKUP(tables_381100!C255,input_381100!A:H,8,FALSE))</f>
        <v>172</v>
      </c>
      <c r="P255" s="46">
        <f t="shared" ca="1" si="11"/>
        <v>2.5000000000000001E-5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input_381100!A$2</f>
        <v>381100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IFERROR(VLOOKUP(B256,input_381100!L:R,7,FALSE),VLOOKUP(tables_381100!C256,input_381100!A:H,8,FALSE))</f>
        <v>68143.199999999997</v>
      </c>
      <c r="P256" s="46">
        <f t="shared" ca="1" si="11"/>
        <v>9.9045348837209293E-3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input_381100!A$2</f>
        <v>381100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IFERROR(VLOOKUP(B257,input_381100!L:R,7,FALSE),VLOOKUP(tables_381100!C257,input_381100!A:H,8,FALSE))</f>
        <v>7856.8</v>
      </c>
      <c r="P257" s="46">
        <f t="shared" ca="1" si="11"/>
        <v>1.1419767441860466E-3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input_381100!A$2</f>
        <v>381100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IFERROR(VLOOKUP(B258,input_381100!L:R,7,FALSE),VLOOKUP(tables_381100!C258,input_381100!A:H,8,FALSE))</f>
        <v>68143.199999999997</v>
      </c>
      <c r="P258" s="46">
        <f t="shared" ref="P258:P294" ca="1" si="14">O258/SUM(O:O)</f>
        <v>9.9045348837209293E-3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input_381100!A$2</f>
        <v>381100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IFERROR(VLOOKUP(B259,input_381100!L:R,7,FALSE),VLOOKUP(tables_381100!C259,input_381100!A:H,8,FALSE))</f>
        <v>7856.8</v>
      </c>
      <c r="P259" s="46">
        <f t="shared" ca="1" si="14"/>
        <v>1.1419767441860466E-3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input_381100!A$2</f>
        <v>381100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IFERROR(VLOOKUP(B260,input_381100!L:R,7,FALSE),VLOOKUP(tables_381100!C260,input_381100!A:H,8,FALSE))</f>
        <v>3440</v>
      </c>
      <c r="P260" s="46">
        <f t="shared" ca="1" si="14"/>
        <v>5.0000000000000001E-4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input_381100!A$2</f>
        <v>381100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IFERROR(VLOOKUP(B261,input_381100!L:R,7,FALSE),VLOOKUP(tables_381100!C261,input_381100!A:H,8,FALSE))</f>
        <v>3440</v>
      </c>
      <c r="P261" s="46">
        <f t="shared" ca="1" si="14"/>
        <v>5.0000000000000001E-4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input_381100!A$2</f>
        <v>381100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IFERROR(VLOOKUP(B262,input_381100!L:R,7,FALSE),VLOOKUP(tables_381100!C262,input_381100!A:H,8,FALSE))</f>
        <v>3268</v>
      </c>
      <c r="P262" s="46">
        <f t="shared" ca="1" si="14"/>
        <v>4.75E-4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input_381100!A$2</f>
        <v>381100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IFERROR(VLOOKUP(B263,input_381100!L:R,7,FALSE),VLOOKUP(tables_381100!C263,input_381100!A:H,8,FALSE))</f>
        <v>172</v>
      </c>
      <c r="P263" s="46">
        <f t="shared" ca="1" si="14"/>
        <v>2.5000000000000001E-5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input_381100!A$2</f>
        <v>381100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IFERROR(VLOOKUP(B264,input_381100!L:R,7,FALSE),VLOOKUP(tables_381100!C264,input_381100!A:H,8,FALSE))</f>
        <v>3268</v>
      </c>
      <c r="P264" s="46">
        <f t="shared" ca="1" si="14"/>
        <v>4.75E-4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input_381100!A$2</f>
        <v>381100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IFERROR(VLOOKUP(B265,input_381100!L:R,7,FALSE),VLOOKUP(tables_381100!C265,input_381100!A:H,8,FALSE))</f>
        <v>172</v>
      </c>
      <c r="P265" s="46">
        <f t="shared" ca="1" si="14"/>
        <v>2.5000000000000001E-5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input_381100!A$2</f>
        <v>381100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IFERROR(VLOOKUP(B266,input_381100!L:R,7,FALSE),VLOOKUP(tables_381100!C266,input_381100!A:H,8,FALSE))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input_381100!A$2</f>
        <v>381100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IFERROR(VLOOKUP(B267,input_381100!L:R,7,FALSE),VLOOKUP(tables_381100!C267,input_381100!A:H,8,FALSE))</f>
        <v>72200</v>
      </c>
      <c r="P267" s="46">
        <f t="shared" ca="1" si="14"/>
        <v>1.0494186046511629E-2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input_381100!A$2</f>
        <v>381100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IFERROR(VLOOKUP(B268,input_381100!L:R,7,FALSE),VLOOKUP(tables_381100!C268,input_381100!A:H,8,FALSE))</f>
        <v>3800</v>
      </c>
      <c r="P268" s="46">
        <f t="shared" ca="1" si="14"/>
        <v>5.5232558139534885E-4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input_381100!A$2</f>
        <v>381100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IFERROR(VLOOKUP(B269,input_381100!L:R,7,FALSE),VLOOKUP(tables_381100!C269,input_381100!A:H,8,FALSE))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input_381100!A$2</f>
        <v>381100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IFERROR(VLOOKUP(B270,input_381100!L:R,7,FALSE),VLOOKUP(tables_381100!C270,input_381100!A:H,8,FALSE))</f>
        <v>72200</v>
      </c>
      <c r="P270" s="46">
        <f t="shared" ca="1" si="14"/>
        <v>1.0494186046511629E-2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input_381100!A$2</f>
        <v>381100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IFERROR(VLOOKUP(B271,input_381100!L:R,7,FALSE),VLOOKUP(tables_381100!C271,input_381100!A:H,8,FALSE))</f>
        <v>3800</v>
      </c>
      <c r="P271" s="46">
        <f t="shared" ca="1" si="14"/>
        <v>5.5232558139534885E-4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input_381100!A$2</f>
        <v>381100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IFERROR(VLOOKUP(B272,input_381100!L:R,7,FALSE),VLOOKUP(tables_381100!C272,input_381100!A:H,8,FALSE))</f>
        <v>3440</v>
      </c>
      <c r="P272" s="46">
        <f t="shared" ca="1" si="14"/>
        <v>5.0000000000000001E-4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input_381100!A$2</f>
        <v>381100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IFERROR(VLOOKUP(B273,input_381100!L:R,7,FALSE),VLOOKUP(tables_381100!C273,input_381100!A:H,8,FALSE))</f>
        <v>3440</v>
      </c>
      <c r="P273" s="46">
        <f t="shared" ca="1" si="14"/>
        <v>5.0000000000000001E-4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input_381100!A$2</f>
        <v>381100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IFERROR(VLOOKUP(B274,input_381100!L:R,7,FALSE),VLOOKUP(tables_381100!C274,input_381100!A:H,8,FALSE))</f>
        <v>68143.199999999997</v>
      </c>
      <c r="P274" s="46">
        <f t="shared" ca="1" si="14"/>
        <v>9.9045348837209293E-3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input_381100!A$2</f>
        <v>381100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IFERROR(VLOOKUP(B275,input_381100!L:R,7,FALSE),VLOOKUP(tables_381100!C275,input_381100!A:H,8,FALSE))</f>
        <v>7856.8</v>
      </c>
      <c r="P275" s="46">
        <f t="shared" ca="1" si="14"/>
        <v>1.1419767441860466E-3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input_381100!A$2</f>
        <v>381100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IFERROR(VLOOKUP(B276,input_381100!L:R,7,FALSE),VLOOKUP(tables_381100!C276,input_381100!A:H,8,FALSE))</f>
        <v>68143.199999999997</v>
      </c>
      <c r="P276" s="46">
        <f t="shared" ca="1" si="14"/>
        <v>9.9045348837209293E-3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input_381100!A$2</f>
        <v>381100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IFERROR(VLOOKUP(B277,input_381100!L:R,7,FALSE),VLOOKUP(tables_381100!C277,input_381100!A:H,8,FALSE))</f>
        <v>7856.8</v>
      </c>
      <c r="P277" s="46">
        <f t="shared" ca="1" si="14"/>
        <v>1.1419767441860466E-3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input_381100!A$2</f>
        <v>381100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IFERROR(VLOOKUP(B278,input_381100!L:R,7,FALSE),VLOOKUP(tables_381100!C278,input_381100!A:H,8,FALSE))</f>
        <v>68143.199999999997</v>
      </c>
      <c r="P278" s="46">
        <f t="shared" ca="1" si="14"/>
        <v>9.9045348837209293E-3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input_381100!A$2</f>
        <v>381100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IFERROR(VLOOKUP(B279,input_381100!L:R,7,FALSE),VLOOKUP(tables_381100!C279,input_381100!A:H,8,FALSE))</f>
        <v>7856.8</v>
      </c>
      <c r="P279" s="46">
        <f t="shared" ca="1" si="14"/>
        <v>1.1419767441860466E-3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input_381100!A$2</f>
        <v>381100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IFERROR(VLOOKUP(B280,input_381100!L:R,7,FALSE),VLOOKUP(tables_381100!C280,input_381100!A:H,8,FALSE))</f>
        <v>68143.199999999997</v>
      </c>
      <c r="P280" s="46">
        <f t="shared" ca="1" si="14"/>
        <v>9.9045348837209293E-3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input_381100!A$2</f>
        <v>381100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IFERROR(VLOOKUP(B281,input_381100!L:R,7,FALSE),VLOOKUP(tables_381100!C281,input_381100!A:H,8,FALSE))</f>
        <v>7856.8</v>
      </c>
      <c r="P281" s="46">
        <f t="shared" ca="1" si="14"/>
        <v>1.1419767441860466E-3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input_381100!A$2</f>
        <v>381100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IFERROR(VLOOKUP(B282,input_381100!L:R,7,FALSE),VLOOKUP(tables_381100!C282,input_381100!A:H,8,FALSE))</f>
        <v>3440</v>
      </c>
      <c r="P282" s="46">
        <f t="shared" ca="1" si="14"/>
        <v>5.0000000000000001E-4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input_381100!A$2</f>
        <v>381100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IFERROR(VLOOKUP(B283,input_381100!L:R,7,FALSE),VLOOKUP(tables_381100!C283,input_381100!A:H,8,FALSE))</f>
        <v>3440</v>
      </c>
      <c r="P283" s="46">
        <f t="shared" ca="1" si="14"/>
        <v>5.0000000000000001E-4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input_381100!A$2</f>
        <v>381100</v>
      </c>
      <c r="B284" s="93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IFERROR(VLOOKUP(B284,input_381100!L:R,7,FALSE),VLOOKUP(tables_381100!C284,input_381100!A:H,8,FALSE))</f>
        <v>3440</v>
      </c>
      <c r="P284" s="46">
        <f t="shared" ca="1" si="14"/>
        <v>5.0000000000000001E-4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input_381100!A$2</f>
        <v>381100</v>
      </c>
      <c r="B285" s="93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IFERROR(VLOOKUP(B285,input_381100!L:R,7,FALSE),VLOOKUP(tables_381100!C285,input_381100!A:H,8,FALSE))</f>
        <v>3440</v>
      </c>
      <c r="P285" s="46">
        <f t="shared" ca="1" si="14"/>
        <v>5.0000000000000001E-4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input_381100!A$2</f>
        <v>381100</v>
      </c>
      <c r="B286" s="93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IFERROR(VLOOKUP(B286,input_381100!L:R,7,FALSE),VLOOKUP(tables_381100!C286,input_381100!A:H,8,FALSE))</f>
        <v>68143.199999999997</v>
      </c>
      <c r="P286" s="46">
        <f t="shared" ca="1" si="14"/>
        <v>9.9045348837209293E-3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input_381100!A$2</f>
        <v>381100</v>
      </c>
      <c r="B287" s="93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IFERROR(VLOOKUP(B287,input_381100!L:R,7,FALSE),VLOOKUP(tables_381100!C287,input_381100!A:H,8,FALSE))</f>
        <v>7856.8</v>
      </c>
      <c r="P287" s="46">
        <f t="shared" ca="1" si="14"/>
        <v>1.1419767441860466E-3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input_381100!A$2</f>
        <v>381100</v>
      </c>
      <c r="B288" s="93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IFERROR(VLOOKUP(B288,input_381100!L:R,7,FALSE),VLOOKUP(tables_381100!C288,input_381100!A:H,8,FALSE))</f>
        <v>68143.199999999997</v>
      </c>
      <c r="P288" s="46">
        <f t="shared" ca="1" si="14"/>
        <v>9.9045348837209293E-3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input_381100!A$2</f>
        <v>381100</v>
      </c>
      <c r="B289" s="93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IFERROR(VLOOKUP(B289,input_381100!L:R,7,FALSE),VLOOKUP(tables_381100!C289,input_381100!A:H,8,FALSE))</f>
        <v>7856.8</v>
      </c>
      <c r="P289" s="46">
        <f t="shared" ca="1" si="14"/>
        <v>1.1419767441860466E-3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input_381100!A$2</f>
        <v>381100</v>
      </c>
      <c r="B290" s="5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IFERROR(VLOOKUP(B290,input_381100!L:R,7,FALSE),VLOOKUP(tables_381100!C290,input_381100!A:H,8,FALSE))</f>
        <v>3440</v>
      </c>
      <c r="P290" s="46">
        <f t="shared" ca="1" si="14"/>
        <v>5.0000000000000001E-4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input_381100!A$2</f>
        <v>381100</v>
      </c>
      <c r="B291" s="5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IFERROR(VLOOKUP(B291,input_381100!L:R,7,FALSE),VLOOKUP(tables_381100!C291,input_381100!A:H,8,FALSE))</f>
        <v>68143.199999999997</v>
      </c>
      <c r="P291" s="46">
        <f t="shared" ca="1" si="14"/>
        <v>9.9045348837209293E-3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input_381100!A$2</f>
        <v>381100</v>
      </c>
      <c r="B292" s="5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IFERROR(VLOOKUP(B292,input_381100!L:R,7,FALSE),VLOOKUP(tables_381100!C292,input_381100!A:H,8,FALSE))</f>
        <v>7856.8</v>
      </c>
      <c r="P292" s="46">
        <f t="shared" ca="1" si="14"/>
        <v>1.1419767441860466E-3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input_381100!A$2</f>
        <v>381100</v>
      </c>
      <c r="B293" s="5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IFERROR(VLOOKUP(B293,input_381100!L:R,7,FALSE),VLOOKUP(tables_381100!C293,input_381100!A:H,8,FALSE))</f>
        <v>3440</v>
      </c>
      <c r="P293" s="46">
        <f t="shared" ca="1" si="14"/>
        <v>5.0000000000000001E-4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input_381100!A$2</f>
        <v>381100</v>
      </c>
      <c r="B294" s="5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IFERROR(VLOOKUP(B294,input_381100!L:R,7,FALSE),VLOOKUP(tables_381100!C294,input_381100!A:H,8,FALSE))</f>
        <v>3440</v>
      </c>
      <c r="P294" s="46">
        <f t="shared" ca="1" si="14"/>
        <v>5.0000000000000001E-4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input_381100!A$2</f>
        <v>381100</v>
      </c>
      <c r="B295" s="5">
        <v>1012</v>
      </c>
      <c r="C295" s="7" t="str">
        <f t="shared" ref="C295:C299" si="23">D295&amp;J295&amp;E295&amp;F295&amp;G295</f>
        <v>PremiumSS5R5only</v>
      </c>
      <c r="D295" s="7" t="str">
        <f t="shared" ref="D295:D299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IFERROR(VLOOKUP(B295,input_381100!L:R,7,FALSE),VLOOKUP(tables_381100!C295,input_381100!A:H,8,FALSE))</f>
        <v>3440</v>
      </c>
      <c r="P295" s="46">
        <f t="shared" ref="P295:P299" ca="1" si="25">O295/SUM(O:O)</f>
        <v>5.0000000000000001E-4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input_381100!A$2</f>
        <v>381100</v>
      </c>
      <c r="B296" s="5">
        <v>1014</v>
      </c>
      <c r="C296" s="7" t="str">
        <f t="shared" si="23"/>
        <v>PremiumSS5R5only</v>
      </c>
      <c r="D296" s="7" t="str">
        <f t="shared" si="24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IFERROR(VLOOKUP(B296,input_381100!L:R,7,FALSE),VLOOKUP(tables_381100!C296,input_381100!A:H,8,FALSE))</f>
        <v>3440</v>
      </c>
      <c r="P296" s="46">
        <f t="shared" ca="1" si="25"/>
        <v>5.0000000000000001E-4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input_381100!A$2</f>
        <v>381100</v>
      </c>
      <c r="B297" s="5">
        <v>1016</v>
      </c>
      <c r="C297" s="7" t="str">
        <f t="shared" si="23"/>
        <v>Premium4R3less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IFERROR(VLOOKUP(B297,input_381100!L:R,7,FALSE),VLOOKUP(tables_381100!C297,input_381100!A:H,8,FALSE))</f>
        <v>68143.199999999997</v>
      </c>
      <c r="P297" s="46">
        <f t="shared" ca="1" si="25"/>
        <v>9.9045348837209293E-3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input_381100!A$2</f>
        <v>381100</v>
      </c>
      <c r="B298" s="5">
        <v>1017</v>
      </c>
      <c r="C298" s="7" t="str">
        <f t="shared" si="23"/>
        <v>Premium5R3less</v>
      </c>
      <c r="D298" s="7" t="str">
        <f t="shared" si="24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IFERROR(VLOOKUP(B298,input_381100!L:R,7,FALSE),VLOOKUP(tables_381100!C298,input_381100!A:H,8,FALSE))</f>
        <v>7856.8</v>
      </c>
      <c r="P298" s="46">
        <f t="shared" ca="1" si="25"/>
        <v>1.1419767441860466E-3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input_381100!A$2</f>
        <v>381100</v>
      </c>
      <c r="B299" s="5">
        <v>1018</v>
      </c>
      <c r="C299" s="7" t="str">
        <f t="shared" si="23"/>
        <v>PremiumSS5R5only</v>
      </c>
      <c r="D299" s="7" t="str">
        <f t="shared" si="24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IFERROR(VLOOKUP(B299,input_381100!L:R,7,FALSE),VLOOKUP(tables_381100!C299,input_381100!A:H,8,FALSE))</f>
        <v>3440</v>
      </c>
      <c r="P299" s="46">
        <f t="shared" ca="1" si="25"/>
        <v>5.0000000000000001E-4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K19" sqref="K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8" t="s">
        <v>261</v>
      </c>
      <c r="B2" s="60">
        <v>937</v>
      </c>
      <c r="C2" s="7" t="str">
        <f t="shared" ref="C2:C3" si="0">D2&amp;J2&amp;E2&amp;F2&amp;G2</f>
        <v>PremiumSS5R5only</v>
      </c>
      <c r="D2" s="7" t="str">
        <f t="shared" ref="D2:D3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ナポレオン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150</v>
      </c>
      <c r="P2" s="46">
        <f>O2/SUM(O:O)</f>
        <v>0.15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8" t="s">
        <v>261</v>
      </c>
      <c r="B3" s="60">
        <v>939</v>
      </c>
      <c r="C3" s="7" t="str">
        <f t="shared" si="0"/>
        <v>Premium4R3less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バスティーユ</v>
      </c>
      <c r="I3" s="7" t="str">
        <f>VLOOKUP(B3,[1]characters!$A:$J,10,FALSE)</f>
        <v>PremiumS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unknown</v>
      </c>
      <c r="N3" s="7" t="str">
        <f>VLOOKUP(B3,[1]characters!$A:$G,7,FALSE)</f>
        <v>男性</v>
      </c>
      <c r="O3" s="45">
        <v>200</v>
      </c>
      <c r="P3" s="46">
        <f>O3/SUM(O:O)</f>
        <v>0.2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8" t="s">
        <v>261</v>
      </c>
      <c r="B4" s="60">
        <v>940</v>
      </c>
      <c r="C4" s="7" t="str">
        <f t="shared" ref="C4:C6" si="2">D4&amp;J4&amp;E4&amp;F4&amp;G4</f>
        <v>Premium5R3less</v>
      </c>
      <c r="D4" s="7" t="str">
        <f t="shared" ref="D4:D6" si="3">IF(I4="PremiumSS",I4,IF(I4="PremiumSSS",I4,IF(I4="PremiumW",I4,"Premium")))</f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不壊の大要塞 バスティーユ</v>
      </c>
      <c r="I4" s="7" t="str">
        <f>VLOOKUP(B4,[1]characters!$A:$J,10,FALSE)</f>
        <v>PremiumS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hp</v>
      </c>
      <c r="M4" s="7" t="str">
        <f>VLOOKUP(B4,[1]characters!$A:$M,13,FALSE)</f>
        <v>unknown</v>
      </c>
      <c r="N4" s="7" t="str">
        <f>VLOOKUP(B4,[1]characters!$A:$G,7,FALSE)</f>
        <v>男性</v>
      </c>
      <c r="O4" s="45">
        <v>250</v>
      </c>
      <c r="P4" s="46">
        <f>O4/SUM(O:O)</f>
        <v>0.25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8" t="s">
        <v>261</v>
      </c>
      <c r="B5" s="90">
        <v>941</v>
      </c>
      <c r="C5" s="7" t="str">
        <f t="shared" si="2"/>
        <v>PremiumSS5R5only</v>
      </c>
      <c r="D5" s="7" t="str">
        <f t="shared" si="3"/>
        <v>PremiumSS</v>
      </c>
      <c r="E5" s="7" t="str">
        <f>IF(COUNTIF('R6追加前'!A:A,B5)=0,IF(I5="PremiumSS","R5only","R3less"),"")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アントワネット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200</v>
      </c>
      <c r="P5" s="46">
        <f>O5/SUM(O:O)</f>
        <v>0.2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8" t="s">
        <v>261</v>
      </c>
      <c r="B6" s="90">
        <v>943</v>
      </c>
      <c r="C6" s="7" t="str">
        <f t="shared" si="2"/>
        <v>PremiumSS5R5only</v>
      </c>
      <c r="D6" s="7" t="str">
        <f t="shared" si="3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サンソン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v>200</v>
      </c>
      <c r="P6" s="46">
        <f>O6/SUM(O:O)</f>
        <v>0.2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I20" sqref="I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248</v>
      </c>
      <c r="B2" s="79" t="s">
        <v>249</v>
      </c>
      <c r="C2" s="80" t="s">
        <v>244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214</v>
      </c>
      <c r="O2" s="80" t="s">
        <v>246</v>
      </c>
      <c r="P2" s="80" t="s">
        <v>247</v>
      </c>
      <c r="Q2" s="81" t="s">
        <v>251</v>
      </c>
    </row>
    <row r="3" spans="1:17" ht="21" customHeight="1" x14ac:dyDescent="0.15">
      <c r="A3" s="79" t="s">
        <v>253</v>
      </c>
      <c r="B3" s="79" t="s">
        <v>250</v>
      </c>
      <c r="C3" s="1" t="s">
        <v>241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214</v>
      </c>
      <c r="O3" s="80" t="s">
        <v>245</v>
      </c>
      <c r="P3" s="80" t="s">
        <v>247</v>
      </c>
      <c r="Q3" s="81" t="s">
        <v>252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input_381010</vt:lpstr>
      <vt:lpstr>tables_381010</vt:lpstr>
      <vt:lpstr>input_381100</vt:lpstr>
      <vt:lpstr>tables_381100</vt:lpstr>
      <vt:lpstr>tables_settle_363100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2016-07-28T05:52:32Z</dcterms:modified>
</cp:coreProperties>
</file>