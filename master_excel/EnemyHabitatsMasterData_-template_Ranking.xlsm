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510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iwagaki/BULL_data/master_excel/"/>
    </mc:Choice>
  </mc:AlternateContent>
  <bookViews>
    <workbookView xWindow="8560" yWindow="3120" windowWidth="23360" windowHeight="13820" tabRatio="936" activeTab="7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eval_gift" sheetId="29" r:id="rId8"/>
    <sheet name="ranking_ACH" sheetId="22" r:id="rId9"/>
    <sheet name="enemy_habitats" sheetId="1" r:id="rId10"/>
    <sheet name="enemy_habitat_S" sheetId="7" r:id="rId11"/>
    <sheet name="enemy_skill_sets" sheetId="9" r:id="rId12"/>
    <sheet name="enemy_skills" sheetId="10" r:id="rId13"/>
    <sheet name="enemy_skill_triggers" sheetId="11" r:id="rId14"/>
    <sheet name="bugbonuses" sheetId="18" r:id="rId15"/>
    <sheet name="stage_hints_complete" sheetId="19" r:id="rId16"/>
    <sheet name="stage_hints_failure" sheetId="21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xlnm._FilterDatabase" localSheetId="10" hidden="1">enemy_habitat_S!$B$1:$Y$2</definedName>
    <definedName name="_xlnm._FilterDatabase" localSheetId="9" hidden="1">enemy_habitats!$B$1:$AH$2</definedName>
    <definedName name="_xlnm._FilterDatabase" localSheetId="11" hidden="1">enemy_skill_sets!$A$1:$R$1</definedName>
    <definedName name="_xlnm._FilterDatabase" localSheetId="13" hidden="1">enemy_skill_triggers!$A$1:$G$1</definedName>
    <definedName name="_xlnm._FilterDatabase" localSheetId="12" hidden="1">enemy_skills!$A$1:$AB$1</definedName>
    <definedName name="_xlnm._FilterDatabase" localSheetId="15" hidden="1">stage_hints_complete!$B$1:$L$2</definedName>
    <definedName name="_xlnm._FilterDatabase" localSheetId="16" hidden="1">stage_hints_failure!$B$1:$M$2</definedName>
    <definedName name="Excel_BuiltIn__FilterDatabase_6_1" localSheetId="11">[1]unit_skills!#REF!</definedName>
    <definedName name="Excel_BuiltIn__FilterDatabase_6_1" localSheetId="13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9" l="1"/>
  <c r="E2" i="29"/>
  <c r="E3" i="29"/>
  <c r="E4" i="29"/>
  <c r="E5" i="29"/>
  <c r="E6" i="29"/>
  <c r="E7" i="29"/>
  <c r="B3" i="29"/>
  <c r="B4" i="29"/>
  <c r="B5" i="29"/>
  <c r="B6" i="29"/>
  <c r="B7" i="29"/>
  <c r="C26" i="16"/>
  <c r="C25" i="16"/>
  <c r="E26" i="16"/>
  <c r="E25" i="16"/>
  <c r="E24" i="16"/>
  <c r="E8" i="16"/>
  <c r="E9" i="16"/>
  <c r="E5" i="16"/>
  <c r="E6" i="16"/>
  <c r="E7" i="16"/>
  <c r="L2" i="2"/>
  <c r="E4" i="16"/>
  <c r="E2" i="24"/>
  <c r="B2" i="24"/>
  <c r="D2" i="2"/>
  <c r="F2" i="24"/>
  <c r="C2" i="24"/>
  <c r="E2" i="2"/>
  <c r="C22" i="16"/>
  <c r="C23" i="16"/>
  <c r="E23" i="16"/>
  <c r="E22" i="16"/>
  <c r="C20" i="16"/>
  <c r="E20" i="16"/>
  <c r="C21" i="16"/>
  <c r="E21" i="16"/>
  <c r="A2" i="22"/>
  <c r="F2" i="22"/>
  <c r="G2" i="22"/>
  <c r="C2" i="22"/>
  <c r="B2" i="22"/>
  <c r="N2" i="2"/>
  <c r="M2" i="2"/>
  <c r="E3" i="16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C19" i="16"/>
  <c r="L2" i="19"/>
  <c r="B2" i="21"/>
  <c r="I2" i="21"/>
  <c r="J2" i="21"/>
  <c r="G2" i="21"/>
  <c r="F2" i="21"/>
  <c r="D2" i="21"/>
  <c r="C2" i="21"/>
  <c r="E19" i="16"/>
  <c r="C17" i="16"/>
  <c r="C18" i="16"/>
  <c r="E18" i="16"/>
  <c r="B2" i="19"/>
  <c r="G2" i="19"/>
  <c r="F2" i="19"/>
  <c r="D2" i="19"/>
  <c r="C2" i="19"/>
  <c r="E17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Y2" i="7"/>
  <c r="C11" i="16"/>
  <c r="C12" i="16"/>
  <c r="C13" i="16"/>
  <c r="C14" i="16"/>
  <c r="C15" i="16"/>
  <c r="C16" i="16"/>
  <c r="C10" i="16"/>
  <c r="E16" i="16"/>
  <c r="X2" i="7"/>
  <c r="W2" i="7"/>
  <c r="W2" i="1"/>
  <c r="V2" i="1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AA3" i="1"/>
  <c r="AA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G2" i="2"/>
  <c r="A2" i="2"/>
  <c r="J2" i="7"/>
  <c r="E15" i="16"/>
  <c r="E14" i="16"/>
  <c r="E13" i="16"/>
  <c r="E12" i="16"/>
  <c r="E11" i="16"/>
  <c r="E10" i="16"/>
  <c r="E2" i="16"/>
  <c r="A3" i="1"/>
  <c r="A2" i="1"/>
  <c r="AG3" i="1"/>
  <c r="A2" i="9"/>
  <c r="H3" i="1"/>
  <c r="J3" i="1"/>
  <c r="I3" i="1"/>
  <c r="D3" i="1"/>
  <c r="F3" i="1"/>
  <c r="E3" i="1"/>
  <c r="A2" i="7"/>
  <c r="I2" i="7"/>
  <c r="D2" i="7"/>
  <c r="F2" i="7"/>
  <c r="E2" i="7"/>
  <c r="H2" i="1"/>
  <c r="J2" i="1"/>
  <c r="I2" i="1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A24" authorId="0">
      <text>
        <r>
          <rPr>
            <b/>
            <sz val="11"/>
            <color indexed="81"/>
            <rFont val="ＭＳ Ｐゴシック"/>
            <family val="3"/>
            <charset val="128"/>
          </rPr>
          <t>触れないようにお願いします。</t>
        </r>
      </text>
    </comment>
  </commentList>
</comments>
</file>

<file path=xl/comments2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3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7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<sst xmlns="http://schemas.openxmlformats.org/spreadsheetml/2006/main" count="1129" uniqueCount="353">
  <si>
    <t>quest_id</t>
  </si>
  <si>
    <t>stage_id</t>
  </si>
  <si>
    <t>character_id</t>
  </si>
  <si>
    <t>level</t>
  </si>
  <si>
    <t>skill_set_id</t>
    <phoneticPr fontId="7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</si>
  <si>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</si>
  <si>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</si>
  <si>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</si>
  <si>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</si>
  <si>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</si>
  <si>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</si>
  <si>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</si>
  <si>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</si>
  <si>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</si>
  <si>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</si>
  <si>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</si>
  <si>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7"/>
  </si>
  <si>
    <t>rare</t>
    <phoneticPr fontId="7"/>
  </si>
  <si>
    <t>name</t>
    <phoneticPr fontId="7"/>
  </si>
  <si>
    <t>floor_id</t>
    <phoneticPr fontId="7"/>
  </si>
  <si>
    <t>name</t>
    <phoneticPr fontId="7"/>
  </si>
  <si>
    <t>name</t>
    <phoneticPr fontId="7"/>
  </si>
  <si>
    <t>skill_set_id</t>
  </si>
  <si>
    <t>drop_label</t>
    <phoneticPr fontId="7"/>
  </si>
  <si>
    <t>color</t>
    <phoneticPr fontId="7"/>
  </si>
  <si>
    <t>size</t>
    <phoneticPr fontId="7"/>
  </si>
  <si>
    <t>character_main_tribe_id</t>
    <phoneticPr fontId="7"/>
  </si>
  <si>
    <t>drop_label</t>
    <phoneticPr fontId="9"/>
  </si>
  <si>
    <t>temp_stage</t>
    <phoneticPr fontId="7"/>
  </si>
  <si>
    <t>temp_habitats</t>
    <phoneticPr fontId="7"/>
  </si>
  <si>
    <t>temp_floor</t>
    <phoneticPr fontId="7"/>
  </si>
  <si>
    <t>スキル</t>
    <phoneticPr fontId="7"/>
  </si>
  <si>
    <t>temp_stage</t>
    <phoneticPr fontId="7"/>
  </si>
  <si>
    <t>位置付け</t>
    <rPh sb="0" eb="3">
      <t>イチヅ</t>
    </rPh>
    <phoneticPr fontId="7"/>
  </si>
  <si>
    <t>name</t>
    <phoneticPr fontId="7"/>
  </si>
  <si>
    <t>temp_floor</t>
    <phoneticPr fontId="7"/>
  </si>
  <si>
    <t>status</t>
    <phoneticPr fontId="7"/>
  </si>
  <si>
    <t>hp_plus</t>
  </si>
  <si>
    <t>hp_plus</t>
    <phoneticPr fontId="7"/>
  </si>
  <si>
    <t>attack_plus</t>
  </si>
  <si>
    <t>attack_plus</t>
    <phoneticPr fontId="7"/>
  </si>
  <si>
    <t>defense_plus</t>
  </si>
  <si>
    <t>defense_plus</t>
    <phoneticPr fontId="7"/>
  </si>
  <si>
    <t>heal_plus</t>
  </si>
  <si>
    <t>heal_plus</t>
    <phoneticPr fontId="7"/>
  </si>
  <si>
    <t>bug</t>
  </si>
  <si>
    <t>bug</t>
    <phoneticPr fontId="7"/>
  </si>
  <si>
    <t>hp_coefficient</t>
  </si>
  <si>
    <t>hp_coefficient</t>
    <phoneticPr fontId="7"/>
  </si>
  <si>
    <t>attack_coefficient</t>
  </si>
  <si>
    <t>attack_coefficient</t>
    <phoneticPr fontId="7"/>
  </si>
  <si>
    <t>defense_correction</t>
  </si>
  <si>
    <t>defense_correction</t>
    <phoneticPr fontId="7"/>
  </si>
  <si>
    <t>null</t>
    <phoneticPr fontId="7"/>
  </si>
  <si>
    <t>seq_no</t>
    <phoneticPr fontId="7"/>
  </si>
  <si>
    <t>state_no</t>
    <phoneticPr fontId="7"/>
  </si>
  <si>
    <t>character_id</t>
    <phoneticPr fontId="7"/>
  </si>
  <si>
    <t>level</t>
    <phoneticPr fontId="7"/>
  </si>
  <si>
    <t>speed</t>
    <phoneticPr fontId="7"/>
  </si>
  <si>
    <t>skill_set_id</t>
    <phoneticPr fontId="7"/>
  </si>
  <si>
    <t>temp_id</t>
    <phoneticPr fontId="7"/>
  </si>
  <si>
    <t>skill_set_id</t>
    <phoneticPr fontId="9"/>
  </si>
  <si>
    <t>skill_id</t>
    <phoneticPr fontId="9"/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</si>
  <si>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</si>
  <si>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</si>
  <si>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</si>
  <si>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</si>
  <si>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</si>
  <si>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priority</t>
    <phoneticPr fontId="7"/>
  </si>
  <si>
    <t>invoke_rate</t>
    <phoneticPr fontId="7"/>
  </si>
  <si>
    <t>hp_threshold</t>
    <phoneticPr fontId="7"/>
  </si>
  <si>
    <t>hp_termination</t>
    <phoneticPr fontId="7"/>
  </si>
  <si>
    <t>invoke_times</t>
    <phoneticPr fontId="7"/>
  </si>
  <si>
    <t>every_time_count</t>
    <phoneticPr fontId="7"/>
  </si>
  <si>
    <t>neighbor_dead_id</t>
    <phoneticPr fontId="7"/>
  </si>
  <si>
    <t>invoke_weight</t>
    <phoneticPr fontId="7"/>
  </si>
  <si>
    <t>作成者</t>
    <rPh sb="0" eb="3">
      <t>サクセイシャ</t>
    </rPh>
    <phoneticPr fontId="7"/>
  </si>
  <si>
    <t>更新日</t>
    <rPh sb="0" eb="3">
      <t>コウシンニチジ</t>
    </rPh>
    <phoneticPr fontId="7"/>
  </si>
  <si>
    <t>備考（使用箇所）</t>
    <rPh sb="0" eb="2">
      <t>ビコウ</t>
    </rPh>
    <rPh sb="3" eb="7">
      <t>シヨウカショ</t>
    </rPh>
    <phoneticPr fontId="7"/>
  </si>
  <si>
    <t>enemy_skill_id</t>
  </si>
  <si>
    <t>effect_param</t>
    <phoneticPr fontId="7"/>
  </si>
  <si>
    <t>valid_flg</t>
  </si>
  <si>
    <t>name</t>
    <phoneticPr fontId="9"/>
  </si>
  <si>
    <t>comment</t>
    <phoneticPr fontId="9"/>
  </si>
  <si>
    <t>[effect:heal, target:enemy_one, val:0.1, animation:enemy_heal]</t>
    <phoneticPr fontId="7"/>
  </si>
  <si>
    <t>恍惚の表情を浮かべている</t>
    <rPh sb="0" eb="2">
      <t>コウコツ</t>
    </rPh>
    <rPh sb="3" eb="5">
      <t>ヒョウジョウ</t>
    </rPh>
    <rPh sb="6" eb="7">
      <t>ウ</t>
    </rPh>
    <phoneticPr fontId="7"/>
  </si>
  <si>
    <t>回復</t>
    <rPh sb="0" eb="2">
      <t>カイフク</t>
    </rPh>
    <phoneticPr fontId="7"/>
  </si>
  <si>
    <t>skill_trigger_id</t>
    <phoneticPr fontId="9"/>
  </si>
  <si>
    <t>first_time</t>
    <phoneticPr fontId="7"/>
  </si>
  <si>
    <t>priority</t>
    <phoneticPr fontId="7"/>
  </si>
  <si>
    <t>invoke_rate</t>
    <phoneticPr fontId="7"/>
  </si>
  <si>
    <t>重複チェック</t>
    <rPh sb="0" eb="2">
      <t>チョウフク</t>
    </rPh>
    <phoneticPr fontId="7"/>
  </si>
  <si>
    <t>null</t>
    <phoneticPr fontId="7"/>
  </si>
  <si>
    <t>null</t>
    <phoneticPr fontId="7"/>
  </si>
  <si>
    <t>enemy_skills</t>
    <phoneticPr fontId="7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</si>
  <si>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</si>
  <si>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</si>
  <si>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</si>
  <si>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</si>
  <si>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</si>
  <si>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</si>
  <si>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</si>
  <si>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</si>
  <si>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</si>
  <si>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7"/>
  </si>
  <si>
    <t>識別子</t>
    <rPh sb="0" eb="3">
      <t>シキベツシ</t>
    </rPh>
    <phoneticPr fontId="7"/>
  </si>
  <si>
    <t>形式</t>
    <rPh sb="0" eb="2">
      <t>ケイシキ</t>
    </rPh>
    <phoneticPr fontId="7"/>
  </si>
  <si>
    <t>出力ファイル名</t>
    <rPh sb="0" eb="2">
      <t>シュツリョク</t>
    </rPh>
    <rPh sb="6" eb="7">
      <t>メイ</t>
    </rPh>
    <phoneticPr fontId="7"/>
  </si>
  <si>
    <t>入力シート名</t>
    <rPh sb="0" eb="2">
      <t>ニュウリョク</t>
    </rPh>
    <rPh sb="5" eb="6">
      <t>メイ</t>
    </rPh>
    <phoneticPr fontId="7"/>
  </si>
  <si>
    <t>出力データ</t>
    <rPh sb="0" eb="2">
      <t>シュツリョク</t>
    </rPh>
    <phoneticPr fontId="7"/>
  </si>
  <si>
    <t>floors_</t>
    <phoneticPr fontId="7"/>
  </si>
  <si>
    <t>.tmp</t>
    <phoneticPr fontId="7"/>
  </si>
  <si>
    <t>floors</t>
    <phoneticPr fontId="7"/>
  </si>
  <si>
    <t>enemy_habitats_</t>
    <phoneticPr fontId="7"/>
  </si>
  <si>
    <t>enemy_habitats</t>
    <phoneticPr fontId="7"/>
  </si>
  <si>
    <t>enemy_habitat_S_</t>
    <phoneticPr fontId="7"/>
  </si>
  <si>
    <t>enemy_habitat_S</t>
    <phoneticPr fontId="7"/>
  </si>
  <si>
    <t>enemy_skill_sets_</t>
    <phoneticPr fontId="7"/>
  </si>
  <si>
    <t>enemy_skill_sets</t>
    <phoneticPr fontId="7"/>
  </si>
  <si>
    <t>enemy_skills_tmp_</t>
    <phoneticPr fontId="7"/>
  </si>
  <si>
    <t>.tmp</t>
    <phoneticPr fontId="7"/>
  </si>
  <si>
    <t>enemy_skills_i18n_</t>
    <phoneticPr fontId="7"/>
  </si>
  <si>
    <t>enemy_skills</t>
    <phoneticPr fontId="7"/>
  </si>
  <si>
    <t>enemy_skill_triggers_</t>
    <phoneticPr fontId="7"/>
  </si>
  <si>
    <t>.tmp</t>
    <phoneticPr fontId="7"/>
  </si>
  <si>
    <t>enemy_skill_triggers</t>
    <phoneticPr fontId="7"/>
  </si>
  <si>
    <t>hp_termination</t>
    <phoneticPr fontId="7"/>
  </si>
  <si>
    <t>invoke_weight</t>
    <phoneticPr fontId="7"/>
  </si>
  <si>
    <t>every_time_count</t>
    <phoneticPr fontId="7"/>
  </si>
  <si>
    <t>neighbor_dead_id</t>
    <phoneticPr fontId="7"/>
  </si>
  <si>
    <t>language</t>
    <phoneticPr fontId="7"/>
  </si>
  <si>
    <t>ja</t>
    <phoneticPr fontId="7"/>
  </si>
  <si>
    <t>skill_set_id</t>
    <phoneticPr fontId="7"/>
  </si>
  <si>
    <t>スキル</t>
    <phoneticPr fontId="7"/>
  </si>
  <si>
    <t>出力flg</t>
    <rPh sb="0" eb="2">
      <t>シュツリョク</t>
    </rPh>
    <phoneticPr fontId="7"/>
  </si>
  <si>
    <t>中間文字列１</t>
    <rPh sb="0" eb="2">
      <t>チュウカン</t>
    </rPh>
    <rPh sb="2" eb="5">
      <t>モジレツ</t>
    </rPh>
    <phoneticPr fontId="7"/>
  </si>
  <si>
    <t>効果１文字列</t>
    <rPh sb="0" eb="2">
      <t>コウカ</t>
    </rPh>
    <rPh sb="3" eb="6">
      <t>モジレツ</t>
    </rPh>
    <phoneticPr fontId="7"/>
  </si>
  <si>
    <t>効果１簡易デコード</t>
    <rPh sb="0" eb="2">
      <t>コウカ</t>
    </rPh>
    <rPh sb="3" eb="5">
      <t>カンイ</t>
    </rPh>
    <phoneticPr fontId="7"/>
  </si>
  <si>
    <t>効果２文字列</t>
    <rPh sb="0" eb="2">
      <t>コウカ</t>
    </rPh>
    <rPh sb="3" eb="6">
      <t>モジレツ</t>
    </rPh>
    <phoneticPr fontId="7"/>
  </si>
  <si>
    <t>効果２簡易デコード</t>
    <rPh sb="0" eb="2">
      <t>コウカ</t>
    </rPh>
    <rPh sb="3" eb="5">
      <t>カンイ</t>
    </rPh>
    <phoneticPr fontId="7"/>
  </si>
  <si>
    <t>効果３文字列</t>
    <rPh sb="0" eb="2">
      <t>コウカ</t>
    </rPh>
    <rPh sb="3" eb="6">
      <t>モジレツ</t>
    </rPh>
    <phoneticPr fontId="7"/>
  </si>
  <si>
    <t>効果３簡易デコード</t>
    <rPh sb="0" eb="2">
      <t>コウカ</t>
    </rPh>
    <rPh sb="3" eb="5">
      <t>カンイ</t>
    </rPh>
    <phoneticPr fontId="7"/>
  </si>
  <si>
    <t>効果１efect位置</t>
    <rPh sb="0" eb="2">
      <t>コウカ</t>
    </rPh>
    <rPh sb="8" eb="10">
      <t>イチ</t>
    </rPh>
    <phoneticPr fontId="7"/>
  </si>
  <si>
    <t>効果１target位置</t>
    <rPh sb="0" eb="2">
      <t>コウカ</t>
    </rPh>
    <rPh sb="9" eb="11">
      <t>イチ</t>
    </rPh>
    <phoneticPr fontId="7"/>
  </si>
  <si>
    <t>効果1終了位置</t>
    <rPh sb="0" eb="2">
      <t>コウカ</t>
    </rPh>
    <rPh sb="3" eb="5">
      <t>シュウリョウ</t>
    </rPh>
    <rPh sb="5" eb="7">
      <t>イチ</t>
    </rPh>
    <phoneticPr fontId="7"/>
  </si>
  <si>
    <t>効果1target終了位置</t>
    <rPh sb="0" eb="2">
      <t>コウカ</t>
    </rPh>
    <rPh sb="9" eb="11">
      <t>シュウリョウ</t>
    </rPh>
    <rPh sb="11" eb="13">
      <t>イチ</t>
    </rPh>
    <phoneticPr fontId="7"/>
  </si>
  <si>
    <t>効果2efect位置</t>
    <rPh sb="0" eb="2">
      <t>コウカ</t>
    </rPh>
    <rPh sb="8" eb="10">
      <t>イチ</t>
    </rPh>
    <phoneticPr fontId="7"/>
  </si>
  <si>
    <t>効果2終了位置</t>
    <rPh sb="0" eb="2">
      <t>コウカ</t>
    </rPh>
    <rPh sb="3" eb="5">
      <t>シュウリョウ</t>
    </rPh>
    <rPh sb="5" eb="7">
      <t>イチ</t>
    </rPh>
    <phoneticPr fontId="7"/>
  </si>
  <si>
    <t>効果2target位置</t>
    <rPh sb="0" eb="2">
      <t>コウカ</t>
    </rPh>
    <rPh sb="9" eb="11">
      <t>イチ</t>
    </rPh>
    <phoneticPr fontId="7"/>
  </si>
  <si>
    <t>効果2target終了位置</t>
    <rPh sb="0" eb="2">
      <t>コウカ</t>
    </rPh>
    <rPh sb="9" eb="11">
      <t>シュウリョウ</t>
    </rPh>
    <rPh sb="11" eb="13">
      <t>イチ</t>
    </rPh>
    <phoneticPr fontId="7"/>
  </si>
  <si>
    <t>効果3efect位置</t>
    <rPh sb="0" eb="2">
      <t>コウカ</t>
    </rPh>
    <rPh sb="8" eb="10">
      <t>イチ</t>
    </rPh>
    <phoneticPr fontId="7"/>
  </si>
  <si>
    <t>効果3終了位置</t>
    <rPh sb="0" eb="2">
      <t>コウカ</t>
    </rPh>
    <rPh sb="3" eb="5">
      <t>シュウリョウ</t>
    </rPh>
    <rPh sb="5" eb="7">
      <t>イチ</t>
    </rPh>
    <phoneticPr fontId="7"/>
  </si>
  <si>
    <t>効果3target位置</t>
    <rPh sb="0" eb="2">
      <t>コウカ</t>
    </rPh>
    <rPh sb="9" eb="11">
      <t>イチ</t>
    </rPh>
    <phoneticPr fontId="7"/>
  </si>
  <si>
    <t>効果3target終了位置</t>
    <rPh sb="0" eb="2">
      <t>コウカ</t>
    </rPh>
    <rPh sb="9" eb="11">
      <t>シュウリョウ</t>
    </rPh>
    <rPh sb="11" eb="13">
      <t>イチ</t>
    </rPh>
    <phoneticPr fontId="7"/>
  </si>
  <si>
    <t>quest_id</t>
    <phoneticPr fontId="7"/>
  </si>
  <si>
    <t>stage_id</t>
    <phoneticPr fontId="7"/>
  </si>
  <si>
    <t>temp_stage</t>
    <phoneticPr fontId="9"/>
  </si>
  <si>
    <t>stage_target</t>
    <phoneticPr fontId="7"/>
  </si>
  <si>
    <t>bonus_id</t>
    <phoneticPr fontId="7"/>
  </si>
  <si>
    <t>bonus_type</t>
    <phoneticPr fontId="7"/>
  </si>
  <si>
    <t>bonus_value</t>
    <phoneticPr fontId="7"/>
  </si>
  <si>
    <t>bonus_count</t>
    <phoneticPr fontId="7"/>
  </si>
  <si>
    <t>level</t>
    <phoneticPr fontId="7"/>
  </si>
  <si>
    <t>skill_level</t>
    <phoneticPr fontId="7"/>
  </si>
  <si>
    <t>hp_plus</t>
    <phoneticPr fontId="7"/>
  </si>
  <si>
    <t>attack_plus</t>
    <phoneticPr fontId="7"/>
  </si>
  <si>
    <t>defense_plus</t>
    <phoneticPr fontId="7"/>
  </si>
  <si>
    <t>heal_plus</t>
    <phoneticPr fontId="7"/>
  </si>
  <si>
    <t>bug</t>
    <phoneticPr fontId="7"/>
  </si>
  <si>
    <t>weight</t>
    <phoneticPr fontId="7"/>
  </si>
  <si>
    <t>definite_start_date</t>
    <phoneticPr fontId="7"/>
  </si>
  <si>
    <t>definite_end_date</t>
    <phoneticPr fontId="7"/>
  </si>
  <si>
    <t>bit</t>
  </si>
  <si>
    <t>null</t>
    <phoneticPr fontId="7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</si>
  <si>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</si>
  <si>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</si>
  <si>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</si>
  <si>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bugbonuses</t>
    <phoneticPr fontId="7"/>
  </si>
  <si>
    <t>stage_id</t>
    <phoneticPr fontId="7"/>
  </si>
  <si>
    <t>stage_target</t>
    <phoneticPr fontId="7"/>
  </si>
  <si>
    <t>bonus_id</t>
    <phoneticPr fontId="7"/>
  </si>
  <si>
    <t>bonus_type</t>
    <phoneticPr fontId="7"/>
  </si>
  <si>
    <t>stage_bug_bonuses_</t>
    <phoneticPr fontId="7"/>
  </si>
  <si>
    <t>skill_level</t>
    <phoneticPr fontId="7"/>
  </si>
  <si>
    <t>skill_level</t>
    <phoneticPr fontId="7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</si>
  <si>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</si>
  <si>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quest_id</t>
    <phoneticPr fontId="7"/>
  </si>
  <si>
    <t>hint_id</t>
    <phoneticPr fontId="7"/>
  </si>
  <si>
    <t>floor_id</t>
    <phoneticPr fontId="7"/>
  </si>
  <si>
    <t>hint_type</t>
    <phoneticPr fontId="7"/>
  </si>
  <si>
    <t>hint</t>
    <phoneticPr fontId="7"/>
  </si>
  <si>
    <t>title</t>
    <phoneticPr fontId="7"/>
  </si>
  <si>
    <t>skip</t>
  </si>
  <si>
    <t>hint_type</t>
    <phoneticPr fontId="7"/>
  </si>
  <si>
    <t>quest_id</t>
    <phoneticPr fontId="7"/>
  </si>
  <si>
    <t>name</t>
    <phoneticPr fontId="7"/>
  </si>
  <si>
    <t>stage_id</t>
    <phoneticPr fontId="7"/>
  </si>
  <si>
    <t>name</t>
    <phoneticPr fontId="7"/>
  </si>
  <si>
    <t>floor_id</t>
    <phoneticPr fontId="7"/>
  </si>
  <si>
    <t>tmp_hint_id</t>
    <phoneticPr fontId="7"/>
  </si>
  <si>
    <t>hint_id</t>
    <phoneticPr fontId="7"/>
  </si>
  <si>
    <t>filename</t>
    <phoneticPr fontId="7"/>
  </si>
  <si>
    <t>failure</t>
  </si>
  <si>
    <t>ja</t>
    <phoneticPr fontId="7"/>
  </si>
  <si>
    <t>攻略のヒント</t>
    <rPh sb="0" eb="2">
      <t>コウリャク</t>
    </rPh>
    <phoneticPr fontId="7"/>
  </si>
  <si>
    <t>NULL</t>
    <phoneticPr fontId="7"/>
  </si>
  <si>
    <t>complete</t>
  </si>
  <si>
    <t>敵が強すぎます</t>
    <rPh sb="0" eb="2">
      <t>テk</t>
    </rPh>
    <rPh sb="2" eb="7">
      <t>ツヨs</t>
    </rPh>
    <phoneticPr fontId="7"/>
  </si>
  <si>
    <t>stage_hints_data_c_</t>
    <phoneticPr fontId="7"/>
  </si>
  <si>
    <t>stage_hints_data_f_</t>
    <phoneticPr fontId="7"/>
  </si>
  <si>
    <t>skip</t>
    <phoneticPr fontId="9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</si>
  <si>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7"/>
  </si>
  <si>
    <t>hint_id</t>
    <phoneticPr fontId="7"/>
  </si>
  <si>
    <t>language</t>
    <phoneticPr fontId="7"/>
  </si>
  <si>
    <t>hint</t>
    <phoneticPr fontId="7"/>
  </si>
  <si>
    <t>filename</t>
  </si>
  <si>
    <t>title</t>
    <phoneticPr fontId="7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</si>
  <si>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7"/>
  </si>
  <si>
    <t>NULL</t>
    <phoneticPr fontId="7"/>
  </si>
  <si>
    <t>stage_hints_failure</t>
    <phoneticPr fontId="7"/>
  </si>
  <si>
    <t>stage_hints_failure</t>
    <phoneticPr fontId="7"/>
  </si>
  <si>
    <t>初級</t>
    <rPh sb="0" eb="2">
      <t>ショキュウ</t>
    </rPh>
    <phoneticPr fontId="7"/>
  </si>
  <si>
    <t>中級</t>
    <rPh sb="0" eb="2">
      <t>チュウキュウ</t>
    </rPh>
    <phoneticPr fontId="7"/>
  </si>
  <si>
    <t>上級</t>
    <rPh sb="0" eb="2">
      <t>ジョウキュウ</t>
    </rPh>
    <phoneticPr fontId="7"/>
  </si>
  <si>
    <t>超級</t>
    <rPh sb="0" eb="2">
      <t>チョウキュウ</t>
    </rPh>
    <phoneticPr fontId="7"/>
  </si>
  <si>
    <t>超絶級</t>
    <rPh sb="0" eb="2">
      <t>チョウゼツ</t>
    </rPh>
    <rPh sb="2" eb="3">
      <t>キュウ</t>
    </rPh>
    <phoneticPr fontId="7"/>
  </si>
  <si>
    <t>(超)ウィザード級</t>
    <rPh sb="1" eb="2">
      <t>チョウ</t>
    </rPh>
    <rPh sb="8" eb="9">
      <t>キュウ</t>
    </rPh>
    <phoneticPr fontId="7"/>
  </si>
  <si>
    <t>ERROR</t>
    <phoneticPr fontId="7"/>
  </si>
  <si>
    <t>param_code_damage_givn</t>
    <phoneticPr fontId="7"/>
  </si>
  <si>
    <t>param_code_damage_received</t>
    <phoneticPr fontId="7"/>
  </si>
  <si>
    <t>param_code_clear_turn</t>
    <phoneticPr fontId="7"/>
  </si>
  <si>
    <t>upper_ranking</t>
    <phoneticPr fontId="7"/>
  </si>
  <si>
    <t>lower_ranking</t>
    <phoneticPr fontId="7"/>
  </si>
  <si>
    <t>gift_id</t>
    <phoneticPr fontId="7"/>
  </si>
  <si>
    <t>gift_type</t>
    <phoneticPr fontId="9"/>
  </si>
  <si>
    <t>gift_value</t>
    <phoneticPr fontId="9"/>
  </si>
  <si>
    <t>gift_count</t>
    <phoneticPr fontId="9"/>
  </si>
  <si>
    <t>language</t>
    <phoneticPr fontId="9"/>
  </si>
  <si>
    <t>title</t>
    <phoneticPr fontId="9"/>
  </si>
  <si>
    <t>detail</t>
    <phoneticPr fontId="9"/>
  </si>
  <si>
    <t>message</t>
    <phoneticPr fontId="9"/>
  </si>
  <si>
    <t>temp_gift_id</t>
    <phoneticPr fontId="7"/>
  </si>
  <si>
    <t>unit</t>
    <phoneticPr fontId="9"/>
  </si>
  <si>
    <t>ja</t>
    <phoneticPr fontId="9"/>
  </si>
  <si>
    <t>秘術の果実 × 1</t>
    <rPh sb="0" eb="2">
      <t>ヒジュt</t>
    </rPh>
    <rPh sb="2" eb="5">
      <t>セm</t>
    </rPh>
    <phoneticPr fontId="9"/>
  </si>
  <si>
    <t>ギフトフィーバーの特典</t>
    <rPh sb="9" eb="11">
      <t>トk</t>
    </rPh>
    <phoneticPr fontId="9"/>
  </si>
  <si>
    <t>ギフトフィーバーの特典として
秘術の果実をプレゼント！</t>
    <rPh sb="9" eb="14">
      <t>トクテン</t>
    </rPh>
    <rPh sb="15" eb="17">
      <t>ヒジュt</t>
    </rPh>
    <rPh sb="17" eb="20">
      <t>セm</t>
    </rPh>
    <phoneticPr fontId="9"/>
  </si>
  <si>
    <t>ranking_ACH_</t>
    <phoneticPr fontId="7"/>
  </si>
  <si>
    <t>ranking_ACH</t>
    <phoneticPr fontId="7"/>
  </si>
  <si>
    <t>quest_id</t>
    <phoneticPr fontId="7"/>
  </si>
  <si>
    <t>upper_ranking</t>
    <phoneticPr fontId="7"/>
  </si>
  <si>
    <t>lower_ranking</t>
    <phoneticPr fontId="7"/>
  </si>
  <si>
    <t>gift_id</t>
    <phoneticPr fontId="7"/>
  </si>
  <si>
    <t>gifts_tmp_</t>
    <phoneticPr fontId="9"/>
  </si>
  <si>
    <t>gift_id</t>
    <phoneticPr fontId="9"/>
  </si>
  <si>
    <t>gifts_i18n_</t>
    <phoneticPr fontId="9"/>
  </si>
  <si>
    <t>title</t>
    <phoneticPr fontId="9"/>
  </si>
  <si>
    <t>detail</t>
    <phoneticPr fontId="9"/>
  </si>
  <si>
    <t>ranking_floors_</t>
    <phoneticPr fontId="7"/>
  </si>
  <si>
    <t>ranking_stages_</t>
    <phoneticPr fontId="7"/>
  </si>
  <si>
    <t>clear_bonus</t>
    <phoneticPr fontId="7"/>
  </si>
  <si>
    <t>ranking_stages</t>
    <phoneticPr fontId="7"/>
  </si>
  <si>
    <t>param_code</t>
    <phoneticPr fontId="7"/>
  </si>
  <si>
    <t>x</t>
    <phoneticPr fontId="7"/>
  </si>
  <si>
    <t>a</t>
    <phoneticPr fontId="7"/>
  </si>
  <si>
    <t>b</t>
    <phoneticPr fontId="7"/>
  </si>
  <si>
    <t>clear_turn_</t>
    <phoneticPr fontId="7"/>
  </si>
  <si>
    <t>damage_give_</t>
    <phoneticPr fontId="7"/>
  </si>
  <si>
    <t>damage_receive</t>
    <phoneticPr fontId="7"/>
  </si>
  <si>
    <t>damage_receive_</t>
    <phoneticPr fontId="7"/>
  </si>
  <si>
    <t>clear_turn</t>
    <phoneticPr fontId="7"/>
  </si>
  <si>
    <t>damege_give</t>
    <phoneticPr fontId="7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</si>
  <si>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</si>
  <si>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</si>
  <si>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</si>
  <si>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</si>
  <si>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language</t>
    <phoneticPr fontId="7"/>
  </si>
  <si>
    <t>evaluation</t>
    <phoneticPr fontId="7"/>
  </si>
  <si>
    <t>animation_file_name</t>
    <phoneticPr fontId="7"/>
  </si>
  <si>
    <t>SSS</t>
    <phoneticPr fontId="7"/>
  </si>
  <si>
    <t>ja</t>
    <phoneticPr fontId="7"/>
  </si>
  <si>
    <t>View/RankingBattle_Evelution_SSS.ccbi</t>
    <phoneticPr fontId="7"/>
  </si>
  <si>
    <t>ranking_eval_data_</t>
    <phoneticPr fontId="7"/>
  </si>
  <si>
    <t>ranking_eval_i18n_</t>
    <phoneticPr fontId="7"/>
  </si>
  <si>
    <t>ranking_eval</t>
  </si>
  <si>
    <t>hp_plus</t>
    <phoneticPr fontId="7"/>
  </si>
  <si>
    <t>attack_plus</t>
    <phoneticPr fontId="7"/>
  </si>
  <si>
    <t>heal_plus</t>
    <phoneticPr fontId="7"/>
  </si>
  <si>
    <t>defense_plus</t>
    <phoneticPr fontId="7"/>
  </si>
  <si>
    <t>level</t>
    <phoneticPr fontId="7"/>
  </si>
  <si>
    <t>skill_level</t>
  </si>
  <si>
    <t>skill_level</t>
    <phoneticPr fontId="7"/>
  </si>
  <si>
    <t>bug</t>
    <phoneticPr fontId="7"/>
  </si>
  <si>
    <t>ranking_stage_evaluation_gifts</t>
    <phoneticPr fontId="7"/>
  </si>
  <si>
    <t>ranking_eval_gift</t>
    <phoneticPr fontId="7"/>
  </si>
  <si>
    <t>evaluation_id</t>
    <phoneticPr fontId="7"/>
  </si>
  <si>
    <t>quest_id</t>
    <phoneticPr fontId="7"/>
  </si>
  <si>
    <t>gift_id</t>
    <phoneticPr fontId="7"/>
  </si>
  <si>
    <t xml:space="preserve">gift_limit </t>
    <phoneticPr fontId="7"/>
  </si>
  <si>
    <t>gifts_tmp_</t>
    <phoneticPr fontId="7"/>
  </si>
  <si>
    <t>.tmp</t>
    <phoneticPr fontId="7"/>
  </si>
  <si>
    <t>ranking_eval_gift</t>
    <phoneticPr fontId="7"/>
  </si>
  <si>
    <t>gift_id</t>
    <phoneticPr fontId="9"/>
  </si>
  <si>
    <t>gift_type</t>
    <phoneticPr fontId="9"/>
  </si>
  <si>
    <t>gift_value</t>
    <phoneticPr fontId="9"/>
  </si>
  <si>
    <t>gift_count</t>
    <phoneticPr fontId="9"/>
  </si>
  <si>
    <t>gifts_i18n_</t>
    <phoneticPr fontId="7"/>
  </si>
  <si>
    <t>.tmp</t>
    <phoneticPr fontId="7"/>
  </si>
  <si>
    <t>language</t>
    <phoneticPr fontId="9"/>
  </si>
  <si>
    <t>title</t>
    <phoneticPr fontId="9"/>
  </si>
  <si>
    <t>detail</t>
    <phoneticPr fontId="9"/>
  </si>
  <si>
    <t>message</t>
    <phoneticPr fontId="9"/>
  </si>
  <si>
    <t>ERROR</t>
    <phoneticPr fontId="7"/>
  </si>
  <si>
    <t>ERROR</t>
    <phoneticPr fontId="7"/>
  </si>
  <si>
    <t>.tmp</t>
    <phoneticPr fontId="7"/>
  </si>
  <si>
    <t>skip</t>
    <phoneticPr fontId="9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</si>
  <si>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</si>
  <si>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</si>
  <si>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</si>
  <si>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</si>
  <si>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gift_id</t>
    <phoneticPr fontId="7"/>
  </si>
  <si>
    <t>gift_type</t>
    <phoneticPr fontId="9"/>
  </si>
  <si>
    <t>gift_value</t>
    <phoneticPr fontId="9"/>
  </si>
  <si>
    <t>gift_count</t>
    <phoneticPr fontId="9"/>
  </si>
  <si>
    <t>hp_plus</t>
    <phoneticPr fontId="7"/>
  </si>
  <si>
    <t>attack_plus</t>
    <phoneticPr fontId="7"/>
  </si>
  <si>
    <t>heal_plus</t>
    <phoneticPr fontId="7"/>
  </si>
  <si>
    <t>defense_plus</t>
    <phoneticPr fontId="7"/>
  </si>
  <si>
    <t>level</t>
    <phoneticPr fontId="7"/>
  </si>
  <si>
    <t>skill_level</t>
    <phoneticPr fontId="7"/>
  </si>
  <si>
    <t>bug</t>
    <phoneticPr fontId="7"/>
  </si>
  <si>
    <t>language</t>
    <phoneticPr fontId="9"/>
  </si>
  <si>
    <t>title</t>
    <phoneticPr fontId="9"/>
  </si>
  <si>
    <t>detail</t>
    <phoneticPr fontId="9"/>
  </si>
  <si>
    <t>message</t>
    <phoneticPr fontId="9"/>
  </si>
  <si>
    <t xml:space="preserve">gift_limit </t>
    <phoneticPr fontId="7"/>
  </si>
  <si>
    <t>unit</t>
    <phoneticPr fontId="9"/>
  </si>
  <si>
    <t>ja</t>
    <phoneticPr fontId="9"/>
  </si>
  <si>
    <t>リトルハンプティ × 1</t>
    <phoneticPr fontId="9"/>
  </si>
  <si>
    <t>ランキングクエストスコア評価報酬</t>
    <rPh sb="12" eb="14">
      <t>ヒョウカ</t>
    </rPh>
    <rPh sb="14" eb="16">
      <t>ホウシュウ</t>
    </rPh>
    <phoneticPr fontId="9"/>
  </si>
  <si>
    <t>チューリングチャレンジ
スコア評価報酬</t>
    <phoneticPr fontId="9"/>
  </si>
  <si>
    <t>ギガ秘術の果実 × 1</t>
    <rPh sb="2" eb="4">
      <t>ヒジュツ</t>
    </rPh>
    <rPh sb="5" eb="7">
      <t>カジツ</t>
    </rPh>
    <phoneticPr fontId="9"/>
  </si>
  <si>
    <t>item</t>
    <phoneticPr fontId="9"/>
  </si>
  <si>
    <t>マスターキー × 3</t>
    <phoneticPr fontId="9"/>
  </si>
  <si>
    <t>刀のチケットピース × 1</t>
    <phoneticPr fontId="9"/>
  </si>
  <si>
    <t>link</t>
    <phoneticPr fontId="9"/>
  </si>
  <si>
    <t>null</t>
    <phoneticPr fontId="7"/>
  </si>
  <si>
    <t>2000リンク</t>
    <phoneticPr fontId="9"/>
  </si>
  <si>
    <t>bit</t>
    <phoneticPr fontId="9"/>
  </si>
  <si>
    <t>null</t>
    <phoneticPr fontId="7"/>
  </si>
  <si>
    <t>ja</t>
    <phoneticPr fontId="9"/>
  </si>
  <si>
    <t>10万ビット</t>
    <rPh sb="2" eb="3">
      <t>マン</t>
    </rPh>
    <phoneticPr fontId="9"/>
  </si>
  <si>
    <t>チューリングチャレンジ
スコア評価報酬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</si>
</sst>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000000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724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0" fillId="0" borderId="0"/>
    <xf numFmtId="38" fontId="21" fillId="0" borderId="0" applyFill="0" applyBorder="0" applyAlignment="0" applyProtection="0"/>
    <xf numFmtId="0" fontId="22" fillId="8" borderId="0" applyNumberFormat="0" applyBorder="0" applyAlignment="0" applyProtection="0"/>
    <xf numFmtId="0" fontId="23" fillId="9" borderId="0" applyNumberFormat="0" applyBorder="0" applyAlignment="0" applyProtection="0"/>
    <xf numFmtId="0" fontId="24" fillId="0" borderId="0"/>
    <xf numFmtId="0" fontId="25" fillId="0" borderId="0">
      <alignment vertical="center"/>
    </xf>
    <xf numFmtId="0" fontId="26" fillId="0" borderId="0">
      <alignment vertical="center"/>
    </xf>
    <xf numFmtId="0" fontId="27" fillId="10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0" fontId="34" fillId="16" borderId="13" applyNumberFormat="0" applyAlignment="0" applyProtection="0"/>
    <xf numFmtId="0" fontId="35" fillId="17" borderId="0" applyNumberFormat="0" applyBorder="0" applyAlignment="0" applyProtection="0"/>
    <xf numFmtId="0" fontId="36" fillId="18" borderId="14" applyNumberFormat="0" applyAlignment="0" applyProtection="0"/>
    <xf numFmtId="0" fontId="37" fillId="0" borderId="0" applyNumberFormat="0" applyFill="0" applyBorder="0" applyAlignment="0" applyProtection="0"/>
    <xf numFmtId="0" fontId="38" fillId="19" borderId="0" applyNumberFormat="0" applyBorder="0" applyAlignment="0" applyProtection="0"/>
    <xf numFmtId="0" fontId="39" fillId="20" borderId="15" applyNumberFormat="0" applyAlignment="0" applyProtection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18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16" borderId="0" applyNumberFormat="0" applyBorder="0" applyAlignment="0" applyProtection="0"/>
    <xf numFmtId="0" fontId="44" fillId="18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4" borderId="0" applyNumberFormat="0" applyBorder="0" applyAlignment="0" applyProtection="0"/>
    <xf numFmtId="0" fontId="44" fillId="1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5" borderId="0" applyNumberFormat="0" applyBorder="0" applyAlignment="0" applyProtection="0"/>
    <xf numFmtId="0" fontId="45" fillId="17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1" borderId="0" applyNumberFormat="0" applyBorder="0" applyAlignment="0" applyProtection="0"/>
    <xf numFmtId="0" fontId="45" fillId="2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6" fillId="28" borderId="0" applyNumberFormat="0" applyBorder="0" applyAlignment="0" applyProtection="0"/>
    <xf numFmtId="0" fontId="35" fillId="17" borderId="0" applyNumberFormat="0" applyBorder="0" applyAlignment="0" applyProtection="0"/>
    <xf numFmtId="0" fontId="47" fillId="0" borderId="19" applyNumberFormat="0" applyFill="0" applyAlignment="0" applyProtection="0"/>
    <xf numFmtId="0" fontId="48" fillId="18" borderId="20" applyNumberFormat="0" applyAlignment="0" applyProtection="0"/>
    <xf numFmtId="0" fontId="48" fillId="29" borderId="20" applyNumberFormat="0" applyAlignment="0" applyProtection="0"/>
    <xf numFmtId="0" fontId="36" fillId="17" borderId="14" applyNumberFormat="0" applyAlignment="0" applyProtection="0"/>
    <xf numFmtId="0" fontId="49" fillId="0" borderId="21" applyNumberFormat="0" applyFill="0" applyAlignment="0" applyProtection="0"/>
    <xf numFmtId="0" fontId="50" fillId="29" borderId="14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22" applyNumberFormat="0" applyFill="0" applyAlignment="0" applyProtection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126"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8" fillId="5" borderId="3" xfId="0" applyFont="1" applyFill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8" fillId="5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8" fillId="5" borderId="9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0" fontId="8" fillId="3" borderId="7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177" fontId="10" fillId="0" borderId="4" xfId="0" applyNumberFormat="1" applyFont="1" applyBorder="1" applyAlignment="1">
      <alignment vertical="center"/>
    </xf>
    <xf numFmtId="0" fontId="6" fillId="2" borderId="7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8" fillId="0" borderId="7" xfId="0" applyFont="1" applyFill="1" applyBorder="1" applyAlignment="1">
      <alignment vertical="center"/>
    </xf>
    <xf numFmtId="0" fontId="16" fillId="7" borderId="0" xfId="0" applyFont="1" applyFill="1" applyAlignment="1">
      <alignment vertical="center"/>
    </xf>
    <xf numFmtId="0" fontId="18" fillId="6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3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8" fillId="0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horizontal="left" vertical="center" wrapText="1"/>
    </xf>
    <xf numFmtId="14" fontId="18" fillId="0" borderId="7" xfId="0" applyNumberFormat="1" applyFont="1" applyFill="1" applyBorder="1" applyAlignment="1">
      <alignment horizontal="left" vertical="center"/>
    </xf>
    <xf numFmtId="0" fontId="13" fillId="6" borderId="2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5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8" fillId="12" borderId="7" xfId="0" applyFont="1" applyFill="1" applyBorder="1"/>
    <xf numFmtId="0" fontId="15" fillId="11" borderId="7" xfId="434" applyFont="1" applyFill="1" applyBorder="1" applyAlignment="1"/>
    <xf numFmtId="0" fontId="26" fillId="0" borderId="7" xfId="434" applyBorder="1" applyAlignment="1"/>
    <xf numFmtId="0" fontId="8" fillId="0" borderId="3" xfId="0" applyFont="1" applyFill="1" applyBorder="1" applyAlignment="1">
      <alignment vertical="center"/>
    </xf>
    <xf numFmtId="0" fontId="0" fillId="13" borderId="7" xfId="0" applyFill="1" applyBorder="1"/>
    <xf numFmtId="0" fontId="18" fillId="3" borderId="7" xfId="0" applyFont="1" applyFill="1" applyBorder="1" applyAlignment="1">
      <alignment horizontal="left" vertical="center" wrapText="1"/>
    </xf>
    <xf numFmtId="0" fontId="18" fillId="6" borderId="7" xfId="614" applyFont="1" applyFill="1" applyBorder="1" applyAlignment="1">
      <alignment horizontal="left"/>
    </xf>
    <xf numFmtId="0" fontId="16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4" fillId="11" borderId="7" xfId="615" applyFill="1" applyBorder="1"/>
    <xf numFmtId="0" fontId="6" fillId="0" borderId="7" xfId="0" applyFont="1" applyBorder="1" applyAlignment="1">
      <alignment vertical="center"/>
    </xf>
    <xf numFmtId="0" fontId="8" fillId="5" borderId="11" xfId="0" applyFont="1" applyFill="1" applyBorder="1" applyAlignment="1">
      <alignment vertical="center"/>
    </xf>
    <xf numFmtId="0" fontId="0" fillId="3" borderId="7" xfId="0" applyFill="1" applyBorder="1"/>
    <xf numFmtId="0" fontId="18" fillId="3" borderId="7" xfId="614" applyFont="1" applyFill="1" applyBorder="1" applyAlignment="1">
      <alignment horizontal="left"/>
    </xf>
    <xf numFmtId="0" fontId="18" fillId="6" borderId="7" xfId="0" applyFont="1" applyFill="1" applyBorder="1" applyAlignment="1">
      <alignment horizontal="center"/>
    </xf>
    <xf numFmtId="56" fontId="18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4" fillId="0" borderId="0" xfId="615"/>
    <xf numFmtId="0" fontId="29" fillId="6" borderId="7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14" borderId="7" xfId="0" applyFont="1" applyFill="1" applyBorder="1" applyAlignment="1">
      <alignment horizontal="center"/>
    </xf>
    <xf numFmtId="0" fontId="18" fillId="15" borderId="7" xfId="0" applyFont="1" applyFill="1" applyBorder="1" applyAlignment="1">
      <alignment horizontal="center"/>
    </xf>
    <xf numFmtId="0" fontId="0" fillId="15" borderId="7" xfId="0" applyFill="1" applyBorder="1"/>
    <xf numFmtId="0" fontId="29" fillId="0" borderId="7" xfId="0" applyFont="1" applyFill="1" applyBorder="1"/>
    <xf numFmtId="0" fontId="30" fillId="0" borderId="7" xfId="0" applyFont="1" applyFill="1" applyBorder="1"/>
    <xf numFmtId="0" fontId="31" fillId="3" borderId="12" xfId="0" applyFont="1" applyFill="1" applyBorder="1" applyAlignment="1">
      <alignment vertical="center"/>
    </xf>
    <xf numFmtId="0" fontId="32" fillId="0" borderId="7" xfId="0" applyFont="1" applyFill="1" applyBorder="1"/>
    <xf numFmtId="0" fontId="31" fillId="0" borderId="12" xfId="0" applyFont="1" applyFill="1" applyBorder="1" applyAlignment="1">
      <alignment vertical="center"/>
    </xf>
    <xf numFmtId="0" fontId="32" fillId="14" borderId="7" xfId="0" applyFont="1" applyFill="1" applyBorder="1"/>
    <xf numFmtId="0" fontId="33" fillId="0" borderId="7" xfId="0" applyFont="1" applyFill="1" applyBorder="1"/>
    <xf numFmtId="38" fontId="18" fillId="0" borderId="7" xfId="628" applyFont="1" applyFill="1" applyBorder="1" applyAlignment="1"/>
    <xf numFmtId="0" fontId="29" fillId="0" borderId="0" xfId="0" applyFont="1" applyFill="1"/>
    <xf numFmtId="0" fontId="18" fillId="30" borderId="7" xfId="0" applyFont="1" applyFill="1" applyBorder="1" applyAlignment="1">
      <alignment horizontal="center"/>
    </xf>
    <xf numFmtId="0" fontId="32" fillId="30" borderId="7" xfId="0" applyFont="1" applyFill="1" applyBorder="1"/>
    <xf numFmtId="0" fontId="18" fillId="13" borderId="7" xfId="0" applyFont="1" applyFill="1" applyBorder="1" applyAlignment="1">
      <alignment horizontal="center"/>
    </xf>
    <xf numFmtId="56" fontId="18" fillId="14" borderId="7" xfId="0" applyNumberFormat="1" applyFont="1" applyFill="1" applyBorder="1" applyAlignment="1">
      <alignment horizontal="center"/>
    </xf>
    <xf numFmtId="0" fontId="33" fillId="14" borderId="7" xfId="0" applyFont="1" applyFill="1" applyBorder="1"/>
    <xf numFmtId="38" fontId="18" fillId="14" borderId="7" xfId="628" applyFont="1" applyFill="1" applyBorder="1" applyAlignment="1"/>
    <xf numFmtId="0" fontId="18" fillId="6" borderId="7" xfId="11" applyFont="1" applyFill="1" applyBorder="1" applyAlignment="1">
      <alignment horizontal="left"/>
    </xf>
    <xf numFmtId="0" fontId="4" fillId="6" borderId="0" xfId="615" applyFill="1"/>
    <xf numFmtId="0" fontId="28" fillId="0" borderId="0" xfId="0" applyFont="1"/>
    <xf numFmtId="0" fontId="6" fillId="31" borderId="7" xfId="0" applyFont="1" applyFill="1" applyBorder="1" applyAlignment="1">
      <alignment vertical="center"/>
    </xf>
    <xf numFmtId="0" fontId="18" fillId="6" borderId="23" xfId="0" applyFont="1" applyFill="1" applyBorder="1" applyAlignment="1">
      <alignment horizontal="center"/>
    </xf>
    <xf numFmtId="0" fontId="10" fillId="33" borderId="7" xfId="0" applyFont="1" applyFill="1" applyBorder="1" applyAlignment="1">
      <alignment horizontal="left" vertical="center"/>
    </xf>
    <xf numFmtId="0" fontId="18" fillId="32" borderId="7" xfId="432" applyFont="1" applyFill="1" applyBorder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0" fontId="18" fillId="14" borderId="23" xfId="0" applyFont="1" applyFill="1" applyBorder="1" applyAlignment="1">
      <alignment horizontal="center"/>
    </xf>
    <xf numFmtId="0" fontId="18" fillId="0" borderId="0" xfId="432" applyFont="1" applyAlignment="1">
      <alignment vertical="center"/>
    </xf>
    <xf numFmtId="0" fontId="18" fillId="0" borderId="0" xfId="432" applyFont="1" applyAlignment="1">
      <alignment vertical="center" wrapText="1"/>
    </xf>
    <xf numFmtId="0" fontId="3" fillId="0" borderId="7" xfId="676" applyBorder="1"/>
    <xf numFmtId="0" fontId="3" fillId="11" borderId="7" xfId="676" applyFill="1" applyBorder="1"/>
    <xf numFmtId="0" fontId="2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3" fillId="34" borderId="7" xfId="676" applyFill="1" applyBorder="1"/>
    <xf numFmtId="0" fontId="0" fillId="6" borderId="0" xfId="0" applyFill="1"/>
    <xf numFmtId="0" fontId="0" fillId="34" borderId="7" xfId="676" applyFont="1" applyFill="1" applyBorder="1"/>
    <xf numFmtId="0" fontId="0" fillId="0" borderId="7" xfId="615" applyFont="1" applyFill="1" applyBorder="1"/>
    <xf numFmtId="0" fontId="1" fillId="6" borderId="7" xfId="434" applyFont="1" applyFill="1" applyBorder="1" applyAlignment="1"/>
    <xf numFmtId="0" fontId="0" fillId="0" borderId="7" xfId="676" applyFont="1" applyFill="1" applyBorder="1"/>
    <xf numFmtId="0" fontId="54" fillId="35" borderId="7" xfId="0" applyFont="1" applyFill="1" applyBorder="1"/>
    <xf numFmtId="0" fontId="18" fillId="0" borderId="7" xfId="0" applyFont="1" applyBorder="1" applyAlignment="1">
      <alignment horizontal="left" vertical="center"/>
    </xf>
    <xf numFmtId="0" fontId="18" fillId="0" borderId="7" xfId="432" applyFont="1" applyBorder="1" applyAlignment="1">
      <alignment horizontal="left" vertical="center"/>
    </xf>
    <xf numFmtId="0" fontId="18" fillId="0" borderId="7" xfId="432" applyFont="1" applyBorder="1" applyAlignment="1">
      <alignment horizontal="left" vertical="center" wrapText="1"/>
    </xf>
  </cellXfs>
  <cellStyles count="72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5.xml"/><Relationship Id="rId23" Type="http://schemas.openxmlformats.org/officeDocument/2006/relationships/externalLink" Target="externalLinks/externalLink6.xml"/><Relationship Id="rId24" Type="http://schemas.openxmlformats.org/officeDocument/2006/relationships/externalLink" Target="externalLinks/externalLink7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14001</v>
          </cell>
        </row>
        <row r="94">
          <cell r="A94">
            <v>14002</v>
          </cell>
        </row>
        <row r="95">
          <cell r="A95">
            <v>14003</v>
          </cell>
        </row>
        <row r="96">
          <cell r="A96">
            <v>14004</v>
          </cell>
        </row>
        <row r="97">
          <cell r="A97">
            <v>14005</v>
          </cell>
        </row>
        <row r="98">
          <cell r="A98">
            <v>14006</v>
          </cell>
        </row>
        <row r="99">
          <cell r="A99">
            <v>15027</v>
          </cell>
        </row>
        <row r="100">
          <cell r="A100">
            <v>15028</v>
          </cell>
        </row>
        <row r="101">
          <cell r="A101">
            <v>15029</v>
          </cell>
        </row>
        <row r="102">
          <cell r="A102">
            <v>15030</v>
          </cell>
        </row>
        <row r="103">
          <cell r="A103">
            <v>15031</v>
          </cell>
        </row>
        <row r="104">
          <cell r="A104">
            <v>20001</v>
          </cell>
        </row>
        <row r="105">
          <cell r="A105">
            <v>20002</v>
          </cell>
        </row>
        <row r="106">
          <cell r="A106">
            <v>20003</v>
          </cell>
        </row>
        <row r="107">
          <cell r="A107">
            <v>20004</v>
          </cell>
        </row>
        <row r="108">
          <cell r="A108">
            <v>20005</v>
          </cell>
        </row>
        <row r="109">
          <cell r="A109">
            <v>20006</v>
          </cell>
        </row>
        <row r="110">
          <cell r="A110">
            <v>20007</v>
          </cell>
        </row>
        <row r="111">
          <cell r="A111">
            <v>20008</v>
          </cell>
        </row>
        <row r="112">
          <cell r="A112">
            <v>20009</v>
          </cell>
        </row>
        <row r="113">
          <cell r="A113">
            <v>20010</v>
          </cell>
        </row>
        <row r="114">
          <cell r="A114">
            <v>20011</v>
          </cell>
        </row>
        <row r="115">
          <cell r="A115">
            <v>20012</v>
          </cell>
        </row>
        <row r="116">
          <cell r="A116">
            <v>20013</v>
          </cell>
        </row>
        <row r="117">
          <cell r="A117">
            <v>20014</v>
          </cell>
        </row>
        <row r="118">
          <cell r="A118">
            <v>20015</v>
          </cell>
        </row>
        <row r="119">
          <cell r="A119">
            <v>20016</v>
          </cell>
        </row>
        <row r="120">
          <cell r="A120">
            <v>20017</v>
          </cell>
        </row>
        <row r="121">
          <cell r="A121">
            <v>20018</v>
          </cell>
        </row>
        <row r="122">
          <cell r="A122">
            <v>20019</v>
          </cell>
        </row>
        <row r="123">
          <cell r="A123">
            <v>20020</v>
          </cell>
        </row>
        <row r="124">
          <cell r="A124">
            <v>20021</v>
          </cell>
        </row>
        <row r="125">
          <cell r="A125">
            <v>30001</v>
          </cell>
        </row>
        <row r="126">
          <cell r="A126">
            <v>30002</v>
          </cell>
        </row>
        <row r="127">
          <cell r="A127">
            <v>30003</v>
          </cell>
        </row>
        <row r="128">
          <cell r="A128">
            <v>30004</v>
          </cell>
        </row>
        <row r="129">
          <cell r="A129">
            <v>30005</v>
          </cell>
        </row>
        <row r="130">
          <cell r="A130">
            <v>30006</v>
          </cell>
        </row>
        <row r="131">
          <cell r="A131">
            <v>30007</v>
          </cell>
        </row>
        <row r="132">
          <cell r="A132">
            <v>30008</v>
          </cell>
        </row>
        <row r="133">
          <cell r="A133">
            <v>30009</v>
          </cell>
        </row>
        <row r="134">
          <cell r="A134">
            <v>30010</v>
          </cell>
        </row>
        <row r="135">
          <cell r="A135">
            <v>30011</v>
          </cell>
        </row>
        <row r="136">
          <cell r="A136">
            <v>30012</v>
          </cell>
        </row>
        <row r="137">
          <cell r="A137">
            <v>30013</v>
          </cell>
        </row>
        <row r="138">
          <cell r="A138">
            <v>30014</v>
          </cell>
        </row>
        <row r="139">
          <cell r="A139">
            <v>30015</v>
          </cell>
        </row>
        <row r="140">
          <cell r="A140">
            <v>30016</v>
          </cell>
        </row>
        <row r="141">
          <cell r="A141">
            <v>30017</v>
          </cell>
        </row>
        <row r="142">
          <cell r="A142">
            <v>30018</v>
          </cell>
        </row>
        <row r="143">
          <cell r="A143">
            <v>30019</v>
          </cell>
        </row>
        <row r="144">
          <cell r="A144">
            <v>30020</v>
          </cell>
        </row>
        <row r="145">
          <cell r="A145">
            <v>30021</v>
          </cell>
        </row>
        <row r="146">
          <cell r="A146">
            <v>30022</v>
          </cell>
        </row>
        <row r="147">
          <cell r="A147">
            <v>30023</v>
          </cell>
        </row>
        <row r="148">
          <cell r="A148">
            <v>30024</v>
          </cell>
        </row>
        <row r="149">
          <cell r="A149">
            <v>30025</v>
          </cell>
        </row>
        <row r="150">
          <cell r="A150">
            <v>30026</v>
          </cell>
        </row>
        <row r="151">
          <cell r="A151">
            <v>30027</v>
          </cell>
        </row>
        <row r="152">
          <cell r="A152">
            <v>30028</v>
          </cell>
        </row>
        <row r="153">
          <cell r="A153">
            <v>30029</v>
          </cell>
        </row>
        <row r="154">
          <cell r="A154">
            <v>30030</v>
          </cell>
        </row>
        <row r="155">
          <cell r="A155">
            <v>30031</v>
          </cell>
        </row>
        <row r="156">
          <cell r="A156">
            <v>30032</v>
          </cell>
        </row>
        <row r="157">
          <cell r="A157">
            <v>30033</v>
          </cell>
        </row>
        <row r="158">
          <cell r="A158">
            <v>30034</v>
          </cell>
        </row>
        <row r="159">
          <cell r="A159">
            <v>30035</v>
          </cell>
        </row>
        <row r="160">
          <cell r="A160">
            <v>30036</v>
          </cell>
        </row>
        <row r="161">
          <cell r="A161">
            <v>30037</v>
          </cell>
        </row>
        <row r="162">
          <cell r="A162">
            <v>30038</v>
          </cell>
        </row>
        <row r="163">
          <cell r="A163">
            <v>30039</v>
          </cell>
        </row>
        <row r="164">
          <cell r="A164">
            <v>30040</v>
          </cell>
        </row>
        <row r="165">
          <cell r="A165">
            <v>30041</v>
          </cell>
        </row>
        <row r="166">
          <cell r="A166">
            <v>30042</v>
          </cell>
        </row>
        <row r="167">
          <cell r="A167">
            <v>30043</v>
          </cell>
        </row>
        <row r="168">
          <cell r="A168">
            <v>30044</v>
          </cell>
        </row>
        <row r="169">
          <cell r="A169">
            <v>39001</v>
          </cell>
        </row>
        <row r="170">
          <cell r="A170">
            <v>39002</v>
          </cell>
        </row>
        <row r="171">
          <cell r="A171">
            <v>39003</v>
          </cell>
        </row>
        <row r="172">
          <cell r="A172">
            <v>39004</v>
          </cell>
        </row>
        <row r="173">
          <cell r="A173">
            <v>39005</v>
          </cell>
        </row>
        <row r="174">
          <cell r="A174">
            <v>39006</v>
          </cell>
        </row>
        <row r="175">
          <cell r="A175">
            <v>39007</v>
          </cell>
        </row>
        <row r="176">
          <cell r="A176">
            <v>40001</v>
          </cell>
        </row>
        <row r="177">
          <cell r="A177">
            <v>40002</v>
          </cell>
        </row>
        <row r="178">
          <cell r="A178">
            <v>40003</v>
          </cell>
        </row>
        <row r="179">
          <cell r="A179">
            <v>40004</v>
          </cell>
        </row>
        <row r="180">
          <cell r="A180">
            <v>40005</v>
          </cell>
        </row>
        <row r="181">
          <cell r="A181">
            <v>40006</v>
          </cell>
        </row>
        <row r="182">
          <cell r="A182">
            <v>40007</v>
          </cell>
        </row>
        <row r="183">
          <cell r="A183">
            <v>40008</v>
          </cell>
        </row>
        <row r="184">
          <cell r="A184">
            <v>40009</v>
          </cell>
        </row>
        <row r="185">
          <cell r="A185">
            <v>40010</v>
          </cell>
        </row>
        <row r="186">
          <cell r="A186">
            <v>40011</v>
          </cell>
        </row>
        <row r="187">
          <cell r="A187">
            <v>40012</v>
          </cell>
        </row>
        <row r="188">
          <cell r="A188">
            <v>40013</v>
          </cell>
        </row>
        <row r="189">
          <cell r="A189">
            <v>40014</v>
          </cell>
        </row>
        <row r="190">
          <cell r="A190">
            <v>40015</v>
          </cell>
        </row>
        <row r="191">
          <cell r="A191">
            <v>40016</v>
          </cell>
        </row>
        <row r="192">
          <cell r="A192">
            <v>40017</v>
          </cell>
        </row>
        <row r="193">
          <cell r="A193">
            <v>40018</v>
          </cell>
        </row>
        <row r="194">
          <cell r="A194">
            <v>40019</v>
          </cell>
        </row>
        <row r="195">
          <cell r="A195">
            <v>40021</v>
          </cell>
        </row>
        <row r="196">
          <cell r="A196">
            <v>40022</v>
          </cell>
        </row>
        <row r="197">
          <cell r="A197">
            <v>40023</v>
          </cell>
        </row>
        <row r="198">
          <cell r="A198">
            <v>40024</v>
          </cell>
        </row>
        <row r="199">
          <cell r="A199">
            <v>40025</v>
          </cell>
        </row>
        <row r="200">
          <cell r="A200">
            <v>40026</v>
          </cell>
        </row>
        <row r="201">
          <cell r="A201">
            <v>40027</v>
          </cell>
        </row>
        <row r="202">
          <cell r="A202">
            <v>40028</v>
          </cell>
        </row>
        <row r="203">
          <cell r="A203">
            <v>40029</v>
          </cell>
        </row>
        <row r="204">
          <cell r="A204">
            <v>40030</v>
          </cell>
        </row>
        <row r="205">
          <cell r="A205">
            <v>40031</v>
          </cell>
        </row>
        <row r="206">
          <cell r="A206">
            <v>40032</v>
          </cell>
        </row>
        <row r="207">
          <cell r="A207">
            <v>40033</v>
          </cell>
        </row>
        <row r="208">
          <cell r="A208">
            <v>40034</v>
          </cell>
        </row>
        <row r="209">
          <cell r="A209">
            <v>40035</v>
          </cell>
        </row>
        <row r="210">
          <cell r="A210">
            <v>40036</v>
          </cell>
        </row>
        <row r="211">
          <cell r="A211">
            <v>40037</v>
          </cell>
        </row>
        <row r="212">
          <cell r="A212">
            <v>48001</v>
          </cell>
        </row>
        <row r="213">
          <cell r="A213">
            <v>48002</v>
          </cell>
        </row>
        <row r="214">
          <cell r="A214">
            <v>48003</v>
          </cell>
        </row>
        <row r="215">
          <cell r="A215">
            <v>48004</v>
          </cell>
        </row>
        <row r="216">
          <cell r="A216">
            <v>48005</v>
          </cell>
        </row>
        <row r="217">
          <cell r="A217">
            <v>48006</v>
          </cell>
        </row>
        <row r="218">
          <cell r="A218">
            <v>41001</v>
          </cell>
        </row>
        <row r="219">
          <cell r="A219">
            <v>41002</v>
          </cell>
        </row>
        <row r="220">
          <cell r="A220">
            <v>41003</v>
          </cell>
        </row>
        <row r="221">
          <cell r="A221">
            <v>41004</v>
          </cell>
        </row>
        <row r="222">
          <cell r="A222">
            <v>41005</v>
          </cell>
        </row>
        <row r="223">
          <cell r="A223">
            <v>41006</v>
          </cell>
        </row>
        <row r="224">
          <cell r="A224">
            <v>41007</v>
          </cell>
        </row>
        <row r="225">
          <cell r="A225">
            <v>41008</v>
          </cell>
        </row>
        <row r="226">
          <cell r="A226">
            <v>41009</v>
          </cell>
        </row>
        <row r="227">
          <cell r="A227">
            <v>41010</v>
          </cell>
        </row>
        <row r="228">
          <cell r="A228">
            <v>41011</v>
          </cell>
        </row>
        <row r="229">
          <cell r="A229">
            <v>41012</v>
          </cell>
        </row>
        <row r="230">
          <cell r="A230">
            <v>41013</v>
          </cell>
        </row>
        <row r="231">
          <cell r="A231">
            <v>41014</v>
          </cell>
        </row>
        <row r="232">
          <cell r="A232">
            <v>41015</v>
          </cell>
        </row>
        <row r="233">
          <cell r="A233">
            <v>47001</v>
          </cell>
        </row>
        <row r="234">
          <cell r="A234">
            <v>47002</v>
          </cell>
        </row>
        <row r="235">
          <cell r="A235">
            <v>47003</v>
          </cell>
        </row>
        <row r="236">
          <cell r="A236">
            <v>49001</v>
          </cell>
        </row>
        <row r="237">
          <cell r="A237">
            <v>49002</v>
          </cell>
        </row>
        <row r="238">
          <cell r="A238">
            <v>49003</v>
          </cell>
        </row>
        <row r="239">
          <cell r="A239">
            <v>49004</v>
          </cell>
        </row>
        <row r="240">
          <cell r="A240">
            <v>49005</v>
          </cell>
        </row>
        <row r="241">
          <cell r="A241">
            <v>49006</v>
          </cell>
        </row>
        <row r="242">
          <cell r="A242">
            <v>49007</v>
          </cell>
        </row>
        <row r="243">
          <cell r="A243">
            <v>50001</v>
          </cell>
        </row>
        <row r="244">
          <cell r="A244">
            <v>50002</v>
          </cell>
        </row>
        <row r="245">
          <cell r="A245">
            <v>50003</v>
          </cell>
        </row>
        <row r="246">
          <cell r="A246">
            <v>50004</v>
          </cell>
        </row>
        <row r="247">
          <cell r="A247">
            <v>50005</v>
          </cell>
        </row>
        <row r="248">
          <cell r="A248">
            <v>50006</v>
          </cell>
        </row>
        <row r="249">
          <cell r="A249">
            <v>50007</v>
          </cell>
        </row>
        <row r="250">
          <cell r="A250">
            <v>50008</v>
          </cell>
        </row>
        <row r="251">
          <cell r="A251">
            <v>50009</v>
          </cell>
        </row>
        <row r="252">
          <cell r="A252">
            <v>51001</v>
          </cell>
        </row>
        <row r="253">
          <cell r="A253">
            <v>51002</v>
          </cell>
        </row>
        <row r="254">
          <cell r="A254">
            <v>60001</v>
          </cell>
        </row>
        <row r="255">
          <cell r="A255">
            <v>60002</v>
          </cell>
        </row>
        <row r="256">
          <cell r="A256">
            <v>60003</v>
          </cell>
        </row>
        <row r="257">
          <cell r="A257">
            <v>60004</v>
          </cell>
        </row>
        <row r="258">
          <cell r="A258">
            <v>60005</v>
          </cell>
        </row>
        <row r="259">
          <cell r="A259">
            <v>60006</v>
          </cell>
        </row>
        <row r="260">
          <cell r="A260">
            <v>60007</v>
          </cell>
        </row>
        <row r="261">
          <cell r="A261">
            <v>60010</v>
          </cell>
        </row>
        <row r="262">
          <cell r="A262">
            <v>60011</v>
          </cell>
        </row>
        <row r="263">
          <cell r="A263">
            <v>61011</v>
          </cell>
        </row>
        <row r="264">
          <cell r="A264">
            <v>60012</v>
          </cell>
        </row>
        <row r="265">
          <cell r="A265">
            <v>60013</v>
          </cell>
        </row>
        <row r="266">
          <cell r="A266">
            <v>60014</v>
          </cell>
        </row>
        <row r="267">
          <cell r="A267">
            <v>60015</v>
          </cell>
        </row>
        <row r="268">
          <cell r="A268">
            <v>60016</v>
          </cell>
        </row>
        <row r="269">
          <cell r="A269">
            <v>60017</v>
          </cell>
        </row>
        <row r="270">
          <cell r="A270">
            <v>60018</v>
          </cell>
        </row>
        <row r="271">
          <cell r="A271">
            <v>65525</v>
          </cell>
        </row>
        <row r="272">
          <cell r="A272">
            <v>65526</v>
          </cell>
        </row>
        <row r="273">
          <cell r="A273">
            <v>65533</v>
          </cell>
        </row>
        <row r="274">
          <cell r="A274">
            <v>65534</v>
          </cell>
        </row>
        <row r="275">
          <cell r="A275">
            <v>65535</v>
          </cell>
        </row>
        <row r="276">
          <cell r="A276">
            <v>60021</v>
          </cell>
        </row>
        <row r="277">
          <cell r="A277">
            <v>60022</v>
          </cell>
        </row>
        <row r="278">
          <cell r="A278">
            <v>60023</v>
          </cell>
        </row>
        <row r="279">
          <cell r="A27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14001_1</v>
          </cell>
        </row>
        <row r="372">
          <cell r="A372" t="str">
            <v>14001_2</v>
          </cell>
        </row>
        <row r="373">
          <cell r="A373" t="str">
            <v>14001_3</v>
          </cell>
        </row>
        <row r="374">
          <cell r="A374" t="str">
            <v>14001_4</v>
          </cell>
        </row>
        <row r="375">
          <cell r="A375" t="str">
            <v>14001_5</v>
          </cell>
        </row>
        <row r="376">
          <cell r="A376" t="str">
            <v>14001_6</v>
          </cell>
        </row>
        <row r="377">
          <cell r="A377" t="str">
            <v>14001_7</v>
          </cell>
        </row>
        <row r="378">
          <cell r="A378" t="str">
            <v>14001_8</v>
          </cell>
        </row>
        <row r="379">
          <cell r="A379" t="str">
            <v>14002_1</v>
          </cell>
        </row>
        <row r="380">
          <cell r="A380" t="str">
            <v>14002_2</v>
          </cell>
        </row>
        <row r="381">
          <cell r="A381" t="str">
            <v>14003_1</v>
          </cell>
        </row>
        <row r="382">
          <cell r="A382" t="str">
            <v>14003_2</v>
          </cell>
        </row>
        <row r="383">
          <cell r="A383" t="str">
            <v>14003_3</v>
          </cell>
        </row>
        <row r="384">
          <cell r="A384" t="str">
            <v>14003_4</v>
          </cell>
        </row>
        <row r="385">
          <cell r="A385" t="str">
            <v>14004_1</v>
          </cell>
        </row>
        <row r="386">
          <cell r="A386" t="str">
            <v>14004_2</v>
          </cell>
        </row>
        <row r="387">
          <cell r="A387" t="str">
            <v>14004_3</v>
          </cell>
        </row>
        <row r="388">
          <cell r="A388" t="str">
            <v>14004_4</v>
          </cell>
        </row>
        <row r="389">
          <cell r="A389" t="str">
            <v>14005_1</v>
          </cell>
        </row>
        <row r="390">
          <cell r="A390" t="str">
            <v>14006_1</v>
          </cell>
        </row>
        <row r="391">
          <cell r="A391" t="str">
            <v>15027_1</v>
          </cell>
        </row>
        <row r="392">
          <cell r="A392" t="str">
            <v>15027_2</v>
          </cell>
        </row>
        <row r="393">
          <cell r="A393" t="str">
            <v>15027_3</v>
          </cell>
        </row>
        <row r="394">
          <cell r="A394" t="str">
            <v>15027_4</v>
          </cell>
        </row>
        <row r="395">
          <cell r="A395" t="str">
            <v>15028_1</v>
          </cell>
        </row>
        <row r="396">
          <cell r="A396" t="str">
            <v>15028_2</v>
          </cell>
        </row>
        <row r="397">
          <cell r="A397" t="str">
            <v>15028_3</v>
          </cell>
        </row>
        <row r="398">
          <cell r="A398" t="str">
            <v>15028_4</v>
          </cell>
        </row>
        <row r="399">
          <cell r="A399" t="str">
            <v>15029_1</v>
          </cell>
        </row>
        <row r="400">
          <cell r="A400" t="str">
            <v>15029_2</v>
          </cell>
        </row>
        <row r="401">
          <cell r="A401" t="str">
            <v>15029_3</v>
          </cell>
        </row>
        <row r="402">
          <cell r="A402" t="str">
            <v>15029_4</v>
          </cell>
        </row>
        <row r="403">
          <cell r="A403" t="str">
            <v>15030_1</v>
          </cell>
        </row>
        <row r="404">
          <cell r="A404" t="str">
            <v>15030_2</v>
          </cell>
        </row>
        <row r="405">
          <cell r="A405" t="str">
            <v>15030_3</v>
          </cell>
        </row>
        <row r="406">
          <cell r="A406" t="str">
            <v>15030_4</v>
          </cell>
        </row>
        <row r="407">
          <cell r="A407" t="str">
            <v>15031_1</v>
          </cell>
        </row>
        <row r="408">
          <cell r="A408" t="str">
            <v>15031_2</v>
          </cell>
        </row>
        <row r="409">
          <cell r="A409" t="str">
            <v>15031_3</v>
          </cell>
        </row>
        <row r="410">
          <cell r="A410" t="str">
            <v>15031_4</v>
          </cell>
        </row>
        <row r="411">
          <cell r="A411" t="str">
            <v>20001_1</v>
          </cell>
        </row>
        <row r="412">
          <cell r="A412" t="str">
            <v>20001_2</v>
          </cell>
        </row>
        <row r="413">
          <cell r="A413" t="str">
            <v>20001_3</v>
          </cell>
        </row>
        <row r="414">
          <cell r="A414" t="str">
            <v>20002_1</v>
          </cell>
        </row>
        <row r="415">
          <cell r="A415" t="str">
            <v>20002_2</v>
          </cell>
        </row>
        <row r="416">
          <cell r="A416" t="str">
            <v>20002_3</v>
          </cell>
        </row>
        <row r="417">
          <cell r="A417" t="str">
            <v>20003_1</v>
          </cell>
        </row>
        <row r="418">
          <cell r="A418" t="str">
            <v>20003_2</v>
          </cell>
        </row>
        <row r="419">
          <cell r="A419" t="str">
            <v>20003_3</v>
          </cell>
        </row>
        <row r="420">
          <cell r="A420" t="str">
            <v>20004_1</v>
          </cell>
        </row>
        <row r="421">
          <cell r="A421" t="str">
            <v>20004_2</v>
          </cell>
        </row>
        <row r="422">
          <cell r="A422" t="str">
            <v>20004_3</v>
          </cell>
        </row>
        <row r="423">
          <cell r="A423" t="str">
            <v>20005_1</v>
          </cell>
        </row>
        <row r="424">
          <cell r="A424" t="str">
            <v>20005_2</v>
          </cell>
        </row>
        <row r="425">
          <cell r="A425" t="str">
            <v>20005_3</v>
          </cell>
        </row>
        <row r="426">
          <cell r="A426" t="str">
            <v>20006_1</v>
          </cell>
        </row>
        <row r="427">
          <cell r="A427" t="str">
            <v>20006_2</v>
          </cell>
        </row>
        <row r="428">
          <cell r="A428" t="str">
            <v>20006_3</v>
          </cell>
        </row>
        <row r="429">
          <cell r="A429" t="str">
            <v>20007_1</v>
          </cell>
        </row>
        <row r="430">
          <cell r="A430" t="str">
            <v>20007_2</v>
          </cell>
        </row>
        <row r="431">
          <cell r="A431" t="str">
            <v>20007_3</v>
          </cell>
        </row>
        <row r="432">
          <cell r="A432" t="str">
            <v>20008_1</v>
          </cell>
        </row>
        <row r="433">
          <cell r="A433" t="str">
            <v>20008_2</v>
          </cell>
        </row>
        <row r="434">
          <cell r="A434" t="str">
            <v>20008_3</v>
          </cell>
        </row>
        <row r="435">
          <cell r="A435" t="str">
            <v>20009_1</v>
          </cell>
        </row>
        <row r="436">
          <cell r="A436" t="str">
            <v>20009_2</v>
          </cell>
        </row>
        <row r="437">
          <cell r="A437" t="str">
            <v>20009_3</v>
          </cell>
        </row>
        <row r="438">
          <cell r="A438" t="str">
            <v>20010_1</v>
          </cell>
        </row>
        <row r="439">
          <cell r="A439" t="str">
            <v>20010_2</v>
          </cell>
        </row>
        <row r="440">
          <cell r="A440" t="str">
            <v>20010_3</v>
          </cell>
        </row>
        <row r="441">
          <cell r="A441" t="str">
            <v>20011_1</v>
          </cell>
        </row>
        <row r="442">
          <cell r="A442" t="str">
            <v>20011_2</v>
          </cell>
        </row>
        <row r="443">
          <cell r="A443" t="str">
            <v>20011_3</v>
          </cell>
        </row>
        <row r="444">
          <cell r="A444" t="str">
            <v>20012_1</v>
          </cell>
        </row>
        <row r="445">
          <cell r="A445" t="str">
            <v>20012_2</v>
          </cell>
        </row>
        <row r="446">
          <cell r="A446" t="str">
            <v>20012_3</v>
          </cell>
        </row>
        <row r="447">
          <cell r="A447" t="str">
            <v>20013_1</v>
          </cell>
        </row>
        <row r="448">
          <cell r="A448" t="str">
            <v>20013_2</v>
          </cell>
        </row>
        <row r="449">
          <cell r="A449" t="str">
            <v>20013_3</v>
          </cell>
        </row>
        <row r="450">
          <cell r="A450" t="str">
            <v>20014_1</v>
          </cell>
        </row>
        <row r="451">
          <cell r="A451" t="str">
            <v>20014_2</v>
          </cell>
        </row>
        <row r="452">
          <cell r="A452" t="str">
            <v>20014_3</v>
          </cell>
        </row>
        <row r="453">
          <cell r="A453" t="str">
            <v>20015_1</v>
          </cell>
        </row>
        <row r="454">
          <cell r="A454" t="str">
            <v>20015_2</v>
          </cell>
        </row>
        <row r="455">
          <cell r="A455" t="str">
            <v>20015_3</v>
          </cell>
        </row>
        <row r="456">
          <cell r="A456" t="str">
            <v>20016_1</v>
          </cell>
        </row>
        <row r="457">
          <cell r="A457" t="str">
            <v>20016_2</v>
          </cell>
        </row>
        <row r="458">
          <cell r="A458" t="str">
            <v>20016_3</v>
          </cell>
        </row>
        <row r="459">
          <cell r="A459" t="str">
            <v>20017_1</v>
          </cell>
        </row>
        <row r="460">
          <cell r="A460" t="str">
            <v>20017_2</v>
          </cell>
        </row>
        <row r="461">
          <cell r="A461" t="str">
            <v>20017_3</v>
          </cell>
        </row>
        <row r="462">
          <cell r="A462" t="str">
            <v>20018_1</v>
          </cell>
        </row>
        <row r="463">
          <cell r="A463" t="str">
            <v>20018_2</v>
          </cell>
        </row>
        <row r="464">
          <cell r="A464" t="str">
            <v>20018_3</v>
          </cell>
        </row>
        <row r="465">
          <cell r="A465" t="str">
            <v>20019_1</v>
          </cell>
        </row>
        <row r="466">
          <cell r="A466" t="str">
            <v>20019_2</v>
          </cell>
        </row>
        <row r="467">
          <cell r="A467" t="str">
            <v>20019_3</v>
          </cell>
        </row>
        <row r="468">
          <cell r="A468" t="str">
            <v>20020_1</v>
          </cell>
        </row>
        <row r="469">
          <cell r="A469" t="str">
            <v>20020_2</v>
          </cell>
        </row>
        <row r="470">
          <cell r="A470" t="str">
            <v>20020_3</v>
          </cell>
        </row>
        <row r="471">
          <cell r="A471" t="str">
            <v>20021_1</v>
          </cell>
        </row>
        <row r="472">
          <cell r="A472" t="str">
            <v>20021_2</v>
          </cell>
        </row>
        <row r="473">
          <cell r="A473" t="str">
            <v>20021_3</v>
          </cell>
        </row>
        <row r="474">
          <cell r="A474" t="str">
            <v>30001_1</v>
          </cell>
        </row>
        <row r="475">
          <cell r="A475" t="str">
            <v>30001_2</v>
          </cell>
        </row>
        <row r="476">
          <cell r="A476" t="str">
            <v>30001_3</v>
          </cell>
        </row>
        <row r="477">
          <cell r="A477" t="str">
            <v>30002_1</v>
          </cell>
        </row>
        <row r="478">
          <cell r="A478" t="str">
            <v>30002_2</v>
          </cell>
        </row>
        <row r="479">
          <cell r="A479" t="str">
            <v>30002_3</v>
          </cell>
        </row>
        <row r="480">
          <cell r="A480" t="str">
            <v>30003_1</v>
          </cell>
        </row>
        <row r="481">
          <cell r="A481" t="str">
            <v>30003_2</v>
          </cell>
        </row>
        <row r="482">
          <cell r="A482" t="str">
            <v>30003_3</v>
          </cell>
        </row>
        <row r="483">
          <cell r="A483" t="str">
            <v>30004_1</v>
          </cell>
        </row>
        <row r="484">
          <cell r="A484" t="str">
            <v>30004_2</v>
          </cell>
        </row>
        <row r="485">
          <cell r="A485" t="str">
            <v>30004_3</v>
          </cell>
        </row>
        <row r="486">
          <cell r="A486" t="str">
            <v>30005_1</v>
          </cell>
        </row>
        <row r="487">
          <cell r="A487" t="str">
            <v>30005_2</v>
          </cell>
        </row>
        <row r="488">
          <cell r="A488" t="str">
            <v>30005_3</v>
          </cell>
        </row>
        <row r="489">
          <cell r="A489" t="str">
            <v>30006_1</v>
          </cell>
        </row>
        <row r="490">
          <cell r="A490" t="str">
            <v>30006_2</v>
          </cell>
        </row>
        <row r="491">
          <cell r="A491" t="str">
            <v>30006_3</v>
          </cell>
        </row>
        <row r="492">
          <cell r="A492" t="str">
            <v>30007_1</v>
          </cell>
        </row>
        <row r="493">
          <cell r="A493" t="str">
            <v>30007_2</v>
          </cell>
        </row>
        <row r="494">
          <cell r="A494" t="str">
            <v>30007_3</v>
          </cell>
        </row>
        <row r="495">
          <cell r="A495" t="str">
            <v>30008_1</v>
          </cell>
        </row>
        <row r="496">
          <cell r="A496" t="str">
            <v>30008_2</v>
          </cell>
        </row>
        <row r="497">
          <cell r="A497" t="str">
            <v>30008_3</v>
          </cell>
        </row>
        <row r="498">
          <cell r="A498" t="str">
            <v>30009_3</v>
          </cell>
        </row>
        <row r="499">
          <cell r="A499" t="str">
            <v>30009_1</v>
          </cell>
        </row>
        <row r="500">
          <cell r="A500" t="str">
            <v>30009_2</v>
          </cell>
        </row>
        <row r="501">
          <cell r="A501" t="str">
            <v>30010_1</v>
          </cell>
        </row>
        <row r="502">
          <cell r="A502" t="str">
            <v>30010_2</v>
          </cell>
        </row>
        <row r="503">
          <cell r="A503" t="str">
            <v>30010_3</v>
          </cell>
        </row>
        <row r="504">
          <cell r="A504" t="str">
            <v>30011_1</v>
          </cell>
        </row>
        <row r="505">
          <cell r="A505" t="str">
            <v>30011_2</v>
          </cell>
        </row>
        <row r="506">
          <cell r="A506" t="str">
            <v>30011_3</v>
          </cell>
        </row>
        <row r="507">
          <cell r="A507" t="str">
            <v>30012_1</v>
          </cell>
        </row>
        <row r="508">
          <cell r="A508" t="str">
            <v>30012_2</v>
          </cell>
        </row>
        <row r="509">
          <cell r="A509" t="str">
            <v>30012_3</v>
          </cell>
        </row>
        <row r="510">
          <cell r="A510" t="str">
            <v>30013_1</v>
          </cell>
        </row>
        <row r="511">
          <cell r="A511" t="str">
            <v>30013_2</v>
          </cell>
        </row>
        <row r="512">
          <cell r="A512" t="str">
            <v>30014_1</v>
          </cell>
        </row>
        <row r="513">
          <cell r="A513" t="str">
            <v>30014_2</v>
          </cell>
        </row>
        <row r="514">
          <cell r="A514" t="str">
            <v>30015_1</v>
          </cell>
        </row>
        <row r="515">
          <cell r="A515" t="str">
            <v>30015_2</v>
          </cell>
        </row>
        <row r="516">
          <cell r="A516" t="str">
            <v>30016_1</v>
          </cell>
        </row>
        <row r="517">
          <cell r="A517" t="str">
            <v>30016_2</v>
          </cell>
        </row>
        <row r="518">
          <cell r="A518" t="str">
            <v>30017_1</v>
          </cell>
        </row>
        <row r="519">
          <cell r="A519" t="str">
            <v>30017_2</v>
          </cell>
        </row>
        <row r="520">
          <cell r="A520" t="str">
            <v>30018_1</v>
          </cell>
        </row>
        <row r="521">
          <cell r="A521" t="str">
            <v>30018_2</v>
          </cell>
        </row>
        <row r="522">
          <cell r="A522" t="str">
            <v>30019_1</v>
          </cell>
        </row>
        <row r="523">
          <cell r="A523" t="str">
            <v>30019_2</v>
          </cell>
        </row>
        <row r="524">
          <cell r="A524" t="str">
            <v>30020_1</v>
          </cell>
        </row>
        <row r="525">
          <cell r="A525" t="str">
            <v>30020_2</v>
          </cell>
        </row>
        <row r="526">
          <cell r="A526" t="str">
            <v>30021_1</v>
          </cell>
        </row>
        <row r="527">
          <cell r="A527" t="str">
            <v>30021_2</v>
          </cell>
        </row>
        <row r="528">
          <cell r="A528" t="str">
            <v>30021_3</v>
          </cell>
        </row>
        <row r="529">
          <cell r="A529" t="str">
            <v>30022_1</v>
          </cell>
        </row>
        <row r="530">
          <cell r="A530" t="str">
            <v>30022_2</v>
          </cell>
        </row>
        <row r="531">
          <cell r="A531" t="str">
            <v>30023_1</v>
          </cell>
        </row>
        <row r="532">
          <cell r="A532" t="str">
            <v>30023_2</v>
          </cell>
        </row>
        <row r="533">
          <cell r="A533" t="str">
            <v>30023_3</v>
          </cell>
        </row>
        <row r="534">
          <cell r="A534" t="str">
            <v>30024_1</v>
          </cell>
        </row>
        <row r="535">
          <cell r="A535" t="str">
            <v>30024_2</v>
          </cell>
        </row>
        <row r="536">
          <cell r="A536" t="str">
            <v>30024_3</v>
          </cell>
        </row>
        <row r="537">
          <cell r="A537" t="str">
            <v>30025_1</v>
          </cell>
        </row>
        <row r="538">
          <cell r="A538" t="str">
            <v>30025_2</v>
          </cell>
        </row>
        <row r="539">
          <cell r="A539" t="str">
            <v>30025_3</v>
          </cell>
        </row>
        <row r="540">
          <cell r="A540" t="str">
            <v>30026_1</v>
          </cell>
        </row>
        <row r="541">
          <cell r="A541" t="str">
            <v>30026_2</v>
          </cell>
        </row>
        <row r="542">
          <cell r="A542" t="str">
            <v>30026_3</v>
          </cell>
        </row>
        <row r="543">
          <cell r="A543" t="str">
            <v>30027_1</v>
          </cell>
        </row>
        <row r="544">
          <cell r="A544" t="str">
            <v>30027_2</v>
          </cell>
        </row>
        <row r="545">
          <cell r="A545" t="str">
            <v>30027_3</v>
          </cell>
        </row>
        <row r="546">
          <cell r="A546" t="str">
            <v>30028_1</v>
          </cell>
        </row>
        <row r="547">
          <cell r="A547" t="str">
            <v>30028_2</v>
          </cell>
        </row>
        <row r="548">
          <cell r="A548" t="str">
            <v>30028_3</v>
          </cell>
        </row>
        <row r="549">
          <cell r="A549" t="str">
            <v>30029_1</v>
          </cell>
        </row>
        <row r="550">
          <cell r="A550" t="str">
            <v>30029_2</v>
          </cell>
        </row>
        <row r="551">
          <cell r="A551" t="str">
            <v>30029_3</v>
          </cell>
        </row>
        <row r="552">
          <cell r="A552" t="str">
            <v>30030_1</v>
          </cell>
        </row>
        <row r="553">
          <cell r="A553" t="str">
            <v>30030_2</v>
          </cell>
        </row>
        <row r="554">
          <cell r="A554" t="str">
            <v>30030_3</v>
          </cell>
        </row>
        <row r="555">
          <cell r="A555" t="str">
            <v>30031_1</v>
          </cell>
        </row>
        <row r="556">
          <cell r="A556" t="str">
            <v>30031_2</v>
          </cell>
        </row>
        <row r="557">
          <cell r="A557" t="str">
            <v>30031_3</v>
          </cell>
        </row>
        <row r="558">
          <cell r="A558" t="str">
            <v>30032_1</v>
          </cell>
        </row>
        <row r="559">
          <cell r="A559" t="str">
            <v>30032_2</v>
          </cell>
        </row>
        <row r="560">
          <cell r="A560" t="str">
            <v>30032_3</v>
          </cell>
        </row>
        <row r="561">
          <cell r="A561" t="str">
            <v>30033_1</v>
          </cell>
        </row>
        <row r="562">
          <cell r="A562" t="str">
            <v>30033_2</v>
          </cell>
        </row>
        <row r="563">
          <cell r="A563" t="str">
            <v>30033_3</v>
          </cell>
        </row>
        <row r="564">
          <cell r="A564" t="str">
            <v>30034_1</v>
          </cell>
        </row>
        <row r="565">
          <cell r="A565" t="str">
            <v>30034_2</v>
          </cell>
        </row>
        <row r="566">
          <cell r="A566" t="str">
            <v>30034_3</v>
          </cell>
        </row>
        <row r="567">
          <cell r="A567" t="str">
            <v>30035_1</v>
          </cell>
        </row>
        <row r="568">
          <cell r="A568" t="str">
            <v>30035_2</v>
          </cell>
        </row>
        <row r="569">
          <cell r="A569" t="str">
            <v>30035_3</v>
          </cell>
        </row>
        <row r="570">
          <cell r="A570" t="str">
            <v>30036_1</v>
          </cell>
        </row>
        <row r="571">
          <cell r="A571" t="str">
            <v>30036_2</v>
          </cell>
        </row>
        <row r="572">
          <cell r="A572" t="str">
            <v>30036_3</v>
          </cell>
        </row>
        <row r="573">
          <cell r="A573" t="str">
            <v>30037_1</v>
          </cell>
        </row>
        <row r="574">
          <cell r="A574" t="str">
            <v>30037_2</v>
          </cell>
        </row>
        <row r="575">
          <cell r="A575" t="str">
            <v>30037_3</v>
          </cell>
        </row>
        <row r="576">
          <cell r="A576" t="str">
            <v>30038_1</v>
          </cell>
        </row>
        <row r="577">
          <cell r="A577" t="str">
            <v>30038_2</v>
          </cell>
        </row>
        <row r="578">
          <cell r="A578" t="str">
            <v>30038_3</v>
          </cell>
        </row>
        <row r="579">
          <cell r="A579" t="str">
            <v>30039_1</v>
          </cell>
        </row>
        <row r="580">
          <cell r="A580" t="str">
            <v>30039_2</v>
          </cell>
        </row>
        <row r="581">
          <cell r="A581" t="str">
            <v>30039_3</v>
          </cell>
        </row>
        <row r="582">
          <cell r="A582" t="str">
            <v>30040_1</v>
          </cell>
        </row>
        <row r="583">
          <cell r="A583" t="str">
            <v>30040_2</v>
          </cell>
        </row>
        <row r="584">
          <cell r="A584" t="str">
            <v>30040_3</v>
          </cell>
        </row>
        <row r="585">
          <cell r="A585" t="str">
            <v>30041_1</v>
          </cell>
        </row>
        <row r="586">
          <cell r="A586" t="str">
            <v>30041_2</v>
          </cell>
        </row>
        <row r="587">
          <cell r="A587" t="str">
            <v>30041_3</v>
          </cell>
        </row>
        <row r="588">
          <cell r="A588" t="str">
            <v>30042_1</v>
          </cell>
        </row>
        <row r="589">
          <cell r="A589" t="str">
            <v>30042_2</v>
          </cell>
        </row>
        <row r="590">
          <cell r="A590" t="str">
            <v>30042_3</v>
          </cell>
        </row>
        <row r="591">
          <cell r="A591" t="str">
            <v>30043_1</v>
          </cell>
        </row>
        <row r="592">
          <cell r="A592" t="str">
            <v>30043_2</v>
          </cell>
        </row>
        <row r="593">
          <cell r="A593" t="str">
            <v>30043_3</v>
          </cell>
        </row>
        <row r="594">
          <cell r="A594" t="str">
            <v>30044_1</v>
          </cell>
        </row>
        <row r="595">
          <cell r="A595" t="str">
            <v>30044_2</v>
          </cell>
        </row>
        <row r="596">
          <cell r="A596" t="str">
            <v>30044_3</v>
          </cell>
        </row>
        <row r="597">
          <cell r="A597" t="str">
            <v>39001_1</v>
          </cell>
        </row>
        <row r="598">
          <cell r="A598" t="str">
            <v>39001_2</v>
          </cell>
        </row>
        <row r="599">
          <cell r="A599" t="str">
            <v>39001_3</v>
          </cell>
        </row>
        <row r="600">
          <cell r="A600" t="str">
            <v>39001_4</v>
          </cell>
        </row>
        <row r="601">
          <cell r="A601" t="str">
            <v>39001_5</v>
          </cell>
        </row>
        <row r="602">
          <cell r="A602" t="str">
            <v>39002_1</v>
          </cell>
        </row>
        <row r="603">
          <cell r="A603" t="str">
            <v>39002_2</v>
          </cell>
        </row>
        <row r="604">
          <cell r="A604" t="str">
            <v>39002_3</v>
          </cell>
        </row>
        <row r="605">
          <cell r="A605" t="str">
            <v>39002_4</v>
          </cell>
        </row>
        <row r="606">
          <cell r="A606" t="str">
            <v>39003_1</v>
          </cell>
        </row>
        <row r="607">
          <cell r="A607" t="str">
            <v>39003_2</v>
          </cell>
        </row>
        <row r="608">
          <cell r="A608" t="str">
            <v>39003_3</v>
          </cell>
        </row>
        <row r="609">
          <cell r="A609" t="str">
            <v>39003_4</v>
          </cell>
        </row>
        <row r="610">
          <cell r="A610" t="str">
            <v>39004_1</v>
          </cell>
        </row>
        <row r="611">
          <cell r="A611" t="str">
            <v>39004_2</v>
          </cell>
        </row>
        <row r="612">
          <cell r="A612" t="str">
            <v>39004_3</v>
          </cell>
        </row>
        <row r="613">
          <cell r="A613" t="str">
            <v>39004_4</v>
          </cell>
        </row>
        <row r="614">
          <cell r="A614" t="str">
            <v>39005_1</v>
          </cell>
        </row>
        <row r="615">
          <cell r="A615" t="str">
            <v>39005_2</v>
          </cell>
        </row>
        <row r="616">
          <cell r="A616" t="str">
            <v>39005_3</v>
          </cell>
        </row>
        <row r="617">
          <cell r="A617" t="str">
            <v>39005_4</v>
          </cell>
        </row>
        <row r="618">
          <cell r="A618" t="str">
            <v>39005_5</v>
          </cell>
        </row>
        <row r="619">
          <cell r="A619" t="str">
            <v>39006_1</v>
          </cell>
        </row>
        <row r="620">
          <cell r="A620" t="str">
            <v>39006_2</v>
          </cell>
        </row>
        <row r="621">
          <cell r="A621" t="str">
            <v>39006_3</v>
          </cell>
        </row>
        <row r="622">
          <cell r="A622" t="str">
            <v>39006_4</v>
          </cell>
        </row>
        <row r="623">
          <cell r="A623" t="str">
            <v>39007_1</v>
          </cell>
        </row>
        <row r="624">
          <cell r="A624" t="str">
            <v>39007_2</v>
          </cell>
        </row>
        <row r="625">
          <cell r="A625" t="str">
            <v>39007_3</v>
          </cell>
        </row>
        <row r="626">
          <cell r="A626" t="str">
            <v>39007_4</v>
          </cell>
        </row>
        <row r="627">
          <cell r="A627" t="str">
            <v>40001_1</v>
          </cell>
        </row>
        <row r="628">
          <cell r="A628" t="str">
            <v>40002_1</v>
          </cell>
        </row>
        <row r="629">
          <cell r="A629" t="str">
            <v>40002_2</v>
          </cell>
        </row>
        <row r="630">
          <cell r="A630" t="str">
            <v>40002_3</v>
          </cell>
        </row>
        <row r="631">
          <cell r="A631" t="str">
            <v>40003_1</v>
          </cell>
        </row>
        <row r="632">
          <cell r="A632" t="str">
            <v>40004_1</v>
          </cell>
        </row>
        <row r="633">
          <cell r="A633" t="str">
            <v>40005_1</v>
          </cell>
        </row>
        <row r="634">
          <cell r="A634" t="str">
            <v>40006_1</v>
          </cell>
        </row>
        <row r="635">
          <cell r="A635" t="str">
            <v>40007_1</v>
          </cell>
        </row>
        <row r="636">
          <cell r="A636" t="str">
            <v>40008_1</v>
          </cell>
        </row>
        <row r="637">
          <cell r="A637" t="str">
            <v>40009_1</v>
          </cell>
        </row>
        <row r="638">
          <cell r="A638" t="str">
            <v>40010_1</v>
          </cell>
        </row>
        <row r="639">
          <cell r="A639" t="str">
            <v>40011_1</v>
          </cell>
        </row>
        <row r="640">
          <cell r="A640" t="str">
            <v>40012_1</v>
          </cell>
        </row>
        <row r="641">
          <cell r="A641" t="str">
            <v>40013_1</v>
          </cell>
        </row>
        <row r="642">
          <cell r="A642" t="str">
            <v>40014_1</v>
          </cell>
        </row>
        <row r="643">
          <cell r="A643" t="str">
            <v>40015_1</v>
          </cell>
        </row>
        <row r="644">
          <cell r="A644" t="str">
            <v>40016_1</v>
          </cell>
        </row>
        <row r="645">
          <cell r="A645" t="str">
            <v>40016_2</v>
          </cell>
        </row>
        <row r="646">
          <cell r="A646" t="str">
            <v>40017_1</v>
          </cell>
        </row>
        <row r="647">
          <cell r="A647" t="str">
            <v>40017_2</v>
          </cell>
        </row>
        <row r="648">
          <cell r="A648" t="str">
            <v>40017_3</v>
          </cell>
        </row>
        <row r="649">
          <cell r="A649" t="str">
            <v>40018_1</v>
          </cell>
        </row>
        <row r="650">
          <cell r="A650" t="str">
            <v>40018_2</v>
          </cell>
        </row>
        <row r="651">
          <cell r="A651" t="str">
            <v>40018_3</v>
          </cell>
        </row>
        <row r="652">
          <cell r="A652" t="str">
            <v>40019_1</v>
          </cell>
        </row>
        <row r="653">
          <cell r="A653" t="str">
            <v>40019_2</v>
          </cell>
        </row>
        <row r="654">
          <cell r="A654" t="str">
            <v>40019_3</v>
          </cell>
        </row>
        <row r="655">
          <cell r="A655" t="str">
            <v>40021_1</v>
          </cell>
        </row>
        <row r="656">
          <cell r="A656" t="str">
            <v>40021_2</v>
          </cell>
        </row>
        <row r="657">
          <cell r="A657" t="str">
            <v>40022_1</v>
          </cell>
        </row>
        <row r="658">
          <cell r="A658" t="str">
            <v>40022_2</v>
          </cell>
        </row>
        <row r="659">
          <cell r="A659" t="str">
            <v>40023_1</v>
          </cell>
        </row>
        <row r="660">
          <cell r="A660" t="str">
            <v>40023_2</v>
          </cell>
        </row>
        <row r="661">
          <cell r="A661" t="str">
            <v>40024_1</v>
          </cell>
        </row>
        <row r="662">
          <cell r="A662" t="str">
            <v>40024_2</v>
          </cell>
        </row>
        <row r="663">
          <cell r="A663" t="str">
            <v>40025_1</v>
          </cell>
        </row>
        <row r="664">
          <cell r="A664" t="str">
            <v>40025_2</v>
          </cell>
        </row>
        <row r="665">
          <cell r="A665" t="str">
            <v>40026_1</v>
          </cell>
        </row>
        <row r="666">
          <cell r="A666" t="str">
            <v>40026_2</v>
          </cell>
        </row>
        <row r="667">
          <cell r="A667" t="str">
            <v>40027_1</v>
          </cell>
        </row>
        <row r="668">
          <cell r="A668" t="str">
            <v>40027_2</v>
          </cell>
        </row>
        <row r="669">
          <cell r="A669" t="str">
            <v>40028_1</v>
          </cell>
        </row>
        <row r="670">
          <cell r="A670" t="str">
            <v>40028_2</v>
          </cell>
        </row>
        <row r="671">
          <cell r="A671" t="str">
            <v>40029_1</v>
          </cell>
        </row>
        <row r="672">
          <cell r="A672" t="str">
            <v>40029_2</v>
          </cell>
        </row>
        <row r="673">
          <cell r="A673" t="str">
            <v>40030_1</v>
          </cell>
        </row>
        <row r="674">
          <cell r="A674" t="str">
            <v>40030_2</v>
          </cell>
        </row>
        <row r="675">
          <cell r="A675" t="str">
            <v>40031_1</v>
          </cell>
        </row>
        <row r="676">
          <cell r="A676" t="str">
            <v>40031_2</v>
          </cell>
        </row>
        <row r="677">
          <cell r="A677" t="str">
            <v>40032_1</v>
          </cell>
        </row>
        <row r="678">
          <cell r="A678" t="str">
            <v>40032_2</v>
          </cell>
        </row>
        <row r="679">
          <cell r="A679" t="str">
            <v>40033_1</v>
          </cell>
        </row>
        <row r="680">
          <cell r="A680" t="str">
            <v>40033_2</v>
          </cell>
        </row>
        <row r="681">
          <cell r="A681" t="str">
            <v>40034_1</v>
          </cell>
        </row>
        <row r="682">
          <cell r="A682" t="str">
            <v>40034_2</v>
          </cell>
        </row>
        <row r="683">
          <cell r="A683" t="str">
            <v>40035_1</v>
          </cell>
        </row>
        <row r="684">
          <cell r="A684" t="str">
            <v>40035_2</v>
          </cell>
        </row>
        <row r="685">
          <cell r="A685" t="str">
            <v>40036_1</v>
          </cell>
        </row>
        <row r="686">
          <cell r="A686" t="str">
            <v>40036_2</v>
          </cell>
        </row>
        <row r="687">
          <cell r="A687" t="str">
            <v>40037_1</v>
          </cell>
        </row>
        <row r="688">
          <cell r="A688" t="str">
            <v>40037_2</v>
          </cell>
        </row>
        <row r="689">
          <cell r="A689" t="str">
            <v>41001_1</v>
          </cell>
        </row>
        <row r="690">
          <cell r="A690" t="str">
            <v>41001_2</v>
          </cell>
        </row>
        <row r="691">
          <cell r="A691" t="str">
            <v>41001_3</v>
          </cell>
        </row>
        <row r="692">
          <cell r="A692" t="str">
            <v>41002_1</v>
          </cell>
        </row>
        <row r="693">
          <cell r="A693" t="str">
            <v>41002_2</v>
          </cell>
        </row>
        <row r="694">
          <cell r="A694" t="str">
            <v>41002_3</v>
          </cell>
        </row>
        <row r="695">
          <cell r="A695" t="str">
            <v>41003_1</v>
          </cell>
        </row>
        <row r="696">
          <cell r="A696" t="str">
            <v>41003_2</v>
          </cell>
        </row>
        <row r="697">
          <cell r="A697" t="str">
            <v>41003_3</v>
          </cell>
        </row>
        <row r="698">
          <cell r="A698" t="str">
            <v>41004_1</v>
          </cell>
        </row>
        <row r="699">
          <cell r="A699" t="str">
            <v>41004_2</v>
          </cell>
        </row>
        <row r="700">
          <cell r="A700" t="str">
            <v>41004_3</v>
          </cell>
        </row>
        <row r="701">
          <cell r="A701" t="str">
            <v>41005_1</v>
          </cell>
        </row>
        <row r="702">
          <cell r="A702" t="str">
            <v>41005_2</v>
          </cell>
        </row>
        <row r="703">
          <cell r="A703" t="str">
            <v>41005_3</v>
          </cell>
        </row>
        <row r="704">
          <cell r="A704" t="str">
            <v>41006_1</v>
          </cell>
        </row>
        <row r="705">
          <cell r="A705" t="str">
            <v>41006_2</v>
          </cell>
        </row>
        <row r="706">
          <cell r="A706" t="str">
            <v>41006_3</v>
          </cell>
        </row>
        <row r="707">
          <cell r="A707" t="str">
            <v>41007_1</v>
          </cell>
        </row>
        <row r="708">
          <cell r="A708" t="str">
            <v>41007_2</v>
          </cell>
        </row>
        <row r="709">
          <cell r="A709" t="str">
            <v>41007_3</v>
          </cell>
        </row>
        <row r="710">
          <cell r="A710" t="str">
            <v>41008_1</v>
          </cell>
        </row>
        <row r="711">
          <cell r="A711" t="str">
            <v>41008_2</v>
          </cell>
        </row>
        <row r="712">
          <cell r="A712" t="str">
            <v>41008_3</v>
          </cell>
        </row>
        <row r="713">
          <cell r="A713" t="str">
            <v>41009_1</v>
          </cell>
        </row>
        <row r="714">
          <cell r="A714" t="str">
            <v>41009_2</v>
          </cell>
        </row>
        <row r="715">
          <cell r="A715" t="str">
            <v>41009_3</v>
          </cell>
        </row>
        <row r="716">
          <cell r="A716" t="str">
            <v>41010_1</v>
          </cell>
        </row>
        <row r="717">
          <cell r="A717" t="str">
            <v>41010_2</v>
          </cell>
        </row>
        <row r="718">
          <cell r="A718" t="str">
            <v>41010_3</v>
          </cell>
        </row>
        <row r="719">
          <cell r="A719" t="str">
            <v>41011_1</v>
          </cell>
        </row>
        <row r="720">
          <cell r="A720" t="str">
            <v>41011_2</v>
          </cell>
        </row>
        <row r="721">
          <cell r="A721" t="str">
            <v>41012_1</v>
          </cell>
        </row>
        <row r="722">
          <cell r="A722" t="str">
            <v>41012_2</v>
          </cell>
        </row>
        <row r="723">
          <cell r="A723" t="str">
            <v>41013_1</v>
          </cell>
        </row>
        <row r="724">
          <cell r="A724" t="str">
            <v>41013_2</v>
          </cell>
        </row>
        <row r="725">
          <cell r="A725" t="str">
            <v>41014_1</v>
          </cell>
        </row>
        <row r="726">
          <cell r="A726" t="str">
            <v>41014_2</v>
          </cell>
        </row>
        <row r="727">
          <cell r="A727" t="str">
            <v>41015_1</v>
          </cell>
        </row>
        <row r="728">
          <cell r="A728" t="str">
            <v>41015_2</v>
          </cell>
        </row>
        <row r="729">
          <cell r="A729" t="str">
            <v>47001_1</v>
          </cell>
        </row>
        <row r="730">
          <cell r="A730" t="str">
            <v>47001_2</v>
          </cell>
        </row>
        <row r="731">
          <cell r="A731" t="str">
            <v>47002_1</v>
          </cell>
        </row>
        <row r="732">
          <cell r="A732" t="str">
            <v>47002_2</v>
          </cell>
        </row>
        <row r="733">
          <cell r="A733" t="str">
            <v>47003_1</v>
          </cell>
        </row>
        <row r="734">
          <cell r="A734" t="str">
            <v>47003_2</v>
          </cell>
        </row>
        <row r="735">
          <cell r="A735" t="str">
            <v>47003_3</v>
          </cell>
        </row>
        <row r="736">
          <cell r="A736" t="str">
            <v>47003_4</v>
          </cell>
        </row>
        <row r="737">
          <cell r="A737" t="str">
            <v>48001_1</v>
          </cell>
        </row>
        <row r="738">
          <cell r="A738" t="str">
            <v>48002_1</v>
          </cell>
        </row>
        <row r="739">
          <cell r="A739" t="str">
            <v>48002_2</v>
          </cell>
        </row>
        <row r="740">
          <cell r="A740" t="str">
            <v>48002_3</v>
          </cell>
        </row>
        <row r="741">
          <cell r="A741" t="str">
            <v>48003_1</v>
          </cell>
        </row>
        <row r="742">
          <cell r="A742" t="str">
            <v>48003_2</v>
          </cell>
        </row>
        <row r="743">
          <cell r="A743" t="str">
            <v>48003_3</v>
          </cell>
        </row>
        <row r="744">
          <cell r="A744" t="str">
            <v>48004_1</v>
          </cell>
        </row>
        <row r="745">
          <cell r="A745" t="str">
            <v>48004_2</v>
          </cell>
        </row>
        <row r="746">
          <cell r="A746" t="str">
            <v>48004_3</v>
          </cell>
        </row>
        <row r="747">
          <cell r="A747" t="str">
            <v>48005_1</v>
          </cell>
        </row>
        <row r="748">
          <cell r="A748" t="str">
            <v>48005_2</v>
          </cell>
        </row>
        <row r="749">
          <cell r="A749" t="str">
            <v>48006_1</v>
          </cell>
        </row>
        <row r="750">
          <cell r="A750" t="str">
            <v>48006_2</v>
          </cell>
        </row>
        <row r="751">
          <cell r="A751" t="str">
            <v>49001_1</v>
          </cell>
        </row>
        <row r="752">
          <cell r="A752" t="str">
            <v>49002_1</v>
          </cell>
        </row>
        <row r="753">
          <cell r="A753" t="str">
            <v>49002_2</v>
          </cell>
        </row>
        <row r="754">
          <cell r="A754" t="str">
            <v>49003_1</v>
          </cell>
        </row>
        <row r="755">
          <cell r="A755" t="str">
            <v>49003_2</v>
          </cell>
        </row>
        <row r="756">
          <cell r="A756" t="str">
            <v>49004_1</v>
          </cell>
        </row>
        <row r="757">
          <cell r="A757" t="str">
            <v>49004_2</v>
          </cell>
        </row>
        <row r="758">
          <cell r="A758" t="str">
            <v>49004_3</v>
          </cell>
        </row>
        <row r="759">
          <cell r="A759" t="str">
            <v>49005_1</v>
          </cell>
        </row>
        <row r="760">
          <cell r="A760" t="str">
            <v>49006_1</v>
          </cell>
        </row>
        <row r="761">
          <cell r="A761" t="str">
            <v>49006_2</v>
          </cell>
        </row>
        <row r="762">
          <cell r="A762" t="str">
            <v>49007_1</v>
          </cell>
        </row>
        <row r="763">
          <cell r="A763" t="str">
            <v>49007_2</v>
          </cell>
        </row>
        <row r="764">
          <cell r="A764" t="str">
            <v>49007_3</v>
          </cell>
        </row>
        <row r="765">
          <cell r="A765" t="str">
            <v>50001_1</v>
          </cell>
        </row>
        <row r="766">
          <cell r="A766" t="str">
            <v>50002_1</v>
          </cell>
        </row>
        <row r="767">
          <cell r="A767" t="str">
            <v>50003_1</v>
          </cell>
        </row>
        <row r="768">
          <cell r="A768" t="str">
            <v>50004_1</v>
          </cell>
        </row>
        <row r="769">
          <cell r="A769" t="str">
            <v>50005_1</v>
          </cell>
        </row>
        <row r="770">
          <cell r="A770" t="str">
            <v>50006_1</v>
          </cell>
        </row>
        <row r="771">
          <cell r="A771" t="str">
            <v>50007_1</v>
          </cell>
        </row>
        <row r="772">
          <cell r="A772" t="str">
            <v>50008_1</v>
          </cell>
        </row>
        <row r="773">
          <cell r="A773" t="str">
            <v>50009_1</v>
          </cell>
        </row>
        <row r="774">
          <cell r="A774" t="str">
            <v>51001_1</v>
          </cell>
        </row>
        <row r="775">
          <cell r="A775" t="str">
            <v>51002_1</v>
          </cell>
        </row>
        <row r="776">
          <cell r="A776" t="str">
            <v>60001_1</v>
          </cell>
        </row>
        <row r="777">
          <cell r="A777" t="str">
            <v>60002_1</v>
          </cell>
        </row>
        <row r="778">
          <cell r="A778" t="str">
            <v>60002_2</v>
          </cell>
        </row>
        <row r="779">
          <cell r="A779" t="str">
            <v>60003_1</v>
          </cell>
        </row>
        <row r="780">
          <cell r="A780" t="str">
            <v>60003_2</v>
          </cell>
        </row>
        <row r="781">
          <cell r="A781" t="str">
            <v>60003_3</v>
          </cell>
        </row>
        <row r="782">
          <cell r="A782" t="str">
            <v>60004_1</v>
          </cell>
        </row>
        <row r="783">
          <cell r="A783" t="str">
            <v>60005_1</v>
          </cell>
        </row>
        <row r="784">
          <cell r="A784" t="str">
            <v>60006_1</v>
          </cell>
        </row>
        <row r="785">
          <cell r="A785" t="str">
            <v>60006_2</v>
          </cell>
        </row>
        <row r="786">
          <cell r="A786" t="str">
            <v>60006_3</v>
          </cell>
        </row>
        <row r="787">
          <cell r="A787" t="str">
            <v>60007_1</v>
          </cell>
        </row>
        <row r="788">
          <cell r="A788" t="str">
            <v>60007_2</v>
          </cell>
        </row>
        <row r="789">
          <cell r="A789" t="str">
            <v>60007_3</v>
          </cell>
        </row>
        <row r="790">
          <cell r="A790" t="str">
            <v>60010_1</v>
          </cell>
        </row>
        <row r="791">
          <cell r="A791" t="str">
            <v>60011_1</v>
          </cell>
        </row>
        <row r="792">
          <cell r="A792" t="str">
            <v>60011_2</v>
          </cell>
        </row>
        <row r="793">
          <cell r="A793" t="str">
            <v>60012_1</v>
          </cell>
        </row>
        <row r="794">
          <cell r="A794" t="str">
            <v>60013_1</v>
          </cell>
        </row>
        <row r="795">
          <cell r="A795" t="str">
            <v>60013_2</v>
          </cell>
        </row>
        <row r="796">
          <cell r="A796" t="str">
            <v>60013_3</v>
          </cell>
        </row>
        <row r="797">
          <cell r="A797" t="str">
            <v>60014_1</v>
          </cell>
        </row>
        <row r="798">
          <cell r="A798" t="str">
            <v>60015_1</v>
          </cell>
        </row>
        <row r="799">
          <cell r="A799" t="str">
            <v>60016_1</v>
          </cell>
        </row>
        <row r="800">
          <cell r="A800" t="str">
            <v>60017_1</v>
          </cell>
        </row>
        <row r="801">
          <cell r="A801" t="str">
            <v>60018_1</v>
          </cell>
        </row>
        <row r="802">
          <cell r="A802" t="str">
            <v>60021_3</v>
          </cell>
        </row>
        <row r="803">
          <cell r="A803" t="str">
            <v>60022_3</v>
          </cell>
        </row>
        <row r="804">
          <cell r="A804" t="str">
            <v>60023_3</v>
          </cell>
        </row>
        <row r="805">
          <cell r="A805" t="str">
            <v>60024_3</v>
          </cell>
        </row>
        <row r="806">
          <cell r="A806" t="str">
            <v>61011_1</v>
          </cell>
        </row>
        <row r="807">
          <cell r="A807" t="str">
            <v>65525_1</v>
          </cell>
        </row>
        <row r="808">
          <cell r="A808" t="str">
            <v>65526_1</v>
          </cell>
        </row>
        <row r="809">
          <cell r="A809" t="str">
            <v>65533_1</v>
          </cell>
        </row>
        <row r="810">
          <cell r="A810" t="str">
            <v>65533_2</v>
          </cell>
        </row>
        <row r="811">
          <cell r="A811" t="str">
            <v>65534_1</v>
          </cell>
        </row>
        <row r="812">
          <cell r="A812" t="str">
            <v>65535_1</v>
          </cell>
        </row>
        <row r="813">
          <cell r="A813" t="str">
            <v>65535_2</v>
          </cell>
        </row>
        <row r="814">
          <cell r="A814" t="str">
            <v>65535_3</v>
          </cell>
        </row>
        <row r="815">
          <cell r="A815" t="str">
            <v>65535_4</v>
          </cell>
        </row>
        <row r="816">
          <cell r="A816" t="str">
            <v>65535_5</v>
          </cell>
        </row>
        <row r="817">
          <cell r="A817" t="str">
            <v>65535_6</v>
          </cell>
        </row>
        <row r="818">
          <cell r="A818" t="str">
            <v>65535_7</v>
          </cell>
        </row>
        <row r="819">
          <cell r="A819" t="str">
            <v>65535_8</v>
          </cell>
        </row>
        <row r="820">
          <cell r="A820" t="str">
            <v>65535_9</v>
          </cell>
        </row>
        <row r="821">
          <cell r="A82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1:AD26"/>
  <sheetViews>
    <sheetView workbookViewId="0">
      <selection activeCell="C30" sqref="C30"/>
    </sheetView>
  </sheetViews>
  <sheetFormatPr baseColWidth="12" defaultRowHeight="15" x14ac:dyDescent="0.15"/>
  <cols>
    <col min="2" max="2" width="25.66406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134</v>
      </c>
      <c r="B1" s="55" t="s">
        <v>104</v>
      </c>
      <c r="C1" s="55" t="s">
        <v>105</v>
      </c>
      <c r="D1" s="55" t="s">
        <v>106</v>
      </c>
      <c r="E1" s="55" t="s">
        <v>107</v>
      </c>
      <c r="F1" s="55" t="s">
        <v>108</v>
      </c>
      <c r="G1" s="55" t="s">
        <v>109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192</v>
      </c>
      <c r="B2" s="57" t="s">
        <v>110</v>
      </c>
      <c r="C2" s="63" t="s">
        <v>312</v>
      </c>
      <c r="D2" s="57" t="s">
        <v>111</v>
      </c>
      <c r="E2" s="56" t="str">
        <f>B2&amp;C2&amp;D2</f>
        <v>floors_ERROR.tmp</v>
      </c>
      <c r="F2" s="57" t="s">
        <v>112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192</v>
      </c>
      <c r="B3" s="114" t="s">
        <v>258</v>
      </c>
      <c r="C3" s="63" t="s">
        <v>227</v>
      </c>
      <c r="D3" s="57" t="s">
        <v>111</v>
      </c>
      <c r="E3" s="56" t="str">
        <f>B3&amp;C3&amp;D3</f>
        <v>ranking_floors_ERROR.tmp</v>
      </c>
      <c r="F3" s="57" t="s">
        <v>112</v>
      </c>
      <c r="G3" s="58" t="s">
        <v>0</v>
      </c>
      <c r="H3" s="58" t="s">
        <v>1</v>
      </c>
      <c r="I3" s="58" t="s">
        <v>13</v>
      </c>
      <c r="J3" s="101" t="s">
        <v>228</v>
      </c>
      <c r="K3" s="101" t="s">
        <v>229</v>
      </c>
      <c r="L3" s="101" t="s">
        <v>230</v>
      </c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0" x14ac:dyDescent="0.15">
      <c r="A4" s="61" t="s">
        <v>192</v>
      </c>
      <c r="B4" s="114" t="s">
        <v>259</v>
      </c>
      <c r="C4" s="63" t="s">
        <v>227</v>
      </c>
      <c r="D4" s="57" t="s">
        <v>111</v>
      </c>
      <c r="E4" s="56" t="str">
        <f>B4&amp;C4&amp;D4</f>
        <v>ranking_stages_ERROR.tmp</v>
      </c>
      <c r="F4" s="57" t="s">
        <v>261</v>
      </c>
      <c r="G4" s="58" t="s">
        <v>0</v>
      </c>
      <c r="H4" s="58" t="s">
        <v>1</v>
      </c>
      <c r="I4" s="37" t="s">
        <v>260</v>
      </c>
      <c r="J4" s="58"/>
      <c r="K4" s="58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192</v>
      </c>
      <c r="B5" s="114" t="s">
        <v>266</v>
      </c>
      <c r="C5" s="63" t="s">
        <v>227</v>
      </c>
      <c r="D5" s="57" t="s">
        <v>111</v>
      </c>
      <c r="E5" s="56" t="str">
        <f t="shared" ref="E5:E7" si="0">B5&amp;C5&amp;D5</f>
        <v>clear_turn_ERROR.tmp</v>
      </c>
      <c r="F5" s="57" t="s">
        <v>270</v>
      </c>
      <c r="G5" s="58" t="s">
        <v>262</v>
      </c>
      <c r="H5" s="58" t="s">
        <v>263</v>
      </c>
      <c r="I5" s="58" t="s">
        <v>264</v>
      </c>
      <c r="J5" s="58" t="s">
        <v>265</v>
      </c>
      <c r="K5" s="58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192</v>
      </c>
      <c r="B6" s="114" t="s">
        <v>267</v>
      </c>
      <c r="C6" s="63" t="s">
        <v>227</v>
      </c>
      <c r="D6" s="57" t="s">
        <v>111</v>
      </c>
      <c r="E6" s="56" t="str">
        <f t="shared" si="0"/>
        <v>damage_give_ERROR.tmp</v>
      </c>
      <c r="F6" s="57" t="s">
        <v>271</v>
      </c>
      <c r="G6" s="58" t="s">
        <v>262</v>
      </c>
      <c r="H6" s="58" t="s">
        <v>263</v>
      </c>
      <c r="I6" s="58" t="s">
        <v>264</v>
      </c>
      <c r="J6" s="58" t="s">
        <v>265</v>
      </c>
      <c r="K6" s="58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192</v>
      </c>
      <c r="B7" s="114" t="s">
        <v>269</v>
      </c>
      <c r="C7" s="63" t="s">
        <v>227</v>
      </c>
      <c r="D7" s="57" t="s">
        <v>111</v>
      </c>
      <c r="E7" s="56" t="str">
        <f t="shared" si="0"/>
        <v>damage_receive_ERROR.tmp</v>
      </c>
      <c r="F7" s="57" t="s">
        <v>268</v>
      </c>
      <c r="G7" s="58" t="s">
        <v>262</v>
      </c>
      <c r="H7" s="58" t="s">
        <v>263</v>
      </c>
      <c r="I7" s="58" t="s">
        <v>264</v>
      </c>
      <c r="J7" s="58" t="s">
        <v>265</v>
      </c>
      <c r="K7" s="58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192</v>
      </c>
      <c r="B8" s="114" t="s">
        <v>282</v>
      </c>
      <c r="C8" s="63" t="s">
        <v>227</v>
      </c>
      <c r="D8" s="57" t="s">
        <v>111</v>
      </c>
      <c r="E8" s="56" t="str">
        <f t="shared" ref="E8:E9" si="1">B8&amp;C8&amp;D8</f>
        <v>ranking_eval_data_ERROR.tmp</v>
      </c>
      <c r="F8" s="57" t="s">
        <v>284</v>
      </c>
      <c r="G8" s="58" t="s">
        <v>272</v>
      </c>
      <c r="H8" s="58" t="s">
        <v>273</v>
      </c>
      <c r="I8" s="58" t="s">
        <v>274</v>
      </c>
      <c r="J8" s="58" t="s">
        <v>275</v>
      </c>
      <c r="K8" s="58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192</v>
      </c>
      <c r="B9" s="114" t="s">
        <v>283</v>
      </c>
      <c r="C9" s="63" t="s">
        <v>227</v>
      </c>
      <c r="D9" s="57" t="s">
        <v>111</v>
      </c>
      <c r="E9" s="56" t="str">
        <f t="shared" si="1"/>
        <v>ranking_eval_i18n_ERROR.tmp</v>
      </c>
      <c r="F9" s="57" t="s">
        <v>284</v>
      </c>
      <c r="G9" s="58" t="s">
        <v>272</v>
      </c>
      <c r="H9" s="113" t="s">
        <v>276</v>
      </c>
      <c r="I9" s="113" t="s">
        <v>277</v>
      </c>
      <c r="J9" s="113" t="s">
        <v>278</v>
      </c>
      <c r="K9" s="58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0" x14ac:dyDescent="0.15">
      <c r="A10" s="61" t="s">
        <v>192</v>
      </c>
      <c r="B10" s="57" t="s">
        <v>113</v>
      </c>
      <c r="C10" s="63" t="str">
        <f>C$2</f>
        <v>ERROR</v>
      </c>
      <c r="D10" s="57" t="s">
        <v>111</v>
      </c>
      <c r="E10" s="56" t="str">
        <f>B10&amp;C10&amp;D10</f>
        <v>enemy_habitats_ERROR.tmp</v>
      </c>
      <c r="F10" s="57" t="s">
        <v>114</v>
      </c>
      <c r="G10" s="58" t="s">
        <v>0</v>
      </c>
      <c r="H10" s="58" t="s">
        <v>1</v>
      </c>
      <c r="I10" s="58" t="s">
        <v>13</v>
      </c>
      <c r="J10" s="58" t="s">
        <v>2</v>
      </c>
      <c r="K10" s="58" t="s">
        <v>3</v>
      </c>
      <c r="L10" s="58" t="s">
        <v>47</v>
      </c>
      <c r="M10" s="58" t="s">
        <v>49</v>
      </c>
      <c r="N10" s="58" t="s">
        <v>51</v>
      </c>
      <c r="O10" s="58" t="s">
        <v>22</v>
      </c>
      <c r="P10" s="58" t="s">
        <v>5</v>
      </c>
      <c r="Q10" s="58" t="s">
        <v>6</v>
      </c>
      <c r="R10" s="58" t="s">
        <v>7</v>
      </c>
      <c r="S10" s="58" t="s">
        <v>8</v>
      </c>
      <c r="T10" s="58" t="s">
        <v>9</v>
      </c>
      <c r="U10" s="58" t="s">
        <v>10</v>
      </c>
      <c r="V10" s="58" t="s">
        <v>11</v>
      </c>
      <c r="W10" s="58" t="s">
        <v>12</v>
      </c>
      <c r="X10" s="58" t="s">
        <v>37</v>
      </c>
      <c r="Y10" s="58" t="s">
        <v>39</v>
      </c>
      <c r="Z10" s="58" t="s">
        <v>41</v>
      </c>
      <c r="AA10" s="58" t="s">
        <v>43</v>
      </c>
      <c r="AB10" s="58" t="s">
        <v>45</v>
      </c>
      <c r="AC10" s="58" t="s">
        <v>54</v>
      </c>
      <c r="AD10" s="58" t="s">
        <v>183</v>
      </c>
    </row>
    <row r="11" spans="1:30" x14ac:dyDescent="0.15">
      <c r="A11" s="61" t="s">
        <v>192</v>
      </c>
      <c r="B11" s="57" t="s">
        <v>115</v>
      </c>
      <c r="C11" s="63" t="str">
        <f t="shared" ref="C11:C23" si="2">C$2</f>
        <v>ERROR</v>
      </c>
      <c r="D11" s="57" t="s">
        <v>111</v>
      </c>
      <c r="E11" s="56" t="str">
        <f>B11&amp;C11&amp;D11</f>
        <v>enemy_habitat_S_ERROR.tmp</v>
      </c>
      <c r="F11" s="57" t="s">
        <v>116</v>
      </c>
      <c r="G11" s="58" t="s">
        <v>0</v>
      </c>
      <c r="H11" s="58" t="s">
        <v>1</v>
      </c>
      <c r="I11" s="58" t="s">
        <v>13</v>
      </c>
      <c r="J11" s="58" t="s">
        <v>54</v>
      </c>
      <c r="K11" s="58" t="s">
        <v>55</v>
      </c>
      <c r="L11" s="58" t="s">
        <v>56</v>
      </c>
      <c r="M11" s="58" t="s">
        <v>57</v>
      </c>
      <c r="N11" s="58" t="s">
        <v>58</v>
      </c>
      <c r="O11" s="58" t="s">
        <v>59</v>
      </c>
      <c r="P11" s="58" t="s">
        <v>48</v>
      </c>
      <c r="Q11" s="58" t="s">
        <v>50</v>
      </c>
      <c r="R11" s="58" t="s">
        <v>52</v>
      </c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0" x14ac:dyDescent="0.15">
      <c r="A12" s="61" t="s">
        <v>192</v>
      </c>
      <c r="B12" s="57" t="s">
        <v>117</v>
      </c>
      <c r="C12" s="63" t="str">
        <f t="shared" si="2"/>
        <v>ERROR</v>
      </c>
      <c r="D12" s="57" t="s">
        <v>111</v>
      </c>
      <c r="E12" s="56" t="str">
        <f>B12&amp;C12&amp;D12</f>
        <v>enemy_skill_sets_ERROR.tmp</v>
      </c>
      <c r="F12" s="57" t="s">
        <v>118</v>
      </c>
      <c r="G12" s="59" t="s">
        <v>22</v>
      </c>
      <c r="H12" s="59" t="s">
        <v>103</v>
      </c>
      <c r="I12" s="59" t="s">
        <v>98</v>
      </c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0" x14ac:dyDescent="0.15">
      <c r="A13" s="61" t="s">
        <v>192</v>
      </c>
      <c r="B13" s="57" t="s">
        <v>119</v>
      </c>
      <c r="C13" s="63" t="str">
        <f t="shared" si="2"/>
        <v>ERROR</v>
      </c>
      <c r="D13" s="57" t="s">
        <v>120</v>
      </c>
      <c r="E13" s="56" t="str">
        <f t="shared" ref="E13:E17" si="3">B13&amp;C13&amp;D13</f>
        <v>enemy_skills_tmp_ERROR.tmp</v>
      </c>
      <c r="F13" s="57" t="s">
        <v>94</v>
      </c>
      <c r="G13" s="58" t="s">
        <v>79</v>
      </c>
      <c r="H13" s="58" t="s">
        <v>80</v>
      </c>
      <c r="I13" s="58" t="s">
        <v>81</v>
      </c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0" x14ac:dyDescent="0.15">
      <c r="A14" s="61" t="s">
        <v>192</v>
      </c>
      <c r="B14" s="57" t="s">
        <v>121</v>
      </c>
      <c r="C14" s="63" t="str">
        <f t="shared" si="2"/>
        <v>ERROR</v>
      </c>
      <c r="D14" s="57" t="s">
        <v>111</v>
      </c>
      <c r="E14" s="56" t="str">
        <f>B14&amp;C14&amp;D14</f>
        <v>enemy_skills_i18n_ERROR.tmp</v>
      </c>
      <c r="F14" s="57" t="s">
        <v>122</v>
      </c>
      <c r="G14" s="58" t="s">
        <v>79</v>
      </c>
      <c r="H14" s="58" t="s">
        <v>95</v>
      </c>
      <c r="I14" s="58" t="s">
        <v>96</v>
      </c>
      <c r="J14" s="58" t="s">
        <v>97</v>
      </c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0" x14ac:dyDescent="0.15">
      <c r="A15" s="61" t="s">
        <v>192</v>
      </c>
      <c r="B15" s="57" t="s">
        <v>123</v>
      </c>
      <c r="C15" s="63" t="str">
        <f t="shared" si="2"/>
        <v>ERROR</v>
      </c>
      <c r="D15" s="57" t="s">
        <v>124</v>
      </c>
      <c r="E15" s="56" t="str">
        <f t="shared" si="3"/>
        <v>enemy_skill_triggers_ERROR.tmp</v>
      </c>
      <c r="F15" s="57" t="s">
        <v>125</v>
      </c>
      <c r="G15" s="58" t="s">
        <v>98</v>
      </c>
      <c r="H15" s="58" t="s">
        <v>99</v>
      </c>
      <c r="I15" s="58" t="s">
        <v>100</v>
      </c>
      <c r="J15" s="58" t="s">
        <v>101</v>
      </c>
      <c r="K15" s="58" t="s">
        <v>126</v>
      </c>
      <c r="L15" s="58" t="s">
        <v>102</v>
      </c>
      <c r="M15" s="58" t="s">
        <v>127</v>
      </c>
      <c r="N15" s="58" t="s">
        <v>128</v>
      </c>
      <c r="O15" s="58" t="s">
        <v>129</v>
      </c>
      <c r="P15" s="58" t="s">
        <v>67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0" x14ac:dyDescent="0.15">
      <c r="A16" s="61" t="s">
        <v>192</v>
      </c>
      <c r="B16" s="68" t="s">
        <v>182</v>
      </c>
      <c r="C16" s="63" t="str">
        <f t="shared" si="2"/>
        <v>ERROR</v>
      </c>
      <c r="D16" s="68" t="s">
        <v>176</v>
      </c>
      <c r="E16" s="69" t="str">
        <f t="shared" si="3"/>
        <v>stage_bug_bonuses_ERROR.tmp</v>
      </c>
      <c r="F16" s="68" t="s">
        <v>177</v>
      </c>
      <c r="G16" s="65" t="s">
        <v>154</v>
      </c>
      <c r="H16" s="65" t="s">
        <v>178</v>
      </c>
      <c r="I16" s="65" t="s">
        <v>179</v>
      </c>
      <c r="J16" s="67" t="s">
        <v>180</v>
      </c>
      <c r="K16" s="65" t="s">
        <v>181</v>
      </c>
      <c r="L16" s="65" t="s">
        <v>160</v>
      </c>
      <c r="M16" s="65" t="s">
        <v>161</v>
      </c>
      <c r="N16" s="65" t="s">
        <v>162</v>
      </c>
      <c r="O16" s="65" t="s">
        <v>163</v>
      </c>
      <c r="P16" s="65" t="s">
        <v>164</v>
      </c>
      <c r="Q16" s="65" t="s">
        <v>165</v>
      </c>
      <c r="R16" s="65" t="s">
        <v>166</v>
      </c>
      <c r="S16" s="65" t="s">
        <v>167</v>
      </c>
      <c r="T16" s="65" t="s">
        <v>168</v>
      </c>
      <c r="U16" s="65" t="s">
        <v>169</v>
      </c>
      <c r="V16" s="65" t="s">
        <v>170</v>
      </c>
      <c r="W16" s="65" t="s">
        <v>171</v>
      </c>
    </row>
    <row r="17" spans="1:21" s="77" customFormat="1" x14ac:dyDescent="0.15">
      <c r="A17" s="61" t="s">
        <v>192</v>
      </c>
      <c r="B17" s="68" t="s">
        <v>208</v>
      </c>
      <c r="C17" s="63" t="str">
        <f>C$2</f>
        <v>ERROR</v>
      </c>
      <c r="D17" s="68" t="s">
        <v>185</v>
      </c>
      <c r="E17" s="69" t="str">
        <f t="shared" si="3"/>
        <v>stage_hints_data_c_ERROR.tmp</v>
      </c>
      <c r="F17" s="68" t="s">
        <v>217</v>
      </c>
      <c r="G17" s="74" t="s">
        <v>186</v>
      </c>
      <c r="H17" s="74" t="s">
        <v>178</v>
      </c>
      <c r="I17" s="75" t="s">
        <v>187</v>
      </c>
      <c r="J17" s="67" t="s">
        <v>188</v>
      </c>
      <c r="K17" s="76" t="s">
        <v>189</v>
      </c>
    </row>
    <row r="18" spans="1:21" s="77" customFormat="1" x14ac:dyDescent="0.15">
      <c r="A18" s="61" t="s">
        <v>192</v>
      </c>
      <c r="B18" s="68" t="s">
        <v>209</v>
      </c>
      <c r="C18" s="63" t="str">
        <f t="shared" si="2"/>
        <v>ERROR</v>
      </c>
      <c r="D18" s="68" t="s">
        <v>176</v>
      </c>
      <c r="E18" s="69" t="str">
        <f t="shared" ref="E18:E19" si="4">B18&amp;C18&amp;D18</f>
        <v>stage_hints_data_f_ERROR.tmp</v>
      </c>
      <c r="F18" s="68" t="s">
        <v>219</v>
      </c>
      <c r="G18" s="74" t="s">
        <v>186</v>
      </c>
      <c r="H18" s="74" t="s">
        <v>178</v>
      </c>
      <c r="I18" s="75" t="s">
        <v>187</v>
      </c>
      <c r="J18" s="67" t="s">
        <v>188</v>
      </c>
      <c r="K18" s="76" t="s">
        <v>189</v>
      </c>
    </row>
    <row r="19" spans="1:21" s="77" customFormat="1" x14ac:dyDescent="0.15">
      <c r="A19" s="68" t="s">
        <v>210</v>
      </c>
      <c r="B19" s="68" t="s">
        <v>211</v>
      </c>
      <c r="C19" s="63" t="str">
        <f t="shared" si="2"/>
        <v>ERROR</v>
      </c>
      <c r="D19" s="68" t="s">
        <v>176</v>
      </c>
      <c r="E19" s="69" t="str">
        <f t="shared" si="4"/>
        <v>stage_hints_i18n_ERROR.tmp</v>
      </c>
      <c r="F19" s="68" t="s">
        <v>220</v>
      </c>
      <c r="G19" s="75" t="s">
        <v>212</v>
      </c>
      <c r="H19" s="98" t="s">
        <v>213</v>
      </c>
      <c r="I19" s="74" t="s">
        <v>214</v>
      </c>
      <c r="J19" s="99" t="s">
        <v>215</v>
      </c>
      <c r="K19" s="76" t="s">
        <v>216</v>
      </c>
    </row>
    <row r="20" spans="1:21" x14ac:dyDescent="0.15">
      <c r="A20" s="68" t="s">
        <v>210</v>
      </c>
      <c r="B20" s="68" t="s">
        <v>211</v>
      </c>
      <c r="C20" s="63" t="str">
        <f t="shared" si="2"/>
        <v>ERROR</v>
      </c>
      <c r="D20" s="68" t="s">
        <v>176</v>
      </c>
      <c r="E20" s="69" t="str">
        <f t="shared" ref="E20:E21" si="5">B20&amp;C20&amp;D20</f>
        <v>stage_hints_i18n_ERROR.tmp</v>
      </c>
      <c r="F20" s="68" t="s">
        <v>220</v>
      </c>
      <c r="G20" s="75" t="s">
        <v>212</v>
      </c>
      <c r="H20" s="98" t="s">
        <v>213</v>
      </c>
      <c r="I20" s="74" t="s">
        <v>214</v>
      </c>
      <c r="J20" s="99" t="s">
        <v>215</v>
      </c>
      <c r="K20" s="76" t="s">
        <v>216</v>
      </c>
    </row>
    <row r="21" spans="1:21" x14ac:dyDescent="0.15">
      <c r="A21" s="68" t="s">
        <v>210</v>
      </c>
      <c r="B21" s="115" t="s">
        <v>247</v>
      </c>
      <c r="C21" s="63" t="str">
        <f t="shared" si="2"/>
        <v>ERROR</v>
      </c>
      <c r="D21" s="68" t="s">
        <v>176</v>
      </c>
      <c r="E21" s="69" t="str">
        <f t="shared" si="5"/>
        <v>ranking_ACH_ERROR.tmp</v>
      </c>
      <c r="F21" s="68" t="s">
        <v>248</v>
      </c>
      <c r="G21" s="75" t="s">
        <v>249</v>
      </c>
      <c r="H21" s="98" t="s">
        <v>250</v>
      </c>
      <c r="I21" s="74" t="s">
        <v>251</v>
      </c>
      <c r="J21" s="76" t="s">
        <v>252</v>
      </c>
      <c r="K21" s="76"/>
    </row>
    <row r="22" spans="1:21" x14ac:dyDescent="0.15">
      <c r="A22" s="68" t="s">
        <v>210</v>
      </c>
      <c r="B22" s="116" t="s">
        <v>253</v>
      </c>
      <c r="C22" s="63" t="str">
        <f t="shared" si="2"/>
        <v>ERROR</v>
      </c>
      <c r="D22" s="109" t="s">
        <v>120</v>
      </c>
      <c r="E22" s="110" t="str">
        <f>B22&amp;C22&amp;D22</f>
        <v>gifts_tmp_ERROR.tmp</v>
      </c>
      <c r="F22" s="68" t="s">
        <v>248</v>
      </c>
      <c r="G22" s="111" t="s">
        <v>254</v>
      </c>
      <c r="H22" s="111" t="s">
        <v>234</v>
      </c>
      <c r="I22" s="111" t="s">
        <v>235</v>
      </c>
      <c r="J22" s="111" t="s">
        <v>235</v>
      </c>
      <c r="K22" s="111" t="s">
        <v>235</v>
      </c>
      <c r="L22" s="111" t="s">
        <v>236</v>
      </c>
      <c r="M22" s="111" t="s">
        <v>236</v>
      </c>
      <c r="N22" s="111" t="s">
        <v>236</v>
      </c>
      <c r="O22" s="117" t="s">
        <v>41</v>
      </c>
      <c r="P22" s="117" t="s">
        <v>45</v>
      </c>
      <c r="Q22" s="117" t="s">
        <v>39</v>
      </c>
      <c r="R22" s="117" t="s">
        <v>290</v>
      </c>
      <c r="S22" s="117" t="s">
        <v>43</v>
      </c>
      <c r="T22" s="117" t="s">
        <v>3</v>
      </c>
      <c r="U22" s="117" t="s">
        <v>37</v>
      </c>
    </row>
    <row r="23" spans="1:21" x14ac:dyDescent="0.15">
      <c r="A23" s="68" t="s">
        <v>210</v>
      </c>
      <c r="B23" s="116" t="s">
        <v>255</v>
      </c>
      <c r="C23" s="63" t="str">
        <f t="shared" si="2"/>
        <v>ERROR</v>
      </c>
      <c r="D23" s="109" t="s">
        <v>120</v>
      </c>
      <c r="E23" s="110" t="str">
        <f>B23&amp;C23&amp;D23</f>
        <v>gifts_i18n_ERROR.tmp</v>
      </c>
      <c r="F23" s="68" t="s">
        <v>248</v>
      </c>
      <c r="G23" s="111" t="s">
        <v>254</v>
      </c>
      <c r="H23" s="111" t="s">
        <v>237</v>
      </c>
      <c r="I23" s="111" t="s">
        <v>256</v>
      </c>
      <c r="J23" s="111" t="s">
        <v>257</v>
      </c>
      <c r="K23" s="111" t="s">
        <v>240</v>
      </c>
      <c r="L23" s="111"/>
      <c r="M23" s="111"/>
      <c r="N23" s="111"/>
      <c r="O23" s="109"/>
    </row>
    <row r="24" spans="1:21" x14ac:dyDescent="0.15">
      <c r="A24" s="68" t="s">
        <v>210</v>
      </c>
      <c r="B24" s="118" t="s">
        <v>293</v>
      </c>
      <c r="C24" s="57" t="s">
        <v>313</v>
      </c>
      <c r="D24" s="121" t="s">
        <v>314</v>
      </c>
      <c r="E24" s="110" t="str">
        <f>B24&amp;C24&amp;D24</f>
        <v>ranking_stage_evaluation_giftsERROR.tmp</v>
      </c>
      <c r="F24" s="119" t="s">
        <v>294</v>
      </c>
      <c r="G24" s="58" t="s">
        <v>295</v>
      </c>
      <c r="H24" s="58" t="s">
        <v>296</v>
      </c>
      <c r="I24" s="113" t="s">
        <v>297</v>
      </c>
      <c r="J24" s="104" t="s">
        <v>298</v>
      </c>
    </row>
    <row r="25" spans="1:21" x14ac:dyDescent="0.15">
      <c r="A25" s="68" t="s">
        <v>315</v>
      </c>
      <c r="B25" s="118" t="s">
        <v>299</v>
      </c>
      <c r="C25" s="56" t="str">
        <f>REPLACE($C$2,2,0,"0")</f>
        <v>E0RROR</v>
      </c>
      <c r="D25" s="57" t="s">
        <v>300</v>
      </c>
      <c r="E25" s="110" t="str">
        <f t="shared" ref="E25:E26" si="6">B25&amp;C25&amp;D25</f>
        <v>gifts_tmp_E0RROR.tmp</v>
      </c>
      <c r="F25" s="119" t="s">
        <v>301</v>
      </c>
      <c r="G25" s="120" t="s">
        <v>302</v>
      </c>
      <c r="H25" s="120" t="s">
        <v>303</v>
      </c>
      <c r="I25" s="120" t="s">
        <v>304</v>
      </c>
      <c r="J25" s="120" t="s">
        <v>304</v>
      </c>
      <c r="K25" s="120" t="s">
        <v>304</v>
      </c>
      <c r="L25" s="120" t="s">
        <v>305</v>
      </c>
      <c r="M25" s="120" t="s">
        <v>305</v>
      </c>
      <c r="N25" s="120" t="s">
        <v>305</v>
      </c>
      <c r="O25" s="117" t="s">
        <v>41</v>
      </c>
      <c r="P25" s="117" t="s">
        <v>45</v>
      </c>
      <c r="Q25" s="117" t="s">
        <v>39</v>
      </c>
      <c r="R25" s="117" t="s">
        <v>290</v>
      </c>
      <c r="S25" s="117" t="s">
        <v>43</v>
      </c>
      <c r="T25" s="117" t="s">
        <v>3</v>
      </c>
      <c r="U25" s="117" t="s">
        <v>37</v>
      </c>
    </row>
    <row r="26" spans="1:21" x14ac:dyDescent="0.15">
      <c r="A26" s="68" t="s">
        <v>210</v>
      </c>
      <c r="B26" s="118" t="s">
        <v>306</v>
      </c>
      <c r="C26" s="56" t="str">
        <f>REPLACE($C$2,2,0,"0")</f>
        <v>E0RROR</v>
      </c>
      <c r="D26" s="57" t="s">
        <v>307</v>
      </c>
      <c r="E26" s="110" t="str">
        <f t="shared" si="6"/>
        <v>gifts_i18n_E0RROR.tmp</v>
      </c>
      <c r="F26" s="119" t="s">
        <v>301</v>
      </c>
      <c r="G26" s="120" t="s">
        <v>302</v>
      </c>
      <c r="H26" s="120" t="s">
        <v>308</v>
      </c>
      <c r="I26" s="120" t="s">
        <v>309</v>
      </c>
      <c r="J26" s="120" t="s">
        <v>310</v>
      </c>
      <c r="K26" s="120" t="s">
        <v>311</v>
      </c>
      <c r="L26" s="120"/>
      <c r="M26" s="120"/>
      <c r="N26" s="120"/>
      <c r="O26" s="109"/>
    </row>
  </sheetData>
  <phoneticPr fontId="7"/>
  <dataValidations count="1">
    <dataValidation type="list" allowBlank="1" showInputMessage="1" showErrorMessage="1" sqref="A2:A18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2"/>
  <sheetViews>
    <sheetView showGridLines="0" workbookViewId="0">
      <pane ySplit="1" topLeftCell="A2" activePane="bottomLeft" state="frozen"/>
      <selection activeCell="V2" sqref="V2:X34"/>
      <selection pane="bottomLeft" activeCell="N1" sqref="L1:N1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101" t="s">
        <v>228</v>
      </c>
      <c r="M1" s="101" t="s">
        <v>229</v>
      </c>
      <c r="N1" s="101" t="s">
        <v>230</v>
      </c>
    </row>
    <row r="2" spans="1:14" ht="21" customHeight="1" x14ac:dyDescent="0.15">
      <c r="A2" s="16" t="str">
        <f>G2&amp;"-"&amp;I2</f>
        <v>65535_1-1</v>
      </c>
      <c r="B2" s="16" t="str">
        <f>IF(COUNTIF(enemy_habitats!$H:$H,A2),"OK","NG")</f>
        <v>OK</v>
      </c>
      <c r="C2" s="7">
        <v>65535</v>
      </c>
      <c r="D2" s="11" t="str">
        <f ca="1">VLOOKUP($C2,OFFSET([2]quests!$A$1,0,0,COUNTA([2]quests!$A:$A),MATCH(D$1,[2]quests!$1:$1,0)-MATCH($C$1,[2]quests!$1:$1,0)+1),MATCH(D$1,[2]quests!$1:$1,0)-MATCH($C$1,[2]quests!$1:$1,0)+1,FALSE)</f>
        <v>検証クエスト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検証</v>
      </c>
      <c r="F2" s="21">
        <v>1</v>
      </c>
      <c r="G2" s="23" t="str">
        <f>C2&amp;"_"&amp;F2</f>
        <v>65535_1</v>
      </c>
      <c r="H2" s="15" t="str">
        <f ca="1">VLOOKUP($G2,OFFSET([2]stages!$A$1,0,0,COUNTA([2]stages!$A:$A),MATCH(H$1,[2]stages!$2:$2,0)-MATCH($G$1,[2]stages!$2:$2,0)+1),MATCH(H$1,[2]stages!$2:$2,0)-MATCH($G$1,[2]stages!$2:$2,0)+1,FALSE)</f>
        <v>テンプレート</v>
      </c>
      <c r="I2" s="21">
        <v>1</v>
      </c>
      <c r="J2" s="12">
        <v>15</v>
      </c>
      <c r="K2" s="12">
        <v>15</v>
      </c>
      <c r="L2" s="70" t="str">
        <f>C2&amp;F2&amp;I2</f>
        <v>6553511</v>
      </c>
      <c r="M2" s="70" t="str">
        <f>C2&amp;F2&amp;I2</f>
        <v>6553511</v>
      </c>
      <c r="N2" s="70" t="str">
        <f>C2&amp;F2&amp;I2</f>
        <v>6553511</v>
      </c>
    </row>
  </sheetData>
  <sheetProtection selectLockedCells="1" selectUnlockedCells="1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G1" sqref="G1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3" t="s">
        <v>28</v>
      </c>
      <c r="F1" s="15" t="s">
        <v>16</v>
      </c>
      <c r="G1" s="1" t="s">
        <v>260</v>
      </c>
    </row>
    <row r="2" spans="1:7" x14ac:dyDescent="0.15">
      <c r="A2" s="7">
        <v>65535</v>
      </c>
      <c r="B2" s="11" t="str">
        <f ca="1">VLOOKUP($A2,OFFSET([2]quests!$A$1,0,0,COUNTA([2]quests!$A:$A),MATCH(B$1,[2]quests!$1:$1,0)-MATCH($A$1,[2]quests!$1:$1,0)+1),MATCH(B$1,[2]quests!$1:$1,0)-MATCH($A$1,[2]quests!$1:$1,0)+1,FALSE)</f>
        <v>検証クエスト</v>
      </c>
      <c r="C2" s="18">
        <f ca="1">VLOOKUP($A2,OFFSET([2]quests!$A$1,0,0,COUNTA([2]quests!$A:$A),MATCH(C$1,[2]quests!$1:$1,0)-MATCH($C$1,[2]quests!$1:$1,0)+1),MATCH(C$1,[2]quests!$1:$1,0)-MATCH($C$1,[2]quests!$1:$1,0)+1,FALSE)</f>
        <v>65535</v>
      </c>
      <c r="D2" s="21">
        <v>1</v>
      </c>
      <c r="E2" s="23" t="str">
        <f>A2&amp;"_"&amp;D2</f>
        <v>65535_1</v>
      </c>
      <c r="F2" s="15" t="str">
        <f ca="1">VLOOKUP($E2,OFFSET([2]stages!$A$1,0,0,COUNTA([2]stages!$A:$A),MATCH(F$1,[2]stages!$2:$2,0)-MATCH($E$1,[2]stages!$2:$2,0)+1),MATCH(F$1,[2]stages!$2:$2,0)-MATCH($E$1,[2]stages!$2:$2,0)+1,FALSE)</f>
        <v>テンプレート</v>
      </c>
      <c r="G2" s="21">
        <v>1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7"/>
  <sheetViews>
    <sheetView workbookViewId="0">
      <selection sqref="A1:D1"/>
    </sheetView>
  </sheetViews>
  <sheetFormatPr baseColWidth="12" defaultRowHeight="15" x14ac:dyDescent="0.15"/>
  <sheetData>
    <row r="1" spans="1:7" x14ac:dyDescent="0.15">
      <c r="A1" s="58" t="s">
        <v>262</v>
      </c>
      <c r="B1" s="58" t="s">
        <v>263</v>
      </c>
      <c r="C1" s="58" t="s">
        <v>264</v>
      </c>
      <c r="D1" s="58" t="s">
        <v>265</v>
      </c>
      <c r="F1" s="112"/>
      <c r="G1" s="112"/>
    </row>
    <row r="2" spans="1:7" x14ac:dyDescent="0.15">
      <c r="A2" s="57">
        <v>6553511</v>
      </c>
      <c r="B2" s="57">
        <v>0</v>
      </c>
      <c r="C2" s="57">
        <v>-2500</v>
      </c>
      <c r="D2" s="57">
        <v>20000</v>
      </c>
    </row>
    <row r="3" spans="1:7" x14ac:dyDescent="0.15">
      <c r="A3" s="57">
        <v>6553511</v>
      </c>
      <c r="B3" s="57">
        <v>3</v>
      </c>
      <c r="C3" s="57">
        <v>-1500</v>
      </c>
      <c r="D3" s="57">
        <v>20000</v>
      </c>
    </row>
    <row r="4" spans="1:7" x14ac:dyDescent="0.15">
      <c r="A4" s="57"/>
      <c r="B4" s="57"/>
      <c r="C4" s="57"/>
      <c r="D4" s="57"/>
    </row>
    <row r="5" spans="1:7" x14ac:dyDescent="0.15">
      <c r="A5" s="57"/>
      <c r="B5" s="57"/>
      <c r="C5" s="57"/>
      <c r="D5" s="57"/>
    </row>
    <row r="6" spans="1:7" x14ac:dyDescent="0.15">
      <c r="A6" s="57"/>
      <c r="B6" s="57"/>
      <c r="C6" s="57"/>
      <c r="D6" s="57"/>
    </row>
    <row r="7" spans="1:7" x14ac:dyDescent="0.15">
      <c r="A7" s="57"/>
      <c r="B7" s="57"/>
      <c r="C7" s="57"/>
      <c r="D7" s="57"/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D7"/>
  <sheetViews>
    <sheetView workbookViewId="0">
      <selection activeCell="G20" sqref="G20"/>
    </sheetView>
  </sheetViews>
  <sheetFormatPr baseColWidth="12" defaultRowHeight="15" x14ac:dyDescent="0.15"/>
  <sheetData>
    <row r="1" spans="1:4" x14ac:dyDescent="0.15">
      <c r="A1" s="58" t="s">
        <v>262</v>
      </c>
      <c r="B1" s="58" t="s">
        <v>263</v>
      </c>
      <c r="C1" s="58" t="s">
        <v>264</v>
      </c>
      <c r="D1" s="58" t="s">
        <v>265</v>
      </c>
    </row>
    <row r="2" spans="1:4" x14ac:dyDescent="0.15">
      <c r="A2" s="57">
        <v>6553511</v>
      </c>
      <c r="B2" s="57">
        <v>0</v>
      </c>
      <c r="C2" s="57">
        <v>-2500</v>
      </c>
      <c r="D2" s="57">
        <v>20000</v>
      </c>
    </row>
    <row r="3" spans="1:4" x14ac:dyDescent="0.15">
      <c r="A3" s="57">
        <v>6553511</v>
      </c>
      <c r="B3" s="57">
        <v>3</v>
      </c>
      <c r="C3" s="57">
        <v>-1500</v>
      </c>
      <c r="D3" s="57">
        <v>20000</v>
      </c>
    </row>
    <row r="4" spans="1:4" x14ac:dyDescent="0.15">
      <c r="A4" s="57"/>
      <c r="B4" s="57"/>
      <c r="C4" s="57"/>
      <c r="D4" s="57"/>
    </row>
    <row r="5" spans="1:4" x14ac:dyDescent="0.15">
      <c r="A5" s="57"/>
      <c r="B5" s="57"/>
      <c r="C5" s="57"/>
      <c r="D5" s="57"/>
    </row>
    <row r="6" spans="1:4" x14ac:dyDescent="0.15">
      <c r="A6" s="57"/>
      <c r="B6" s="57"/>
      <c r="C6" s="57"/>
      <c r="D6" s="57"/>
    </row>
    <row r="7" spans="1:4" x14ac:dyDescent="0.15">
      <c r="A7" s="57"/>
      <c r="B7" s="57"/>
      <c r="C7" s="57"/>
      <c r="D7" s="57"/>
    </row>
  </sheetData>
  <phoneticPr fontId="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D7"/>
  <sheetViews>
    <sheetView workbookViewId="0">
      <selection activeCell="E18" sqref="E18"/>
    </sheetView>
  </sheetViews>
  <sheetFormatPr baseColWidth="12" defaultRowHeight="15" x14ac:dyDescent="0.15"/>
  <sheetData>
    <row r="1" spans="1:4" x14ac:dyDescent="0.15">
      <c r="A1" s="58" t="s">
        <v>262</v>
      </c>
      <c r="B1" s="58" t="s">
        <v>263</v>
      </c>
      <c r="C1" s="58" t="s">
        <v>264</v>
      </c>
      <c r="D1" s="58" t="s">
        <v>265</v>
      </c>
    </row>
    <row r="2" spans="1:4" x14ac:dyDescent="0.15">
      <c r="A2" s="57">
        <v>6553511</v>
      </c>
      <c r="B2" s="57">
        <v>0</v>
      </c>
      <c r="C2" s="57">
        <v>-2500</v>
      </c>
      <c r="D2" s="57">
        <v>20000</v>
      </c>
    </row>
    <row r="3" spans="1:4" x14ac:dyDescent="0.15">
      <c r="A3" s="57">
        <v>6553511</v>
      </c>
      <c r="B3" s="57">
        <v>3</v>
      </c>
      <c r="C3" s="57">
        <v>-1500</v>
      </c>
      <c r="D3" s="57">
        <v>20000</v>
      </c>
    </row>
    <row r="4" spans="1:4" x14ac:dyDescent="0.15">
      <c r="A4" s="57"/>
      <c r="B4" s="57"/>
      <c r="C4" s="57"/>
      <c r="D4" s="57"/>
    </row>
    <row r="5" spans="1:4" x14ac:dyDescent="0.15">
      <c r="A5" s="57"/>
      <c r="B5" s="57"/>
      <c r="C5" s="57"/>
      <c r="D5" s="57"/>
    </row>
    <row r="6" spans="1:4" x14ac:dyDescent="0.15">
      <c r="A6" s="57"/>
      <c r="B6" s="57"/>
      <c r="C6" s="57"/>
      <c r="D6" s="57"/>
    </row>
    <row r="7" spans="1:4" x14ac:dyDescent="0.15">
      <c r="A7" s="57"/>
      <c r="B7" s="57"/>
      <c r="C7" s="57"/>
      <c r="D7" s="57"/>
    </row>
  </sheetData>
  <phoneticPr fontId="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4"/>
  <sheetViews>
    <sheetView workbookViewId="0">
      <selection activeCell="E1" sqref="E1:G1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58" t="s">
        <v>272</v>
      </c>
      <c r="B1" s="58" t="s">
        <v>273</v>
      </c>
      <c r="C1" s="58" t="s">
        <v>274</v>
      </c>
      <c r="D1" s="58" t="s">
        <v>275</v>
      </c>
      <c r="E1" s="113" t="s">
        <v>276</v>
      </c>
      <c r="F1" s="113" t="s">
        <v>277</v>
      </c>
      <c r="G1" s="113" t="s">
        <v>278</v>
      </c>
    </row>
    <row r="2" spans="1:7" x14ac:dyDescent="0.15">
      <c r="A2" s="57">
        <v>1</v>
      </c>
      <c r="B2" s="57">
        <v>65525</v>
      </c>
      <c r="C2" s="57">
        <v>1</v>
      </c>
      <c r="D2" s="57">
        <v>20000</v>
      </c>
      <c r="E2" s="57" t="s">
        <v>280</v>
      </c>
      <c r="F2" s="57" t="s">
        <v>279</v>
      </c>
      <c r="G2" s="57" t="s">
        <v>281</v>
      </c>
    </row>
    <row r="3" spans="1:7" x14ac:dyDescent="0.15">
      <c r="A3" s="57"/>
      <c r="B3" s="57"/>
      <c r="C3" s="57"/>
      <c r="D3" s="57"/>
      <c r="E3" s="57"/>
      <c r="F3" s="57"/>
      <c r="G3" s="57"/>
    </row>
    <row r="4" spans="1:7" x14ac:dyDescent="0.15">
      <c r="A4" s="57"/>
      <c r="B4" s="57"/>
      <c r="C4" s="57"/>
      <c r="D4" s="57"/>
      <c r="E4" s="57"/>
      <c r="F4" s="57"/>
      <c r="G4" s="57"/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T7"/>
  <sheetViews>
    <sheetView tabSelected="1" zoomScale="106" workbookViewId="0">
      <selection activeCell="B3" sqref="B3"/>
    </sheetView>
  </sheetViews>
  <sheetFormatPr baseColWidth="12" defaultRowHeight="15" x14ac:dyDescent="0.15"/>
  <cols>
    <col min="1" max="1" width="11.83203125" bestFit="1" customWidth="1"/>
    <col min="2" max="3" width="8" bestFit="1" customWidth="1"/>
    <col min="4" max="4" width="10.1640625" bestFit="1" customWidth="1"/>
    <col min="5" max="5" width="11.832031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18.1640625" bestFit="1" customWidth="1"/>
    <col min="18" max="18" width="25.1640625" bestFit="1" customWidth="1"/>
    <col min="19" max="19" width="12.33203125" bestFit="1" customWidth="1"/>
    <col min="20" max="20" width="7.5" bestFit="1" customWidth="1"/>
  </cols>
  <sheetData>
    <row r="1" spans="1:20" x14ac:dyDescent="0.15">
      <c r="A1" s="58" t="s">
        <v>316</v>
      </c>
      <c r="B1" s="58" t="s">
        <v>317</v>
      </c>
      <c r="C1" s="58" t="s">
        <v>318</v>
      </c>
      <c r="D1" s="58" t="s">
        <v>319</v>
      </c>
      <c r="E1" s="113" t="s">
        <v>320</v>
      </c>
      <c r="F1" s="103" t="s">
        <v>321</v>
      </c>
      <c r="G1" s="103" t="s">
        <v>322</v>
      </c>
      <c r="H1" s="103" t="s">
        <v>323</v>
      </c>
      <c r="I1" s="103" t="s">
        <v>324</v>
      </c>
      <c r="J1" s="103" t="s">
        <v>325</v>
      </c>
      <c r="K1" s="104" t="s">
        <v>326</v>
      </c>
      <c r="L1" s="104" t="s">
        <v>327</v>
      </c>
      <c r="M1" s="104" t="s">
        <v>328</v>
      </c>
      <c r="N1" s="104" t="s">
        <v>329</v>
      </c>
      <c r="O1" s="104" t="s">
        <v>330</v>
      </c>
      <c r="P1" s="104" t="s">
        <v>331</v>
      </c>
      <c r="Q1" s="104" t="s">
        <v>332</v>
      </c>
      <c r="R1" s="104" t="s">
        <v>333</v>
      </c>
      <c r="S1" s="104" t="s">
        <v>334</v>
      </c>
      <c r="T1" s="104" t="s">
        <v>335</v>
      </c>
    </row>
    <row r="2" spans="1:20" ht="42" x14ac:dyDescent="0.15">
      <c r="A2" s="122">
        <v>1801</v>
      </c>
      <c r="B2" s="122" t="str">
        <f>output!$C$2</f>
        <v>ERROR</v>
      </c>
      <c r="C2" s="122">
        <v>1</v>
      </c>
      <c r="D2" s="122">
        <v>10000000</v>
      </c>
      <c r="E2" s="123" t="e">
        <f>REPLACE(B2*100000+1,6,0,"2")</f>
        <v>#VALUE!</v>
      </c>
      <c r="F2" s="124" t="s">
        <v>336</v>
      </c>
      <c r="G2" s="124">
        <v>837</v>
      </c>
      <c r="H2" s="124">
        <v>1</v>
      </c>
      <c r="I2" s="124">
        <v>0</v>
      </c>
      <c r="J2" s="124">
        <v>0</v>
      </c>
      <c r="K2" s="124">
        <v>0</v>
      </c>
      <c r="L2" s="124">
        <v>0</v>
      </c>
      <c r="M2" s="124">
        <v>1</v>
      </c>
      <c r="N2" s="124">
        <v>1</v>
      </c>
      <c r="O2" s="124">
        <v>1</v>
      </c>
      <c r="P2" s="124" t="s">
        <v>337</v>
      </c>
      <c r="Q2" s="124" t="s">
        <v>338</v>
      </c>
      <c r="R2" s="124" t="s">
        <v>339</v>
      </c>
      <c r="S2" s="125" t="s">
        <v>340</v>
      </c>
      <c r="T2" s="57">
        <v>1</v>
      </c>
    </row>
    <row r="3" spans="1:20" ht="42" x14ac:dyDescent="0.15">
      <c r="A3" s="122">
        <v>1801</v>
      </c>
      <c r="B3" s="122" t="str">
        <f>output!$C$2</f>
        <v>ERROR</v>
      </c>
      <c r="C3" s="122">
        <v>1</v>
      </c>
      <c r="D3" s="122">
        <v>10000000</v>
      </c>
      <c r="E3" s="123" t="e">
        <f>E2+1</f>
        <v>#VALUE!</v>
      </c>
      <c r="F3" s="124" t="s">
        <v>336</v>
      </c>
      <c r="G3" s="124">
        <v>614</v>
      </c>
      <c r="H3" s="124">
        <v>1</v>
      </c>
      <c r="I3" s="124">
        <v>0</v>
      </c>
      <c r="J3" s="124">
        <v>0</v>
      </c>
      <c r="K3" s="124">
        <v>0</v>
      </c>
      <c r="L3" s="124">
        <v>0</v>
      </c>
      <c r="M3" s="124">
        <v>1</v>
      </c>
      <c r="N3" s="124">
        <v>1</v>
      </c>
      <c r="O3" s="124">
        <v>1</v>
      </c>
      <c r="P3" s="124" t="s">
        <v>337</v>
      </c>
      <c r="Q3" s="124" t="s">
        <v>341</v>
      </c>
      <c r="R3" s="124" t="s">
        <v>339</v>
      </c>
      <c r="S3" s="125" t="s">
        <v>340</v>
      </c>
      <c r="T3" s="57">
        <v>1</v>
      </c>
    </row>
    <row r="4" spans="1:20" ht="42" x14ac:dyDescent="0.15">
      <c r="A4" s="122">
        <v>1802</v>
      </c>
      <c r="B4" s="122" t="str">
        <f>output!$C$2</f>
        <v>ERROR</v>
      </c>
      <c r="C4" s="122">
        <v>1</v>
      </c>
      <c r="D4" s="122">
        <v>9000000</v>
      </c>
      <c r="E4" s="123" t="e">
        <f t="shared" ref="E4:E7" si="0">E3+1</f>
        <v>#VALUE!</v>
      </c>
      <c r="F4" s="124" t="s">
        <v>342</v>
      </c>
      <c r="G4" s="124">
        <v>1</v>
      </c>
      <c r="H4" s="124">
        <v>3</v>
      </c>
      <c r="I4" s="124">
        <v>0</v>
      </c>
      <c r="J4" s="124">
        <v>0</v>
      </c>
      <c r="K4" s="124">
        <v>0</v>
      </c>
      <c r="L4" s="124">
        <v>0</v>
      </c>
      <c r="M4" s="124">
        <v>1</v>
      </c>
      <c r="N4" s="124">
        <v>1</v>
      </c>
      <c r="O4" s="124">
        <v>1</v>
      </c>
      <c r="P4" s="124" t="s">
        <v>337</v>
      </c>
      <c r="Q4" s="124" t="s">
        <v>343</v>
      </c>
      <c r="R4" s="124" t="s">
        <v>339</v>
      </c>
      <c r="S4" s="125" t="s">
        <v>340</v>
      </c>
      <c r="T4" s="57">
        <v>1</v>
      </c>
    </row>
    <row r="5" spans="1:20" ht="42" x14ac:dyDescent="0.15">
      <c r="A5" s="122">
        <v>1803</v>
      </c>
      <c r="B5" s="122" t="str">
        <f>output!$C$2</f>
        <v>ERROR</v>
      </c>
      <c r="C5" s="122">
        <v>1</v>
      </c>
      <c r="D5" s="122">
        <v>7500000</v>
      </c>
      <c r="E5" s="123" t="e">
        <f t="shared" si="0"/>
        <v>#VALUE!</v>
      </c>
      <c r="F5" s="124" t="s">
        <v>342</v>
      </c>
      <c r="G5" s="124">
        <v>600</v>
      </c>
      <c r="H5" s="124">
        <v>1</v>
      </c>
      <c r="I5" s="124">
        <v>0</v>
      </c>
      <c r="J5" s="124">
        <v>0</v>
      </c>
      <c r="K5" s="124">
        <v>0</v>
      </c>
      <c r="L5" s="124">
        <v>0</v>
      </c>
      <c r="M5" s="124">
        <v>1</v>
      </c>
      <c r="N5" s="124">
        <v>1</v>
      </c>
      <c r="O5" s="124">
        <v>1</v>
      </c>
      <c r="P5" s="124" t="s">
        <v>337</v>
      </c>
      <c r="Q5" s="124" t="s">
        <v>344</v>
      </c>
      <c r="R5" s="124" t="s">
        <v>339</v>
      </c>
      <c r="S5" s="125" t="s">
        <v>340</v>
      </c>
      <c r="T5" s="57">
        <v>1</v>
      </c>
    </row>
    <row r="6" spans="1:20" ht="42" x14ac:dyDescent="0.15">
      <c r="A6" s="122">
        <v>1804</v>
      </c>
      <c r="B6" s="122" t="str">
        <f>output!$C$2</f>
        <v>ERROR</v>
      </c>
      <c r="C6" s="122">
        <v>1</v>
      </c>
      <c r="D6" s="122">
        <v>2500000</v>
      </c>
      <c r="E6" s="123" t="e">
        <f t="shared" si="0"/>
        <v>#VALUE!</v>
      </c>
      <c r="F6" s="124" t="s">
        <v>345</v>
      </c>
      <c r="G6" s="124">
        <v>2000</v>
      </c>
      <c r="H6" s="124" t="s">
        <v>346</v>
      </c>
      <c r="I6" s="124">
        <v>0</v>
      </c>
      <c r="J6" s="124">
        <v>0</v>
      </c>
      <c r="K6" s="124">
        <v>0</v>
      </c>
      <c r="L6" s="124">
        <v>0</v>
      </c>
      <c r="M6" s="124">
        <v>1</v>
      </c>
      <c r="N6" s="124">
        <v>1</v>
      </c>
      <c r="O6" s="124">
        <v>1</v>
      </c>
      <c r="P6" s="124" t="s">
        <v>337</v>
      </c>
      <c r="Q6" s="124" t="s">
        <v>347</v>
      </c>
      <c r="R6" s="124" t="s">
        <v>339</v>
      </c>
      <c r="S6" s="125" t="s">
        <v>340</v>
      </c>
      <c r="T6" s="57">
        <v>1</v>
      </c>
    </row>
    <row r="7" spans="1:20" ht="42" x14ac:dyDescent="0.15">
      <c r="A7" s="122">
        <v>1805</v>
      </c>
      <c r="B7" s="122" t="str">
        <f>output!$C$2</f>
        <v>ERROR</v>
      </c>
      <c r="C7" s="122">
        <v>1</v>
      </c>
      <c r="D7" s="122">
        <v>1000000</v>
      </c>
      <c r="E7" s="123" t="e">
        <f t="shared" si="0"/>
        <v>#VALUE!</v>
      </c>
      <c r="F7" s="124" t="s">
        <v>348</v>
      </c>
      <c r="G7" s="124">
        <v>100000</v>
      </c>
      <c r="H7" s="124" t="s">
        <v>349</v>
      </c>
      <c r="I7" s="124">
        <v>0</v>
      </c>
      <c r="J7" s="124">
        <v>0</v>
      </c>
      <c r="K7" s="124">
        <v>0</v>
      </c>
      <c r="L7" s="124">
        <v>0</v>
      </c>
      <c r="M7" s="124">
        <v>1</v>
      </c>
      <c r="N7" s="124">
        <v>1</v>
      </c>
      <c r="O7" s="124">
        <v>1</v>
      </c>
      <c r="P7" s="124" t="s">
        <v>350</v>
      </c>
      <c r="Q7" s="124" t="s">
        <v>351</v>
      </c>
      <c r="R7" s="124" t="s">
        <v>339</v>
      </c>
      <c r="S7" s="125" t="s">
        <v>352</v>
      </c>
      <c r="T7" s="57">
        <v>1</v>
      </c>
    </row>
  </sheetData>
  <phoneticPr fontId="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2"/>
  <sheetViews>
    <sheetView topLeftCell="H1" workbookViewId="0">
      <selection activeCell="K1" sqref="K1:Q1048576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4" t="s">
        <v>154</v>
      </c>
      <c r="B1" s="79" t="s">
        <v>16</v>
      </c>
      <c r="C1" s="79" t="s">
        <v>33</v>
      </c>
      <c r="D1" s="74" t="s">
        <v>231</v>
      </c>
      <c r="E1" s="74" t="s">
        <v>232</v>
      </c>
      <c r="F1" s="106" t="s">
        <v>241</v>
      </c>
      <c r="G1" s="102" t="s">
        <v>233</v>
      </c>
      <c r="H1" s="103" t="s">
        <v>234</v>
      </c>
      <c r="I1" s="103" t="s">
        <v>235</v>
      </c>
      <c r="J1" s="103" t="s">
        <v>236</v>
      </c>
      <c r="K1" s="103" t="s">
        <v>285</v>
      </c>
      <c r="L1" s="103" t="s">
        <v>286</v>
      </c>
      <c r="M1" s="104" t="s">
        <v>287</v>
      </c>
      <c r="N1" s="104" t="s">
        <v>288</v>
      </c>
      <c r="O1" s="104" t="s">
        <v>289</v>
      </c>
      <c r="P1" s="104" t="s">
        <v>291</v>
      </c>
      <c r="Q1" s="104" t="s">
        <v>292</v>
      </c>
      <c r="R1" s="104" t="s">
        <v>237</v>
      </c>
      <c r="S1" s="104" t="s">
        <v>238</v>
      </c>
      <c r="T1" s="104" t="s">
        <v>239</v>
      </c>
      <c r="U1" s="104" t="s">
        <v>240</v>
      </c>
    </row>
    <row r="2" spans="1:21" ht="28" x14ac:dyDescent="0.15">
      <c r="A2" s="84">
        <f>floors!$C$2</f>
        <v>65535</v>
      </c>
      <c r="B2" s="85" t="str">
        <f ca="1">VLOOKUP($A2,OFFSET([2]quests!$A$1,0,0,COUNTA([2]quests!$A:$A),MATCH(B$1,[2]quests!$1:$1,0)-MATCH($A$1,[2]quests!$1:$1,0)+1),MATCH(B$1,[2]quests!$1:$1,0)-MATCH($A$1,[2]quests!$1:$1,0)+1,FALSE)</f>
        <v>検証クエスト</v>
      </c>
      <c r="C2" s="85" t="str">
        <f ca="1">VLOOKUP($A2,OFFSET([2]quests!$A$1,0,0,COUNTA([2]quests!$A:$A),MATCH(C$1,[2]quests!$1:$1,0)-MATCH($A$1,[2]quests!$1:$1,0)+1),MATCH(C$1,[2]quests!$1:$1,0)-MATCH($A$1,[2]quests!$1:$1,0)+1,FALSE)</f>
        <v>検証</v>
      </c>
      <c r="D2" s="86">
        <v>1</v>
      </c>
      <c r="E2" s="87">
        <v>1</v>
      </c>
      <c r="F2" s="105" t="str">
        <f>A2&amp;TEXT(E2,"0000")</f>
        <v>655350001</v>
      </c>
      <c r="G2" t="str">
        <f>F2&amp;TEXT(COUNTIF(F$2:F2,F2),"00")</f>
        <v>65535000101</v>
      </c>
      <c r="H2" s="107" t="s">
        <v>242</v>
      </c>
      <c r="I2" s="107">
        <v>125</v>
      </c>
      <c r="J2" s="107">
        <v>1</v>
      </c>
      <c r="K2" s="107">
        <v>0</v>
      </c>
      <c r="L2" s="107">
        <v>0</v>
      </c>
      <c r="M2" s="107">
        <v>0</v>
      </c>
      <c r="N2" s="107">
        <v>0</v>
      </c>
      <c r="O2" s="107">
        <v>1</v>
      </c>
      <c r="P2" s="107">
        <v>1</v>
      </c>
      <c r="Q2" s="107">
        <v>1</v>
      </c>
      <c r="R2" s="107" t="s">
        <v>243</v>
      </c>
      <c r="S2" s="107" t="s">
        <v>244</v>
      </c>
      <c r="T2" s="107" t="s">
        <v>245</v>
      </c>
      <c r="U2" s="108" t="s">
        <v>246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3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G29" sqref="G2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184</v>
      </c>
    </row>
    <row r="2" spans="1:40" ht="21" customHeight="1" x14ac:dyDescent="0.15">
      <c r="A2" s="16" t="str">
        <f ca="1">B2&amp;"_"&amp;C2&amp;"-"&amp;G2&amp;"/"&amp;L2&amp;"&lt;lv"&amp;R2&amp;"&gt;s"&amp;AA2</f>
        <v>65535_1-1/1&lt;lv1&gt;s1</v>
      </c>
      <c r="B2" s="22">
        <v>65535</v>
      </c>
      <c r="C2" s="21">
        <v>1</v>
      </c>
      <c r="D2" s="2" t="str">
        <f>B2&amp;"_"&amp;C2</f>
        <v>65535_1</v>
      </c>
      <c r="E2" s="4" t="str">
        <f ca="1">VLOOKUP($B2,OFFSET([2]quests!$A$1,0,0,COUNTA([2]quests!$A:$A),MATCH(E$1,[2]quests!$1:$1,0)-MATCH($B$1,[2]quests!$1:$1,0)+1),MATCH(E$1,[2]quests!$1:$1,0)-MATCH($B$1,[2]quests!$1:$1,0)+1,FALSE)</f>
        <v>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テンプレート</v>
      </c>
      <c r="G2" s="21">
        <v>1</v>
      </c>
      <c r="H2" s="15" t="str">
        <f>B2&amp;"_"&amp;C2&amp;"-"&amp;G2</f>
        <v>65535_1-1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 t="s">
        <v>53</v>
      </c>
      <c r="L2" s="20">
        <v>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</v>
      </c>
      <c r="S2" s="25">
        <v>1</v>
      </c>
      <c r="T2" s="25">
        <v>1</v>
      </c>
      <c r="U2" s="5">
        <v>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4">
        <f ca="1">VLOOKUP($L2,OFFSET([3]enemies!$A$1,0,0,COUNTA([3]enemies!$A:$A),MATCH(W$1,[3]enemies!$1:$1,0)-MATCH($L$1,[3]enemies!$1:$1,0)+1),MATCH(W$1,[3]enemies!$1:$1,0)-MATCH($L$1,[3]enemies!$1:$1,0)+1,FALSE)</f>
        <v>0</v>
      </c>
      <c r="X2" s="6">
        <v>0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1</v>
      </c>
      <c r="AB2" s="24">
        <f>L2</f>
        <v>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ca="1">AD2</f>
        <v>1</v>
      </c>
      <c r="AH2" s="8">
        <v>60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70">
        <v>1</v>
      </c>
    </row>
    <row r="3" spans="1:40" ht="21" customHeight="1" x14ac:dyDescent="0.15">
      <c r="A3" s="16" t="str">
        <f ca="1">B3&amp;"_"&amp;C3&amp;"-"&amp;G3&amp;"/"&amp;L3&amp;"&lt;lv"&amp;R3&amp;"&gt;s"&amp;AA3</f>
        <v>65535_1-1/2&lt;lv1&gt;s1</v>
      </c>
      <c r="B3" s="22">
        <v>65535</v>
      </c>
      <c r="C3" s="21">
        <v>1</v>
      </c>
      <c r="D3" s="2" t="str">
        <f>B3&amp;"_"&amp;C3</f>
        <v>65535_1</v>
      </c>
      <c r="E3" s="4" t="str">
        <f ca="1">VLOOKUP($B3,OFFSET([2]quests!$A$1,0,0,COUNTA([2]quests!$A:$A),MATCH(E$1,[2]quests!$1:$1,0)-MATCH($B$1,[2]quests!$1:$1,0)+1),MATCH(E$1,[2]quests!$1:$1,0)-MATCH($B$1,[2]quests!$1:$1,0)+1,FALSE)</f>
        <v>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テンプレート</v>
      </c>
      <c r="G3" s="21">
        <v>1</v>
      </c>
      <c r="H3" s="15" t="str">
        <f>B3&amp;"_"&amp;C3&amp;"-"&amp;G3</f>
        <v>65535_1-1</v>
      </c>
      <c r="I3" s="4">
        <f ca="1">VLOOKUP($H3,OFFSET(floors!$A$1,0,0,COUNTA(floors!$A:$A),MATCH(I$1,floors!$1:$1,0)-MATCH($H$1,floors!$1:$1,0)+1),MATCH(I$1,floors!$1:$1,0)-MATCH($H$1,floors!$1:$1,0)+1,FALSE)</f>
        <v>15</v>
      </c>
      <c r="J3" s="4">
        <f ca="1">VLOOKUP($H3,OFFSET(floors!$A$1,0,0,COUNTA(floors!$A:$A),MATCH(J$1,floors!$1:$1,0)-MATCH($H$1,floors!$1:$1,0)+1),MATCH(J$1,floors!$1:$1,0)-MATCH($H$1,floors!$1:$1,0)+1,FALSE)</f>
        <v>15</v>
      </c>
      <c r="K3" s="38">
        <v>1</v>
      </c>
      <c r="L3" s="20">
        <v>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イレギュラー・ジェリー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</v>
      </c>
      <c r="S3" s="25">
        <v>1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回復</v>
      </c>
      <c r="W3" s="62">
        <v>65535100</v>
      </c>
      <c r="X3" s="6">
        <v>0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1</v>
      </c>
      <c r="AB3" s="24">
        <f>L3</f>
        <v>2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7">
        <v>1</v>
      </c>
      <c r="AG3" s="24">
        <f ca="1">AD3</f>
        <v>2</v>
      </c>
      <c r="AH3" s="8">
        <v>60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70">
        <v>1</v>
      </c>
    </row>
  </sheetData>
  <sheetProtection selectLockedCells="1" selectUnlockedCells="1"/>
  <autoFilter ref="B1:AH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 activeCell="W2" sqref="W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133</v>
      </c>
      <c r="X1" s="29" t="s">
        <v>132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65535_1-1/2&lt;lv1&gt;sq1st2</v>
      </c>
      <c r="B2" s="22">
        <v>65535</v>
      </c>
      <c r="C2" s="21">
        <v>1</v>
      </c>
      <c r="D2" s="2" t="str">
        <f>B2&amp;"_"&amp;C2</f>
        <v>65535_1</v>
      </c>
      <c r="E2" s="4" t="str">
        <f ca="1">VLOOKUP($B2,OFFSET([2]quests!$A$1,0,0,COUNTA([2]quests!$A:$A),MATCH(E$1,[2]quests!$1:$1,0)-MATCH($B$1,[2]quests!$1:$1,0)+1),MATCH(E$1,[2]quests!$1:$1,0)-MATCH($B$1,[2]quests!$1:$1,0)+1,FALSE)</f>
        <v>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テンプレート</v>
      </c>
      <c r="G2" s="21">
        <v>1</v>
      </c>
      <c r="H2" s="15" t="str">
        <f>B2&amp;"_"&amp;C2&amp;"-"&amp;G2</f>
        <v>65535_1-1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>
        <v>1</v>
      </c>
      <c r="L2" s="38">
        <v>2</v>
      </c>
      <c r="M2" s="20">
        <v>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5">
        <v>1</v>
      </c>
      <c r="U2" s="25">
        <v>1</v>
      </c>
      <c r="V2" s="5">
        <v>0</v>
      </c>
      <c r="W2" s="4" t="str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なし</v>
      </c>
      <c r="X2" s="4">
        <f ca="1">VLOOKUP($M2,OFFSET([3]enemies!$A$1,0,0,COUNTA([3]enemies!$A:$A),MATCH(X$1,[3]enemies!$1:$1,0)-MATCH($M$1,[3]enemies!$1:$1,0)+1),MATCH(X$1,[3]enemies!$1:$1,0)-MATCH($M$1,[3]enemies!$1:$1,0)+1,FALSE)</f>
        <v>0</v>
      </c>
      <c r="Y2" s="71">
        <f ca="1">VLOOKUP($M2,OFFSET([3]enemies!$A$1,0,0,COUNTA([3]enemies!$A:$A),MATCH(Y$1,[3]enemies!$1:$1,0)-MATCH($M$1,[3]enemies!$1:$1,0)+1),MATCH(Y$1,[3]enemies!$1:$1,0)-MATCH($M$1,[3]enemies!$1:$1,0)+1,FALSE)</f>
        <v>1</v>
      </c>
    </row>
  </sheetData>
  <sheetProtection selectLockedCells="1" selectUnlockedCells="1"/>
  <autoFilter ref="B1:Y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A2" sqref="A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65535100_65535100</v>
      </c>
      <c r="B2" s="47">
        <v>65535100</v>
      </c>
      <c r="C2" s="47">
        <v>65535100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恍惚の表情を浮かべている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回復</v>
      </c>
      <c r="F2" s="47">
        <v>65535100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</sheetData>
  <autoFilter ref="A1:R1"/>
  <phoneticPr fontId="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"/>
  <sheetViews>
    <sheetView showGridLines="0" zoomScale="75" zoomScaleNormal="75" zoomScalePageLayoutView="75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130</v>
      </c>
      <c r="E1" s="40" t="s">
        <v>82</v>
      </c>
      <c r="F1" s="40" t="s">
        <v>83</v>
      </c>
      <c r="G1" s="41" t="s">
        <v>136</v>
      </c>
      <c r="H1" s="41" t="s">
        <v>142</v>
      </c>
      <c r="I1" s="41" t="s">
        <v>144</v>
      </c>
      <c r="J1" s="41" t="s">
        <v>143</v>
      </c>
      <c r="K1" s="41" t="s">
        <v>145</v>
      </c>
      <c r="L1" s="41" t="s">
        <v>137</v>
      </c>
      <c r="M1" s="41" t="s">
        <v>135</v>
      </c>
      <c r="N1" s="41" t="s">
        <v>138</v>
      </c>
      <c r="O1" s="41" t="s">
        <v>146</v>
      </c>
      <c r="P1" s="41" t="s">
        <v>147</v>
      </c>
      <c r="Q1" s="41" t="s">
        <v>148</v>
      </c>
      <c r="R1" s="41" t="s">
        <v>149</v>
      </c>
      <c r="S1" s="41" t="s">
        <v>139</v>
      </c>
      <c r="T1" s="41" t="s">
        <v>140</v>
      </c>
      <c r="U1" s="41" t="s">
        <v>150</v>
      </c>
      <c r="V1" s="41" t="s">
        <v>151</v>
      </c>
      <c r="W1" s="41" t="s">
        <v>152</v>
      </c>
      <c r="X1" s="41" t="s">
        <v>153</v>
      </c>
      <c r="Y1" s="41" t="s">
        <v>141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65535100</v>
      </c>
      <c r="B2" s="47" t="s">
        <v>84</v>
      </c>
      <c r="C2" s="50">
        <v>3</v>
      </c>
      <c r="D2" s="50" t="s">
        <v>131</v>
      </c>
      <c r="E2" s="51" t="s">
        <v>85</v>
      </c>
      <c r="F2" s="51" t="s">
        <v>86</v>
      </c>
      <c r="G2" s="64" t="str">
        <f>IFERROR(LEFT(B2,FIND("],",B2)),B2)</f>
        <v>[effect:heal, target:enemy_one, val:0.1, animation:enemy_heal]</v>
      </c>
      <c r="H2" s="64">
        <f>FIND("effect:",G2)+7</f>
        <v>9</v>
      </c>
      <c r="I2" s="64">
        <f>IFERROR(FIND(",",G2),LEN(G2))</f>
        <v>13</v>
      </c>
      <c r="J2" s="64">
        <f>FIND("target:",G2)+7</f>
        <v>22</v>
      </c>
      <c r="K2" s="64">
        <f>FIND(",",G2,I2+1)</f>
        <v>31</v>
      </c>
      <c r="L2" s="64" t="str">
        <f>IFERROR(VLOOKUP(MID(G2,J2,K2-J2),[6]skilldef!$C:$D,2,FALSE),"-") &amp; " / " &amp; IFERROR(VLOOKUP(MID(G2,H2,I2-H2),[6]skilldef!$A:$B,2,FALSE),"-")</f>
        <v>敵単体に / 回復</v>
      </c>
      <c r="M2" s="64" t="str">
        <f>IFERROR(RIGHT(B2,LEN(B2)-FIND("],",B2)-1),"none")</f>
        <v>none</v>
      </c>
      <c r="N2" s="48" t="str">
        <f>IFERROR(LEFT(M2,FIND("],",M2)+S12),M2)</f>
        <v>none</v>
      </c>
      <c r="O2" s="64" t="e">
        <f>FIND("effect:",N2)+7</f>
        <v>#VALUE!</v>
      </c>
      <c r="P2" s="64">
        <f>IFERROR(FIND(",",N2),LEN(N2))</f>
        <v>4</v>
      </c>
      <c r="Q2" s="64" t="e">
        <f>FIND("target:",N2)+7</f>
        <v>#VALUE!</v>
      </c>
      <c r="R2" s="64" t="e">
        <f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4" t="e">
        <f>FIND("effect:",T2)+7</f>
        <v>#VALUE!</v>
      </c>
      <c r="V2" s="64">
        <f>IFERROR(FIND(",",T2),LEN(T2))</f>
        <v>4</v>
      </c>
      <c r="W2" s="64" t="e">
        <f>FIND("target:",T2)+7</f>
        <v>#VALUE!</v>
      </c>
      <c r="X2" s="64" t="e">
        <f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</sheetData>
  <autoFilter ref="A1:AB1"/>
  <phoneticPr fontId="7"/>
  <pageMargins left="0.75" right="0.75" top="1" bottom="1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zoomScale="75" zoomScaleNormal="75" zoomScalePageLayoutView="75" workbookViewId="0">
      <pane ySplit="1" topLeftCell="A2" activePane="bottomLeft" state="frozenSplit"/>
      <selection pane="bottomLeft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87</v>
      </c>
      <c r="B1" s="42" t="s">
        <v>88</v>
      </c>
      <c r="C1" s="42" t="s">
        <v>89</v>
      </c>
      <c r="D1" s="42" t="s">
        <v>90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91</v>
      </c>
    </row>
    <row r="2" spans="1:11" ht="21" customHeight="1" x14ac:dyDescent="0.15">
      <c r="A2" s="47">
        <v>65535100</v>
      </c>
      <c r="B2" s="47">
        <v>0</v>
      </c>
      <c r="C2" s="47" t="s">
        <v>92</v>
      </c>
      <c r="D2" s="47">
        <v>100</v>
      </c>
      <c r="E2" s="47">
        <v>35</v>
      </c>
      <c r="F2" s="47" t="s">
        <v>93</v>
      </c>
      <c r="G2" s="47">
        <v>1</v>
      </c>
      <c r="H2" s="47" t="s">
        <v>93</v>
      </c>
      <c r="I2" s="47" t="s">
        <v>93</v>
      </c>
      <c r="J2" s="48">
        <f t="shared" ref="J2" si="0">D2</f>
        <v>100</v>
      </c>
    </row>
  </sheetData>
  <autoFilter ref="A1:G1"/>
  <phoneticPr fontId="7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154</v>
      </c>
      <c r="B1" s="65" t="s">
        <v>155</v>
      </c>
      <c r="C1" s="66" t="s">
        <v>156</v>
      </c>
      <c r="D1" s="73" t="s">
        <v>157</v>
      </c>
      <c r="E1" s="67" t="s">
        <v>158</v>
      </c>
      <c r="F1" s="65" t="s">
        <v>159</v>
      </c>
      <c r="G1" s="65" t="s">
        <v>160</v>
      </c>
      <c r="H1" s="65" t="s">
        <v>161</v>
      </c>
      <c r="I1" s="65" t="s">
        <v>162</v>
      </c>
      <c r="J1" s="65" t="s">
        <v>163</v>
      </c>
      <c r="K1" s="65" t="s">
        <v>164</v>
      </c>
      <c r="L1" s="65" t="s">
        <v>165</v>
      </c>
      <c r="M1" s="65" t="s">
        <v>166</v>
      </c>
      <c r="N1" s="65" t="s">
        <v>167</v>
      </c>
      <c r="O1" s="65" t="s">
        <v>168</v>
      </c>
      <c r="P1" s="65" t="s">
        <v>169</v>
      </c>
      <c r="Q1" s="65" t="s">
        <v>170</v>
      </c>
      <c r="R1" s="65" t="s">
        <v>171</v>
      </c>
    </row>
    <row r="2" spans="1:18" x14ac:dyDescent="0.15">
      <c r="A2" s="57">
        <f>floors!C2</f>
        <v>65535</v>
      </c>
      <c r="B2" s="57">
        <v>1</v>
      </c>
      <c r="C2" s="72" t="str">
        <f>A2&amp; "_"&amp;B2</f>
        <v>65535_1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172</v>
      </c>
      <c r="G2" s="57">
        <v>1000</v>
      </c>
      <c r="H2" s="57" t="s">
        <v>173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174</v>
      </c>
      <c r="R2" s="57" t="s">
        <v>175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7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91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8" t="s">
        <v>193</v>
      </c>
      <c r="B1" s="74" t="s">
        <v>194</v>
      </c>
      <c r="C1" s="79" t="s">
        <v>195</v>
      </c>
      <c r="D1" s="79" t="s">
        <v>33</v>
      </c>
      <c r="E1" s="74" t="s">
        <v>196</v>
      </c>
      <c r="F1" s="79" t="s">
        <v>197</v>
      </c>
      <c r="G1" s="79" t="s">
        <v>33</v>
      </c>
      <c r="H1" s="74" t="s">
        <v>198</v>
      </c>
      <c r="I1" s="94" t="s">
        <v>200</v>
      </c>
      <c r="J1" s="81" t="s">
        <v>130</v>
      </c>
      <c r="K1" s="80" t="s">
        <v>191</v>
      </c>
      <c r="L1" s="95" t="s">
        <v>190</v>
      </c>
      <c r="M1" s="82" t="s">
        <v>201</v>
      </c>
    </row>
    <row r="2" spans="1:13" x14ac:dyDescent="0.15">
      <c r="A2" s="83" t="s">
        <v>206</v>
      </c>
      <c r="B2" s="84">
        <f>floors!$C$2</f>
        <v>65535</v>
      </c>
      <c r="C2" s="85" t="str">
        <f ca="1">VLOOKUP($B2,OFFSET([2]quests!$A$1,0,0,COUNTA([2]quests!$A:$A),MATCH(C$1,[2]quests!$1:$1,0)-MATCH($B$1,[2]quests!$1:$1,0)+1),MATCH(C$1,[2]quests!$1:$1,0)-MATCH($B$1,[2]quests!$1:$1,0)+1,FALSE)</f>
        <v>検証クエスト</v>
      </c>
      <c r="D2" s="85" t="str">
        <f ca="1">VLOOKUP($B2,OFFSET([2]quests!$A$1,0,0,COUNTA([2]quests!$A:$A),MATCH(D$1,[2]quests!$1:$1,0)-MATCH($B$1,[2]quests!$1:$1,0)+1),MATCH(D$1,[2]quests!$1:$1,0)-MATCH($B$1,[2]quests!$1:$1,0)+1,FALSE)</f>
        <v>検証</v>
      </c>
      <c r="E2" s="89" t="s">
        <v>221</v>
      </c>
      <c r="F2" s="85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5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7">
        <v>0</v>
      </c>
      <c r="I2">
        <v>1</v>
      </c>
      <c r="J2" s="86" t="s">
        <v>203</v>
      </c>
      <c r="K2" s="96" t="str">
        <f>VLOOKUP(I2,[7]stage_hints!$A:$C,3,FALSE)</f>
        <v>長くつなげて大ダメージ</v>
      </c>
      <c r="L2" s="97" t="str">
        <f>VLOOKUP(I2,[7]stage_hints!$A:$D,4,FALSE)</f>
        <v>パネルを長くつなげるほど_x000D_大ダメージを与えることができます</v>
      </c>
      <c r="M2" s="57" t="s">
        <v>218</v>
      </c>
    </row>
    <row r="3" spans="1:13" x14ac:dyDescent="0.15">
      <c r="A3" s="83" t="s">
        <v>206</v>
      </c>
      <c r="B3" s="84">
        <f>floors!$C$2</f>
        <v>65535</v>
      </c>
      <c r="C3" s="85" t="str">
        <f ca="1">VLOOKUP($B3,OFFSET([2]quests!$A$1,0,0,COUNTA([2]quests!$A:$A),MATCH(C$1,[2]quests!$1:$1,0)-MATCH($B$1,[2]quests!$1:$1,0)+1),MATCH(C$1,[2]quests!$1:$1,0)-MATCH($B$1,[2]quests!$1:$1,0)+1,FALSE)</f>
        <v>検証クエスト</v>
      </c>
      <c r="D3" s="85" t="str">
        <f ca="1">VLOOKUP($B3,OFFSET([2]quests!$A$1,0,0,COUNTA([2]quests!$A:$A),MATCH(D$1,[2]quests!$1:$1,0)-MATCH($B$1,[2]quests!$1:$1,0)+1),MATCH(D$1,[2]quests!$1:$1,0)-MATCH($B$1,[2]quests!$1:$1,0)+1,FALSE)</f>
        <v>検証</v>
      </c>
      <c r="E3" s="89" t="s">
        <v>221</v>
      </c>
      <c r="F3" s="85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5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7">
        <v>0</v>
      </c>
      <c r="I3">
        <v>2</v>
      </c>
      <c r="J3" s="86" t="s">
        <v>203</v>
      </c>
      <c r="K3" s="96" t="str">
        <f>VLOOKUP(I3,[7]stage_hints!$A:$C,3,FALSE)</f>
        <v>属性の相性</v>
      </c>
      <c r="L3" s="97" t="str">
        <f>VLOOKUP(I3,[7]stage_hints!$A:$D,4,FALSE)</f>
        <v>赤＞青　青＞黄　黄＞緑　緑＞赤_x000D_敵属性に最適なパーティがオススメです</v>
      </c>
      <c r="M3" s="57" t="s">
        <v>218</v>
      </c>
    </row>
    <row r="4" spans="1:13" x14ac:dyDescent="0.15">
      <c r="A4" s="83" t="s">
        <v>206</v>
      </c>
      <c r="B4" s="84">
        <f>floors!$C$2</f>
        <v>65535</v>
      </c>
      <c r="C4" s="85" t="str">
        <f ca="1">VLOOKUP($B4,OFFSET([2]quests!$A$1,0,0,COUNTA([2]quests!$A:$A),MATCH(C$1,[2]quests!$1:$1,0)-MATCH($B$1,[2]quests!$1:$1,0)+1),MATCH(C$1,[2]quests!$1:$1,0)-MATCH($B$1,[2]quests!$1:$1,0)+1,FALSE)</f>
        <v>検証クエスト</v>
      </c>
      <c r="D4" s="85" t="str">
        <f ca="1">VLOOKUP($B4,OFFSET([2]quests!$A$1,0,0,COUNTA([2]quests!$A:$A),MATCH(D$1,[2]quests!$1:$1,0)-MATCH($B$1,[2]quests!$1:$1,0)+1),MATCH(D$1,[2]quests!$1:$1,0)-MATCH($B$1,[2]quests!$1:$1,0)+1,FALSE)</f>
        <v>検証</v>
      </c>
      <c r="E4" s="89" t="s">
        <v>221</v>
      </c>
      <c r="F4" s="85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5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7">
        <v>0</v>
      </c>
      <c r="I4">
        <v>3</v>
      </c>
      <c r="J4" s="86" t="s">
        <v>203</v>
      </c>
      <c r="K4" s="96" t="str">
        <f>VLOOKUP(I4,[7]stage_hints!$A:$C,3,FALSE)</f>
        <v>ターゲット</v>
      </c>
      <c r="L4" s="97" t="str">
        <f>VLOOKUP(I4,[7]stage_hints!$A:$D,4,FALSE)</f>
        <v>敵ユニットをタップすると_x000D_その敵を狙い撃ちできます</v>
      </c>
      <c r="M4" s="57" t="s">
        <v>218</v>
      </c>
    </row>
    <row r="5" spans="1:13" x14ac:dyDescent="0.15">
      <c r="A5" s="83" t="s">
        <v>206</v>
      </c>
      <c r="B5" s="84">
        <f>floors!$C$2</f>
        <v>65535</v>
      </c>
      <c r="C5" s="85" t="str">
        <f ca="1">VLOOKUP($B5,OFFSET([2]quests!$A$1,0,0,COUNTA([2]quests!$A:$A),MATCH(C$1,[2]quests!$1:$1,0)-MATCH($B$1,[2]quests!$1:$1,0)+1),MATCH(C$1,[2]quests!$1:$1,0)-MATCH($B$1,[2]quests!$1:$1,0)+1,FALSE)</f>
        <v>検証クエスト</v>
      </c>
      <c r="D5" s="85" t="str">
        <f ca="1">VLOOKUP($B5,OFFSET([2]quests!$A$1,0,0,COUNTA([2]quests!$A:$A),MATCH(D$1,[2]quests!$1:$1,0)-MATCH($B$1,[2]quests!$1:$1,0)+1),MATCH(D$1,[2]quests!$1:$1,0)-MATCH($B$1,[2]quests!$1:$1,0)+1,FALSE)</f>
        <v>検証</v>
      </c>
      <c r="E5" s="89" t="s">
        <v>221</v>
      </c>
      <c r="F5" s="85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5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7">
        <v>0</v>
      </c>
      <c r="I5">
        <v>5</v>
      </c>
      <c r="J5" s="86" t="s">
        <v>203</v>
      </c>
      <c r="K5" s="96" t="str">
        <f>VLOOKUP(I5,[7]stage_hints!$A:$C,3,FALSE)</f>
        <v>ユニット強化でレベルアップ</v>
      </c>
      <c r="L5" s="97" t="str">
        <f>VLOOKUP(I5,[7]stage_hints!$A:$D,4,FALSE)</f>
        <v>「ユニット強化」でレベルアップすると_x000D_勝てない敵にも勝てるようになります</v>
      </c>
      <c r="M5" s="57" t="s">
        <v>218</v>
      </c>
    </row>
    <row r="6" spans="1:13" x14ac:dyDescent="0.15">
      <c r="A6" s="83" t="s">
        <v>206</v>
      </c>
      <c r="B6" s="84">
        <f>floors!$C$2</f>
        <v>65535</v>
      </c>
      <c r="C6" s="85" t="str">
        <f ca="1">VLOOKUP($B6,OFFSET([2]quests!$A$1,0,0,COUNTA([2]quests!$A:$A),MATCH(C$1,[2]quests!$1:$1,0)-MATCH($B$1,[2]quests!$1:$1,0)+1),MATCH(C$1,[2]quests!$1:$1,0)-MATCH($B$1,[2]quests!$1:$1,0)+1,FALSE)</f>
        <v>検証クエスト</v>
      </c>
      <c r="D6" s="85" t="str">
        <f ca="1">VLOOKUP($B6,OFFSET([2]quests!$A$1,0,0,COUNTA([2]quests!$A:$A),MATCH(D$1,[2]quests!$1:$1,0)-MATCH($B$1,[2]quests!$1:$1,0)+1),MATCH(D$1,[2]quests!$1:$1,0)-MATCH($B$1,[2]quests!$1:$1,0)+1,FALSE)</f>
        <v>検証</v>
      </c>
      <c r="E6" s="89" t="s">
        <v>221</v>
      </c>
      <c r="F6" s="85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5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7">
        <v>0</v>
      </c>
      <c r="I6">
        <v>6</v>
      </c>
      <c r="J6" s="86" t="s">
        <v>203</v>
      </c>
      <c r="K6" s="96" t="str">
        <f>VLOOKUP(I6,[7]stage_hints!$A:$C,3,FALSE)</f>
        <v>ユニット強化の属性ボーナス</v>
      </c>
      <c r="L6" s="97" t="str">
        <f>VLOOKUP(I6,[7]stage_hints!$A:$D,4,FALSE)</f>
        <v>同属性ユニットを強化素材にすると_x000D_経験値が多くもらえます</v>
      </c>
      <c r="M6" s="57" t="s">
        <v>218</v>
      </c>
    </row>
    <row r="7" spans="1:13" x14ac:dyDescent="0.15">
      <c r="A7" s="83" t="s">
        <v>206</v>
      </c>
      <c r="B7" s="84">
        <f>floors!$C$2</f>
        <v>65535</v>
      </c>
      <c r="C7" s="85" t="str">
        <f ca="1">VLOOKUP($B7,OFFSET([2]quests!$A$1,0,0,COUNTA([2]quests!$A:$A),MATCH(C$1,[2]quests!$1:$1,0)-MATCH($B$1,[2]quests!$1:$1,0)+1),MATCH(C$1,[2]quests!$1:$1,0)-MATCH($B$1,[2]quests!$1:$1,0)+1,FALSE)</f>
        <v>検証クエスト</v>
      </c>
      <c r="D7" s="85" t="str">
        <f ca="1">VLOOKUP($B7,OFFSET([2]quests!$A$1,0,0,COUNTA([2]quests!$A:$A),MATCH(D$1,[2]quests!$1:$1,0)-MATCH($B$1,[2]quests!$1:$1,0)+1),MATCH(D$1,[2]quests!$1:$1,0)-MATCH($B$1,[2]quests!$1:$1,0)+1,FALSE)</f>
        <v>検証</v>
      </c>
      <c r="E7" s="89" t="s">
        <v>221</v>
      </c>
      <c r="F7" s="85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5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7">
        <v>0</v>
      </c>
      <c r="I7">
        <v>7</v>
      </c>
      <c r="J7" s="86" t="s">
        <v>203</v>
      </c>
      <c r="K7" s="96" t="str">
        <f>VLOOKUP(I7,[7]stage_hints!$A:$C,3,FALSE)</f>
        <v>メタルダックで経験値を獲得</v>
      </c>
      <c r="L7" s="97" t="str">
        <f>VLOOKUP(I7,[7]stage_hints!$A:$D,4,FALSE)</f>
        <v>「メタルなアヒル」を強化素材にすると_x000D_大量の経験値がもらえます</v>
      </c>
      <c r="M7" s="57" t="s">
        <v>218</v>
      </c>
    </row>
    <row r="8" spans="1:13" x14ac:dyDescent="0.15">
      <c r="A8" s="83" t="s">
        <v>206</v>
      </c>
      <c r="B8" s="84">
        <f>floors!$C$2</f>
        <v>65535</v>
      </c>
      <c r="C8" s="85" t="str">
        <f ca="1">VLOOKUP($B8,OFFSET([2]quests!$A$1,0,0,COUNTA([2]quests!$A:$A),MATCH(C$1,[2]quests!$1:$1,0)-MATCH($B$1,[2]quests!$1:$1,0)+1),MATCH(C$1,[2]quests!$1:$1,0)-MATCH($B$1,[2]quests!$1:$1,0)+1,FALSE)</f>
        <v>検証クエスト</v>
      </c>
      <c r="D8" s="85" t="str">
        <f ca="1">VLOOKUP($B8,OFFSET([2]quests!$A$1,0,0,COUNTA([2]quests!$A:$A),MATCH(D$1,[2]quests!$1:$1,0)-MATCH($B$1,[2]quests!$1:$1,0)+1),MATCH(D$1,[2]quests!$1:$1,0)-MATCH($B$1,[2]quests!$1:$1,0)+1,FALSE)</f>
        <v>検証</v>
      </c>
      <c r="E8" s="89" t="s">
        <v>221</v>
      </c>
      <c r="F8" s="85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5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7">
        <v>0</v>
      </c>
      <c r="I8">
        <v>8</v>
      </c>
      <c r="J8" s="86" t="s">
        <v>203</v>
      </c>
      <c r="K8" s="96" t="str">
        <f>VLOOKUP(I8,[7]stage_hints!$A:$C,3,FALSE)</f>
        <v>ゲリラクエストは要チェック</v>
      </c>
      <c r="L8" s="97" t="str">
        <f>VLOOKUP(I8,[7]stage_hints!$A:$D,4,FALSE)</f>
        <v>時間限定の「アヒル捕獲作戦」では_x000D_経験値素材ユニットが多く手に入ります</v>
      </c>
      <c r="M8" s="57" t="s">
        <v>218</v>
      </c>
    </row>
    <row r="9" spans="1:13" x14ac:dyDescent="0.15">
      <c r="A9" s="83" t="s">
        <v>206</v>
      </c>
      <c r="B9" s="84">
        <f>floors!$C$2</f>
        <v>65535</v>
      </c>
      <c r="C9" s="85" t="str">
        <f ca="1">VLOOKUP($B9,OFFSET([2]quests!$A$1,0,0,COUNTA([2]quests!$A:$A),MATCH(C$1,[2]quests!$1:$1,0)-MATCH($B$1,[2]quests!$1:$1,0)+1),MATCH(C$1,[2]quests!$1:$1,0)-MATCH($B$1,[2]quests!$1:$1,0)+1,FALSE)</f>
        <v>検証クエスト</v>
      </c>
      <c r="D9" s="85" t="str">
        <f ca="1">VLOOKUP($B9,OFFSET([2]quests!$A$1,0,0,COUNTA([2]quests!$A:$A),MATCH(D$1,[2]quests!$1:$1,0)-MATCH($B$1,[2]quests!$1:$1,0)+1),MATCH(D$1,[2]quests!$1:$1,0)-MATCH($B$1,[2]quests!$1:$1,0)+1,FALSE)</f>
        <v>検証</v>
      </c>
      <c r="E9" s="89" t="s">
        <v>221</v>
      </c>
      <c r="F9" s="85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5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7">
        <v>0</v>
      </c>
      <c r="I9">
        <v>9</v>
      </c>
      <c r="J9" s="86" t="s">
        <v>203</v>
      </c>
      <c r="K9" s="96" t="str">
        <f>VLOOKUP(I9,[7]stage_hints!$A:$C,3,FALSE)</f>
        <v>ゴールドダックでビットを獲得</v>
      </c>
      <c r="L9" s="97" t="str">
        <f>VLOOKUP(I9,[7]stage_hints!$A:$D,4,FALSE)</f>
        <v>「ゴールドなアヒル」を売却すると_x000D_大量のビットがもらえます</v>
      </c>
      <c r="M9" s="57" t="s">
        <v>218</v>
      </c>
    </row>
    <row r="10" spans="1:13" x14ac:dyDescent="0.15">
      <c r="A10" s="83" t="s">
        <v>206</v>
      </c>
      <c r="B10" s="84">
        <f>floors!$C$2</f>
        <v>65535</v>
      </c>
      <c r="C10" s="85" t="str">
        <f ca="1">VLOOKUP($B10,OFFSET([2]quests!$A$1,0,0,COUNTA([2]quests!$A:$A),MATCH(C$1,[2]quests!$1:$1,0)-MATCH($B$1,[2]quests!$1:$1,0)+1),MATCH(C$1,[2]quests!$1:$1,0)-MATCH($B$1,[2]quests!$1:$1,0)+1,FALSE)</f>
        <v>検証クエスト</v>
      </c>
      <c r="D10" s="85" t="str">
        <f ca="1">VLOOKUP($B10,OFFSET([2]quests!$A$1,0,0,COUNTA([2]quests!$A:$A),MATCH(D$1,[2]quests!$1:$1,0)-MATCH($B$1,[2]quests!$1:$1,0)+1),MATCH(D$1,[2]quests!$1:$1,0)-MATCH($B$1,[2]quests!$1:$1,0)+1,FALSE)</f>
        <v>検証</v>
      </c>
      <c r="E10" s="89" t="s">
        <v>221</v>
      </c>
      <c r="F10" s="85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5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7">
        <v>0</v>
      </c>
      <c r="I10">
        <v>10</v>
      </c>
      <c r="J10" s="86" t="s">
        <v>203</v>
      </c>
      <c r="K10" s="96" t="str">
        <f>VLOOKUP(I10,[7]stage_hints!$A:$C,3,FALSE)</f>
        <v>土日に大量のビットを獲得</v>
      </c>
      <c r="L10" s="97" t="str">
        <f>VLOOKUP(I10,[7]stage_hints!$A:$D,4,FALSE)</f>
        <v>土日限定の「ゴールドカジノ」では_x000D_売却素材ユニットが多く手に入ります</v>
      </c>
      <c r="M10" s="57" t="s">
        <v>218</v>
      </c>
    </row>
    <row r="11" spans="1:13" x14ac:dyDescent="0.15">
      <c r="A11" s="83" t="s">
        <v>206</v>
      </c>
      <c r="B11" s="84">
        <f>floors!$C$2</f>
        <v>65535</v>
      </c>
      <c r="C11" s="85" t="str">
        <f ca="1">VLOOKUP($B11,OFFSET([2]quests!$A$1,0,0,COUNTA([2]quests!$A:$A),MATCH(C$1,[2]quests!$1:$1,0)-MATCH($B$1,[2]quests!$1:$1,0)+1),MATCH(C$1,[2]quests!$1:$1,0)-MATCH($B$1,[2]quests!$1:$1,0)+1,FALSE)</f>
        <v>検証クエスト</v>
      </c>
      <c r="D11" s="85" t="str">
        <f ca="1">VLOOKUP($B11,OFFSET([2]quests!$A$1,0,0,COUNTA([2]quests!$A:$A),MATCH(D$1,[2]quests!$1:$1,0)-MATCH($B$1,[2]quests!$1:$1,0)+1),MATCH(D$1,[2]quests!$1:$1,0)-MATCH($B$1,[2]quests!$1:$1,0)+1,FALSE)</f>
        <v>検証</v>
      </c>
      <c r="E11" s="89" t="s">
        <v>221</v>
      </c>
      <c r="F11" s="85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5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7">
        <v>0</v>
      </c>
      <c r="I11">
        <v>11</v>
      </c>
      <c r="J11" s="86" t="s">
        <v>203</v>
      </c>
      <c r="K11" s="96" t="str">
        <f>VLOOKUP(I11,[7]stage_hints!$A:$C,3,FALSE)</f>
        <v>ランク解放クエスト</v>
      </c>
      <c r="L11" s="97" t="str">
        <f>VLOOKUP(I11,[7]stage_hints!$A:$D,4,FALSE)</f>
        <v>一定ランクに到達すると_x000D_報酬付きのランク開放クエストが現れます</v>
      </c>
      <c r="M11" s="57" t="s">
        <v>218</v>
      </c>
    </row>
    <row r="12" spans="1:13" x14ac:dyDescent="0.15">
      <c r="A12" s="83" t="s">
        <v>206</v>
      </c>
      <c r="B12" s="84">
        <f>floors!$C$2</f>
        <v>65535</v>
      </c>
      <c r="C12" s="85" t="str">
        <f ca="1">VLOOKUP($B12,OFFSET([2]quests!$A$1,0,0,COUNTA([2]quests!$A:$A),MATCH(C$1,[2]quests!$1:$1,0)-MATCH($B$1,[2]quests!$1:$1,0)+1),MATCH(C$1,[2]quests!$1:$1,0)-MATCH($B$1,[2]quests!$1:$1,0)+1,FALSE)</f>
        <v>検証クエスト</v>
      </c>
      <c r="D12" s="85" t="str">
        <f ca="1">VLOOKUP($B12,OFFSET([2]quests!$A$1,0,0,COUNTA([2]quests!$A:$A),MATCH(D$1,[2]quests!$1:$1,0)-MATCH($B$1,[2]quests!$1:$1,0)+1),MATCH(D$1,[2]quests!$1:$1,0)-MATCH($B$1,[2]quests!$1:$1,0)+1,FALSE)</f>
        <v>検証</v>
      </c>
      <c r="E12" s="89" t="s">
        <v>221</v>
      </c>
      <c r="F12" s="85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5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7">
        <v>0</v>
      </c>
      <c r="I12">
        <v>12</v>
      </c>
      <c r="J12" s="86" t="s">
        <v>203</v>
      </c>
      <c r="K12" s="96" t="str">
        <f>VLOOKUP(I12,[7]stage_hints!$A:$C,3,FALSE)</f>
        <v>ユニットのお気に入り登録</v>
      </c>
      <c r="L12" s="97" t="str">
        <f>VLOOKUP(I12,[7]stage_hints!$A:$D,4,FALSE)</f>
        <v>大事なユニットを誤って消さないように_x000D_フォルダから「お気に入り登録」しましょう</v>
      </c>
      <c r="M12" s="57" t="s">
        <v>218</v>
      </c>
    </row>
    <row r="13" spans="1:13" x14ac:dyDescent="0.15">
      <c r="A13" s="83" t="s">
        <v>206</v>
      </c>
      <c r="B13" s="84">
        <f>floors!$C$2</f>
        <v>65535</v>
      </c>
      <c r="C13" s="85" t="str">
        <f ca="1">VLOOKUP($B13,OFFSET([2]quests!$A$1,0,0,COUNTA([2]quests!$A:$A),MATCH(C$1,[2]quests!$1:$1,0)-MATCH($B$1,[2]quests!$1:$1,0)+1),MATCH(C$1,[2]quests!$1:$1,0)-MATCH($B$1,[2]quests!$1:$1,0)+1,FALSE)</f>
        <v>検証クエスト</v>
      </c>
      <c r="D13" s="85" t="str">
        <f ca="1">VLOOKUP($B13,OFFSET([2]quests!$A$1,0,0,COUNTA([2]quests!$A:$A),MATCH(D$1,[2]quests!$1:$1,0)-MATCH($B$1,[2]quests!$1:$1,0)+1),MATCH(D$1,[2]quests!$1:$1,0)-MATCH($B$1,[2]quests!$1:$1,0)+1,FALSE)</f>
        <v>検証</v>
      </c>
      <c r="E13" s="89" t="s">
        <v>221</v>
      </c>
      <c r="F13" s="85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5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7">
        <v>0</v>
      </c>
      <c r="I13">
        <v>13</v>
      </c>
      <c r="J13" s="86" t="s">
        <v>203</v>
      </c>
      <c r="K13" s="96" t="str">
        <f>VLOOKUP(I13,[7]stage_hints!$A:$C,3,FALSE)</f>
        <v>ユニットの覚醒</v>
      </c>
      <c r="L13" s="97" t="str">
        <f>VLOOKUP(I13,[7]stage_hints!$A:$D,4,FALSE)</f>
        <v>ユニットを覚醒させると_x000D_比べものにならない強さが手に入ります</v>
      </c>
      <c r="M13" s="57" t="s">
        <v>218</v>
      </c>
    </row>
    <row r="14" spans="1:13" x14ac:dyDescent="0.15">
      <c r="A14" s="83" t="s">
        <v>206</v>
      </c>
      <c r="B14" s="84">
        <f>floors!$C$2</f>
        <v>65535</v>
      </c>
      <c r="C14" s="85" t="str">
        <f ca="1">VLOOKUP($B14,OFFSET([2]quests!$A$1,0,0,COUNTA([2]quests!$A:$A),MATCH(C$1,[2]quests!$1:$1,0)-MATCH($B$1,[2]quests!$1:$1,0)+1),MATCH(C$1,[2]quests!$1:$1,0)-MATCH($B$1,[2]quests!$1:$1,0)+1,FALSE)</f>
        <v>検証クエスト</v>
      </c>
      <c r="D14" s="85" t="str">
        <f ca="1">VLOOKUP($B14,OFFSET([2]quests!$A$1,0,0,COUNTA([2]quests!$A:$A),MATCH(D$1,[2]quests!$1:$1,0)-MATCH($B$1,[2]quests!$1:$1,0)+1),MATCH(D$1,[2]quests!$1:$1,0)-MATCH($B$1,[2]quests!$1:$1,0)+1,FALSE)</f>
        <v>検証</v>
      </c>
      <c r="E14" s="89" t="s">
        <v>221</v>
      </c>
      <c r="F14" s="85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5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7">
        <v>0</v>
      </c>
      <c r="I14">
        <v>14</v>
      </c>
      <c r="J14" s="86" t="s">
        <v>203</v>
      </c>
      <c r="K14" s="96" t="str">
        <f>VLOOKUP(I14,[7]stage_hints!$A:$C,3,FALSE)</f>
        <v>覚醒するにはレベルを最大に</v>
      </c>
      <c r="L14" s="97" t="str">
        <f>VLOOKUP(I14,[7]stage_hints!$A:$D,4,FALSE)</f>
        <v>覚醒するにはユニットのレベルを_x000D_最大まで上げる必要があります</v>
      </c>
      <c r="M14" s="57" t="s">
        <v>218</v>
      </c>
    </row>
    <row r="15" spans="1:13" x14ac:dyDescent="0.15">
      <c r="A15" s="83" t="s">
        <v>206</v>
      </c>
      <c r="B15" s="84">
        <f>floors!$C$2</f>
        <v>65535</v>
      </c>
      <c r="C15" s="85" t="str">
        <f ca="1">VLOOKUP($B15,OFFSET([2]quests!$A$1,0,0,COUNTA([2]quests!$A:$A),MATCH(C$1,[2]quests!$1:$1,0)-MATCH($B$1,[2]quests!$1:$1,0)+1),MATCH(C$1,[2]quests!$1:$1,0)-MATCH($B$1,[2]quests!$1:$1,0)+1,FALSE)</f>
        <v>検証クエスト</v>
      </c>
      <c r="D15" s="85" t="str">
        <f ca="1">VLOOKUP($B15,OFFSET([2]quests!$A$1,0,0,COUNTA([2]quests!$A:$A),MATCH(D$1,[2]quests!$1:$1,0)-MATCH($B$1,[2]quests!$1:$1,0)+1),MATCH(D$1,[2]quests!$1:$1,0)-MATCH($B$1,[2]quests!$1:$1,0)+1,FALSE)</f>
        <v>検証</v>
      </c>
      <c r="E15" s="89" t="s">
        <v>221</v>
      </c>
      <c r="F15" s="85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5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7">
        <v>0</v>
      </c>
      <c r="I15">
        <v>15</v>
      </c>
      <c r="J15" s="86" t="s">
        <v>203</v>
      </c>
      <c r="K15" s="96" t="str">
        <f>VLOOKUP(I15,[7]stage_hints!$A:$C,3,FALSE)</f>
        <v>覚醒素材を獲得</v>
      </c>
      <c r="L15" s="97" t="str">
        <f>VLOOKUP(I15,[7]stage_hints!$A:$D,4,FALSE)</f>
        <v>「曜日クエスト」では_x000D_ユニットの覚醒に必要な素材が手に入ります</v>
      </c>
      <c r="M15" s="57" t="s">
        <v>218</v>
      </c>
    </row>
    <row r="16" spans="1:13" x14ac:dyDescent="0.15">
      <c r="A16" s="83" t="s">
        <v>206</v>
      </c>
      <c r="B16" s="84">
        <f>floors!$C$2</f>
        <v>65535</v>
      </c>
      <c r="C16" s="85" t="str">
        <f ca="1">VLOOKUP($B16,OFFSET([2]quests!$A$1,0,0,COUNTA([2]quests!$A:$A),MATCH(C$1,[2]quests!$1:$1,0)-MATCH($B$1,[2]quests!$1:$1,0)+1),MATCH(C$1,[2]quests!$1:$1,0)-MATCH($B$1,[2]quests!$1:$1,0)+1,FALSE)</f>
        <v>検証クエスト</v>
      </c>
      <c r="D16" s="85" t="str">
        <f ca="1">VLOOKUP($B16,OFFSET([2]quests!$A$1,0,0,COUNTA([2]quests!$A:$A),MATCH(D$1,[2]quests!$1:$1,0)-MATCH($B$1,[2]quests!$1:$1,0)+1),MATCH(D$1,[2]quests!$1:$1,0)-MATCH($B$1,[2]quests!$1:$1,0)+1,FALSE)</f>
        <v>検証</v>
      </c>
      <c r="E16" s="89" t="s">
        <v>221</v>
      </c>
      <c r="F16" s="85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5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7">
        <v>0</v>
      </c>
      <c r="I16">
        <v>16</v>
      </c>
      <c r="J16" s="86" t="s">
        <v>203</v>
      </c>
      <c r="K16" s="96" t="str">
        <f>VLOOKUP(I16,[7]stage_hints!$A:$C,3,FALSE)</f>
        <v>マルチプレイのメリット（その1）</v>
      </c>
      <c r="L16" s="97" t="str">
        <f>VLOOKUP(I16,[7]stage_hints!$A:$D,4,FALSE)</f>
        <v>他のプレイヤーとマルチプレイで遊ぶと_x000D_ポリゴンがもらえます（100人まで）</v>
      </c>
      <c r="M16" s="57" t="s">
        <v>218</v>
      </c>
    </row>
    <row r="17" spans="1:13" x14ac:dyDescent="0.15">
      <c r="A17" s="83" t="s">
        <v>206</v>
      </c>
      <c r="B17" s="84">
        <f>floors!$C$2</f>
        <v>65535</v>
      </c>
      <c r="C17" s="85" t="str">
        <f ca="1">VLOOKUP($B17,OFFSET([2]quests!$A$1,0,0,COUNTA([2]quests!$A:$A),MATCH(C$1,[2]quests!$1:$1,0)-MATCH($B$1,[2]quests!$1:$1,0)+1),MATCH(C$1,[2]quests!$1:$1,0)-MATCH($B$1,[2]quests!$1:$1,0)+1,FALSE)</f>
        <v>検証クエスト</v>
      </c>
      <c r="D17" s="85" t="str">
        <f ca="1">VLOOKUP($B17,OFFSET([2]quests!$A$1,0,0,COUNTA([2]quests!$A:$A),MATCH(D$1,[2]quests!$1:$1,0)-MATCH($B$1,[2]quests!$1:$1,0)+1),MATCH(D$1,[2]quests!$1:$1,0)-MATCH($B$1,[2]quests!$1:$1,0)+1,FALSE)</f>
        <v>検証</v>
      </c>
      <c r="E17" s="89" t="s">
        <v>221</v>
      </c>
      <c r="F17" s="85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5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7">
        <v>0</v>
      </c>
      <c r="I17">
        <v>17</v>
      </c>
      <c r="J17" s="86" t="s">
        <v>203</v>
      </c>
      <c r="K17" s="96" t="str">
        <f>VLOOKUP(I17,[7]stage_hints!$A:$C,3,FALSE)</f>
        <v>リンクガチャ</v>
      </c>
      <c r="L17" s="97" t="str">
        <f>VLOOKUP(I17,[7]stage_hints!$A:$D,4,FALSE)</f>
        <v>無料のリンクガチャを回して_x000D_経験値素材や売却素材を獲得しましょう</v>
      </c>
      <c r="M17" s="57" t="s">
        <v>218</v>
      </c>
    </row>
    <row r="18" spans="1:13" x14ac:dyDescent="0.15">
      <c r="A18" s="83" t="s">
        <v>206</v>
      </c>
      <c r="B18" s="84">
        <f>floors!$C$2</f>
        <v>65535</v>
      </c>
      <c r="C18" s="85" t="str">
        <f ca="1">VLOOKUP($B18,OFFSET([2]quests!$A$1,0,0,COUNTA([2]quests!$A:$A),MATCH(C$1,[2]quests!$1:$1,0)-MATCH($B$1,[2]quests!$1:$1,0)+1),MATCH(C$1,[2]quests!$1:$1,0)-MATCH($B$1,[2]quests!$1:$1,0)+1,FALSE)</f>
        <v>検証クエスト</v>
      </c>
      <c r="D18" s="85" t="str">
        <f ca="1">VLOOKUP($B18,OFFSET([2]quests!$A$1,0,0,COUNTA([2]quests!$A:$A),MATCH(D$1,[2]quests!$1:$1,0)-MATCH($B$1,[2]quests!$1:$1,0)+1),MATCH(D$1,[2]quests!$1:$1,0)-MATCH($B$1,[2]quests!$1:$1,0)+1,FALSE)</f>
        <v>検証</v>
      </c>
      <c r="E18" s="89" t="s">
        <v>221</v>
      </c>
      <c r="F18" s="85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5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7">
        <v>0</v>
      </c>
      <c r="I18">
        <v>18</v>
      </c>
      <c r="J18" s="86" t="s">
        <v>203</v>
      </c>
      <c r="K18" s="96" t="str">
        <f>VLOOKUP(I18,[7]stage_hints!$A:$C,3,FALSE)</f>
        <v>マルチプレイのメリット（その2）</v>
      </c>
      <c r="L18" s="97" t="str">
        <f>VLOOKUP(I18,[7]stage_hints!$A:$D,4,FALSE)</f>
        <v>マルチプレイならリンクが2倍もらえます_x000D_リンクガチャをたくさん回しましょう</v>
      </c>
      <c r="M18" s="57" t="s">
        <v>218</v>
      </c>
    </row>
    <row r="19" spans="1:13" x14ac:dyDescent="0.15">
      <c r="A19" s="83" t="s">
        <v>206</v>
      </c>
      <c r="B19" s="84">
        <f>floors!$C$2</f>
        <v>65535</v>
      </c>
      <c r="C19" s="85" t="str">
        <f ca="1">VLOOKUP($B19,OFFSET([2]quests!$A$1,0,0,COUNTA([2]quests!$A:$A),MATCH(C$1,[2]quests!$1:$1,0)-MATCH($B$1,[2]quests!$1:$1,0)+1),MATCH(C$1,[2]quests!$1:$1,0)-MATCH($B$1,[2]quests!$1:$1,0)+1,FALSE)</f>
        <v>検証クエスト</v>
      </c>
      <c r="D19" s="85" t="str">
        <f ca="1">VLOOKUP($B19,OFFSET([2]quests!$A$1,0,0,COUNTA([2]quests!$A:$A),MATCH(D$1,[2]quests!$1:$1,0)-MATCH($B$1,[2]quests!$1:$1,0)+1),MATCH(D$1,[2]quests!$1:$1,0)-MATCH($B$1,[2]quests!$1:$1,0)+1,FALSE)</f>
        <v>検証</v>
      </c>
      <c r="E19" s="89" t="s">
        <v>221</v>
      </c>
      <c r="F19" s="85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5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7">
        <v>0</v>
      </c>
      <c r="I19">
        <v>19</v>
      </c>
      <c r="J19" s="86" t="s">
        <v>203</v>
      </c>
      <c r="K19" s="96" t="str">
        <f>VLOOKUP(I19,[7]stage_hints!$A:$C,3,FALSE)</f>
        <v>ソロ専用チャレンジタワー</v>
      </c>
      <c r="L19" s="97" t="str">
        <f>VLOOKUP(I19,[7]stage_hints!$A:$D,4,FALSE)</f>
        <v>ソロ専用の「チャレンジタワー」では_x000D_各フロアごとにクリア報酬がもらえます</v>
      </c>
      <c r="M19" s="57" t="s">
        <v>218</v>
      </c>
    </row>
    <row r="20" spans="1:13" x14ac:dyDescent="0.15">
      <c r="A20" s="83" t="s">
        <v>206</v>
      </c>
      <c r="B20" s="84">
        <f>floors!$C$2</f>
        <v>65535</v>
      </c>
      <c r="C20" s="85" t="str">
        <f ca="1">VLOOKUP($B20,OFFSET([2]quests!$A$1,0,0,COUNTA([2]quests!$A:$A),MATCH(C$1,[2]quests!$1:$1,0)-MATCH($B$1,[2]quests!$1:$1,0)+1),MATCH(C$1,[2]quests!$1:$1,0)-MATCH($B$1,[2]quests!$1:$1,0)+1,FALSE)</f>
        <v>検証クエスト</v>
      </c>
      <c r="D20" s="85" t="str">
        <f ca="1">VLOOKUP($B20,OFFSET([2]quests!$A$1,0,0,COUNTA([2]quests!$A:$A),MATCH(D$1,[2]quests!$1:$1,0)-MATCH($B$1,[2]quests!$1:$1,0)+1),MATCH(D$1,[2]quests!$1:$1,0)-MATCH($B$1,[2]quests!$1:$1,0)+1,FALSE)</f>
        <v>検証</v>
      </c>
      <c r="E20" s="89" t="s">
        <v>221</v>
      </c>
      <c r="F20" s="85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5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7">
        <v>0</v>
      </c>
      <c r="I20">
        <v>20</v>
      </c>
      <c r="J20" s="86" t="s">
        <v>203</v>
      </c>
      <c r="K20" s="96" t="str">
        <f>VLOOKUP(I20,[7]stage_hints!$A:$C,3,FALSE)</f>
        <v>マルチプレイのメリット（その3）</v>
      </c>
      <c r="L20" s="97" t="str">
        <f>VLOOKUP(I20,[7]stage_hints!$A:$D,4,FALSE)</f>
        <v>マルチプレイへの参加はエナジー消費ゼロ_x000D_いつでも好きなだけ遊ぶことができます</v>
      </c>
      <c r="M20" s="57" t="s">
        <v>218</v>
      </c>
    </row>
    <row r="21" spans="1:13" x14ac:dyDescent="0.15">
      <c r="A21" s="83" t="s">
        <v>206</v>
      </c>
      <c r="B21" s="84">
        <f>floors!$C$2</f>
        <v>65535</v>
      </c>
      <c r="C21" s="85" t="str">
        <f ca="1">VLOOKUP($B21,OFFSET([2]quests!$A$1,0,0,COUNTA([2]quests!$A:$A),MATCH(C$1,[2]quests!$1:$1,0)-MATCH($B$1,[2]quests!$1:$1,0)+1),MATCH(C$1,[2]quests!$1:$1,0)-MATCH($B$1,[2]quests!$1:$1,0)+1,FALSE)</f>
        <v>検証クエスト</v>
      </c>
      <c r="D21" s="85" t="str">
        <f ca="1">VLOOKUP($B21,OFFSET([2]quests!$A$1,0,0,COUNTA([2]quests!$A:$A),MATCH(D$1,[2]quests!$1:$1,0)-MATCH($B$1,[2]quests!$1:$1,0)+1),MATCH(D$1,[2]quests!$1:$1,0)-MATCH($B$1,[2]quests!$1:$1,0)+1,FALSE)</f>
        <v>検証</v>
      </c>
      <c r="E21" s="89" t="s">
        <v>221</v>
      </c>
      <c r="F21" s="85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5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7">
        <v>0</v>
      </c>
      <c r="I21">
        <v>21</v>
      </c>
      <c r="J21" s="86" t="s">
        <v>203</v>
      </c>
      <c r="K21" s="96" t="str">
        <f>VLOOKUP(I21,[7]stage_hints!$A:$C,3,FALSE)</f>
        <v>スキルを有効に</v>
      </c>
      <c r="L21" s="97" t="str">
        <f>VLOOKUP(I21,[7]stage_hints!$A:$D,4,FALSE)</f>
        <v>ターン経過でユニットのスキルが使えます_x000D_強力スキルでバトルを有利に進めましょう</v>
      </c>
      <c r="M21" s="57" t="s">
        <v>218</v>
      </c>
    </row>
    <row r="22" spans="1:13" x14ac:dyDescent="0.15">
      <c r="A22" s="83" t="s">
        <v>206</v>
      </c>
      <c r="B22" s="84">
        <f>floors!$C$2</f>
        <v>65535</v>
      </c>
      <c r="C22" s="85" t="str">
        <f ca="1">VLOOKUP($B22,OFFSET([2]quests!$A$1,0,0,COUNTA([2]quests!$A:$A),MATCH(C$1,[2]quests!$1:$1,0)-MATCH($B$1,[2]quests!$1:$1,0)+1),MATCH(C$1,[2]quests!$1:$1,0)-MATCH($B$1,[2]quests!$1:$1,0)+1,FALSE)</f>
        <v>検証クエスト</v>
      </c>
      <c r="D22" s="85" t="str">
        <f ca="1">VLOOKUP($B22,OFFSET([2]quests!$A$1,0,0,COUNTA([2]quests!$A:$A),MATCH(D$1,[2]quests!$1:$1,0)-MATCH($B$1,[2]quests!$1:$1,0)+1),MATCH(D$1,[2]quests!$1:$1,0)-MATCH($B$1,[2]quests!$1:$1,0)+1,FALSE)</f>
        <v>検証</v>
      </c>
      <c r="E22" s="89" t="s">
        <v>221</v>
      </c>
      <c r="F22" s="85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5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7">
        <v>0</v>
      </c>
      <c r="I22">
        <v>22</v>
      </c>
      <c r="J22" s="86" t="s">
        <v>203</v>
      </c>
      <c r="K22" s="96" t="str">
        <f>VLOOKUP(I22,[7]stage_hints!$A:$C,3,FALSE)</f>
        <v>フィーバーで一発逆転（その1）</v>
      </c>
      <c r="L22" s="97" t="str">
        <f>VLOOKUP(I22,[7]stage_hints!$A:$D,4,FALSE)</f>
        <v>フィーバーは攻撃と回復を兼ね備えます_x000D_ピンチからの一発逆転を狙いましょう</v>
      </c>
      <c r="M22" s="57" t="s">
        <v>218</v>
      </c>
    </row>
    <row r="23" spans="1:13" x14ac:dyDescent="0.15">
      <c r="A23" s="83" t="s">
        <v>206</v>
      </c>
      <c r="B23" s="84">
        <f>floors!$C$2</f>
        <v>65535</v>
      </c>
      <c r="C23" s="85" t="str">
        <f ca="1">VLOOKUP($B23,OFFSET([2]quests!$A$1,0,0,COUNTA([2]quests!$A:$A),MATCH(C$1,[2]quests!$1:$1,0)-MATCH($B$1,[2]quests!$1:$1,0)+1),MATCH(C$1,[2]quests!$1:$1,0)-MATCH($B$1,[2]quests!$1:$1,0)+1,FALSE)</f>
        <v>検証クエスト</v>
      </c>
      <c r="D23" s="85" t="str">
        <f ca="1">VLOOKUP($B23,OFFSET([2]quests!$A$1,0,0,COUNTA([2]quests!$A:$A),MATCH(D$1,[2]quests!$1:$1,0)-MATCH($B$1,[2]quests!$1:$1,0)+1),MATCH(D$1,[2]quests!$1:$1,0)-MATCH($B$1,[2]quests!$1:$1,0)+1,FALSE)</f>
        <v>検証</v>
      </c>
      <c r="E23" s="89" t="s">
        <v>221</v>
      </c>
      <c r="F23" s="85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5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7">
        <v>0</v>
      </c>
      <c r="I23">
        <v>23</v>
      </c>
      <c r="J23" s="86" t="s">
        <v>203</v>
      </c>
      <c r="K23" s="96" t="str">
        <f>VLOOKUP(I23,[7]stage_hints!$A:$C,3,FALSE)</f>
        <v>フィーバーで一発逆転（その2）</v>
      </c>
      <c r="L23" s="97" t="str">
        <f>VLOOKUP(I23,[7]stage_hints!$A:$D,4,FALSE)</f>
        <v>フィーバー中は虹色のボムパネルを狙って_x000D_画面上のパネルを一気に破壊しましょう</v>
      </c>
      <c r="M23" s="57" t="s">
        <v>218</v>
      </c>
    </row>
    <row r="24" spans="1:13" x14ac:dyDescent="0.15">
      <c r="A24" s="83" t="s">
        <v>206</v>
      </c>
      <c r="B24" s="84">
        <f>floors!$C$2</f>
        <v>65535</v>
      </c>
      <c r="C24" s="85" t="str">
        <f ca="1">VLOOKUP($B24,OFFSET([2]quests!$A$1,0,0,COUNTA([2]quests!$A:$A),MATCH(C$1,[2]quests!$1:$1,0)-MATCH($B$1,[2]quests!$1:$1,0)+1),MATCH(C$1,[2]quests!$1:$1,0)-MATCH($B$1,[2]quests!$1:$1,0)+1,FALSE)</f>
        <v>検証クエスト</v>
      </c>
      <c r="D24" s="85" t="str">
        <f ca="1">VLOOKUP($B24,OFFSET([2]quests!$A$1,0,0,COUNTA([2]quests!$A:$A),MATCH(D$1,[2]quests!$1:$1,0)-MATCH($B$1,[2]quests!$1:$1,0)+1),MATCH(D$1,[2]quests!$1:$1,0)-MATCH($B$1,[2]quests!$1:$1,0)+1,FALSE)</f>
        <v>検証</v>
      </c>
      <c r="E24" s="89" t="s">
        <v>221</v>
      </c>
      <c r="F24" s="85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5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7">
        <v>0</v>
      </c>
      <c r="I24">
        <v>24</v>
      </c>
      <c r="J24" s="86" t="s">
        <v>203</v>
      </c>
      <c r="K24" s="96" t="str">
        <f>VLOOKUP(I24,[7]stage_hints!$A:$C,3,FALSE)</f>
        <v>りんごを使って限界突破</v>
      </c>
      <c r="L24" s="97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7" t="s">
        <v>218</v>
      </c>
    </row>
    <row r="25" spans="1:13" x14ac:dyDescent="0.15">
      <c r="A25" s="83" t="s">
        <v>206</v>
      </c>
      <c r="B25" s="84">
        <f>floors!$C$2</f>
        <v>65535</v>
      </c>
      <c r="C25" s="85" t="str">
        <f ca="1">VLOOKUP($B25,OFFSET([2]quests!$A$1,0,0,COUNTA([2]quests!$A:$A),MATCH(C$1,[2]quests!$1:$1,0)-MATCH($B$1,[2]quests!$1:$1,0)+1),MATCH(C$1,[2]quests!$1:$1,0)-MATCH($B$1,[2]quests!$1:$1,0)+1,FALSE)</f>
        <v>検証クエスト</v>
      </c>
      <c r="D25" s="85" t="str">
        <f ca="1">VLOOKUP($B25,OFFSET([2]quests!$A$1,0,0,COUNTA([2]quests!$A:$A),MATCH(D$1,[2]quests!$1:$1,0)-MATCH($B$1,[2]quests!$1:$1,0)+1),MATCH(D$1,[2]quests!$1:$1,0)-MATCH($B$1,[2]quests!$1:$1,0)+1,FALSE)</f>
        <v>検証</v>
      </c>
      <c r="E25" s="89" t="s">
        <v>221</v>
      </c>
      <c r="F25" s="85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5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7">
        <v>0</v>
      </c>
      <c r="I25">
        <v>25</v>
      </c>
      <c r="J25" s="86" t="s">
        <v>203</v>
      </c>
      <c r="K25" s="96" t="str">
        <f>VLOOKUP(I25,[7]stage_hints!$A:$C,3,FALSE)</f>
        <v>スキルレベルアップ</v>
      </c>
      <c r="L25" s="97" t="str">
        <f>VLOOKUP(I25,[7]stage_hints!$A:$D,4,FALSE)</f>
        <v>「クリスタルのりんご」を強化に使うと_x000D_スキルレベルを上げることができます</v>
      </c>
      <c r="M25" s="57" t="s">
        <v>218</v>
      </c>
    </row>
    <row r="26" spans="1:13" x14ac:dyDescent="0.15">
      <c r="A26" s="83" t="s">
        <v>206</v>
      </c>
      <c r="B26" s="84">
        <f>floors!$C$2</f>
        <v>65535</v>
      </c>
      <c r="C26" s="85" t="str">
        <f ca="1">VLOOKUP($B26,OFFSET([2]quests!$A$1,0,0,COUNTA([2]quests!$A:$A),MATCH(C$1,[2]quests!$1:$1,0)-MATCH($B$1,[2]quests!$1:$1,0)+1),MATCH(C$1,[2]quests!$1:$1,0)-MATCH($B$1,[2]quests!$1:$1,0)+1,FALSE)</f>
        <v>検証クエスト</v>
      </c>
      <c r="D26" s="85" t="str">
        <f ca="1">VLOOKUP($B26,OFFSET([2]quests!$A$1,0,0,COUNTA([2]quests!$A:$A),MATCH(D$1,[2]quests!$1:$1,0)-MATCH($B$1,[2]quests!$1:$1,0)+1),MATCH(D$1,[2]quests!$1:$1,0)-MATCH($B$1,[2]quests!$1:$1,0)+1,FALSE)</f>
        <v>検証</v>
      </c>
      <c r="E26" s="89" t="s">
        <v>221</v>
      </c>
      <c r="F26" s="85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5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7">
        <v>0</v>
      </c>
      <c r="I26">
        <v>26</v>
      </c>
      <c r="J26" s="86" t="s">
        <v>203</v>
      </c>
      <c r="K26" s="96" t="str">
        <f>VLOOKUP(I26,[7]stage_hints!$A:$C,3,FALSE)</f>
        <v>スキルレベルの効果</v>
      </c>
      <c r="L26" s="97" t="str">
        <f>VLOOKUP(I26,[7]stage_hints!$A:$D,4,FALSE)</f>
        <v>スキルレベルが上がると_x000D_短いターンでスキルを使うことができます</v>
      </c>
      <c r="M26" s="57" t="s">
        <v>218</v>
      </c>
    </row>
    <row r="27" spans="1:13" x14ac:dyDescent="0.15">
      <c r="A27" s="83" t="s">
        <v>206</v>
      </c>
      <c r="B27" s="84">
        <f>floors!$C$2</f>
        <v>65535</v>
      </c>
      <c r="C27" s="85" t="str">
        <f ca="1">VLOOKUP($B27,OFFSET([2]quests!$A$1,0,0,COUNTA([2]quests!$A:$A),MATCH(C$1,[2]quests!$1:$1,0)-MATCH($B$1,[2]quests!$1:$1,0)+1),MATCH(C$1,[2]quests!$1:$1,0)-MATCH($B$1,[2]quests!$1:$1,0)+1,FALSE)</f>
        <v>検証クエスト</v>
      </c>
      <c r="D27" s="85" t="str">
        <f ca="1">VLOOKUP($B27,OFFSET([2]quests!$A$1,0,0,COUNTA([2]quests!$A:$A),MATCH(D$1,[2]quests!$1:$1,0)-MATCH($B$1,[2]quests!$1:$1,0)+1),MATCH(D$1,[2]quests!$1:$1,0)-MATCH($B$1,[2]quests!$1:$1,0)+1,FALSE)</f>
        <v>検証</v>
      </c>
      <c r="E27" s="89" t="s">
        <v>221</v>
      </c>
      <c r="F27" s="85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5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7">
        <v>0</v>
      </c>
      <c r="I27">
        <v>39</v>
      </c>
      <c r="J27" s="86" t="s">
        <v>203</v>
      </c>
      <c r="K27" s="96" t="str">
        <f>VLOOKUP(I27,[7]stage_hints!$A:$C,3,FALSE)</f>
        <v>システム適合者を確認</v>
      </c>
      <c r="L27" s="97" t="str">
        <f>VLOOKUP(I27,[7]stage_hints!$A:$D,4,FALSE)</f>
        <v>ALICEが 「アナタ」を呼んでいます</v>
      </c>
      <c r="M27" s="57" t="s">
        <v>218</v>
      </c>
    </row>
    <row r="28" spans="1:13" x14ac:dyDescent="0.15">
      <c r="A28" s="83" t="s">
        <v>206</v>
      </c>
      <c r="B28" s="84">
        <f>floors!$C$2</f>
        <v>65535</v>
      </c>
      <c r="C28" s="85" t="str">
        <f ca="1">VLOOKUP($B28,OFFSET([2]quests!$A$1,0,0,COUNTA([2]quests!$A:$A),MATCH(C$1,[2]quests!$1:$1,0)-MATCH($B$1,[2]quests!$1:$1,0)+1),MATCH(C$1,[2]quests!$1:$1,0)-MATCH($B$1,[2]quests!$1:$1,0)+1,FALSE)</f>
        <v>検証クエスト</v>
      </c>
      <c r="D28" s="85" t="str">
        <f ca="1">VLOOKUP($B28,OFFSET([2]quests!$A$1,0,0,COUNTA([2]quests!$A:$A),MATCH(D$1,[2]quests!$1:$1,0)-MATCH($B$1,[2]quests!$1:$1,0)+1),MATCH(D$1,[2]quests!$1:$1,0)-MATCH($B$1,[2]quests!$1:$1,0)+1,FALSE)</f>
        <v>検証</v>
      </c>
      <c r="E28" s="89" t="s">
        <v>222</v>
      </c>
      <c r="F28" s="85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5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7">
        <v>0</v>
      </c>
      <c r="I28">
        <v>3</v>
      </c>
      <c r="J28" s="86" t="s">
        <v>203</v>
      </c>
      <c r="K28" s="96" t="str">
        <f>VLOOKUP(I28,[7]stage_hints!$A:$C,3,FALSE)</f>
        <v>ターゲット</v>
      </c>
      <c r="L28" s="97" t="str">
        <f>VLOOKUP(I28,[7]stage_hints!$A:$D,4,FALSE)</f>
        <v>敵ユニットをタップすると_x000D_その敵を狙い撃ちできます</v>
      </c>
      <c r="M28" s="57" t="s">
        <v>218</v>
      </c>
    </row>
    <row r="29" spans="1:13" x14ac:dyDescent="0.15">
      <c r="A29" s="83" t="s">
        <v>206</v>
      </c>
      <c r="B29" s="84">
        <f>floors!$C$2</f>
        <v>65535</v>
      </c>
      <c r="C29" s="85" t="str">
        <f ca="1">VLOOKUP($B29,OFFSET([2]quests!$A$1,0,0,COUNTA([2]quests!$A:$A),MATCH(C$1,[2]quests!$1:$1,0)-MATCH($B$1,[2]quests!$1:$1,0)+1),MATCH(C$1,[2]quests!$1:$1,0)-MATCH($B$1,[2]quests!$1:$1,0)+1,FALSE)</f>
        <v>検証クエスト</v>
      </c>
      <c r="D29" s="85" t="str">
        <f ca="1">VLOOKUP($B29,OFFSET([2]quests!$A$1,0,0,COUNTA([2]quests!$A:$A),MATCH(D$1,[2]quests!$1:$1,0)-MATCH($B$1,[2]quests!$1:$1,0)+1),MATCH(D$1,[2]quests!$1:$1,0)-MATCH($B$1,[2]quests!$1:$1,0)+1,FALSE)</f>
        <v>検証</v>
      </c>
      <c r="E29" s="89" t="s">
        <v>222</v>
      </c>
      <c r="F29" s="85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5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7">
        <v>0</v>
      </c>
      <c r="I29">
        <v>6</v>
      </c>
      <c r="J29" s="86" t="s">
        <v>203</v>
      </c>
      <c r="K29" s="96" t="str">
        <f>VLOOKUP(I29,[7]stage_hints!$A:$C,3,FALSE)</f>
        <v>ユニット強化の属性ボーナス</v>
      </c>
      <c r="L29" s="97" t="str">
        <f>VLOOKUP(I29,[7]stage_hints!$A:$D,4,FALSE)</f>
        <v>同属性ユニットを強化素材にすると_x000D_経験値が多くもらえます</v>
      </c>
      <c r="M29" s="57" t="s">
        <v>218</v>
      </c>
    </row>
    <row r="30" spans="1:13" x14ac:dyDescent="0.15">
      <c r="A30" s="83" t="s">
        <v>206</v>
      </c>
      <c r="B30" s="84">
        <f>floors!$C$2</f>
        <v>65535</v>
      </c>
      <c r="C30" s="85" t="str">
        <f ca="1">VLOOKUP($B30,OFFSET([2]quests!$A$1,0,0,COUNTA([2]quests!$A:$A),MATCH(C$1,[2]quests!$1:$1,0)-MATCH($B$1,[2]quests!$1:$1,0)+1),MATCH(C$1,[2]quests!$1:$1,0)-MATCH($B$1,[2]quests!$1:$1,0)+1,FALSE)</f>
        <v>検証クエスト</v>
      </c>
      <c r="D30" s="85" t="str">
        <f ca="1">VLOOKUP($B30,OFFSET([2]quests!$A$1,0,0,COUNTA([2]quests!$A:$A),MATCH(D$1,[2]quests!$1:$1,0)-MATCH($B$1,[2]quests!$1:$1,0)+1),MATCH(D$1,[2]quests!$1:$1,0)-MATCH($B$1,[2]quests!$1:$1,0)+1,FALSE)</f>
        <v>検証</v>
      </c>
      <c r="E30" s="89" t="s">
        <v>222</v>
      </c>
      <c r="F30" s="85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5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7">
        <v>0</v>
      </c>
      <c r="I30">
        <v>7</v>
      </c>
      <c r="J30" s="86" t="s">
        <v>203</v>
      </c>
      <c r="K30" s="96" t="str">
        <f>VLOOKUP(I30,[7]stage_hints!$A:$C,3,FALSE)</f>
        <v>メタルダックで経験値を獲得</v>
      </c>
      <c r="L30" s="97" t="str">
        <f>VLOOKUP(I30,[7]stage_hints!$A:$D,4,FALSE)</f>
        <v>「メタルなアヒル」を強化素材にすると_x000D_大量の経験値がもらえます</v>
      </c>
      <c r="M30" s="57" t="s">
        <v>218</v>
      </c>
    </row>
    <row r="31" spans="1:13" x14ac:dyDescent="0.15">
      <c r="A31" s="83" t="s">
        <v>206</v>
      </c>
      <c r="B31" s="84">
        <f>floors!$C$2</f>
        <v>65535</v>
      </c>
      <c r="C31" s="85" t="str">
        <f ca="1">VLOOKUP($B31,OFFSET([2]quests!$A$1,0,0,COUNTA([2]quests!$A:$A),MATCH(C$1,[2]quests!$1:$1,0)-MATCH($B$1,[2]quests!$1:$1,0)+1),MATCH(C$1,[2]quests!$1:$1,0)-MATCH($B$1,[2]quests!$1:$1,0)+1,FALSE)</f>
        <v>検証クエスト</v>
      </c>
      <c r="D31" s="85" t="str">
        <f ca="1">VLOOKUP($B31,OFFSET([2]quests!$A$1,0,0,COUNTA([2]quests!$A:$A),MATCH(D$1,[2]quests!$1:$1,0)-MATCH($B$1,[2]quests!$1:$1,0)+1),MATCH(D$1,[2]quests!$1:$1,0)-MATCH($B$1,[2]quests!$1:$1,0)+1,FALSE)</f>
        <v>検証</v>
      </c>
      <c r="E31" s="89" t="s">
        <v>222</v>
      </c>
      <c r="F31" s="85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5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7">
        <v>0</v>
      </c>
      <c r="I31">
        <v>8</v>
      </c>
      <c r="J31" s="86" t="s">
        <v>203</v>
      </c>
      <c r="K31" s="96" t="str">
        <f>VLOOKUP(I31,[7]stage_hints!$A:$C,3,FALSE)</f>
        <v>ゲリラクエストは要チェック</v>
      </c>
      <c r="L31" s="97" t="str">
        <f>VLOOKUP(I31,[7]stage_hints!$A:$D,4,FALSE)</f>
        <v>時間限定の「アヒル捕獲作戦」では_x000D_経験値素材ユニットが多く手に入ります</v>
      </c>
      <c r="M31" s="57" t="s">
        <v>218</v>
      </c>
    </row>
    <row r="32" spans="1:13" x14ac:dyDescent="0.15">
      <c r="A32" s="83" t="s">
        <v>206</v>
      </c>
      <c r="B32" s="84">
        <f>floors!$C$2</f>
        <v>65535</v>
      </c>
      <c r="C32" s="85" t="str">
        <f ca="1">VLOOKUP($B32,OFFSET([2]quests!$A$1,0,0,COUNTA([2]quests!$A:$A),MATCH(C$1,[2]quests!$1:$1,0)-MATCH($B$1,[2]quests!$1:$1,0)+1),MATCH(C$1,[2]quests!$1:$1,0)-MATCH($B$1,[2]quests!$1:$1,0)+1,FALSE)</f>
        <v>検証クエスト</v>
      </c>
      <c r="D32" s="85" t="str">
        <f ca="1">VLOOKUP($B32,OFFSET([2]quests!$A$1,0,0,COUNTA([2]quests!$A:$A),MATCH(D$1,[2]quests!$1:$1,0)-MATCH($B$1,[2]quests!$1:$1,0)+1),MATCH(D$1,[2]quests!$1:$1,0)-MATCH($B$1,[2]quests!$1:$1,0)+1,FALSE)</f>
        <v>検証</v>
      </c>
      <c r="E32" s="89" t="s">
        <v>222</v>
      </c>
      <c r="F32" s="85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5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7">
        <v>0</v>
      </c>
      <c r="I32">
        <v>9</v>
      </c>
      <c r="J32" s="86" t="s">
        <v>203</v>
      </c>
      <c r="K32" s="96" t="str">
        <f>VLOOKUP(I32,[7]stage_hints!$A:$C,3,FALSE)</f>
        <v>ゴールドダックでビットを獲得</v>
      </c>
      <c r="L32" s="97" t="str">
        <f>VLOOKUP(I32,[7]stage_hints!$A:$D,4,FALSE)</f>
        <v>「ゴールドなアヒル」を売却すると_x000D_大量のビットがもらえます</v>
      </c>
      <c r="M32" s="57" t="s">
        <v>218</v>
      </c>
    </row>
    <row r="33" spans="1:13" x14ac:dyDescent="0.15">
      <c r="A33" s="83" t="s">
        <v>206</v>
      </c>
      <c r="B33" s="84">
        <f>floors!$C$2</f>
        <v>65535</v>
      </c>
      <c r="C33" s="85" t="str">
        <f ca="1">VLOOKUP($B33,OFFSET([2]quests!$A$1,0,0,COUNTA([2]quests!$A:$A),MATCH(C$1,[2]quests!$1:$1,0)-MATCH($B$1,[2]quests!$1:$1,0)+1),MATCH(C$1,[2]quests!$1:$1,0)-MATCH($B$1,[2]quests!$1:$1,0)+1,FALSE)</f>
        <v>検証クエスト</v>
      </c>
      <c r="D33" s="85" t="str">
        <f ca="1">VLOOKUP($B33,OFFSET([2]quests!$A$1,0,0,COUNTA([2]quests!$A:$A),MATCH(D$1,[2]quests!$1:$1,0)-MATCH($B$1,[2]quests!$1:$1,0)+1),MATCH(D$1,[2]quests!$1:$1,0)-MATCH($B$1,[2]quests!$1:$1,0)+1,FALSE)</f>
        <v>検証</v>
      </c>
      <c r="E33" s="89" t="s">
        <v>222</v>
      </c>
      <c r="F33" s="85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5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7">
        <v>0</v>
      </c>
      <c r="I33">
        <v>10</v>
      </c>
      <c r="J33" s="86" t="s">
        <v>203</v>
      </c>
      <c r="K33" s="96" t="str">
        <f>VLOOKUP(I33,[7]stage_hints!$A:$C,3,FALSE)</f>
        <v>土日に大量のビットを獲得</v>
      </c>
      <c r="L33" s="97" t="str">
        <f>VLOOKUP(I33,[7]stage_hints!$A:$D,4,FALSE)</f>
        <v>土日限定の「ゴールドカジノ」では_x000D_売却素材ユニットが多く手に入ります</v>
      </c>
      <c r="M33" s="57" t="s">
        <v>218</v>
      </c>
    </row>
    <row r="34" spans="1:13" x14ac:dyDescent="0.15">
      <c r="A34" s="83" t="s">
        <v>206</v>
      </c>
      <c r="B34" s="84">
        <f>floors!$C$2</f>
        <v>65535</v>
      </c>
      <c r="C34" s="85" t="str">
        <f ca="1">VLOOKUP($B34,OFFSET([2]quests!$A$1,0,0,COUNTA([2]quests!$A:$A),MATCH(C$1,[2]quests!$1:$1,0)-MATCH($B$1,[2]quests!$1:$1,0)+1),MATCH(C$1,[2]quests!$1:$1,0)-MATCH($B$1,[2]quests!$1:$1,0)+1,FALSE)</f>
        <v>検証クエスト</v>
      </c>
      <c r="D34" s="85" t="str">
        <f ca="1">VLOOKUP($B34,OFFSET([2]quests!$A$1,0,0,COUNTA([2]quests!$A:$A),MATCH(D$1,[2]quests!$1:$1,0)-MATCH($B$1,[2]quests!$1:$1,0)+1),MATCH(D$1,[2]quests!$1:$1,0)-MATCH($B$1,[2]quests!$1:$1,0)+1,FALSE)</f>
        <v>検証</v>
      </c>
      <c r="E34" s="89" t="s">
        <v>222</v>
      </c>
      <c r="F34" s="85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5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7">
        <v>0</v>
      </c>
      <c r="I34">
        <v>11</v>
      </c>
      <c r="J34" s="86" t="s">
        <v>203</v>
      </c>
      <c r="K34" s="96" t="str">
        <f>VLOOKUP(I34,[7]stage_hints!$A:$C,3,FALSE)</f>
        <v>ランク解放クエスト</v>
      </c>
      <c r="L34" s="97" t="str">
        <f>VLOOKUP(I34,[7]stage_hints!$A:$D,4,FALSE)</f>
        <v>一定ランクに到達すると_x000D_報酬付きのランク開放クエストが現れます</v>
      </c>
      <c r="M34" s="57" t="s">
        <v>218</v>
      </c>
    </row>
    <row r="35" spans="1:13" x14ac:dyDescent="0.15">
      <c r="A35" s="83" t="s">
        <v>206</v>
      </c>
      <c r="B35" s="84">
        <f>floors!$C$2</f>
        <v>65535</v>
      </c>
      <c r="C35" s="85" t="str">
        <f ca="1">VLOOKUP($B35,OFFSET([2]quests!$A$1,0,0,COUNTA([2]quests!$A:$A),MATCH(C$1,[2]quests!$1:$1,0)-MATCH($B$1,[2]quests!$1:$1,0)+1),MATCH(C$1,[2]quests!$1:$1,0)-MATCH($B$1,[2]quests!$1:$1,0)+1,FALSE)</f>
        <v>検証クエスト</v>
      </c>
      <c r="D35" s="85" t="str">
        <f ca="1">VLOOKUP($B35,OFFSET([2]quests!$A$1,0,0,COUNTA([2]quests!$A:$A),MATCH(D$1,[2]quests!$1:$1,0)-MATCH($B$1,[2]quests!$1:$1,0)+1),MATCH(D$1,[2]quests!$1:$1,0)-MATCH($B$1,[2]quests!$1:$1,0)+1,FALSE)</f>
        <v>検証</v>
      </c>
      <c r="E35" s="89" t="s">
        <v>222</v>
      </c>
      <c r="F35" s="85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5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7">
        <v>0</v>
      </c>
      <c r="I35">
        <v>12</v>
      </c>
      <c r="J35" s="86" t="s">
        <v>203</v>
      </c>
      <c r="K35" s="96" t="str">
        <f>VLOOKUP(I35,[7]stage_hints!$A:$C,3,FALSE)</f>
        <v>ユニットのお気に入り登録</v>
      </c>
      <c r="L35" s="97" t="str">
        <f>VLOOKUP(I35,[7]stage_hints!$A:$D,4,FALSE)</f>
        <v>大事なユニットを誤って消さないように_x000D_フォルダから「お気に入り登録」しましょう</v>
      </c>
      <c r="M35" s="57" t="s">
        <v>218</v>
      </c>
    </row>
    <row r="36" spans="1:13" x14ac:dyDescent="0.15">
      <c r="A36" s="83" t="s">
        <v>206</v>
      </c>
      <c r="B36" s="84">
        <f>floors!$C$2</f>
        <v>65535</v>
      </c>
      <c r="C36" s="85" t="str">
        <f ca="1">VLOOKUP($B36,OFFSET([2]quests!$A$1,0,0,COUNTA([2]quests!$A:$A),MATCH(C$1,[2]quests!$1:$1,0)-MATCH($B$1,[2]quests!$1:$1,0)+1),MATCH(C$1,[2]quests!$1:$1,0)-MATCH($B$1,[2]quests!$1:$1,0)+1,FALSE)</f>
        <v>検証クエスト</v>
      </c>
      <c r="D36" s="85" t="str">
        <f ca="1">VLOOKUP($B36,OFFSET([2]quests!$A$1,0,0,COUNTA([2]quests!$A:$A),MATCH(D$1,[2]quests!$1:$1,0)-MATCH($B$1,[2]quests!$1:$1,0)+1),MATCH(D$1,[2]quests!$1:$1,0)-MATCH($B$1,[2]quests!$1:$1,0)+1,FALSE)</f>
        <v>検証</v>
      </c>
      <c r="E36" s="89" t="s">
        <v>222</v>
      </c>
      <c r="F36" s="85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5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7">
        <v>0</v>
      </c>
      <c r="I36">
        <v>13</v>
      </c>
      <c r="J36" s="86" t="s">
        <v>203</v>
      </c>
      <c r="K36" s="96" t="str">
        <f>VLOOKUP(I36,[7]stage_hints!$A:$C,3,FALSE)</f>
        <v>ユニットの覚醒</v>
      </c>
      <c r="L36" s="97" t="str">
        <f>VLOOKUP(I36,[7]stage_hints!$A:$D,4,FALSE)</f>
        <v>ユニットを覚醒させると_x000D_比べものにならない強さが手に入ります</v>
      </c>
      <c r="M36" s="57" t="s">
        <v>218</v>
      </c>
    </row>
    <row r="37" spans="1:13" x14ac:dyDescent="0.15">
      <c r="A37" s="83" t="s">
        <v>206</v>
      </c>
      <c r="B37" s="84">
        <f>floors!$C$2</f>
        <v>65535</v>
      </c>
      <c r="C37" s="85" t="str">
        <f ca="1">VLOOKUP($B37,OFFSET([2]quests!$A$1,0,0,COUNTA([2]quests!$A:$A),MATCH(C$1,[2]quests!$1:$1,0)-MATCH($B$1,[2]quests!$1:$1,0)+1),MATCH(C$1,[2]quests!$1:$1,0)-MATCH($B$1,[2]quests!$1:$1,0)+1,FALSE)</f>
        <v>検証クエスト</v>
      </c>
      <c r="D37" s="85" t="str">
        <f ca="1">VLOOKUP($B37,OFFSET([2]quests!$A$1,0,0,COUNTA([2]quests!$A:$A),MATCH(D$1,[2]quests!$1:$1,0)-MATCH($B$1,[2]quests!$1:$1,0)+1),MATCH(D$1,[2]quests!$1:$1,0)-MATCH($B$1,[2]quests!$1:$1,0)+1,FALSE)</f>
        <v>検証</v>
      </c>
      <c r="E37" s="89" t="s">
        <v>222</v>
      </c>
      <c r="F37" s="85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5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7">
        <v>0</v>
      </c>
      <c r="I37">
        <v>14</v>
      </c>
      <c r="J37" s="86" t="s">
        <v>203</v>
      </c>
      <c r="K37" s="96" t="str">
        <f>VLOOKUP(I37,[7]stage_hints!$A:$C,3,FALSE)</f>
        <v>覚醒するにはレベルを最大に</v>
      </c>
      <c r="L37" s="97" t="str">
        <f>VLOOKUP(I37,[7]stage_hints!$A:$D,4,FALSE)</f>
        <v>覚醒するにはユニットのレベルを_x000D_最大まで上げる必要があります</v>
      </c>
      <c r="M37" s="57" t="s">
        <v>218</v>
      </c>
    </row>
    <row r="38" spans="1:13" x14ac:dyDescent="0.15">
      <c r="A38" s="83" t="s">
        <v>206</v>
      </c>
      <c r="B38" s="84">
        <f>floors!$C$2</f>
        <v>65535</v>
      </c>
      <c r="C38" s="85" t="str">
        <f ca="1">VLOOKUP($B38,OFFSET([2]quests!$A$1,0,0,COUNTA([2]quests!$A:$A),MATCH(C$1,[2]quests!$1:$1,0)-MATCH($B$1,[2]quests!$1:$1,0)+1),MATCH(C$1,[2]quests!$1:$1,0)-MATCH($B$1,[2]quests!$1:$1,0)+1,FALSE)</f>
        <v>検証クエスト</v>
      </c>
      <c r="D38" s="85" t="str">
        <f ca="1">VLOOKUP($B38,OFFSET([2]quests!$A$1,0,0,COUNTA([2]quests!$A:$A),MATCH(D$1,[2]quests!$1:$1,0)-MATCH($B$1,[2]quests!$1:$1,0)+1),MATCH(D$1,[2]quests!$1:$1,0)-MATCH($B$1,[2]quests!$1:$1,0)+1,FALSE)</f>
        <v>検証</v>
      </c>
      <c r="E38" s="89" t="s">
        <v>222</v>
      </c>
      <c r="F38" s="85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5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7">
        <v>0</v>
      </c>
      <c r="I38">
        <v>15</v>
      </c>
      <c r="J38" s="86" t="s">
        <v>203</v>
      </c>
      <c r="K38" s="96" t="str">
        <f>VLOOKUP(I38,[7]stage_hints!$A:$C,3,FALSE)</f>
        <v>覚醒素材を獲得</v>
      </c>
      <c r="L38" s="97" t="str">
        <f>VLOOKUP(I38,[7]stage_hints!$A:$D,4,FALSE)</f>
        <v>「曜日クエスト」では_x000D_ユニットの覚醒に必要な素材が手に入ります</v>
      </c>
      <c r="M38" s="57" t="s">
        <v>218</v>
      </c>
    </row>
    <row r="39" spans="1:13" x14ac:dyDescent="0.15">
      <c r="A39" s="83" t="s">
        <v>206</v>
      </c>
      <c r="B39" s="84">
        <f>floors!$C$2</f>
        <v>65535</v>
      </c>
      <c r="C39" s="85" t="str">
        <f ca="1">VLOOKUP($B39,OFFSET([2]quests!$A$1,0,0,COUNTA([2]quests!$A:$A),MATCH(C$1,[2]quests!$1:$1,0)-MATCH($B$1,[2]quests!$1:$1,0)+1),MATCH(C$1,[2]quests!$1:$1,0)-MATCH($B$1,[2]quests!$1:$1,0)+1,FALSE)</f>
        <v>検証クエスト</v>
      </c>
      <c r="D39" s="85" t="str">
        <f ca="1">VLOOKUP($B39,OFFSET([2]quests!$A$1,0,0,COUNTA([2]quests!$A:$A),MATCH(D$1,[2]quests!$1:$1,0)-MATCH($B$1,[2]quests!$1:$1,0)+1),MATCH(D$1,[2]quests!$1:$1,0)-MATCH($B$1,[2]quests!$1:$1,0)+1,FALSE)</f>
        <v>検証</v>
      </c>
      <c r="E39" s="89" t="s">
        <v>222</v>
      </c>
      <c r="F39" s="85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5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7">
        <v>0</v>
      </c>
      <c r="I39">
        <v>16</v>
      </c>
      <c r="J39" s="86" t="s">
        <v>203</v>
      </c>
      <c r="K39" s="96" t="str">
        <f>VLOOKUP(I39,[7]stage_hints!$A:$C,3,FALSE)</f>
        <v>マルチプレイのメリット（その1）</v>
      </c>
      <c r="L39" s="97" t="str">
        <f>VLOOKUP(I39,[7]stage_hints!$A:$D,4,FALSE)</f>
        <v>他のプレイヤーとマルチプレイで遊ぶと_x000D_ポリゴンがもらえます（100人まで）</v>
      </c>
      <c r="M39" s="57" t="s">
        <v>218</v>
      </c>
    </row>
    <row r="40" spans="1:13" x14ac:dyDescent="0.15">
      <c r="A40" s="83" t="s">
        <v>206</v>
      </c>
      <c r="B40" s="84">
        <f>floors!$C$2</f>
        <v>65535</v>
      </c>
      <c r="C40" s="85" t="str">
        <f ca="1">VLOOKUP($B40,OFFSET([2]quests!$A$1,0,0,COUNTA([2]quests!$A:$A),MATCH(C$1,[2]quests!$1:$1,0)-MATCH($B$1,[2]quests!$1:$1,0)+1),MATCH(C$1,[2]quests!$1:$1,0)-MATCH($B$1,[2]quests!$1:$1,0)+1,FALSE)</f>
        <v>検証クエスト</v>
      </c>
      <c r="D40" s="85" t="str">
        <f ca="1">VLOOKUP($B40,OFFSET([2]quests!$A$1,0,0,COUNTA([2]quests!$A:$A),MATCH(D$1,[2]quests!$1:$1,0)-MATCH($B$1,[2]quests!$1:$1,0)+1),MATCH(D$1,[2]quests!$1:$1,0)-MATCH($B$1,[2]quests!$1:$1,0)+1,FALSE)</f>
        <v>検証</v>
      </c>
      <c r="E40" s="89" t="s">
        <v>222</v>
      </c>
      <c r="F40" s="85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5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7">
        <v>0</v>
      </c>
      <c r="I40">
        <v>17</v>
      </c>
      <c r="J40" s="86" t="s">
        <v>203</v>
      </c>
      <c r="K40" s="96" t="str">
        <f>VLOOKUP(I40,[7]stage_hints!$A:$C,3,FALSE)</f>
        <v>リンクガチャ</v>
      </c>
      <c r="L40" s="97" t="str">
        <f>VLOOKUP(I40,[7]stage_hints!$A:$D,4,FALSE)</f>
        <v>無料のリンクガチャを回して_x000D_経験値素材や売却素材を獲得しましょう</v>
      </c>
      <c r="M40" s="57" t="s">
        <v>218</v>
      </c>
    </row>
    <row r="41" spans="1:13" x14ac:dyDescent="0.15">
      <c r="A41" s="83" t="s">
        <v>206</v>
      </c>
      <c r="B41" s="84">
        <f>floors!$C$2</f>
        <v>65535</v>
      </c>
      <c r="C41" s="85" t="str">
        <f ca="1">VLOOKUP($B41,OFFSET([2]quests!$A$1,0,0,COUNTA([2]quests!$A:$A),MATCH(C$1,[2]quests!$1:$1,0)-MATCH($B$1,[2]quests!$1:$1,0)+1),MATCH(C$1,[2]quests!$1:$1,0)-MATCH($B$1,[2]quests!$1:$1,0)+1,FALSE)</f>
        <v>検証クエスト</v>
      </c>
      <c r="D41" s="85" t="str">
        <f ca="1">VLOOKUP($B41,OFFSET([2]quests!$A$1,0,0,COUNTA([2]quests!$A:$A),MATCH(D$1,[2]quests!$1:$1,0)-MATCH($B$1,[2]quests!$1:$1,0)+1),MATCH(D$1,[2]quests!$1:$1,0)-MATCH($B$1,[2]quests!$1:$1,0)+1,FALSE)</f>
        <v>検証</v>
      </c>
      <c r="E41" s="89" t="s">
        <v>222</v>
      </c>
      <c r="F41" s="85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5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7">
        <v>0</v>
      </c>
      <c r="I41">
        <v>18</v>
      </c>
      <c r="J41" s="86" t="s">
        <v>203</v>
      </c>
      <c r="K41" s="96" t="str">
        <f>VLOOKUP(I41,[7]stage_hints!$A:$C,3,FALSE)</f>
        <v>マルチプレイのメリット（その2）</v>
      </c>
      <c r="L41" s="97" t="str">
        <f>VLOOKUP(I41,[7]stage_hints!$A:$D,4,FALSE)</f>
        <v>マルチプレイならリンクが2倍もらえます_x000D_リンクガチャをたくさん回しましょう</v>
      </c>
      <c r="M41" s="57" t="s">
        <v>218</v>
      </c>
    </row>
    <row r="42" spans="1:13" x14ac:dyDescent="0.15">
      <c r="A42" s="83" t="s">
        <v>206</v>
      </c>
      <c r="B42" s="84">
        <f>floors!$C$2</f>
        <v>65535</v>
      </c>
      <c r="C42" s="85" t="str">
        <f ca="1">VLOOKUP($B42,OFFSET([2]quests!$A$1,0,0,COUNTA([2]quests!$A:$A),MATCH(C$1,[2]quests!$1:$1,0)-MATCH($B$1,[2]quests!$1:$1,0)+1),MATCH(C$1,[2]quests!$1:$1,0)-MATCH($B$1,[2]quests!$1:$1,0)+1,FALSE)</f>
        <v>検証クエスト</v>
      </c>
      <c r="D42" s="85" t="str">
        <f ca="1">VLOOKUP($B42,OFFSET([2]quests!$A$1,0,0,COUNTA([2]quests!$A:$A),MATCH(D$1,[2]quests!$1:$1,0)-MATCH($B$1,[2]quests!$1:$1,0)+1),MATCH(D$1,[2]quests!$1:$1,0)-MATCH($B$1,[2]quests!$1:$1,0)+1,FALSE)</f>
        <v>検証</v>
      </c>
      <c r="E42" s="89" t="s">
        <v>222</v>
      </c>
      <c r="F42" s="85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5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7">
        <v>0</v>
      </c>
      <c r="I42">
        <v>19</v>
      </c>
      <c r="J42" s="86" t="s">
        <v>203</v>
      </c>
      <c r="K42" s="96" t="str">
        <f>VLOOKUP(I42,[7]stage_hints!$A:$C,3,FALSE)</f>
        <v>ソロ専用チャレンジタワー</v>
      </c>
      <c r="L42" s="97" t="str">
        <f>VLOOKUP(I42,[7]stage_hints!$A:$D,4,FALSE)</f>
        <v>ソロ専用の「チャレンジタワー」では_x000D_各フロアごとにクリア報酬がもらえます</v>
      </c>
      <c r="M42" s="57" t="s">
        <v>218</v>
      </c>
    </row>
    <row r="43" spans="1:13" x14ac:dyDescent="0.15">
      <c r="A43" s="83" t="s">
        <v>206</v>
      </c>
      <c r="B43" s="84">
        <f>floors!$C$2</f>
        <v>65535</v>
      </c>
      <c r="C43" s="85" t="str">
        <f ca="1">VLOOKUP($B43,OFFSET([2]quests!$A$1,0,0,COUNTA([2]quests!$A:$A),MATCH(C$1,[2]quests!$1:$1,0)-MATCH($B$1,[2]quests!$1:$1,0)+1),MATCH(C$1,[2]quests!$1:$1,0)-MATCH($B$1,[2]quests!$1:$1,0)+1,FALSE)</f>
        <v>検証クエスト</v>
      </c>
      <c r="D43" s="85" t="str">
        <f ca="1">VLOOKUP($B43,OFFSET([2]quests!$A$1,0,0,COUNTA([2]quests!$A:$A),MATCH(D$1,[2]quests!$1:$1,0)-MATCH($B$1,[2]quests!$1:$1,0)+1),MATCH(D$1,[2]quests!$1:$1,0)-MATCH($B$1,[2]quests!$1:$1,0)+1,FALSE)</f>
        <v>検証</v>
      </c>
      <c r="E43" s="89" t="s">
        <v>222</v>
      </c>
      <c r="F43" s="85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5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7">
        <v>0</v>
      </c>
      <c r="I43">
        <v>20</v>
      </c>
      <c r="J43" s="86" t="s">
        <v>203</v>
      </c>
      <c r="K43" s="96" t="str">
        <f>VLOOKUP(I43,[7]stage_hints!$A:$C,3,FALSE)</f>
        <v>マルチプレイのメリット（その3）</v>
      </c>
      <c r="L43" s="97" t="str">
        <f>VLOOKUP(I43,[7]stage_hints!$A:$D,4,FALSE)</f>
        <v>マルチプレイへの参加はエナジー消費ゼロ_x000D_いつでも好きなだけ遊ぶことができます</v>
      </c>
      <c r="M43" s="57" t="s">
        <v>218</v>
      </c>
    </row>
    <row r="44" spans="1:13" x14ac:dyDescent="0.15">
      <c r="A44" s="83" t="s">
        <v>206</v>
      </c>
      <c r="B44" s="84">
        <f>floors!$C$2</f>
        <v>65535</v>
      </c>
      <c r="C44" s="85" t="str">
        <f ca="1">VLOOKUP($B44,OFFSET([2]quests!$A$1,0,0,COUNTA([2]quests!$A:$A),MATCH(C$1,[2]quests!$1:$1,0)-MATCH($B$1,[2]quests!$1:$1,0)+1),MATCH(C$1,[2]quests!$1:$1,0)-MATCH($B$1,[2]quests!$1:$1,0)+1,FALSE)</f>
        <v>検証クエスト</v>
      </c>
      <c r="D44" s="85" t="str">
        <f ca="1">VLOOKUP($B44,OFFSET([2]quests!$A$1,0,0,COUNTA([2]quests!$A:$A),MATCH(D$1,[2]quests!$1:$1,0)-MATCH($B$1,[2]quests!$1:$1,0)+1),MATCH(D$1,[2]quests!$1:$1,0)-MATCH($B$1,[2]quests!$1:$1,0)+1,FALSE)</f>
        <v>検証</v>
      </c>
      <c r="E44" s="89" t="s">
        <v>222</v>
      </c>
      <c r="F44" s="85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5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7">
        <v>0</v>
      </c>
      <c r="I44">
        <v>21</v>
      </c>
      <c r="J44" s="86" t="s">
        <v>203</v>
      </c>
      <c r="K44" s="96" t="str">
        <f>VLOOKUP(I44,[7]stage_hints!$A:$C,3,FALSE)</f>
        <v>スキルを有効に</v>
      </c>
      <c r="L44" s="97" t="str">
        <f>VLOOKUP(I44,[7]stage_hints!$A:$D,4,FALSE)</f>
        <v>ターン経過でユニットのスキルが使えます_x000D_強力スキルでバトルを有利に進めましょう</v>
      </c>
      <c r="M44" s="57" t="s">
        <v>218</v>
      </c>
    </row>
    <row r="45" spans="1:13" x14ac:dyDescent="0.15">
      <c r="A45" s="83" t="s">
        <v>206</v>
      </c>
      <c r="B45" s="84">
        <f>floors!$C$2</f>
        <v>65535</v>
      </c>
      <c r="C45" s="85" t="str">
        <f ca="1">VLOOKUP($B45,OFFSET([2]quests!$A$1,0,0,COUNTA([2]quests!$A:$A),MATCH(C$1,[2]quests!$1:$1,0)-MATCH($B$1,[2]quests!$1:$1,0)+1),MATCH(C$1,[2]quests!$1:$1,0)-MATCH($B$1,[2]quests!$1:$1,0)+1,FALSE)</f>
        <v>検証クエスト</v>
      </c>
      <c r="D45" s="85" t="str">
        <f ca="1">VLOOKUP($B45,OFFSET([2]quests!$A$1,0,0,COUNTA([2]quests!$A:$A),MATCH(D$1,[2]quests!$1:$1,0)-MATCH($B$1,[2]quests!$1:$1,0)+1),MATCH(D$1,[2]quests!$1:$1,0)-MATCH($B$1,[2]quests!$1:$1,0)+1,FALSE)</f>
        <v>検証</v>
      </c>
      <c r="E45" s="89" t="s">
        <v>222</v>
      </c>
      <c r="F45" s="85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5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7">
        <v>0</v>
      </c>
      <c r="I45">
        <v>22</v>
      </c>
      <c r="J45" s="86" t="s">
        <v>203</v>
      </c>
      <c r="K45" s="96" t="str">
        <f>VLOOKUP(I45,[7]stage_hints!$A:$C,3,FALSE)</f>
        <v>フィーバーで一発逆転（その1）</v>
      </c>
      <c r="L45" s="97" t="str">
        <f>VLOOKUP(I45,[7]stage_hints!$A:$D,4,FALSE)</f>
        <v>フィーバーは攻撃と回復を兼ね備えます_x000D_ピンチからの一発逆転を狙いましょう</v>
      </c>
      <c r="M45" s="57" t="s">
        <v>218</v>
      </c>
    </row>
    <row r="46" spans="1:13" x14ac:dyDescent="0.15">
      <c r="A46" s="83" t="s">
        <v>206</v>
      </c>
      <c r="B46" s="84">
        <f>floors!$C$2</f>
        <v>65535</v>
      </c>
      <c r="C46" s="85" t="str">
        <f ca="1">VLOOKUP($B46,OFFSET([2]quests!$A$1,0,0,COUNTA([2]quests!$A:$A),MATCH(C$1,[2]quests!$1:$1,0)-MATCH($B$1,[2]quests!$1:$1,0)+1),MATCH(C$1,[2]quests!$1:$1,0)-MATCH($B$1,[2]quests!$1:$1,0)+1,FALSE)</f>
        <v>検証クエスト</v>
      </c>
      <c r="D46" s="85" t="str">
        <f ca="1">VLOOKUP($B46,OFFSET([2]quests!$A$1,0,0,COUNTA([2]quests!$A:$A),MATCH(D$1,[2]quests!$1:$1,0)-MATCH($B$1,[2]quests!$1:$1,0)+1),MATCH(D$1,[2]quests!$1:$1,0)-MATCH($B$1,[2]quests!$1:$1,0)+1,FALSE)</f>
        <v>検証</v>
      </c>
      <c r="E46" s="89" t="s">
        <v>222</v>
      </c>
      <c r="F46" s="85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5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7">
        <v>0</v>
      </c>
      <c r="I46">
        <v>23</v>
      </c>
      <c r="J46" s="86" t="s">
        <v>203</v>
      </c>
      <c r="K46" s="96" t="str">
        <f>VLOOKUP(I46,[7]stage_hints!$A:$C,3,FALSE)</f>
        <v>フィーバーで一発逆転（その2）</v>
      </c>
      <c r="L46" s="97" t="str">
        <f>VLOOKUP(I46,[7]stage_hints!$A:$D,4,FALSE)</f>
        <v>フィーバー中は虹色のボムパネルを狙って_x000D_画面上のパネルを一気に破壊しましょう</v>
      </c>
      <c r="M46" s="57" t="s">
        <v>218</v>
      </c>
    </row>
    <row r="47" spans="1:13" x14ac:dyDescent="0.15">
      <c r="A47" s="83" t="s">
        <v>206</v>
      </c>
      <c r="B47" s="84">
        <f>floors!$C$2</f>
        <v>65535</v>
      </c>
      <c r="C47" s="85" t="str">
        <f ca="1">VLOOKUP($B47,OFFSET([2]quests!$A$1,0,0,COUNTA([2]quests!$A:$A),MATCH(C$1,[2]quests!$1:$1,0)-MATCH($B$1,[2]quests!$1:$1,0)+1),MATCH(C$1,[2]quests!$1:$1,0)-MATCH($B$1,[2]quests!$1:$1,0)+1,FALSE)</f>
        <v>検証クエスト</v>
      </c>
      <c r="D47" s="85" t="str">
        <f ca="1">VLOOKUP($B47,OFFSET([2]quests!$A$1,0,0,COUNTA([2]quests!$A:$A),MATCH(D$1,[2]quests!$1:$1,0)-MATCH($B$1,[2]quests!$1:$1,0)+1),MATCH(D$1,[2]quests!$1:$1,0)-MATCH($B$1,[2]quests!$1:$1,0)+1,FALSE)</f>
        <v>検証</v>
      </c>
      <c r="E47" s="89" t="s">
        <v>222</v>
      </c>
      <c r="F47" s="85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5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7">
        <v>0</v>
      </c>
      <c r="I47">
        <v>24</v>
      </c>
      <c r="J47" s="86" t="s">
        <v>203</v>
      </c>
      <c r="K47" s="96" t="str">
        <f>VLOOKUP(I47,[7]stage_hints!$A:$C,3,FALSE)</f>
        <v>りんごを使って限界突破</v>
      </c>
      <c r="L47" s="97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7" t="s">
        <v>218</v>
      </c>
    </row>
    <row r="48" spans="1:13" x14ac:dyDescent="0.15">
      <c r="A48" s="83" t="s">
        <v>206</v>
      </c>
      <c r="B48" s="84">
        <f>floors!$C$2</f>
        <v>65535</v>
      </c>
      <c r="C48" s="85" t="str">
        <f ca="1">VLOOKUP($B48,OFFSET([2]quests!$A$1,0,0,COUNTA([2]quests!$A:$A),MATCH(C$1,[2]quests!$1:$1,0)-MATCH($B$1,[2]quests!$1:$1,0)+1),MATCH(C$1,[2]quests!$1:$1,0)-MATCH($B$1,[2]quests!$1:$1,0)+1,FALSE)</f>
        <v>検証クエスト</v>
      </c>
      <c r="D48" s="85" t="str">
        <f ca="1">VLOOKUP($B48,OFFSET([2]quests!$A$1,0,0,COUNTA([2]quests!$A:$A),MATCH(D$1,[2]quests!$1:$1,0)-MATCH($B$1,[2]quests!$1:$1,0)+1),MATCH(D$1,[2]quests!$1:$1,0)-MATCH($B$1,[2]quests!$1:$1,0)+1,FALSE)</f>
        <v>検証</v>
      </c>
      <c r="E48" s="89" t="s">
        <v>222</v>
      </c>
      <c r="F48" s="85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5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7">
        <v>0</v>
      </c>
      <c r="I48">
        <v>25</v>
      </c>
      <c r="J48" s="86" t="s">
        <v>203</v>
      </c>
      <c r="K48" s="96" t="str">
        <f>VLOOKUP(I48,[7]stage_hints!$A:$C,3,FALSE)</f>
        <v>スキルレベルアップ</v>
      </c>
      <c r="L48" s="97" t="str">
        <f>VLOOKUP(I48,[7]stage_hints!$A:$D,4,FALSE)</f>
        <v>「クリスタルのりんご」を強化に使うと_x000D_スキルレベルを上げることができます</v>
      </c>
      <c r="M48" s="57" t="s">
        <v>218</v>
      </c>
    </row>
    <row r="49" spans="1:13" x14ac:dyDescent="0.15">
      <c r="A49" s="83" t="s">
        <v>206</v>
      </c>
      <c r="B49" s="84">
        <f>floors!$C$2</f>
        <v>65535</v>
      </c>
      <c r="C49" s="85" t="str">
        <f ca="1">VLOOKUP($B49,OFFSET([2]quests!$A$1,0,0,COUNTA([2]quests!$A:$A),MATCH(C$1,[2]quests!$1:$1,0)-MATCH($B$1,[2]quests!$1:$1,0)+1),MATCH(C$1,[2]quests!$1:$1,0)-MATCH($B$1,[2]quests!$1:$1,0)+1,FALSE)</f>
        <v>検証クエスト</v>
      </c>
      <c r="D49" s="85" t="str">
        <f ca="1">VLOOKUP($B49,OFFSET([2]quests!$A$1,0,0,COUNTA([2]quests!$A:$A),MATCH(D$1,[2]quests!$1:$1,0)-MATCH($B$1,[2]quests!$1:$1,0)+1),MATCH(D$1,[2]quests!$1:$1,0)-MATCH($B$1,[2]quests!$1:$1,0)+1,FALSE)</f>
        <v>検証</v>
      </c>
      <c r="E49" s="89" t="s">
        <v>222</v>
      </c>
      <c r="F49" s="85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5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7">
        <v>0</v>
      </c>
      <c r="I49">
        <v>26</v>
      </c>
      <c r="J49" s="86" t="s">
        <v>203</v>
      </c>
      <c r="K49" s="96" t="str">
        <f>VLOOKUP(I49,[7]stage_hints!$A:$C,3,FALSE)</f>
        <v>スキルレベルの効果</v>
      </c>
      <c r="L49" s="97" t="str">
        <f>VLOOKUP(I49,[7]stage_hints!$A:$D,4,FALSE)</f>
        <v>スキルレベルが上がると_x000D_短いターンでスキルを使うことができます</v>
      </c>
      <c r="M49" s="57" t="s">
        <v>218</v>
      </c>
    </row>
    <row r="50" spans="1:13" x14ac:dyDescent="0.15">
      <c r="A50" s="83" t="s">
        <v>206</v>
      </c>
      <c r="B50" s="84">
        <f>floors!$C$2</f>
        <v>65535</v>
      </c>
      <c r="C50" s="85" t="str">
        <f ca="1">VLOOKUP($B50,OFFSET([2]quests!$A$1,0,0,COUNTA([2]quests!$A:$A),MATCH(C$1,[2]quests!$1:$1,0)-MATCH($B$1,[2]quests!$1:$1,0)+1),MATCH(C$1,[2]quests!$1:$1,0)-MATCH($B$1,[2]quests!$1:$1,0)+1,FALSE)</f>
        <v>検証クエスト</v>
      </c>
      <c r="D50" s="85" t="str">
        <f ca="1">VLOOKUP($B50,OFFSET([2]quests!$A$1,0,0,COUNTA([2]quests!$A:$A),MATCH(D$1,[2]quests!$1:$1,0)-MATCH($B$1,[2]quests!$1:$1,0)+1),MATCH(D$1,[2]quests!$1:$1,0)-MATCH($B$1,[2]quests!$1:$1,0)+1,FALSE)</f>
        <v>検証</v>
      </c>
      <c r="E50" s="89" t="s">
        <v>222</v>
      </c>
      <c r="F50" s="85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5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7">
        <v>0</v>
      </c>
      <c r="I50">
        <v>27</v>
      </c>
      <c r="J50" s="86" t="s">
        <v>203</v>
      </c>
      <c r="K50" s="96" t="str">
        <f>VLOOKUP(I50,[7]stage_hints!$A:$C,3,FALSE)</f>
        <v>ホーム画面からデッキを編成</v>
      </c>
      <c r="L50" s="97" t="str">
        <f>VLOOKUP(I50,[7]stage_hints!$A:$D,4,FALSE)</f>
        <v>ホーム画面でユニットを長押しすると_x000D_すぐにパーティ編成に移動できます</v>
      </c>
      <c r="M50" s="57" t="s">
        <v>218</v>
      </c>
    </row>
    <row r="51" spans="1:13" x14ac:dyDescent="0.15">
      <c r="A51" s="83" t="s">
        <v>206</v>
      </c>
      <c r="B51" s="84">
        <f>floors!$C$2</f>
        <v>65535</v>
      </c>
      <c r="C51" s="85" t="str">
        <f ca="1">VLOOKUP($B51,OFFSET([2]quests!$A$1,0,0,COUNTA([2]quests!$A:$A),MATCH(C$1,[2]quests!$1:$1,0)-MATCH($B$1,[2]quests!$1:$1,0)+1),MATCH(C$1,[2]quests!$1:$1,0)-MATCH($B$1,[2]quests!$1:$1,0)+1,FALSE)</f>
        <v>検証クエスト</v>
      </c>
      <c r="D51" s="85" t="str">
        <f ca="1">VLOOKUP($B51,OFFSET([2]quests!$A$1,0,0,COUNTA([2]quests!$A:$A),MATCH(D$1,[2]quests!$1:$1,0)-MATCH($B$1,[2]quests!$1:$1,0)+1),MATCH(D$1,[2]quests!$1:$1,0)-MATCH($B$1,[2]quests!$1:$1,0)+1,FALSE)</f>
        <v>検証</v>
      </c>
      <c r="E51" s="89" t="s">
        <v>222</v>
      </c>
      <c r="F51" s="85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5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7">
        <v>0</v>
      </c>
      <c r="I51">
        <v>28</v>
      </c>
      <c r="J51" s="86" t="s">
        <v>203</v>
      </c>
      <c r="K51" s="96" t="str">
        <f>VLOOKUP(I51,[7]stage_hints!$A:$C,3,FALSE)</f>
        <v>ステータス情報は長押しで</v>
      </c>
      <c r="L51" s="97" t="str">
        <f>VLOOKUP(I51,[7]stage_hints!$A:$D,4,FALSE)</f>
        <v>ユニットのアイコンを長押しすると_x000D_ステータス情報を確認することができます</v>
      </c>
      <c r="M51" s="57" t="s">
        <v>218</v>
      </c>
    </row>
    <row r="52" spans="1:13" x14ac:dyDescent="0.15">
      <c r="A52" s="83" t="s">
        <v>206</v>
      </c>
      <c r="B52" s="84">
        <f>floors!$C$2</f>
        <v>65535</v>
      </c>
      <c r="C52" s="85" t="str">
        <f ca="1">VLOOKUP($B52,OFFSET([2]quests!$A$1,0,0,COUNTA([2]quests!$A:$A),MATCH(C$1,[2]quests!$1:$1,0)-MATCH($B$1,[2]quests!$1:$1,0)+1),MATCH(C$1,[2]quests!$1:$1,0)-MATCH($B$1,[2]quests!$1:$1,0)+1,FALSE)</f>
        <v>検証クエスト</v>
      </c>
      <c r="D52" s="85" t="str">
        <f ca="1">VLOOKUP($B52,OFFSET([2]quests!$A$1,0,0,COUNTA([2]quests!$A:$A),MATCH(D$1,[2]quests!$1:$1,0)-MATCH($B$1,[2]quests!$1:$1,0)+1),MATCH(D$1,[2]quests!$1:$1,0)-MATCH($B$1,[2]quests!$1:$1,0)+1,FALSE)</f>
        <v>検証</v>
      </c>
      <c r="E52" s="89" t="s">
        <v>222</v>
      </c>
      <c r="F52" s="85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5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7">
        <v>0</v>
      </c>
      <c r="I52">
        <v>29</v>
      </c>
      <c r="J52" s="86" t="s">
        <v>203</v>
      </c>
      <c r="K52" s="96" t="str">
        <f>VLOOKUP(I52,[7]stage_hints!$A:$C,3,FALSE)</f>
        <v>「バグ」のメリット</v>
      </c>
      <c r="L52" s="97" t="str">
        <f>VLOOKUP(I52,[7]stage_hints!$A:$D,4,FALSE)</f>
        <v>ユニットの「バグ」を増やすと_x000D_報酬をもらえる確率がアップします</v>
      </c>
      <c r="M52" s="57" t="s">
        <v>218</v>
      </c>
    </row>
    <row r="53" spans="1:13" x14ac:dyDescent="0.15">
      <c r="A53" s="83" t="s">
        <v>206</v>
      </c>
      <c r="B53" s="84">
        <f>floors!$C$2</f>
        <v>65535</v>
      </c>
      <c r="C53" s="85" t="str">
        <f ca="1">VLOOKUP($B53,OFFSET([2]quests!$A$1,0,0,COUNTA([2]quests!$A:$A),MATCH(C$1,[2]quests!$1:$1,0)-MATCH($B$1,[2]quests!$1:$1,0)+1),MATCH(C$1,[2]quests!$1:$1,0)-MATCH($B$1,[2]quests!$1:$1,0)+1,FALSE)</f>
        <v>検証クエスト</v>
      </c>
      <c r="D53" s="85" t="str">
        <f ca="1">VLOOKUP($B53,OFFSET([2]quests!$A$1,0,0,COUNTA([2]quests!$A:$A),MATCH(D$1,[2]quests!$1:$1,0)-MATCH($B$1,[2]quests!$1:$1,0)+1),MATCH(D$1,[2]quests!$1:$1,0)-MATCH($B$1,[2]quests!$1:$1,0)+1,FALSE)</f>
        <v>検証</v>
      </c>
      <c r="E53" s="89" t="s">
        <v>222</v>
      </c>
      <c r="F53" s="85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5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7">
        <v>0</v>
      </c>
      <c r="I53">
        <v>30</v>
      </c>
      <c r="J53" s="86" t="s">
        <v>203</v>
      </c>
      <c r="K53" s="96" t="str">
        <f>VLOOKUP(I53,[7]stage_hints!$A:$C,3,FALSE)</f>
        <v>「バグ」の増やし方</v>
      </c>
      <c r="L53" s="97" t="str">
        <f>VLOOKUP(I53,[7]stage_hints!$A:$D,4,FALSE)</f>
        <v>同じユニット同士を強化で合成すると_x000D_「バグ」を増やすことができます</v>
      </c>
      <c r="M53" s="57" t="s">
        <v>218</v>
      </c>
    </row>
    <row r="54" spans="1:13" x14ac:dyDescent="0.15">
      <c r="A54" s="83" t="s">
        <v>206</v>
      </c>
      <c r="B54" s="84">
        <f>floors!$C$2</f>
        <v>65535</v>
      </c>
      <c r="C54" s="85" t="str">
        <f ca="1">VLOOKUP($B54,OFFSET([2]quests!$A$1,0,0,COUNTA([2]quests!$A:$A),MATCH(C$1,[2]quests!$1:$1,0)-MATCH($B$1,[2]quests!$1:$1,0)+1),MATCH(C$1,[2]quests!$1:$1,0)-MATCH($B$1,[2]quests!$1:$1,0)+1,FALSE)</f>
        <v>検証クエスト</v>
      </c>
      <c r="D54" s="85" t="str">
        <f ca="1">VLOOKUP($B54,OFFSET([2]quests!$A$1,0,0,COUNTA([2]quests!$A:$A),MATCH(D$1,[2]quests!$1:$1,0)-MATCH($B$1,[2]quests!$1:$1,0)+1),MATCH(D$1,[2]quests!$1:$1,0)-MATCH($B$1,[2]quests!$1:$1,0)+1,FALSE)</f>
        <v>検証</v>
      </c>
      <c r="E54" s="89" t="s">
        <v>222</v>
      </c>
      <c r="F54" s="85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5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7">
        <v>0</v>
      </c>
      <c r="I54">
        <v>31</v>
      </c>
      <c r="J54" s="86" t="s">
        <v>203</v>
      </c>
      <c r="K54" s="96" t="str">
        <f>VLOOKUP(I54,[7]stage_hints!$A:$C,3,FALSE)</f>
        <v>イベントはお知らせでチェック</v>
      </c>
      <c r="L54" s="97" t="str">
        <f>VLOOKUP(I54,[7]stage_hints!$A:$D,4,FALSE)</f>
        <v>イベント限定ユニットを取り忘れないように_x000D_お知らせをこまめにチェックしましょう</v>
      </c>
      <c r="M54" s="57" t="s">
        <v>218</v>
      </c>
    </row>
    <row r="55" spans="1:13" x14ac:dyDescent="0.15">
      <c r="A55" s="83" t="s">
        <v>206</v>
      </c>
      <c r="B55" s="84">
        <f>floors!$C$2</f>
        <v>65535</v>
      </c>
      <c r="C55" s="85" t="str">
        <f ca="1">VLOOKUP($B55,OFFSET([2]quests!$A$1,0,0,COUNTA([2]quests!$A:$A),MATCH(C$1,[2]quests!$1:$1,0)-MATCH($B$1,[2]quests!$1:$1,0)+1),MATCH(C$1,[2]quests!$1:$1,0)-MATCH($B$1,[2]quests!$1:$1,0)+1,FALSE)</f>
        <v>検証クエスト</v>
      </c>
      <c r="D55" s="85" t="str">
        <f ca="1">VLOOKUP($B55,OFFSET([2]quests!$A$1,0,0,COUNTA([2]quests!$A:$A),MATCH(D$1,[2]quests!$1:$1,0)-MATCH($B$1,[2]quests!$1:$1,0)+1),MATCH(D$1,[2]quests!$1:$1,0)-MATCH($B$1,[2]quests!$1:$1,0)+1,FALSE)</f>
        <v>検証</v>
      </c>
      <c r="E55" s="89" t="s">
        <v>222</v>
      </c>
      <c r="F55" s="85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5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7">
        <v>0</v>
      </c>
      <c r="I55">
        <v>32</v>
      </c>
      <c r="J55" s="86" t="s">
        <v>203</v>
      </c>
      <c r="K55" s="96" t="str">
        <f>VLOOKUP(I55,[7]stage_hints!$A:$C,3,FALSE)</f>
        <v>敵の連続攻撃には</v>
      </c>
      <c r="L55" s="97" t="str">
        <f>VLOOKUP(I55,[7]stage_hints!$A:$D,4,FALSE)</f>
        <v>カウンタースキルを持つユニットがいれば_x000D_ダメージ回数分の反撃ができます</v>
      </c>
      <c r="M55" s="57" t="s">
        <v>218</v>
      </c>
    </row>
    <row r="56" spans="1:13" x14ac:dyDescent="0.15">
      <c r="A56" s="83" t="s">
        <v>206</v>
      </c>
      <c r="B56" s="84">
        <f>floors!$C$2</f>
        <v>65535</v>
      </c>
      <c r="C56" s="85" t="str">
        <f ca="1">VLOOKUP($B56,OFFSET([2]quests!$A$1,0,0,COUNTA([2]quests!$A:$A),MATCH(C$1,[2]quests!$1:$1,0)-MATCH($B$1,[2]quests!$1:$1,0)+1),MATCH(C$1,[2]quests!$1:$1,0)-MATCH($B$1,[2]quests!$1:$1,0)+1,FALSE)</f>
        <v>検証クエスト</v>
      </c>
      <c r="D56" s="85" t="str">
        <f ca="1">VLOOKUP($B56,OFFSET([2]quests!$A$1,0,0,COUNTA([2]quests!$A:$A),MATCH(D$1,[2]quests!$1:$1,0)-MATCH($B$1,[2]quests!$1:$1,0)+1),MATCH(D$1,[2]quests!$1:$1,0)-MATCH($B$1,[2]quests!$1:$1,0)+1,FALSE)</f>
        <v>検証</v>
      </c>
      <c r="E56" s="89" t="s">
        <v>222</v>
      </c>
      <c r="F56" s="85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5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7">
        <v>0</v>
      </c>
      <c r="I56">
        <v>33</v>
      </c>
      <c r="J56" s="86" t="s">
        <v>203</v>
      </c>
      <c r="K56" s="96" t="str">
        <f>VLOOKUP(I56,[7]stage_hints!$A:$C,3,FALSE)</f>
        <v>敵のカウンター攻撃には</v>
      </c>
      <c r="L56" s="97" t="str">
        <f>VLOOKUP(I56,[7]stage_hints!$A:$D,4,FALSE)</f>
        <v>カウンターブレイクスキルを持っていれば_x000D_敵のカウンターを解除して攻撃ができます</v>
      </c>
      <c r="M56" s="57" t="s">
        <v>218</v>
      </c>
    </row>
    <row r="57" spans="1:13" x14ac:dyDescent="0.15">
      <c r="A57" s="83" t="s">
        <v>206</v>
      </c>
      <c r="B57" s="84">
        <f>floors!$C$2</f>
        <v>65535</v>
      </c>
      <c r="C57" s="85" t="str">
        <f ca="1">VLOOKUP($B57,OFFSET([2]quests!$A$1,0,0,COUNTA([2]quests!$A:$A),MATCH(C$1,[2]quests!$1:$1,0)-MATCH($B$1,[2]quests!$1:$1,0)+1),MATCH(C$1,[2]quests!$1:$1,0)-MATCH($B$1,[2]quests!$1:$1,0)+1,FALSE)</f>
        <v>検証クエスト</v>
      </c>
      <c r="D57" s="85" t="str">
        <f ca="1">VLOOKUP($B57,OFFSET([2]quests!$A$1,0,0,COUNTA([2]quests!$A:$A),MATCH(D$1,[2]quests!$1:$1,0)-MATCH($B$1,[2]quests!$1:$1,0)+1),MATCH(D$1,[2]quests!$1:$1,0)-MATCH($B$1,[2]quests!$1:$1,0)+1,FALSE)</f>
        <v>検証</v>
      </c>
      <c r="E57" s="89" t="s">
        <v>222</v>
      </c>
      <c r="F57" s="85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5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7">
        <v>0</v>
      </c>
      <c r="I57">
        <v>34</v>
      </c>
      <c r="J57" s="86" t="s">
        <v>203</v>
      </c>
      <c r="K57" s="96" t="str">
        <f>VLOOKUP(I57,[7]stage_hints!$A:$C,3,FALSE)</f>
        <v>ステータスをスキルで下げられたら</v>
      </c>
      <c r="L57" s="97" t="str">
        <f>VLOOKUP(I57,[7]stage_hints!$A:$D,4,FALSE)</f>
        <v>ステータスダウンのスキルを受けたら_x000D_ステータスアップスキルで上書きしましょう</v>
      </c>
      <c r="M57" s="57" t="s">
        <v>218</v>
      </c>
    </row>
    <row r="58" spans="1:13" x14ac:dyDescent="0.15">
      <c r="A58" s="83" t="s">
        <v>206</v>
      </c>
      <c r="B58" s="84">
        <f>floors!$C$2</f>
        <v>65535</v>
      </c>
      <c r="C58" s="85" t="str">
        <f ca="1">VLOOKUP($B58,OFFSET([2]quests!$A$1,0,0,COUNTA([2]quests!$A:$A),MATCH(C$1,[2]quests!$1:$1,0)-MATCH($B$1,[2]quests!$1:$1,0)+1),MATCH(C$1,[2]quests!$1:$1,0)-MATCH($B$1,[2]quests!$1:$1,0)+1,FALSE)</f>
        <v>検証クエスト</v>
      </c>
      <c r="D58" s="85" t="str">
        <f ca="1">VLOOKUP($B58,OFFSET([2]quests!$A$1,0,0,COUNTA([2]quests!$A:$A),MATCH(D$1,[2]quests!$1:$1,0)-MATCH($B$1,[2]quests!$1:$1,0)+1),MATCH(D$1,[2]quests!$1:$1,0)-MATCH($B$1,[2]quests!$1:$1,0)+1,FALSE)</f>
        <v>検証</v>
      </c>
      <c r="E58" s="89" t="s">
        <v>222</v>
      </c>
      <c r="F58" s="85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5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7">
        <v>0</v>
      </c>
      <c r="I58">
        <v>35</v>
      </c>
      <c r="J58" s="86" t="s">
        <v>203</v>
      </c>
      <c r="K58" s="96" t="str">
        <f>VLOOKUP(I58,[7]stage_hints!$A:$C,3,FALSE)</f>
        <v>敵のステータスがスキルで上がったら</v>
      </c>
      <c r="L58" s="97" t="str">
        <f>VLOOKUP(I58,[7]stage_hints!$A:$D,4,FALSE)</f>
        <v>敵のステータスがスキルでアップしたときは_x000D_ステータスダウンスキルで上書きしましょう</v>
      </c>
      <c r="M58" s="57" t="s">
        <v>218</v>
      </c>
    </row>
    <row r="59" spans="1:13" x14ac:dyDescent="0.15">
      <c r="A59" s="83" t="s">
        <v>206</v>
      </c>
      <c r="B59" s="84">
        <f>floors!$C$2</f>
        <v>65535</v>
      </c>
      <c r="C59" s="85" t="str">
        <f ca="1">VLOOKUP($B59,OFFSET([2]quests!$A$1,0,0,COUNTA([2]quests!$A:$A),MATCH(C$1,[2]quests!$1:$1,0)-MATCH($B$1,[2]quests!$1:$1,0)+1),MATCH(C$1,[2]quests!$1:$1,0)-MATCH($B$1,[2]quests!$1:$1,0)+1,FALSE)</f>
        <v>検証クエスト</v>
      </c>
      <c r="D59" s="85" t="str">
        <f ca="1">VLOOKUP($B59,OFFSET([2]quests!$A$1,0,0,COUNTA([2]quests!$A:$A),MATCH(D$1,[2]quests!$1:$1,0)-MATCH($B$1,[2]quests!$1:$1,0)+1),MATCH(D$1,[2]quests!$1:$1,0)-MATCH($B$1,[2]quests!$1:$1,0)+1,FALSE)</f>
        <v>検証</v>
      </c>
      <c r="E59" s="89" t="s">
        <v>222</v>
      </c>
      <c r="F59" s="85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5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7">
        <v>0</v>
      </c>
      <c r="I59">
        <v>39</v>
      </c>
      <c r="J59" s="86" t="s">
        <v>203</v>
      </c>
      <c r="K59" s="96" t="str">
        <f>VLOOKUP(I59,[7]stage_hints!$A:$C,3,FALSE)</f>
        <v>システム適合者を確認</v>
      </c>
      <c r="L59" s="97" t="str">
        <f>VLOOKUP(I59,[7]stage_hints!$A:$D,4,FALSE)</f>
        <v>ALICEが 「アナタ」を呼んでいます</v>
      </c>
      <c r="M59" s="57" t="s">
        <v>218</v>
      </c>
    </row>
    <row r="60" spans="1:13" x14ac:dyDescent="0.15">
      <c r="A60" s="83" t="s">
        <v>206</v>
      </c>
      <c r="B60" s="84">
        <f>floors!$C$2</f>
        <v>65535</v>
      </c>
      <c r="C60" s="85" t="str">
        <f ca="1">VLOOKUP($B60,OFFSET([2]quests!$A$1,0,0,COUNTA([2]quests!$A:$A),MATCH(C$1,[2]quests!$1:$1,0)-MATCH($B$1,[2]quests!$1:$1,0)+1),MATCH(C$1,[2]quests!$1:$1,0)-MATCH($B$1,[2]quests!$1:$1,0)+1,FALSE)</f>
        <v>検証クエスト</v>
      </c>
      <c r="D60" s="85" t="str">
        <f ca="1">VLOOKUP($B60,OFFSET([2]quests!$A$1,0,0,COUNTA([2]quests!$A:$A),MATCH(D$1,[2]quests!$1:$1,0)-MATCH($B$1,[2]quests!$1:$1,0)+1),MATCH(D$1,[2]quests!$1:$1,0)-MATCH($B$1,[2]quests!$1:$1,0)+1,FALSE)</f>
        <v>検証</v>
      </c>
      <c r="E60" s="89" t="s">
        <v>223</v>
      </c>
      <c r="F60" s="85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5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7">
        <v>0</v>
      </c>
      <c r="I60" s="100">
        <v>3</v>
      </c>
      <c r="J60" s="86" t="s">
        <v>203</v>
      </c>
      <c r="K60" s="96" t="str">
        <f>VLOOKUP(I60,[7]stage_hints!$A:$C,3,FALSE)</f>
        <v>ターゲット</v>
      </c>
      <c r="L60" s="97" t="str">
        <f>VLOOKUP(I60,[7]stage_hints!$A:$D,4,FALSE)</f>
        <v>敵ユニットをタップすると_x000D_その敵を狙い撃ちできます</v>
      </c>
      <c r="M60" s="57" t="s">
        <v>218</v>
      </c>
    </row>
    <row r="61" spans="1:13" x14ac:dyDescent="0.15">
      <c r="A61" s="83" t="s">
        <v>206</v>
      </c>
      <c r="B61" s="84">
        <f>floors!$C$2</f>
        <v>65535</v>
      </c>
      <c r="C61" s="85" t="str">
        <f ca="1">VLOOKUP($B61,OFFSET([2]quests!$A$1,0,0,COUNTA([2]quests!$A:$A),MATCH(C$1,[2]quests!$1:$1,0)-MATCH($B$1,[2]quests!$1:$1,0)+1),MATCH(C$1,[2]quests!$1:$1,0)-MATCH($B$1,[2]quests!$1:$1,0)+1,FALSE)</f>
        <v>検証クエスト</v>
      </c>
      <c r="D61" s="85" t="str">
        <f ca="1">VLOOKUP($B61,OFFSET([2]quests!$A$1,0,0,COUNTA([2]quests!$A:$A),MATCH(D$1,[2]quests!$1:$1,0)-MATCH($B$1,[2]quests!$1:$1,0)+1),MATCH(D$1,[2]quests!$1:$1,0)-MATCH($B$1,[2]quests!$1:$1,0)+1,FALSE)</f>
        <v>検証</v>
      </c>
      <c r="E61" s="89" t="s">
        <v>223</v>
      </c>
      <c r="F61" s="85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5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7">
        <v>0</v>
      </c>
      <c r="I61" s="100">
        <v>6</v>
      </c>
      <c r="J61" s="86" t="s">
        <v>203</v>
      </c>
      <c r="K61" s="96" t="str">
        <f>VLOOKUP(I61,[7]stage_hints!$A:$C,3,FALSE)</f>
        <v>ユニット強化の属性ボーナス</v>
      </c>
      <c r="L61" s="97" t="str">
        <f>VLOOKUP(I61,[7]stage_hints!$A:$D,4,FALSE)</f>
        <v>同属性ユニットを強化素材にすると_x000D_経験値が多くもらえます</v>
      </c>
      <c r="M61" s="57" t="s">
        <v>218</v>
      </c>
    </row>
    <row r="62" spans="1:13" x14ac:dyDescent="0.15">
      <c r="A62" s="83" t="s">
        <v>206</v>
      </c>
      <c r="B62" s="84">
        <f>floors!$C$2</f>
        <v>65535</v>
      </c>
      <c r="C62" s="85" t="str">
        <f ca="1">VLOOKUP($B62,OFFSET([2]quests!$A$1,0,0,COUNTA([2]quests!$A:$A),MATCH(C$1,[2]quests!$1:$1,0)-MATCH($B$1,[2]quests!$1:$1,0)+1),MATCH(C$1,[2]quests!$1:$1,0)-MATCH($B$1,[2]quests!$1:$1,0)+1,FALSE)</f>
        <v>検証クエスト</v>
      </c>
      <c r="D62" s="85" t="str">
        <f ca="1">VLOOKUP($B62,OFFSET([2]quests!$A$1,0,0,COUNTA([2]quests!$A:$A),MATCH(D$1,[2]quests!$1:$1,0)-MATCH($B$1,[2]quests!$1:$1,0)+1),MATCH(D$1,[2]quests!$1:$1,0)-MATCH($B$1,[2]quests!$1:$1,0)+1,FALSE)</f>
        <v>検証</v>
      </c>
      <c r="E62" s="89" t="s">
        <v>223</v>
      </c>
      <c r="F62" s="85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5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7">
        <v>0</v>
      </c>
      <c r="I62" s="100">
        <v>7</v>
      </c>
      <c r="J62" s="86" t="s">
        <v>203</v>
      </c>
      <c r="K62" s="96" t="str">
        <f>VLOOKUP(I62,[7]stage_hints!$A:$C,3,FALSE)</f>
        <v>メタルダックで経験値を獲得</v>
      </c>
      <c r="L62" s="97" t="str">
        <f>VLOOKUP(I62,[7]stage_hints!$A:$D,4,FALSE)</f>
        <v>「メタルなアヒル」を強化素材にすると_x000D_大量の経験値がもらえます</v>
      </c>
      <c r="M62" s="57" t="s">
        <v>218</v>
      </c>
    </row>
    <row r="63" spans="1:13" x14ac:dyDescent="0.15">
      <c r="A63" s="83" t="s">
        <v>206</v>
      </c>
      <c r="B63" s="84">
        <f>floors!$C$2</f>
        <v>65535</v>
      </c>
      <c r="C63" s="85" t="str">
        <f ca="1">VLOOKUP($B63,OFFSET([2]quests!$A$1,0,0,COUNTA([2]quests!$A:$A),MATCH(C$1,[2]quests!$1:$1,0)-MATCH($B$1,[2]quests!$1:$1,0)+1),MATCH(C$1,[2]quests!$1:$1,0)-MATCH($B$1,[2]quests!$1:$1,0)+1,FALSE)</f>
        <v>検証クエスト</v>
      </c>
      <c r="D63" s="85" t="str">
        <f ca="1">VLOOKUP($B63,OFFSET([2]quests!$A$1,0,0,COUNTA([2]quests!$A:$A),MATCH(D$1,[2]quests!$1:$1,0)-MATCH($B$1,[2]quests!$1:$1,0)+1),MATCH(D$1,[2]quests!$1:$1,0)-MATCH($B$1,[2]quests!$1:$1,0)+1,FALSE)</f>
        <v>検証</v>
      </c>
      <c r="E63" s="89" t="s">
        <v>223</v>
      </c>
      <c r="F63" s="85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5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7">
        <v>0</v>
      </c>
      <c r="I63" s="100">
        <v>8</v>
      </c>
      <c r="J63" s="86" t="s">
        <v>203</v>
      </c>
      <c r="K63" s="96" t="str">
        <f>VLOOKUP(I63,[7]stage_hints!$A:$C,3,FALSE)</f>
        <v>ゲリラクエストは要チェック</v>
      </c>
      <c r="L63" s="97" t="str">
        <f>VLOOKUP(I63,[7]stage_hints!$A:$D,4,FALSE)</f>
        <v>時間限定の「アヒル捕獲作戦」では_x000D_経験値素材ユニットが多く手に入ります</v>
      </c>
      <c r="M63" s="57" t="s">
        <v>218</v>
      </c>
    </row>
    <row r="64" spans="1:13" x14ac:dyDescent="0.15">
      <c r="A64" s="83" t="s">
        <v>206</v>
      </c>
      <c r="B64" s="84">
        <f>floors!$C$2</f>
        <v>65535</v>
      </c>
      <c r="C64" s="85" t="str">
        <f ca="1">VLOOKUP($B64,OFFSET([2]quests!$A$1,0,0,COUNTA([2]quests!$A:$A),MATCH(C$1,[2]quests!$1:$1,0)-MATCH($B$1,[2]quests!$1:$1,0)+1),MATCH(C$1,[2]quests!$1:$1,0)-MATCH($B$1,[2]quests!$1:$1,0)+1,FALSE)</f>
        <v>検証クエスト</v>
      </c>
      <c r="D64" s="85" t="str">
        <f ca="1">VLOOKUP($B64,OFFSET([2]quests!$A$1,0,0,COUNTA([2]quests!$A:$A),MATCH(D$1,[2]quests!$1:$1,0)-MATCH($B$1,[2]quests!$1:$1,0)+1),MATCH(D$1,[2]quests!$1:$1,0)-MATCH($B$1,[2]quests!$1:$1,0)+1,FALSE)</f>
        <v>検証</v>
      </c>
      <c r="E64" s="89" t="s">
        <v>223</v>
      </c>
      <c r="F64" s="85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5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7">
        <v>0</v>
      </c>
      <c r="I64" s="100">
        <v>9</v>
      </c>
      <c r="J64" s="86" t="s">
        <v>203</v>
      </c>
      <c r="K64" s="96" t="str">
        <f>VLOOKUP(I64,[7]stage_hints!$A:$C,3,FALSE)</f>
        <v>ゴールドダックでビットを獲得</v>
      </c>
      <c r="L64" s="97" t="str">
        <f>VLOOKUP(I64,[7]stage_hints!$A:$D,4,FALSE)</f>
        <v>「ゴールドなアヒル」を売却すると_x000D_大量のビットがもらえます</v>
      </c>
      <c r="M64" s="57" t="s">
        <v>218</v>
      </c>
    </row>
    <row r="65" spans="1:13" x14ac:dyDescent="0.15">
      <c r="A65" s="83" t="s">
        <v>206</v>
      </c>
      <c r="B65" s="84">
        <f>floors!$C$2</f>
        <v>65535</v>
      </c>
      <c r="C65" s="85" t="str">
        <f ca="1">VLOOKUP($B65,OFFSET([2]quests!$A$1,0,0,COUNTA([2]quests!$A:$A),MATCH(C$1,[2]quests!$1:$1,0)-MATCH($B$1,[2]quests!$1:$1,0)+1),MATCH(C$1,[2]quests!$1:$1,0)-MATCH($B$1,[2]quests!$1:$1,0)+1,FALSE)</f>
        <v>検証クエスト</v>
      </c>
      <c r="D65" s="85" t="str">
        <f ca="1">VLOOKUP($B65,OFFSET([2]quests!$A$1,0,0,COUNTA([2]quests!$A:$A),MATCH(D$1,[2]quests!$1:$1,0)-MATCH($B$1,[2]quests!$1:$1,0)+1),MATCH(D$1,[2]quests!$1:$1,0)-MATCH($B$1,[2]quests!$1:$1,0)+1,FALSE)</f>
        <v>検証</v>
      </c>
      <c r="E65" s="89" t="s">
        <v>223</v>
      </c>
      <c r="F65" s="85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5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7">
        <v>0</v>
      </c>
      <c r="I65" s="100">
        <v>10</v>
      </c>
      <c r="J65" s="86" t="s">
        <v>203</v>
      </c>
      <c r="K65" s="96" t="str">
        <f>VLOOKUP(I65,[7]stage_hints!$A:$C,3,FALSE)</f>
        <v>土日に大量のビットを獲得</v>
      </c>
      <c r="L65" s="97" t="str">
        <f>VLOOKUP(I65,[7]stage_hints!$A:$D,4,FALSE)</f>
        <v>土日限定の「ゴールドカジノ」では_x000D_売却素材ユニットが多く手に入ります</v>
      </c>
      <c r="M65" s="57" t="s">
        <v>218</v>
      </c>
    </row>
    <row r="66" spans="1:13" x14ac:dyDescent="0.15">
      <c r="A66" s="83" t="s">
        <v>206</v>
      </c>
      <c r="B66" s="84">
        <f>floors!$C$2</f>
        <v>65535</v>
      </c>
      <c r="C66" s="85" t="str">
        <f ca="1">VLOOKUP($B66,OFFSET([2]quests!$A$1,0,0,COUNTA([2]quests!$A:$A),MATCH(C$1,[2]quests!$1:$1,0)-MATCH($B$1,[2]quests!$1:$1,0)+1),MATCH(C$1,[2]quests!$1:$1,0)-MATCH($B$1,[2]quests!$1:$1,0)+1,FALSE)</f>
        <v>検証クエスト</v>
      </c>
      <c r="D66" s="85" t="str">
        <f ca="1">VLOOKUP($B66,OFFSET([2]quests!$A$1,0,0,COUNTA([2]quests!$A:$A),MATCH(D$1,[2]quests!$1:$1,0)-MATCH($B$1,[2]quests!$1:$1,0)+1),MATCH(D$1,[2]quests!$1:$1,0)-MATCH($B$1,[2]quests!$1:$1,0)+1,FALSE)</f>
        <v>検証</v>
      </c>
      <c r="E66" s="89" t="s">
        <v>223</v>
      </c>
      <c r="F66" s="85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5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7">
        <v>0</v>
      </c>
      <c r="I66" s="100">
        <v>11</v>
      </c>
      <c r="J66" s="86" t="s">
        <v>203</v>
      </c>
      <c r="K66" s="96" t="str">
        <f>VLOOKUP(I66,[7]stage_hints!$A:$C,3,FALSE)</f>
        <v>ランク解放クエスト</v>
      </c>
      <c r="L66" s="97" t="str">
        <f>VLOOKUP(I66,[7]stage_hints!$A:$D,4,FALSE)</f>
        <v>一定ランクに到達すると_x000D_報酬付きのランク開放クエストが現れます</v>
      </c>
      <c r="M66" s="57" t="s">
        <v>218</v>
      </c>
    </row>
    <row r="67" spans="1:13" x14ac:dyDescent="0.15">
      <c r="A67" s="83" t="s">
        <v>206</v>
      </c>
      <c r="B67" s="84">
        <f>floors!$C$2</f>
        <v>65535</v>
      </c>
      <c r="C67" s="85" t="str">
        <f ca="1">VLOOKUP($B67,OFFSET([2]quests!$A$1,0,0,COUNTA([2]quests!$A:$A),MATCH(C$1,[2]quests!$1:$1,0)-MATCH($B$1,[2]quests!$1:$1,0)+1),MATCH(C$1,[2]quests!$1:$1,0)-MATCH($B$1,[2]quests!$1:$1,0)+1,FALSE)</f>
        <v>検証クエスト</v>
      </c>
      <c r="D67" s="85" t="str">
        <f ca="1">VLOOKUP($B67,OFFSET([2]quests!$A$1,0,0,COUNTA([2]quests!$A:$A),MATCH(D$1,[2]quests!$1:$1,0)-MATCH($B$1,[2]quests!$1:$1,0)+1),MATCH(D$1,[2]quests!$1:$1,0)-MATCH($B$1,[2]quests!$1:$1,0)+1,FALSE)</f>
        <v>検証</v>
      </c>
      <c r="E67" s="89" t="s">
        <v>223</v>
      </c>
      <c r="F67" s="85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5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7">
        <v>0</v>
      </c>
      <c r="I67" s="100">
        <v>12</v>
      </c>
      <c r="J67" s="86" t="s">
        <v>203</v>
      </c>
      <c r="K67" s="96" t="str">
        <f>VLOOKUP(I67,[7]stage_hints!$A:$C,3,FALSE)</f>
        <v>ユニットのお気に入り登録</v>
      </c>
      <c r="L67" s="97" t="str">
        <f>VLOOKUP(I67,[7]stage_hints!$A:$D,4,FALSE)</f>
        <v>大事なユニットを誤って消さないように_x000D_フォルダから「お気に入り登録」しましょう</v>
      </c>
      <c r="M67" s="57" t="s">
        <v>218</v>
      </c>
    </row>
    <row r="68" spans="1:13" x14ac:dyDescent="0.15">
      <c r="A68" s="83" t="s">
        <v>206</v>
      </c>
      <c r="B68" s="84">
        <f>floors!$C$2</f>
        <v>65535</v>
      </c>
      <c r="C68" s="85" t="str">
        <f ca="1">VLOOKUP($B68,OFFSET([2]quests!$A$1,0,0,COUNTA([2]quests!$A:$A),MATCH(C$1,[2]quests!$1:$1,0)-MATCH($B$1,[2]quests!$1:$1,0)+1),MATCH(C$1,[2]quests!$1:$1,0)-MATCH($B$1,[2]quests!$1:$1,0)+1,FALSE)</f>
        <v>検証クエスト</v>
      </c>
      <c r="D68" s="85" t="str">
        <f ca="1">VLOOKUP($B68,OFFSET([2]quests!$A$1,0,0,COUNTA([2]quests!$A:$A),MATCH(D$1,[2]quests!$1:$1,0)-MATCH($B$1,[2]quests!$1:$1,0)+1),MATCH(D$1,[2]quests!$1:$1,0)-MATCH($B$1,[2]quests!$1:$1,0)+1,FALSE)</f>
        <v>検証</v>
      </c>
      <c r="E68" s="89" t="s">
        <v>223</v>
      </c>
      <c r="F68" s="85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5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7">
        <v>0</v>
      </c>
      <c r="I68" s="100">
        <v>13</v>
      </c>
      <c r="J68" s="86" t="s">
        <v>203</v>
      </c>
      <c r="K68" s="96" t="str">
        <f>VLOOKUP(I68,[7]stage_hints!$A:$C,3,FALSE)</f>
        <v>ユニットの覚醒</v>
      </c>
      <c r="L68" s="97" t="str">
        <f>VLOOKUP(I68,[7]stage_hints!$A:$D,4,FALSE)</f>
        <v>ユニットを覚醒させると_x000D_比べものにならない強さが手に入ります</v>
      </c>
      <c r="M68" s="57" t="s">
        <v>218</v>
      </c>
    </row>
    <row r="69" spans="1:13" x14ac:dyDescent="0.15">
      <c r="A69" s="83" t="s">
        <v>206</v>
      </c>
      <c r="B69" s="84">
        <f>floors!$C$2</f>
        <v>65535</v>
      </c>
      <c r="C69" s="85" t="str">
        <f ca="1">VLOOKUP($B69,OFFSET([2]quests!$A$1,0,0,COUNTA([2]quests!$A:$A),MATCH(C$1,[2]quests!$1:$1,0)-MATCH($B$1,[2]quests!$1:$1,0)+1),MATCH(C$1,[2]quests!$1:$1,0)-MATCH($B$1,[2]quests!$1:$1,0)+1,FALSE)</f>
        <v>検証クエスト</v>
      </c>
      <c r="D69" s="85" t="str">
        <f ca="1">VLOOKUP($B69,OFFSET([2]quests!$A$1,0,0,COUNTA([2]quests!$A:$A),MATCH(D$1,[2]quests!$1:$1,0)-MATCH($B$1,[2]quests!$1:$1,0)+1),MATCH(D$1,[2]quests!$1:$1,0)-MATCH($B$1,[2]quests!$1:$1,0)+1,FALSE)</f>
        <v>検証</v>
      </c>
      <c r="E69" s="89" t="s">
        <v>223</v>
      </c>
      <c r="F69" s="85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5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7">
        <v>0</v>
      </c>
      <c r="I69" s="100">
        <v>14</v>
      </c>
      <c r="J69" s="86" t="s">
        <v>203</v>
      </c>
      <c r="K69" s="96" t="str">
        <f>VLOOKUP(I69,[7]stage_hints!$A:$C,3,FALSE)</f>
        <v>覚醒するにはレベルを最大に</v>
      </c>
      <c r="L69" s="97" t="str">
        <f>VLOOKUP(I69,[7]stage_hints!$A:$D,4,FALSE)</f>
        <v>覚醒するにはユニットのレベルを_x000D_最大まで上げる必要があります</v>
      </c>
      <c r="M69" s="57" t="s">
        <v>218</v>
      </c>
    </row>
    <row r="70" spans="1:13" x14ac:dyDescent="0.15">
      <c r="A70" s="83" t="s">
        <v>206</v>
      </c>
      <c r="B70" s="84">
        <f>floors!$C$2</f>
        <v>65535</v>
      </c>
      <c r="C70" s="85" t="str">
        <f ca="1">VLOOKUP($B70,OFFSET([2]quests!$A$1,0,0,COUNTA([2]quests!$A:$A),MATCH(C$1,[2]quests!$1:$1,0)-MATCH($B$1,[2]quests!$1:$1,0)+1),MATCH(C$1,[2]quests!$1:$1,0)-MATCH($B$1,[2]quests!$1:$1,0)+1,FALSE)</f>
        <v>検証クエスト</v>
      </c>
      <c r="D70" s="85" t="str">
        <f ca="1">VLOOKUP($B70,OFFSET([2]quests!$A$1,0,0,COUNTA([2]quests!$A:$A),MATCH(D$1,[2]quests!$1:$1,0)-MATCH($B$1,[2]quests!$1:$1,0)+1),MATCH(D$1,[2]quests!$1:$1,0)-MATCH($B$1,[2]quests!$1:$1,0)+1,FALSE)</f>
        <v>検証</v>
      </c>
      <c r="E70" s="89" t="s">
        <v>223</v>
      </c>
      <c r="F70" s="85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5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7">
        <v>0</v>
      </c>
      <c r="I70" s="100">
        <v>15</v>
      </c>
      <c r="J70" s="86" t="s">
        <v>203</v>
      </c>
      <c r="K70" s="96" t="str">
        <f>VLOOKUP(I70,[7]stage_hints!$A:$C,3,FALSE)</f>
        <v>覚醒素材を獲得</v>
      </c>
      <c r="L70" s="97" t="str">
        <f>VLOOKUP(I70,[7]stage_hints!$A:$D,4,FALSE)</f>
        <v>「曜日クエスト」では_x000D_ユニットの覚醒に必要な素材が手に入ります</v>
      </c>
      <c r="M70" s="57" t="s">
        <v>218</v>
      </c>
    </row>
    <row r="71" spans="1:13" x14ac:dyDescent="0.15">
      <c r="A71" s="83" t="s">
        <v>206</v>
      </c>
      <c r="B71" s="84">
        <f>floors!$C$2</f>
        <v>65535</v>
      </c>
      <c r="C71" s="85" t="str">
        <f ca="1">VLOOKUP($B71,OFFSET([2]quests!$A$1,0,0,COUNTA([2]quests!$A:$A),MATCH(C$1,[2]quests!$1:$1,0)-MATCH($B$1,[2]quests!$1:$1,0)+1),MATCH(C$1,[2]quests!$1:$1,0)-MATCH($B$1,[2]quests!$1:$1,0)+1,FALSE)</f>
        <v>検証クエスト</v>
      </c>
      <c r="D71" s="85" t="str">
        <f ca="1">VLOOKUP($B71,OFFSET([2]quests!$A$1,0,0,COUNTA([2]quests!$A:$A),MATCH(D$1,[2]quests!$1:$1,0)-MATCH($B$1,[2]quests!$1:$1,0)+1),MATCH(D$1,[2]quests!$1:$1,0)-MATCH($B$1,[2]quests!$1:$1,0)+1,FALSE)</f>
        <v>検証</v>
      </c>
      <c r="E71" s="89" t="s">
        <v>223</v>
      </c>
      <c r="F71" s="85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5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7">
        <v>0</v>
      </c>
      <c r="I71" s="100">
        <v>16</v>
      </c>
      <c r="J71" s="86" t="s">
        <v>203</v>
      </c>
      <c r="K71" s="96" t="str">
        <f>VLOOKUP(I71,[7]stage_hints!$A:$C,3,FALSE)</f>
        <v>マルチプレイのメリット（その1）</v>
      </c>
      <c r="L71" s="97" t="str">
        <f>VLOOKUP(I71,[7]stage_hints!$A:$D,4,FALSE)</f>
        <v>他のプレイヤーとマルチプレイで遊ぶと_x000D_ポリゴンがもらえます（100人まで）</v>
      </c>
      <c r="M71" s="57" t="s">
        <v>218</v>
      </c>
    </row>
    <row r="72" spans="1:13" x14ac:dyDescent="0.15">
      <c r="A72" s="83" t="s">
        <v>206</v>
      </c>
      <c r="B72" s="84">
        <f>floors!$C$2</f>
        <v>65535</v>
      </c>
      <c r="C72" s="85" t="str">
        <f ca="1">VLOOKUP($B72,OFFSET([2]quests!$A$1,0,0,COUNTA([2]quests!$A:$A),MATCH(C$1,[2]quests!$1:$1,0)-MATCH($B$1,[2]quests!$1:$1,0)+1),MATCH(C$1,[2]quests!$1:$1,0)-MATCH($B$1,[2]quests!$1:$1,0)+1,FALSE)</f>
        <v>検証クエスト</v>
      </c>
      <c r="D72" s="85" t="str">
        <f ca="1">VLOOKUP($B72,OFFSET([2]quests!$A$1,0,0,COUNTA([2]quests!$A:$A),MATCH(D$1,[2]quests!$1:$1,0)-MATCH($B$1,[2]quests!$1:$1,0)+1),MATCH(D$1,[2]quests!$1:$1,0)-MATCH($B$1,[2]quests!$1:$1,0)+1,FALSE)</f>
        <v>検証</v>
      </c>
      <c r="E72" s="89" t="s">
        <v>223</v>
      </c>
      <c r="F72" s="85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5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7">
        <v>0</v>
      </c>
      <c r="I72" s="100">
        <v>17</v>
      </c>
      <c r="J72" s="86" t="s">
        <v>203</v>
      </c>
      <c r="K72" s="96" t="str">
        <f>VLOOKUP(I72,[7]stage_hints!$A:$C,3,FALSE)</f>
        <v>リンクガチャ</v>
      </c>
      <c r="L72" s="97" t="str">
        <f>VLOOKUP(I72,[7]stage_hints!$A:$D,4,FALSE)</f>
        <v>無料のリンクガチャを回して_x000D_経験値素材や売却素材を獲得しましょう</v>
      </c>
      <c r="M72" s="57" t="s">
        <v>218</v>
      </c>
    </row>
    <row r="73" spans="1:13" x14ac:dyDescent="0.15">
      <c r="A73" s="83" t="s">
        <v>206</v>
      </c>
      <c r="B73" s="84">
        <f>floors!$C$2</f>
        <v>65535</v>
      </c>
      <c r="C73" s="85" t="str">
        <f ca="1">VLOOKUP($B73,OFFSET([2]quests!$A$1,0,0,COUNTA([2]quests!$A:$A),MATCH(C$1,[2]quests!$1:$1,0)-MATCH($B$1,[2]quests!$1:$1,0)+1),MATCH(C$1,[2]quests!$1:$1,0)-MATCH($B$1,[2]quests!$1:$1,0)+1,FALSE)</f>
        <v>検証クエスト</v>
      </c>
      <c r="D73" s="85" t="str">
        <f ca="1">VLOOKUP($B73,OFFSET([2]quests!$A$1,0,0,COUNTA([2]quests!$A:$A),MATCH(D$1,[2]quests!$1:$1,0)-MATCH($B$1,[2]quests!$1:$1,0)+1),MATCH(D$1,[2]quests!$1:$1,0)-MATCH($B$1,[2]quests!$1:$1,0)+1,FALSE)</f>
        <v>検証</v>
      </c>
      <c r="E73" s="89" t="s">
        <v>223</v>
      </c>
      <c r="F73" s="85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5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7">
        <v>0</v>
      </c>
      <c r="I73" s="100">
        <v>18</v>
      </c>
      <c r="J73" s="86" t="s">
        <v>203</v>
      </c>
      <c r="K73" s="96" t="str">
        <f>VLOOKUP(I73,[7]stage_hints!$A:$C,3,FALSE)</f>
        <v>マルチプレイのメリット（その2）</v>
      </c>
      <c r="L73" s="97" t="str">
        <f>VLOOKUP(I73,[7]stage_hints!$A:$D,4,FALSE)</f>
        <v>マルチプレイならリンクが2倍もらえます_x000D_リンクガチャをたくさん回しましょう</v>
      </c>
      <c r="M73" s="57" t="s">
        <v>218</v>
      </c>
    </row>
    <row r="74" spans="1:13" x14ac:dyDescent="0.15">
      <c r="A74" s="83" t="s">
        <v>206</v>
      </c>
      <c r="B74" s="84">
        <f>floors!$C$2</f>
        <v>65535</v>
      </c>
      <c r="C74" s="85" t="str">
        <f ca="1">VLOOKUP($B74,OFFSET([2]quests!$A$1,0,0,COUNTA([2]quests!$A:$A),MATCH(C$1,[2]quests!$1:$1,0)-MATCH($B$1,[2]quests!$1:$1,0)+1),MATCH(C$1,[2]quests!$1:$1,0)-MATCH($B$1,[2]quests!$1:$1,0)+1,FALSE)</f>
        <v>検証クエスト</v>
      </c>
      <c r="D74" s="85" t="str">
        <f ca="1">VLOOKUP($B74,OFFSET([2]quests!$A$1,0,0,COUNTA([2]quests!$A:$A),MATCH(D$1,[2]quests!$1:$1,0)-MATCH($B$1,[2]quests!$1:$1,0)+1),MATCH(D$1,[2]quests!$1:$1,0)-MATCH($B$1,[2]quests!$1:$1,0)+1,FALSE)</f>
        <v>検証</v>
      </c>
      <c r="E74" s="89" t="s">
        <v>223</v>
      </c>
      <c r="F74" s="85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5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7">
        <v>0</v>
      </c>
      <c r="I74" s="100">
        <v>19</v>
      </c>
      <c r="J74" s="86" t="s">
        <v>203</v>
      </c>
      <c r="K74" s="96" t="str">
        <f>VLOOKUP(I74,[7]stage_hints!$A:$C,3,FALSE)</f>
        <v>ソロ専用チャレンジタワー</v>
      </c>
      <c r="L74" s="97" t="str">
        <f>VLOOKUP(I74,[7]stage_hints!$A:$D,4,FALSE)</f>
        <v>ソロ専用の「チャレンジタワー」では_x000D_各フロアごとにクリア報酬がもらえます</v>
      </c>
      <c r="M74" s="57" t="s">
        <v>218</v>
      </c>
    </row>
    <row r="75" spans="1:13" x14ac:dyDescent="0.15">
      <c r="A75" s="83" t="s">
        <v>206</v>
      </c>
      <c r="B75" s="84">
        <f>floors!$C$2</f>
        <v>65535</v>
      </c>
      <c r="C75" s="85" t="str">
        <f ca="1">VLOOKUP($B75,OFFSET([2]quests!$A$1,0,0,COUNTA([2]quests!$A:$A),MATCH(C$1,[2]quests!$1:$1,0)-MATCH($B$1,[2]quests!$1:$1,0)+1),MATCH(C$1,[2]quests!$1:$1,0)-MATCH($B$1,[2]quests!$1:$1,0)+1,FALSE)</f>
        <v>検証クエスト</v>
      </c>
      <c r="D75" s="85" t="str">
        <f ca="1">VLOOKUP($B75,OFFSET([2]quests!$A$1,0,0,COUNTA([2]quests!$A:$A),MATCH(D$1,[2]quests!$1:$1,0)-MATCH($B$1,[2]quests!$1:$1,0)+1),MATCH(D$1,[2]quests!$1:$1,0)-MATCH($B$1,[2]quests!$1:$1,0)+1,FALSE)</f>
        <v>検証</v>
      </c>
      <c r="E75" s="89" t="s">
        <v>223</v>
      </c>
      <c r="F75" s="85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5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7">
        <v>0</v>
      </c>
      <c r="I75" s="100">
        <v>20</v>
      </c>
      <c r="J75" s="86" t="s">
        <v>203</v>
      </c>
      <c r="K75" s="96" t="str">
        <f>VLOOKUP(I75,[7]stage_hints!$A:$C,3,FALSE)</f>
        <v>マルチプレイのメリット（その3）</v>
      </c>
      <c r="L75" s="97" t="str">
        <f>VLOOKUP(I75,[7]stage_hints!$A:$D,4,FALSE)</f>
        <v>マルチプレイへの参加はエナジー消費ゼロ_x000D_いつでも好きなだけ遊ぶことができます</v>
      </c>
      <c r="M75" s="57" t="s">
        <v>218</v>
      </c>
    </row>
    <row r="76" spans="1:13" x14ac:dyDescent="0.15">
      <c r="A76" s="83" t="s">
        <v>206</v>
      </c>
      <c r="B76" s="84">
        <f>floors!$C$2</f>
        <v>65535</v>
      </c>
      <c r="C76" s="85" t="str">
        <f ca="1">VLOOKUP($B76,OFFSET([2]quests!$A$1,0,0,COUNTA([2]quests!$A:$A),MATCH(C$1,[2]quests!$1:$1,0)-MATCH($B$1,[2]quests!$1:$1,0)+1),MATCH(C$1,[2]quests!$1:$1,0)-MATCH($B$1,[2]quests!$1:$1,0)+1,FALSE)</f>
        <v>検証クエスト</v>
      </c>
      <c r="D76" s="85" t="str">
        <f ca="1">VLOOKUP($B76,OFFSET([2]quests!$A$1,0,0,COUNTA([2]quests!$A:$A),MATCH(D$1,[2]quests!$1:$1,0)-MATCH($B$1,[2]quests!$1:$1,0)+1),MATCH(D$1,[2]quests!$1:$1,0)-MATCH($B$1,[2]quests!$1:$1,0)+1,FALSE)</f>
        <v>検証</v>
      </c>
      <c r="E76" s="89" t="s">
        <v>223</v>
      </c>
      <c r="F76" s="85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5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7">
        <v>0</v>
      </c>
      <c r="I76" s="100">
        <v>21</v>
      </c>
      <c r="J76" s="86" t="s">
        <v>203</v>
      </c>
      <c r="K76" s="96" t="str">
        <f>VLOOKUP(I76,[7]stage_hints!$A:$C,3,FALSE)</f>
        <v>スキルを有効に</v>
      </c>
      <c r="L76" s="97" t="str">
        <f>VLOOKUP(I76,[7]stage_hints!$A:$D,4,FALSE)</f>
        <v>ターン経過でユニットのスキルが使えます_x000D_強力スキルでバトルを有利に進めましょう</v>
      </c>
      <c r="M76" s="57" t="s">
        <v>218</v>
      </c>
    </row>
    <row r="77" spans="1:13" x14ac:dyDescent="0.15">
      <c r="A77" s="83" t="s">
        <v>206</v>
      </c>
      <c r="B77" s="84">
        <f>floors!$C$2</f>
        <v>65535</v>
      </c>
      <c r="C77" s="85" t="str">
        <f ca="1">VLOOKUP($B77,OFFSET([2]quests!$A$1,0,0,COUNTA([2]quests!$A:$A),MATCH(C$1,[2]quests!$1:$1,0)-MATCH($B$1,[2]quests!$1:$1,0)+1),MATCH(C$1,[2]quests!$1:$1,0)-MATCH($B$1,[2]quests!$1:$1,0)+1,FALSE)</f>
        <v>検証クエスト</v>
      </c>
      <c r="D77" s="85" t="str">
        <f ca="1">VLOOKUP($B77,OFFSET([2]quests!$A$1,0,0,COUNTA([2]quests!$A:$A),MATCH(D$1,[2]quests!$1:$1,0)-MATCH($B$1,[2]quests!$1:$1,0)+1),MATCH(D$1,[2]quests!$1:$1,0)-MATCH($B$1,[2]quests!$1:$1,0)+1,FALSE)</f>
        <v>検証</v>
      </c>
      <c r="E77" s="89" t="s">
        <v>223</v>
      </c>
      <c r="F77" s="85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5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7">
        <v>0</v>
      </c>
      <c r="I77" s="100">
        <v>22</v>
      </c>
      <c r="J77" s="86" t="s">
        <v>203</v>
      </c>
      <c r="K77" s="96" t="str">
        <f>VLOOKUP(I77,[7]stage_hints!$A:$C,3,FALSE)</f>
        <v>フィーバーで一発逆転（その1）</v>
      </c>
      <c r="L77" s="97" t="str">
        <f>VLOOKUP(I77,[7]stage_hints!$A:$D,4,FALSE)</f>
        <v>フィーバーは攻撃と回復を兼ね備えます_x000D_ピンチからの一発逆転を狙いましょう</v>
      </c>
      <c r="M77" s="57" t="s">
        <v>218</v>
      </c>
    </row>
    <row r="78" spans="1:13" x14ac:dyDescent="0.15">
      <c r="A78" s="83" t="s">
        <v>206</v>
      </c>
      <c r="B78" s="84">
        <f>floors!$C$2</f>
        <v>65535</v>
      </c>
      <c r="C78" s="85" t="str">
        <f ca="1">VLOOKUP($B78,OFFSET([2]quests!$A$1,0,0,COUNTA([2]quests!$A:$A),MATCH(C$1,[2]quests!$1:$1,0)-MATCH($B$1,[2]quests!$1:$1,0)+1),MATCH(C$1,[2]quests!$1:$1,0)-MATCH($B$1,[2]quests!$1:$1,0)+1,FALSE)</f>
        <v>検証クエスト</v>
      </c>
      <c r="D78" s="85" t="str">
        <f ca="1">VLOOKUP($B78,OFFSET([2]quests!$A$1,0,0,COUNTA([2]quests!$A:$A),MATCH(D$1,[2]quests!$1:$1,0)-MATCH($B$1,[2]quests!$1:$1,0)+1),MATCH(D$1,[2]quests!$1:$1,0)-MATCH($B$1,[2]quests!$1:$1,0)+1,FALSE)</f>
        <v>検証</v>
      </c>
      <c r="E78" s="89" t="s">
        <v>223</v>
      </c>
      <c r="F78" s="85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5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7">
        <v>0</v>
      </c>
      <c r="I78" s="100">
        <v>23</v>
      </c>
      <c r="J78" s="86" t="s">
        <v>203</v>
      </c>
      <c r="K78" s="96" t="str">
        <f>VLOOKUP(I78,[7]stage_hints!$A:$C,3,FALSE)</f>
        <v>フィーバーで一発逆転（その2）</v>
      </c>
      <c r="L78" s="97" t="str">
        <f>VLOOKUP(I78,[7]stage_hints!$A:$D,4,FALSE)</f>
        <v>フィーバー中は虹色のボムパネルを狙って_x000D_画面上のパネルを一気に破壊しましょう</v>
      </c>
      <c r="M78" s="57" t="s">
        <v>218</v>
      </c>
    </row>
    <row r="79" spans="1:13" x14ac:dyDescent="0.15">
      <c r="A79" s="83" t="s">
        <v>206</v>
      </c>
      <c r="B79" s="84">
        <f>floors!$C$2</f>
        <v>65535</v>
      </c>
      <c r="C79" s="85" t="str">
        <f ca="1">VLOOKUP($B79,OFFSET([2]quests!$A$1,0,0,COUNTA([2]quests!$A:$A),MATCH(C$1,[2]quests!$1:$1,0)-MATCH($B$1,[2]quests!$1:$1,0)+1),MATCH(C$1,[2]quests!$1:$1,0)-MATCH($B$1,[2]quests!$1:$1,0)+1,FALSE)</f>
        <v>検証クエスト</v>
      </c>
      <c r="D79" s="85" t="str">
        <f ca="1">VLOOKUP($B79,OFFSET([2]quests!$A$1,0,0,COUNTA([2]quests!$A:$A),MATCH(D$1,[2]quests!$1:$1,0)-MATCH($B$1,[2]quests!$1:$1,0)+1),MATCH(D$1,[2]quests!$1:$1,0)-MATCH($B$1,[2]quests!$1:$1,0)+1,FALSE)</f>
        <v>検証</v>
      </c>
      <c r="E79" s="89" t="s">
        <v>223</v>
      </c>
      <c r="F79" s="85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5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7">
        <v>0</v>
      </c>
      <c r="I79" s="100">
        <v>24</v>
      </c>
      <c r="J79" s="86" t="s">
        <v>203</v>
      </c>
      <c r="K79" s="96" t="str">
        <f>VLOOKUP(I79,[7]stage_hints!$A:$C,3,FALSE)</f>
        <v>りんごを使って限界突破</v>
      </c>
      <c r="L79" s="97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7" t="s">
        <v>218</v>
      </c>
    </row>
    <row r="80" spans="1:13" x14ac:dyDescent="0.15">
      <c r="A80" s="83" t="s">
        <v>206</v>
      </c>
      <c r="B80" s="84">
        <f>floors!$C$2</f>
        <v>65535</v>
      </c>
      <c r="C80" s="85" t="str">
        <f ca="1">VLOOKUP($B80,OFFSET([2]quests!$A$1,0,0,COUNTA([2]quests!$A:$A),MATCH(C$1,[2]quests!$1:$1,0)-MATCH($B$1,[2]quests!$1:$1,0)+1),MATCH(C$1,[2]quests!$1:$1,0)-MATCH($B$1,[2]quests!$1:$1,0)+1,FALSE)</f>
        <v>検証クエスト</v>
      </c>
      <c r="D80" s="85" t="str">
        <f ca="1">VLOOKUP($B80,OFFSET([2]quests!$A$1,0,0,COUNTA([2]quests!$A:$A),MATCH(D$1,[2]quests!$1:$1,0)-MATCH($B$1,[2]quests!$1:$1,0)+1),MATCH(D$1,[2]quests!$1:$1,0)-MATCH($B$1,[2]quests!$1:$1,0)+1,FALSE)</f>
        <v>検証</v>
      </c>
      <c r="E80" s="89" t="s">
        <v>223</v>
      </c>
      <c r="F80" s="85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5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7">
        <v>0</v>
      </c>
      <c r="I80" s="100">
        <v>25</v>
      </c>
      <c r="J80" s="86" t="s">
        <v>203</v>
      </c>
      <c r="K80" s="96" t="str">
        <f>VLOOKUP(I80,[7]stage_hints!$A:$C,3,FALSE)</f>
        <v>スキルレベルアップ</v>
      </c>
      <c r="L80" s="97" t="str">
        <f>VLOOKUP(I80,[7]stage_hints!$A:$D,4,FALSE)</f>
        <v>「クリスタルのりんご」を強化に使うと_x000D_スキルレベルを上げることができます</v>
      </c>
      <c r="M80" s="57" t="s">
        <v>218</v>
      </c>
    </row>
    <row r="81" spans="1:13" x14ac:dyDescent="0.15">
      <c r="A81" s="83" t="s">
        <v>206</v>
      </c>
      <c r="B81" s="84">
        <f>floors!$C$2</f>
        <v>65535</v>
      </c>
      <c r="C81" s="85" t="str">
        <f ca="1">VLOOKUP($B81,OFFSET([2]quests!$A$1,0,0,COUNTA([2]quests!$A:$A),MATCH(C$1,[2]quests!$1:$1,0)-MATCH($B$1,[2]quests!$1:$1,0)+1),MATCH(C$1,[2]quests!$1:$1,0)-MATCH($B$1,[2]quests!$1:$1,0)+1,FALSE)</f>
        <v>検証クエスト</v>
      </c>
      <c r="D81" s="85" t="str">
        <f ca="1">VLOOKUP($B81,OFFSET([2]quests!$A$1,0,0,COUNTA([2]quests!$A:$A),MATCH(D$1,[2]quests!$1:$1,0)-MATCH($B$1,[2]quests!$1:$1,0)+1),MATCH(D$1,[2]quests!$1:$1,0)-MATCH($B$1,[2]quests!$1:$1,0)+1,FALSE)</f>
        <v>検証</v>
      </c>
      <c r="E81" s="89" t="s">
        <v>223</v>
      </c>
      <c r="F81" s="85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5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7">
        <v>0</v>
      </c>
      <c r="I81" s="100">
        <v>26</v>
      </c>
      <c r="J81" s="86" t="s">
        <v>203</v>
      </c>
      <c r="K81" s="96" t="str">
        <f>VLOOKUP(I81,[7]stage_hints!$A:$C,3,FALSE)</f>
        <v>スキルレベルの効果</v>
      </c>
      <c r="L81" s="97" t="str">
        <f>VLOOKUP(I81,[7]stage_hints!$A:$D,4,FALSE)</f>
        <v>スキルレベルが上がると_x000D_短いターンでスキルを使うことができます</v>
      </c>
      <c r="M81" s="57" t="s">
        <v>218</v>
      </c>
    </row>
    <row r="82" spans="1:13" x14ac:dyDescent="0.15">
      <c r="A82" s="83" t="s">
        <v>206</v>
      </c>
      <c r="B82" s="84">
        <f>floors!$C$2</f>
        <v>65535</v>
      </c>
      <c r="C82" s="85" t="str">
        <f ca="1">VLOOKUP($B82,OFFSET([2]quests!$A$1,0,0,COUNTA([2]quests!$A:$A),MATCH(C$1,[2]quests!$1:$1,0)-MATCH($B$1,[2]quests!$1:$1,0)+1),MATCH(C$1,[2]quests!$1:$1,0)-MATCH($B$1,[2]quests!$1:$1,0)+1,FALSE)</f>
        <v>検証クエスト</v>
      </c>
      <c r="D82" s="85" t="str">
        <f ca="1">VLOOKUP($B82,OFFSET([2]quests!$A$1,0,0,COUNTA([2]quests!$A:$A),MATCH(D$1,[2]quests!$1:$1,0)-MATCH($B$1,[2]quests!$1:$1,0)+1),MATCH(D$1,[2]quests!$1:$1,0)-MATCH($B$1,[2]quests!$1:$1,0)+1,FALSE)</f>
        <v>検証</v>
      </c>
      <c r="E82" s="89" t="s">
        <v>223</v>
      </c>
      <c r="F82" s="85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5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7">
        <v>0</v>
      </c>
      <c r="I82" s="100">
        <v>27</v>
      </c>
      <c r="J82" s="86" t="s">
        <v>203</v>
      </c>
      <c r="K82" s="96" t="str">
        <f>VLOOKUP(I82,[7]stage_hints!$A:$C,3,FALSE)</f>
        <v>ホーム画面からデッキを編成</v>
      </c>
      <c r="L82" s="97" t="str">
        <f>VLOOKUP(I82,[7]stage_hints!$A:$D,4,FALSE)</f>
        <v>ホーム画面でユニットを長押しすると_x000D_すぐにパーティ編成に移動できます</v>
      </c>
      <c r="M82" s="57" t="s">
        <v>218</v>
      </c>
    </row>
    <row r="83" spans="1:13" x14ac:dyDescent="0.15">
      <c r="A83" s="83" t="s">
        <v>206</v>
      </c>
      <c r="B83" s="84">
        <f>floors!$C$2</f>
        <v>65535</v>
      </c>
      <c r="C83" s="85" t="str">
        <f ca="1">VLOOKUP($B83,OFFSET([2]quests!$A$1,0,0,COUNTA([2]quests!$A:$A),MATCH(C$1,[2]quests!$1:$1,0)-MATCH($B$1,[2]quests!$1:$1,0)+1),MATCH(C$1,[2]quests!$1:$1,0)-MATCH($B$1,[2]quests!$1:$1,0)+1,FALSE)</f>
        <v>検証クエスト</v>
      </c>
      <c r="D83" s="85" t="str">
        <f ca="1">VLOOKUP($B83,OFFSET([2]quests!$A$1,0,0,COUNTA([2]quests!$A:$A),MATCH(D$1,[2]quests!$1:$1,0)-MATCH($B$1,[2]quests!$1:$1,0)+1),MATCH(D$1,[2]quests!$1:$1,0)-MATCH($B$1,[2]quests!$1:$1,0)+1,FALSE)</f>
        <v>検証</v>
      </c>
      <c r="E83" s="89" t="s">
        <v>223</v>
      </c>
      <c r="F83" s="85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5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7">
        <v>0</v>
      </c>
      <c r="I83" s="100">
        <v>28</v>
      </c>
      <c r="J83" s="86" t="s">
        <v>203</v>
      </c>
      <c r="K83" s="96" t="str">
        <f>VLOOKUP(I83,[7]stage_hints!$A:$C,3,FALSE)</f>
        <v>ステータス情報は長押しで</v>
      </c>
      <c r="L83" s="97" t="str">
        <f>VLOOKUP(I83,[7]stage_hints!$A:$D,4,FALSE)</f>
        <v>ユニットのアイコンを長押しすると_x000D_ステータス情報を確認することができます</v>
      </c>
      <c r="M83" s="57" t="s">
        <v>218</v>
      </c>
    </row>
    <row r="84" spans="1:13" x14ac:dyDescent="0.15">
      <c r="A84" s="83" t="s">
        <v>206</v>
      </c>
      <c r="B84" s="84">
        <f>floors!$C$2</f>
        <v>65535</v>
      </c>
      <c r="C84" s="85" t="str">
        <f ca="1">VLOOKUP($B84,OFFSET([2]quests!$A$1,0,0,COUNTA([2]quests!$A:$A),MATCH(C$1,[2]quests!$1:$1,0)-MATCH($B$1,[2]quests!$1:$1,0)+1),MATCH(C$1,[2]quests!$1:$1,0)-MATCH($B$1,[2]quests!$1:$1,0)+1,FALSE)</f>
        <v>検証クエスト</v>
      </c>
      <c r="D84" s="85" t="str">
        <f ca="1">VLOOKUP($B84,OFFSET([2]quests!$A$1,0,0,COUNTA([2]quests!$A:$A),MATCH(D$1,[2]quests!$1:$1,0)-MATCH($B$1,[2]quests!$1:$1,0)+1),MATCH(D$1,[2]quests!$1:$1,0)-MATCH($B$1,[2]quests!$1:$1,0)+1,FALSE)</f>
        <v>検証</v>
      </c>
      <c r="E84" s="89" t="s">
        <v>223</v>
      </c>
      <c r="F84" s="85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5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7">
        <v>0</v>
      </c>
      <c r="I84" s="100">
        <v>29</v>
      </c>
      <c r="J84" s="86" t="s">
        <v>203</v>
      </c>
      <c r="K84" s="96" t="str">
        <f>VLOOKUP(I84,[7]stage_hints!$A:$C,3,FALSE)</f>
        <v>「バグ」のメリット</v>
      </c>
      <c r="L84" s="97" t="str">
        <f>VLOOKUP(I84,[7]stage_hints!$A:$D,4,FALSE)</f>
        <v>ユニットの「バグ」を増やすと_x000D_報酬をもらえる確率がアップします</v>
      </c>
      <c r="M84" s="57" t="s">
        <v>218</v>
      </c>
    </row>
    <row r="85" spans="1:13" x14ac:dyDescent="0.15">
      <c r="A85" s="83" t="s">
        <v>206</v>
      </c>
      <c r="B85" s="84">
        <f>floors!$C$2</f>
        <v>65535</v>
      </c>
      <c r="C85" s="85" t="str">
        <f ca="1">VLOOKUP($B85,OFFSET([2]quests!$A$1,0,0,COUNTA([2]quests!$A:$A),MATCH(C$1,[2]quests!$1:$1,0)-MATCH($B$1,[2]quests!$1:$1,0)+1),MATCH(C$1,[2]quests!$1:$1,0)-MATCH($B$1,[2]quests!$1:$1,0)+1,FALSE)</f>
        <v>検証クエスト</v>
      </c>
      <c r="D85" s="85" t="str">
        <f ca="1">VLOOKUP($B85,OFFSET([2]quests!$A$1,0,0,COUNTA([2]quests!$A:$A),MATCH(D$1,[2]quests!$1:$1,0)-MATCH($B$1,[2]quests!$1:$1,0)+1),MATCH(D$1,[2]quests!$1:$1,0)-MATCH($B$1,[2]quests!$1:$1,0)+1,FALSE)</f>
        <v>検証</v>
      </c>
      <c r="E85" s="89" t="s">
        <v>223</v>
      </c>
      <c r="F85" s="85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5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7">
        <v>0</v>
      </c>
      <c r="I85" s="100">
        <v>30</v>
      </c>
      <c r="J85" s="86" t="s">
        <v>203</v>
      </c>
      <c r="K85" s="96" t="str">
        <f>VLOOKUP(I85,[7]stage_hints!$A:$C,3,FALSE)</f>
        <v>「バグ」の増やし方</v>
      </c>
      <c r="L85" s="97" t="str">
        <f>VLOOKUP(I85,[7]stage_hints!$A:$D,4,FALSE)</f>
        <v>同じユニット同士を強化で合成すると_x000D_「バグ」を増やすことができます</v>
      </c>
      <c r="M85" s="57" t="s">
        <v>218</v>
      </c>
    </row>
    <row r="86" spans="1:13" x14ac:dyDescent="0.15">
      <c r="A86" s="83" t="s">
        <v>206</v>
      </c>
      <c r="B86" s="84">
        <f>floors!$C$2</f>
        <v>65535</v>
      </c>
      <c r="C86" s="85" t="str">
        <f ca="1">VLOOKUP($B86,OFFSET([2]quests!$A$1,0,0,COUNTA([2]quests!$A:$A),MATCH(C$1,[2]quests!$1:$1,0)-MATCH($B$1,[2]quests!$1:$1,0)+1),MATCH(C$1,[2]quests!$1:$1,0)-MATCH($B$1,[2]quests!$1:$1,0)+1,FALSE)</f>
        <v>検証クエスト</v>
      </c>
      <c r="D86" s="85" t="str">
        <f ca="1">VLOOKUP($B86,OFFSET([2]quests!$A$1,0,0,COUNTA([2]quests!$A:$A),MATCH(D$1,[2]quests!$1:$1,0)-MATCH($B$1,[2]quests!$1:$1,0)+1),MATCH(D$1,[2]quests!$1:$1,0)-MATCH($B$1,[2]quests!$1:$1,0)+1,FALSE)</f>
        <v>検証</v>
      </c>
      <c r="E86" s="89" t="s">
        <v>223</v>
      </c>
      <c r="F86" s="85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5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7">
        <v>0</v>
      </c>
      <c r="I86" s="100">
        <v>31</v>
      </c>
      <c r="J86" s="86" t="s">
        <v>203</v>
      </c>
      <c r="K86" s="96" t="str">
        <f>VLOOKUP(I86,[7]stage_hints!$A:$C,3,FALSE)</f>
        <v>イベントはお知らせでチェック</v>
      </c>
      <c r="L86" s="97" t="str">
        <f>VLOOKUP(I86,[7]stage_hints!$A:$D,4,FALSE)</f>
        <v>イベント限定ユニットを取り忘れないように_x000D_お知らせをこまめにチェックしましょう</v>
      </c>
      <c r="M86" s="57" t="s">
        <v>218</v>
      </c>
    </row>
    <row r="87" spans="1:13" x14ac:dyDescent="0.15">
      <c r="A87" s="83" t="s">
        <v>206</v>
      </c>
      <c r="B87" s="84">
        <f>floors!$C$2</f>
        <v>65535</v>
      </c>
      <c r="C87" s="85" t="str">
        <f ca="1">VLOOKUP($B87,OFFSET([2]quests!$A$1,0,0,COUNTA([2]quests!$A:$A),MATCH(C$1,[2]quests!$1:$1,0)-MATCH($B$1,[2]quests!$1:$1,0)+1),MATCH(C$1,[2]quests!$1:$1,0)-MATCH($B$1,[2]quests!$1:$1,0)+1,FALSE)</f>
        <v>検証クエスト</v>
      </c>
      <c r="D87" s="85" t="str">
        <f ca="1">VLOOKUP($B87,OFFSET([2]quests!$A$1,0,0,COUNTA([2]quests!$A:$A),MATCH(D$1,[2]quests!$1:$1,0)-MATCH($B$1,[2]quests!$1:$1,0)+1),MATCH(D$1,[2]quests!$1:$1,0)-MATCH($B$1,[2]quests!$1:$1,0)+1,FALSE)</f>
        <v>検証</v>
      </c>
      <c r="E87" s="89" t="s">
        <v>223</v>
      </c>
      <c r="F87" s="85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5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7">
        <v>0</v>
      </c>
      <c r="I87" s="100">
        <v>32</v>
      </c>
      <c r="J87" s="86" t="s">
        <v>203</v>
      </c>
      <c r="K87" s="96" t="str">
        <f>VLOOKUP(I87,[7]stage_hints!$A:$C,3,FALSE)</f>
        <v>敵の連続攻撃には</v>
      </c>
      <c r="L87" s="97" t="str">
        <f>VLOOKUP(I87,[7]stage_hints!$A:$D,4,FALSE)</f>
        <v>カウンタースキルを持つユニットがいれば_x000D_ダメージ回数分の反撃ができます</v>
      </c>
      <c r="M87" s="57" t="s">
        <v>218</v>
      </c>
    </row>
    <row r="88" spans="1:13" x14ac:dyDescent="0.15">
      <c r="A88" s="83" t="s">
        <v>206</v>
      </c>
      <c r="B88" s="84">
        <f>floors!$C$2</f>
        <v>65535</v>
      </c>
      <c r="C88" s="85" t="str">
        <f ca="1">VLOOKUP($B88,OFFSET([2]quests!$A$1,0,0,COUNTA([2]quests!$A:$A),MATCH(C$1,[2]quests!$1:$1,0)-MATCH($B$1,[2]quests!$1:$1,0)+1),MATCH(C$1,[2]quests!$1:$1,0)-MATCH($B$1,[2]quests!$1:$1,0)+1,FALSE)</f>
        <v>検証クエスト</v>
      </c>
      <c r="D88" s="85" t="str">
        <f ca="1">VLOOKUP($B88,OFFSET([2]quests!$A$1,0,0,COUNTA([2]quests!$A:$A),MATCH(D$1,[2]quests!$1:$1,0)-MATCH($B$1,[2]quests!$1:$1,0)+1),MATCH(D$1,[2]quests!$1:$1,0)-MATCH($B$1,[2]quests!$1:$1,0)+1,FALSE)</f>
        <v>検証</v>
      </c>
      <c r="E88" s="89" t="s">
        <v>223</v>
      </c>
      <c r="F88" s="85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5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7">
        <v>0</v>
      </c>
      <c r="I88" s="100">
        <v>33</v>
      </c>
      <c r="J88" s="86" t="s">
        <v>203</v>
      </c>
      <c r="K88" s="96" t="str">
        <f>VLOOKUP(I88,[7]stage_hints!$A:$C,3,FALSE)</f>
        <v>敵のカウンター攻撃には</v>
      </c>
      <c r="L88" s="97" t="str">
        <f>VLOOKUP(I88,[7]stage_hints!$A:$D,4,FALSE)</f>
        <v>カウンターブレイクスキルを持っていれば_x000D_敵のカウンターを解除して攻撃ができます</v>
      </c>
      <c r="M88" s="57" t="s">
        <v>218</v>
      </c>
    </row>
    <row r="89" spans="1:13" x14ac:dyDescent="0.15">
      <c r="A89" s="83" t="s">
        <v>206</v>
      </c>
      <c r="B89" s="84">
        <f>floors!$C$2</f>
        <v>65535</v>
      </c>
      <c r="C89" s="85" t="str">
        <f ca="1">VLOOKUP($B89,OFFSET([2]quests!$A$1,0,0,COUNTA([2]quests!$A:$A),MATCH(C$1,[2]quests!$1:$1,0)-MATCH($B$1,[2]quests!$1:$1,0)+1),MATCH(C$1,[2]quests!$1:$1,0)-MATCH($B$1,[2]quests!$1:$1,0)+1,FALSE)</f>
        <v>検証クエスト</v>
      </c>
      <c r="D89" s="85" t="str">
        <f ca="1">VLOOKUP($B89,OFFSET([2]quests!$A$1,0,0,COUNTA([2]quests!$A:$A),MATCH(D$1,[2]quests!$1:$1,0)-MATCH($B$1,[2]quests!$1:$1,0)+1),MATCH(D$1,[2]quests!$1:$1,0)-MATCH($B$1,[2]quests!$1:$1,0)+1,FALSE)</f>
        <v>検証</v>
      </c>
      <c r="E89" s="89" t="s">
        <v>223</v>
      </c>
      <c r="F89" s="85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5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7">
        <v>0</v>
      </c>
      <c r="I89" s="100">
        <v>34</v>
      </c>
      <c r="J89" s="86" t="s">
        <v>203</v>
      </c>
      <c r="K89" s="96" t="str">
        <f>VLOOKUP(I89,[7]stage_hints!$A:$C,3,FALSE)</f>
        <v>ステータスをスキルで下げられたら</v>
      </c>
      <c r="L89" s="97" t="str">
        <f>VLOOKUP(I89,[7]stage_hints!$A:$D,4,FALSE)</f>
        <v>ステータスダウンのスキルを受けたら_x000D_ステータスアップスキルで上書きしましょう</v>
      </c>
      <c r="M89" s="57" t="s">
        <v>218</v>
      </c>
    </row>
    <row r="90" spans="1:13" x14ac:dyDescent="0.15">
      <c r="A90" s="83" t="s">
        <v>206</v>
      </c>
      <c r="B90" s="84">
        <f>floors!$C$2</f>
        <v>65535</v>
      </c>
      <c r="C90" s="85" t="str">
        <f ca="1">VLOOKUP($B90,OFFSET([2]quests!$A$1,0,0,COUNTA([2]quests!$A:$A),MATCH(C$1,[2]quests!$1:$1,0)-MATCH($B$1,[2]quests!$1:$1,0)+1),MATCH(C$1,[2]quests!$1:$1,0)-MATCH($B$1,[2]quests!$1:$1,0)+1,FALSE)</f>
        <v>検証クエスト</v>
      </c>
      <c r="D90" s="85" t="str">
        <f ca="1">VLOOKUP($B90,OFFSET([2]quests!$A$1,0,0,COUNTA([2]quests!$A:$A),MATCH(D$1,[2]quests!$1:$1,0)-MATCH($B$1,[2]quests!$1:$1,0)+1),MATCH(D$1,[2]quests!$1:$1,0)-MATCH($B$1,[2]quests!$1:$1,0)+1,FALSE)</f>
        <v>検証</v>
      </c>
      <c r="E90" s="89" t="s">
        <v>223</v>
      </c>
      <c r="F90" s="85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5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7">
        <v>0</v>
      </c>
      <c r="I90" s="100">
        <v>35</v>
      </c>
      <c r="J90" s="86" t="s">
        <v>203</v>
      </c>
      <c r="K90" s="96" t="str">
        <f>VLOOKUP(I90,[7]stage_hints!$A:$C,3,FALSE)</f>
        <v>敵のステータスがスキルで上がったら</v>
      </c>
      <c r="L90" s="97" t="str">
        <f>VLOOKUP(I90,[7]stage_hints!$A:$D,4,FALSE)</f>
        <v>敵のステータスがスキルでアップしたときは_x000D_ステータスダウンスキルで上書きしましょう</v>
      </c>
      <c r="M90" s="57" t="s">
        <v>218</v>
      </c>
    </row>
    <row r="91" spans="1:13" x14ac:dyDescent="0.15">
      <c r="A91" s="83" t="s">
        <v>206</v>
      </c>
      <c r="B91" s="84">
        <f>floors!$C$2</f>
        <v>65535</v>
      </c>
      <c r="C91" s="85" t="str">
        <f ca="1">VLOOKUP($B91,OFFSET([2]quests!$A$1,0,0,COUNTA([2]quests!$A:$A),MATCH(C$1,[2]quests!$1:$1,0)-MATCH($B$1,[2]quests!$1:$1,0)+1),MATCH(C$1,[2]quests!$1:$1,0)-MATCH($B$1,[2]quests!$1:$1,0)+1,FALSE)</f>
        <v>検証クエスト</v>
      </c>
      <c r="D91" s="85" t="str">
        <f ca="1">VLOOKUP($B91,OFFSET([2]quests!$A$1,0,0,COUNTA([2]quests!$A:$A),MATCH(D$1,[2]quests!$1:$1,0)-MATCH($B$1,[2]quests!$1:$1,0)+1),MATCH(D$1,[2]quests!$1:$1,0)-MATCH($B$1,[2]quests!$1:$1,0)+1,FALSE)</f>
        <v>検証</v>
      </c>
      <c r="E91" s="89" t="s">
        <v>223</v>
      </c>
      <c r="F91" s="85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5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7">
        <v>0</v>
      </c>
      <c r="I91" s="100">
        <v>36</v>
      </c>
      <c r="J91" s="86" t="s">
        <v>203</v>
      </c>
      <c r="K91" s="96" t="str">
        <f>VLOOKUP(I91,[7]stage_hints!$A:$C,3,FALSE)</f>
        <v>チャレンジタワーのボス</v>
      </c>
      <c r="L91" s="97" t="str">
        <f>VLOOKUP(I91,[7]stage_hints!$A:$D,4,FALSE)</f>
        <v>チャレンジタワーでのみ登場するボスは_x000D_一定確率で獲得することができます</v>
      </c>
      <c r="M91" s="57" t="s">
        <v>218</v>
      </c>
    </row>
    <row r="92" spans="1:13" x14ac:dyDescent="0.15">
      <c r="A92" s="83" t="s">
        <v>206</v>
      </c>
      <c r="B92" s="84">
        <f>floors!$C$2</f>
        <v>65535</v>
      </c>
      <c r="C92" s="85" t="str">
        <f ca="1">VLOOKUP($B92,OFFSET([2]quests!$A$1,0,0,COUNTA([2]quests!$A:$A),MATCH(C$1,[2]quests!$1:$1,0)-MATCH($B$1,[2]quests!$1:$1,0)+1),MATCH(C$1,[2]quests!$1:$1,0)-MATCH($B$1,[2]quests!$1:$1,0)+1,FALSE)</f>
        <v>検証クエスト</v>
      </c>
      <c r="D92" s="85" t="str">
        <f ca="1">VLOOKUP($B92,OFFSET([2]quests!$A$1,0,0,COUNTA([2]quests!$A:$A),MATCH(D$1,[2]quests!$1:$1,0)-MATCH($B$1,[2]quests!$1:$1,0)+1),MATCH(D$1,[2]quests!$1:$1,0)-MATCH($B$1,[2]quests!$1:$1,0)+1,FALSE)</f>
        <v>検証</v>
      </c>
      <c r="E92" s="89" t="s">
        <v>223</v>
      </c>
      <c r="F92" s="85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5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7">
        <v>0</v>
      </c>
      <c r="I92" s="100">
        <v>37</v>
      </c>
      <c r="J92" s="86" t="s">
        <v>203</v>
      </c>
      <c r="K92" s="96" t="str">
        <f>VLOOKUP(I92,[7]stage_hints!$A:$C,3,FALSE)</f>
        <v>限界突破値の引き継ぎ</v>
      </c>
      <c r="L92" s="97" t="str">
        <f>VLOOKUP(I92,[7]stage_hints!$A:$D,4,FALSE)</f>
        <v>同じユニットを強化で合成すると_x000D_限界突破値を引き継げます（覚醒前後も可）</v>
      </c>
      <c r="M92" s="57" t="s">
        <v>218</v>
      </c>
    </row>
    <row r="93" spans="1:13" x14ac:dyDescent="0.15">
      <c r="A93" s="83" t="s">
        <v>206</v>
      </c>
      <c r="B93" s="84">
        <f>floors!$C$2</f>
        <v>65535</v>
      </c>
      <c r="C93" s="85" t="str">
        <f ca="1">VLOOKUP($B93,OFFSET([2]quests!$A$1,0,0,COUNTA([2]quests!$A:$A),MATCH(C$1,[2]quests!$1:$1,0)-MATCH($B$1,[2]quests!$1:$1,0)+1),MATCH(C$1,[2]quests!$1:$1,0)-MATCH($B$1,[2]quests!$1:$1,0)+1,FALSE)</f>
        <v>検証クエスト</v>
      </c>
      <c r="D93" s="85" t="str">
        <f ca="1">VLOOKUP($B93,OFFSET([2]quests!$A$1,0,0,COUNTA([2]quests!$A:$A),MATCH(D$1,[2]quests!$1:$1,0)-MATCH($B$1,[2]quests!$1:$1,0)+1),MATCH(D$1,[2]quests!$1:$1,0)-MATCH($B$1,[2]quests!$1:$1,0)+1,FALSE)</f>
        <v>検証</v>
      </c>
      <c r="E93" s="89" t="s">
        <v>223</v>
      </c>
      <c r="F93" s="85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5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7">
        <v>0</v>
      </c>
      <c r="I93" s="100">
        <v>39</v>
      </c>
      <c r="J93" s="86" t="s">
        <v>203</v>
      </c>
      <c r="K93" s="96" t="str">
        <f>VLOOKUP(I93,[7]stage_hints!$A:$C,3,FALSE)</f>
        <v>システム適合者を確認</v>
      </c>
      <c r="L93" s="97" t="str">
        <f>VLOOKUP(I93,[7]stage_hints!$A:$D,4,FALSE)</f>
        <v>ALICEが 「アナタ」を呼んでいます</v>
      </c>
      <c r="M93" s="57" t="s">
        <v>218</v>
      </c>
    </row>
    <row r="94" spans="1:13" x14ac:dyDescent="0.15">
      <c r="A94" s="83" t="s">
        <v>206</v>
      </c>
      <c r="B94" s="84">
        <f>floors!$C$2</f>
        <v>65535</v>
      </c>
      <c r="C94" s="85" t="str">
        <f ca="1">VLOOKUP($B94,OFFSET([2]quests!$A$1,0,0,COUNTA([2]quests!$A:$A),MATCH(C$1,[2]quests!$1:$1,0)-MATCH($B$1,[2]quests!$1:$1,0)+1),MATCH(C$1,[2]quests!$1:$1,0)-MATCH($B$1,[2]quests!$1:$1,0)+1,FALSE)</f>
        <v>検証クエスト</v>
      </c>
      <c r="D94" s="85" t="str">
        <f ca="1">VLOOKUP($B94,OFFSET([2]quests!$A$1,0,0,COUNTA([2]quests!$A:$A),MATCH(D$1,[2]quests!$1:$1,0)-MATCH($B$1,[2]quests!$1:$1,0)+1),MATCH(D$1,[2]quests!$1:$1,0)-MATCH($B$1,[2]quests!$1:$1,0)+1,FALSE)</f>
        <v>検証</v>
      </c>
      <c r="E94" s="89" t="s">
        <v>224</v>
      </c>
      <c r="F94" s="85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5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7">
        <v>0</v>
      </c>
      <c r="I94">
        <v>12</v>
      </c>
      <c r="J94" s="86" t="s">
        <v>203</v>
      </c>
      <c r="K94" s="96" t="str">
        <f>VLOOKUP(I94,[7]stage_hints!$A:$C,3,FALSE)</f>
        <v>ユニットのお気に入り登録</v>
      </c>
      <c r="L94" s="97" t="str">
        <f>VLOOKUP(I94,[7]stage_hints!$A:$D,4,FALSE)</f>
        <v>大事なユニットを誤って消さないように_x000D_フォルダから「お気に入り登録」しましょう</v>
      </c>
      <c r="M94" s="57" t="s">
        <v>218</v>
      </c>
    </row>
    <row r="95" spans="1:13" x14ac:dyDescent="0.15">
      <c r="A95" s="83" t="s">
        <v>206</v>
      </c>
      <c r="B95" s="84">
        <f>floors!$C$2</f>
        <v>65535</v>
      </c>
      <c r="C95" s="85" t="str">
        <f ca="1">VLOOKUP($B95,OFFSET([2]quests!$A$1,0,0,COUNTA([2]quests!$A:$A),MATCH(C$1,[2]quests!$1:$1,0)-MATCH($B$1,[2]quests!$1:$1,0)+1),MATCH(C$1,[2]quests!$1:$1,0)-MATCH($B$1,[2]quests!$1:$1,0)+1,FALSE)</f>
        <v>検証クエスト</v>
      </c>
      <c r="D95" s="85" t="str">
        <f ca="1">VLOOKUP($B95,OFFSET([2]quests!$A$1,0,0,COUNTA([2]quests!$A:$A),MATCH(D$1,[2]quests!$1:$1,0)-MATCH($B$1,[2]quests!$1:$1,0)+1),MATCH(D$1,[2]quests!$1:$1,0)-MATCH($B$1,[2]quests!$1:$1,0)+1,FALSE)</f>
        <v>検証</v>
      </c>
      <c r="E95" s="89" t="s">
        <v>224</v>
      </c>
      <c r="F95" s="85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5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7">
        <v>0</v>
      </c>
      <c r="I95">
        <v>17</v>
      </c>
      <c r="J95" s="86" t="s">
        <v>203</v>
      </c>
      <c r="K95" s="96" t="str">
        <f>VLOOKUP(I95,[7]stage_hints!$A:$C,3,FALSE)</f>
        <v>リンクガチャ</v>
      </c>
      <c r="L95" s="97" t="str">
        <f>VLOOKUP(I95,[7]stage_hints!$A:$D,4,FALSE)</f>
        <v>無料のリンクガチャを回して_x000D_経験値素材や売却素材を獲得しましょう</v>
      </c>
      <c r="M95" s="57" t="s">
        <v>218</v>
      </c>
    </row>
    <row r="96" spans="1:13" x14ac:dyDescent="0.15">
      <c r="A96" s="83" t="s">
        <v>206</v>
      </c>
      <c r="B96" s="84">
        <f>floors!$C$2</f>
        <v>65535</v>
      </c>
      <c r="C96" s="85" t="str">
        <f ca="1">VLOOKUP($B96,OFFSET([2]quests!$A$1,0,0,COUNTA([2]quests!$A:$A),MATCH(C$1,[2]quests!$1:$1,0)-MATCH($B$1,[2]quests!$1:$1,0)+1),MATCH(C$1,[2]quests!$1:$1,0)-MATCH($B$1,[2]quests!$1:$1,0)+1,FALSE)</f>
        <v>検証クエスト</v>
      </c>
      <c r="D96" s="85" t="str">
        <f ca="1">VLOOKUP($B96,OFFSET([2]quests!$A$1,0,0,COUNTA([2]quests!$A:$A),MATCH(D$1,[2]quests!$1:$1,0)-MATCH($B$1,[2]quests!$1:$1,0)+1),MATCH(D$1,[2]quests!$1:$1,0)-MATCH($B$1,[2]quests!$1:$1,0)+1,FALSE)</f>
        <v>検証</v>
      </c>
      <c r="E96" s="89" t="s">
        <v>224</v>
      </c>
      <c r="F96" s="85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5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7">
        <v>0</v>
      </c>
      <c r="I96">
        <v>19</v>
      </c>
      <c r="J96" s="86" t="s">
        <v>203</v>
      </c>
      <c r="K96" s="96" t="str">
        <f>VLOOKUP(I96,[7]stage_hints!$A:$C,3,FALSE)</f>
        <v>ソロ専用チャレンジタワー</v>
      </c>
      <c r="L96" s="97" t="str">
        <f>VLOOKUP(I96,[7]stage_hints!$A:$D,4,FALSE)</f>
        <v>ソロ専用の「チャレンジタワー」では_x000D_各フロアごとにクリア報酬がもらえます</v>
      </c>
      <c r="M96" s="57" t="s">
        <v>218</v>
      </c>
    </row>
    <row r="97" spans="1:13" x14ac:dyDescent="0.15">
      <c r="A97" s="83" t="s">
        <v>206</v>
      </c>
      <c r="B97" s="84">
        <f>floors!$C$2</f>
        <v>65535</v>
      </c>
      <c r="C97" s="85" t="str">
        <f ca="1">VLOOKUP($B97,OFFSET([2]quests!$A$1,0,0,COUNTA([2]quests!$A:$A),MATCH(C$1,[2]quests!$1:$1,0)-MATCH($B$1,[2]quests!$1:$1,0)+1),MATCH(C$1,[2]quests!$1:$1,0)-MATCH($B$1,[2]quests!$1:$1,0)+1,FALSE)</f>
        <v>検証クエスト</v>
      </c>
      <c r="D97" s="85" t="str">
        <f ca="1">VLOOKUP($B97,OFFSET([2]quests!$A$1,0,0,COUNTA([2]quests!$A:$A),MATCH(D$1,[2]quests!$1:$1,0)-MATCH($B$1,[2]quests!$1:$1,0)+1),MATCH(D$1,[2]quests!$1:$1,0)-MATCH($B$1,[2]quests!$1:$1,0)+1,FALSE)</f>
        <v>検証</v>
      </c>
      <c r="E97" s="89" t="s">
        <v>224</v>
      </c>
      <c r="F97" s="85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5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7">
        <v>0</v>
      </c>
      <c r="I97">
        <v>21</v>
      </c>
      <c r="J97" s="86" t="s">
        <v>203</v>
      </c>
      <c r="K97" s="96" t="str">
        <f>VLOOKUP(I97,[7]stage_hints!$A:$C,3,FALSE)</f>
        <v>スキルを有効に</v>
      </c>
      <c r="L97" s="97" t="str">
        <f>VLOOKUP(I97,[7]stage_hints!$A:$D,4,FALSE)</f>
        <v>ターン経過でユニットのスキルが使えます_x000D_強力スキルでバトルを有利に進めましょう</v>
      </c>
      <c r="M97" s="57" t="s">
        <v>218</v>
      </c>
    </row>
    <row r="98" spans="1:13" x14ac:dyDescent="0.15">
      <c r="A98" s="83" t="s">
        <v>206</v>
      </c>
      <c r="B98" s="84">
        <f>floors!$C$2</f>
        <v>65535</v>
      </c>
      <c r="C98" s="85" t="str">
        <f ca="1">VLOOKUP($B98,OFFSET([2]quests!$A$1,0,0,COUNTA([2]quests!$A:$A),MATCH(C$1,[2]quests!$1:$1,0)-MATCH($B$1,[2]quests!$1:$1,0)+1),MATCH(C$1,[2]quests!$1:$1,0)-MATCH($B$1,[2]quests!$1:$1,0)+1,FALSE)</f>
        <v>検証クエスト</v>
      </c>
      <c r="D98" s="85" t="str">
        <f ca="1">VLOOKUP($B98,OFFSET([2]quests!$A$1,0,0,COUNTA([2]quests!$A:$A),MATCH(D$1,[2]quests!$1:$1,0)-MATCH($B$1,[2]quests!$1:$1,0)+1),MATCH(D$1,[2]quests!$1:$1,0)-MATCH($B$1,[2]quests!$1:$1,0)+1,FALSE)</f>
        <v>検証</v>
      </c>
      <c r="E98" s="89" t="s">
        <v>224</v>
      </c>
      <c r="F98" s="85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5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7">
        <v>0</v>
      </c>
      <c r="I98">
        <v>27</v>
      </c>
      <c r="J98" s="86" t="s">
        <v>203</v>
      </c>
      <c r="K98" s="96" t="str">
        <f>VLOOKUP(I98,[7]stage_hints!$A:$C,3,FALSE)</f>
        <v>ホーム画面からデッキを編成</v>
      </c>
      <c r="L98" s="97" t="str">
        <f>VLOOKUP(I98,[7]stage_hints!$A:$D,4,FALSE)</f>
        <v>ホーム画面でユニットを長押しすると_x000D_すぐにパーティ編成に移動できます</v>
      </c>
      <c r="M98" s="57" t="s">
        <v>218</v>
      </c>
    </row>
    <row r="99" spans="1:13" x14ac:dyDescent="0.15">
      <c r="A99" s="83" t="s">
        <v>206</v>
      </c>
      <c r="B99" s="84">
        <f>floors!$C$2</f>
        <v>65535</v>
      </c>
      <c r="C99" s="85" t="str">
        <f ca="1">VLOOKUP($B99,OFFSET([2]quests!$A$1,0,0,COUNTA([2]quests!$A:$A),MATCH(C$1,[2]quests!$1:$1,0)-MATCH($B$1,[2]quests!$1:$1,0)+1),MATCH(C$1,[2]quests!$1:$1,0)-MATCH($B$1,[2]quests!$1:$1,0)+1,FALSE)</f>
        <v>検証クエスト</v>
      </c>
      <c r="D99" s="85" t="str">
        <f ca="1">VLOOKUP($B99,OFFSET([2]quests!$A$1,0,0,COUNTA([2]quests!$A:$A),MATCH(D$1,[2]quests!$1:$1,0)-MATCH($B$1,[2]quests!$1:$1,0)+1),MATCH(D$1,[2]quests!$1:$1,0)-MATCH($B$1,[2]quests!$1:$1,0)+1,FALSE)</f>
        <v>検証</v>
      </c>
      <c r="E99" s="89" t="s">
        <v>224</v>
      </c>
      <c r="F99" s="85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5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7">
        <v>0</v>
      </c>
      <c r="I99">
        <v>28</v>
      </c>
      <c r="J99" s="86" t="s">
        <v>203</v>
      </c>
      <c r="K99" s="96" t="str">
        <f>VLOOKUP(I99,[7]stage_hints!$A:$C,3,FALSE)</f>
        <v>ステータス情報は長押しで</v>
      </c>
      <c r="L99" s="97" t="str">
        <f>VLOOKUP(I99,[7]stage_hints!$A:$D,4,FALSE)</f>
        <v>ユニットのアイコンを長押しすると_x000D_ステータス情報を確認することができます</v>
      </c>
      <c r="M99" s="57" t="s">
        <v>218</v>
      </c>
    </row>
    <row r="100" spans="1:13" x14ac:dyDescent="0.15">
      <c r="A100" s="83" t="s">
        <v>206</v>
      </c>
      <c r="B100" s="84">
        <f>floors!$C$2</f>
        <v>65535</v>
      </c>
      <c r="C100" s="85" t="str">
        <f ca="1">VLOOKUP($B100,OFFSET([2]quests!$A$1,0,0,COUNTA([2]quests!$A:$A),MATCH(C$1,[2]quests!$1:$1,0)-MATCH($B$1,[2]quests!$1:$1,0)+1),MATCH(C$1,[2]quests!$1:$1,0)-MATCH($B$1,[2]quests!$1:$1,0)+1,FALSE)</f>
        <v>検証クエスト</v>
      </c>
      <c r="D100" s="85" t="str">
        <f ca="1">VLOOKUP($B100,OFFSET([2]quests!$A$1,0,0,COUNTA([2]quests!$A:$A),MATCH(D$1,[2]quests!$1:$1,0)-MATCH($B$1,[2]quests!$1:$1,0)+1),MATCH(D$1,[2]quests!$1:$1,0)-MATCH($B$1,[2]quests!$1:$1,0)+1,FALSE)</f>
        <v>検証</v>
      </c>
      <c r="E100" s="89" t="s">
        <v>224</v>
      </c>
      <c r="F100" s="85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5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7">
        <v>0</v>
      </c>
      <c r="I100">
        <v>29</v>
      </c>
      <c r="J100" s="86" t="s">
        <v>203</v>
      </c>
      <c r="K100" s="96" t="str">
        <f>VLOOKUP(I100,[7]stage_hints!$A:$C,3,FALSE)</f>
        <v>「バグ」のメリット</v>
      </c>
      <c r="L100" s="97" t="str">
        <f>VLOOKUP(I100,[7]stage_hints!$A:$D,4,FALSE)</f>
        <v>ユニットの「バグ」を増やすと_x000D_報酬をもらえる確率がアップします</v>
      </c>
      <c r="M100" s="57" t="s">
        <v>218</v>
      </c>
    </row>
    <row r="101" spans="1:13" x14ac:dyDescent="0.15">
      <c r="A101" s="83" t="s">
        <v>206</v>
      </c>
      <c r="B101" s="84">
        <f>floors!$C$2</f>
        <v>65535</v>
      </c>
      <c r="C101" s="85" t="str">
        <f ca="1">VLOOKUP($B101,OFFSET([2]quests!$A$1,0,0,COUNTA([2]quests!$A:$A),MATCH(C$1,[2]quests!$1:$1,0)-MATCH($B$1,[2]quests!$1:$1,0)+1),MATCH(C$1,[2]quests!$1:$1,0)-MATCH($B$1,[2]quests!$1:$1,0)+1,FALSE)</f>
        <v>検証クエスト</v>
      </c>
      <c r="D101" s="85" t="str">
        <f ca="1">VLOOKUP($B101,OFFSET([2]quests!$A$1,0,0,COUNTA([2]quests!$A:$A),MATCH(D$1,[2]quests!$1:$1,0)-MATCH($B$1,[2]quests!$1:$1,0)+1),MATCH(D$1,[2]quests!$1:$1,0)-MATCH($B$1,[2]quests!$1:$1,0)+1,FALSE)</f>
        <v>検証</v>
      </c>
      <c r="E101" s="89" t="s">
        <v>224</v>
      </c>
      <c r="F101" s="85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5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7">
        <v>0</v>
      </c>
      <c r="I101">
        <v>30</v>
      </c>
      <c r="J101" s="86" t="s">
        <v>203</v>
      </c>
      <c r="K101" s="96" t="str">
        <f>VLOOKUP(I101,[7]stage_hints!$A:$C,3,FALSE)</f>
        <v>「バグ」の増やし方</v>
      </c>
      <c r="L101" s="97" t="str">
        <f>VLOOKUP(I101,[7]stage_hints!$A:$D,4,FALSE)</f>
        <v>同じユニット同士を強化で合成すると_x000D_「バグ」を増やすことができます</v>
      </c>
      <c r="M101" s="57" t="s">
        <v>218</v>
      </c>
    </row>
    <row r="102" spans="1:13" x14ac:dyDescent="0.15">
      <c r="A102" s="83" t="s">
        <v>206</v>
      </c>
      <c r="B102" s="84">
        <f>floors!$C$2</f>
        <v>65535</v>
      </c>
      <c r="C102" s="85" t="str">
        <f ca="1">VLOOKUP($B102,OFFSET([2]quests!$A$1,0,0,COUNTA([2]quests!$A:$A),MATCH(C$1,[2]quests!$1:$1,0)-MATCH($B$1,[2]quests!$1:$1,0)+1),MATCH(C$1,[2]quests!$1:$1,0)-MATCH($B$1,[2]quests!$1:$1,0)+1,FALSE)</f>
        <v>検証クエスト</v>
      </c>
      <c r="D102" s="85" t="str">
        <f ca="1">VLOOKUP($B102,OFFSET([2]quests!$A$1,0,0,COUNTA([2]quests!$A:$A),MATCH(D$1,[2]quests!$1:$1,0)-MATCH($B$1,[2]quests!$1:$1,0)+1),MATCH(D$1,[2]quests!$1:$1,0)-MATCH($B$1,[2]quests!$1:$1,0)+1,FALSE)</f>
        <v>検証</v>
      </c>
      <c r="E102" s="89" t="s">
        <v>224</v>
      </c>
      <c r="F102" s="85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5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7">
        <v>0</v>
      </c>
      <c r="I102">
        <v>32</v>
      </c>
      <c r="J102" s="86" t="s">
        <v>203</v>
      </c>
      <c r="K102" s="96" t="str">
        <f>VLOOKUP(I102,[7]stage_hints!$A:$C,3,FALSE)</f>
        <v>敵の連続攻撃には</v>
      </c>
      <c r="L102" s="97" t="str">
        <f>VLOOKUP(I102,[7]stage_hints!$A:$D,4,FALSE)</f>
        <v>カウンタースキルを持つユニットがいれば_x000D_ダメージ回数分の反撃ができます</v>
      </c>
      <c r="M102" s="57" t="s">
        <v>218</v>
      </c>
    </row>
    <row r="103" spans="1:13" x14ac:dyDescent="0.15">
      <c r="A103" s="83" t="s">
        <v>206</v>
      </c>
      <c r="B103" s="84">
        <f>floors!$C$2</f>
        <v>65535</v>
      </c>
      <c r="C103" s="85" t="str">
        <f ca="1">VLOOKUP($B103,OFFSET([2]quests!$A$1,0,0,COUNTA([2]quests!$A:$A),MATCH(C$1,[2]quests!$1:$1,0)-MATCH($B$1,[2]quests!$1:$1,0)+1),MATCH(C$1,[2]quests!$1:$1,0)-MATCH($B$1,[2]quests!$1:$1,0)+1,FALSE)</f>
        <v>検証クエスト</v>
      </c>
      <c r="D103" s="85" t="str">
        <f ca="1">VLOOKUP($B103,OFFSET([2]quests!$A$1,0,0,COUNTA([2]quests!$A:$A),MATCH(D$1,[2]quests!$1:$1,0)-MATCH($B$1,[2]quests!$1:$1,0)+1),MATCH(D$1,[2]quests!$1:$1,0)-MATCH($B$1,[2]quests!$1:$1,0)+1,FALSE)</f>
        <v>検証</v>
      </c>
      <c r="E103" s="89" t="s">
        <v>224</v>
      </c>
      <c r="F103" s="85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5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7">
        <v>0</v>
      </c>
      <c r="I103">
        <v>33</v>
      </c>
      <c r="J103" s="86" t="s">
        <v>203</v>
      </c>
      <c r="K103" s="96" t="str">
        <f>VLOOKUP(I103,[7]stage_hints!$A:$C,3,FALSE)</f>
        <v>敵のカウンター攻撃には</v>
      </c>
      <c r="L103" s="97" t="str">
        <f>VLOOKUP(I103,[7]stage_hints!$A:$D,4,FALSE)</f>
        <v>カウンターブレイクスキルを持っていれば_x000D_敵のカウンターを解除して攻撃ができます</v>
      </c>
      <c r="M103" s="57" t="s">
        <v>218</v>
      </c>
    </row>
    <row r="104" spans="1:13" x14ac:dyDescent="0.15">
      <c r="A104" s="83" t="s">
        <v>206</v>
      </c>
      <c r="B104" s="84">
        <f>floors!$C$2</f>
        <v>65535</v>
      </c>
      <c r="C104" s="85" t="str">
        <f ca="1">VLOOKUP($B104,OFFSET([2]quests!$A$1,0,0,COUNTA([2]quests!$A:$A),MATCH(C$1,[2]quests!$1:$1,0)-MATCH($B$1,[2]quests!$1:$1,0)+1),MATCH(C$1,[2]quests!$1:$1,0)-MATCH($B$1,[2]quests!$1:$1,0)+1,FALSE)</f>
        <v>検証クエスト</v>
      </c>
      <c r="D104" s="85" t="str">
        <f ca="1">VLOOKUP($B104,OFFSET([2]quests!$A$1,0,0,COUNTA([2]quests!$A:$A),MATCH(D$1,[2]quests!$1:$1,0)-MATCH($B$1,[2]quests!$1:$1,0)+1),MATCH(D$1,[2]quests!$1:$1,0)-MATCH($B$1,[2]quests!$1:$1,0)+1,FALSE)</f>
        <v>検証</v>
      </c>
      <c r="E104" s="89" t="s">
        <v>224</v>
      </c>
      <c r="F104" s="85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5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7">
        <v>0</v>
      </c>
      <c r="I104">
        <v>34</v>
      </c>
      <c r="J104" s="86" t="s">
        <v>203</v>
      </c>
      <c r="K104" s="96" t="str">
        <f>VLOOKUP(I104,[7]stage_hints!$A:$C,3,FALSE)</f>
        <v>ステータスをスキルで下げられたら</v>
      </c>
      <c r="L104" s="97" t="str">
        <f>VLOOKUP(I104,[7]stage_hints!$A:$D,4,FALSE)</f>
        <v>ステータスダウンのスキルを受けたら_x000D_ステータスアップスキルで上書きしましょう</v>
      </c>
      <c r="M104" s="57" t="s">
        <v>218</v>
      </c>
    </row>
    <row r="105" spans="1:13" x14ac:dyDescent="0.15">
      <c r="A105" s="83" t="s">
        <v>206</v>
      </c>
      <c r="B105" s="84">
        <f>floors!$C$2</f>
        <v>65535</v>
      </c>
      <c r="C105" s="85" t="str">
        <f ca="1">VLOOKUP($B105,OFFSET([2]quests!$A$1,0,0,COUNTA([2]quests!$A:$A),MATCH(C$1,[2]quests!$1:$1,0)-MATCH($B$1,[2]quests!$1:$1,0)+1),MATCH(C$1,[2]quests!$1:$1,0)-MATCH($B$1,[2]quests!$1:$1,0)+1,FALSE)</f>
        <v>検証クエスト</v>
      </c>
      <c r="D105" s="85" t="str">
        <f ca="1">VLOOKUP($B105,OFFSET([2]quests!$A$1,0,0,COUNTA([2]quests!$A:$A),MATCH(D$1,[2]quests!$1:$1,0)-MATCH($B$1,[2]quests!$1:$1,0)+1),MATCH(D$1,[2]quests!$1:$1,0)-MATCH($B$1,[2]quests!$1:$1,0)+1,FALSE)</f>
        <v>検証</v>
      </c>
      <c r="E105" s="89" t="s">
        <v>224</v>
      </c>
      <c r="F105" s="85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5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7">
        <v>0</v>
      </c>
      <c r="I105">
        <v>35</v>
      </c>
      <c r="J105" s="86" t="s">
        <v>203</v>
      </c>
      <c r="K105" s="96" t="str">
        <f>VLOOKUP(I105,[7]stage_hints!$A:$C,3,FALSE)</f>
        <v>敵のステータスがスキルで上がったら</v>
      </c>
      <c r="L105" s="97" t="str">
        <f>VLOOKUP(I105,[7]stage_hints!$A:$D,4,FALSE)</f>
        <v>敵のステータスがスキルでアップしたときは_x000D_ステータスダウンスキルで上書きしましょう</v>
      </c>
      <c r="M105" s="57" t="s">
        <v>218</v>
      </c>
    </row>
    <row r="106" spans="1:13" x14ac:dyDescent="0.15">
      <c r="A106" s="83" t="s">
        <v>206</v>
      </c>
      <c r="B106" s="84">
        <f>floors!$C$2</f>
        <v>65535</v>
      </c>
      <c r="C106" s="85" t="str">
        <f ca="1">VLOOKUP($B106,OFFSET([2]quests!$A$1,0,0,COUNTA([2]quests!$A:$A),MATCH(C$1,[2]quests!$1:$1,0)-MATCH($B$1,[2]quests!$1:$1,0)+1),MATCH(C$1,[2]quests!$1:$1,0)-MATCH($B$1,[2]quests!$1:$1,0)+1,FALSE)</f>
        <v>検証クエスト</v>
      </c>
      <c r="D106" s="85" t="str">
        <f ca="1">VLOOKUP($B106,OFFSET([2]quests!$A$1,0,0,COUNTA([2]quests!$A:$A),MATCH(D$1,[2]quests!$1:$1,0)-MATCH($B$1,[2]quests!$1:$1,0)+1),MATCH(D$1,[2]quests!$1:$1,0)-MATCH($B$1,[2]quests!$1:$1,0)+1,FALSE)</f>
        <v>検証</v>
      </c>
      <c r="E106" s="89" t="s">
        <v>224</v>
      </c>
      <c r="F106" s="85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5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7">
        <v>0</v>
      </c>
      <c r="I106">
        <v>36</v>
      </c>
      <c r="J106" s="86" t="s">
        <v>203</v>
      </c>
      <c r="K106" s="96" t="str">
        <f>VLOOKUP(I106,[7]stage_hints!$A:$C,3,FALSE)</f>
        <v>チャレンジタワーのボス</v>
      </c>
      <c r="L106" s="97" t="str">
        <f>VLOOKUP(I106,[7]stage_hints!$A:$D,4,FALSE)</f>
        <v>チャレンジタワーでのみ登場するボスは_x000D_一定確率で獲得することができます</v>
      </c>
      <c r="M106" s="57" t="s">
        <v>218</v>
      </c>
    </row>
    <row r="107" spans="1:13" x14ac:dyDescent="0.15">
      <c r="A107" s="83" t="s">
        <v>206</v>
      </c>
      <c r="B107" s="84">
        <f>floors!$C$2</f>
        <v>65535</v>
      </c>
      <c r="C107" s="85" t="str">
        <f ca="1">VLOOKUP($B107,OFFSET([2]quests!$A$1,0,0,COUNTA([2]quests!$A:$A),MATCH(C$1,[2]quests!$1:$1,0)-MATCH($B$1,[2]quests!$1:$1,0)+1),MATCH(C$1,[2]quests!$1:$1,0)-MATCH($B$1,[2]quests!$1:$1,0)+1,FALSE)</f>
        <v>検証クエスト</v>
      </c>
      <c r="D107" s="85" t="str">
        <f ca="1">VLOOKUP($B107,OFFSET([2]quests!$A$1,0,0,COUNTA([2]quests!$A:$A),MATCH(D$1,[2]quests!$1:$1,0)-MATCH($B$1,[2]quests!$1:$1,0)+1),MATCH(D$1,[2]quests!$1:$1,0)-MATCH($B$1,[2]quests!$1:$1,0)+1,FALSE)</f>
        <v>検証</v>
      </c>
      <c r="E107" s="89" t="s">
        <v>224</v>
      </c>
      <c r="F107" s="85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5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7">
        <v>0</v>
      </c>
      <c r="I107">
        <v>37</v>
      </c>
      <c r="J107" s="86" t="s">
        <v>203</v>
      </c>
      <c r="K107" s="96" t="str">
        <f>VLOOKUP(I107,[7]stage_hints!$A:$C,3,FALSE)</f>
        <v>限界突破値の引き継ぎ</v>
      </c>
      <c r="L107" s="97" t="str">
        <f>VLOOKUP(I107,[7]stage_hints!$A:$D,4,FALSE)</f>
        <v>同じユニットを強化で合成すると_x000D_限界突破値を引き継げます（覚醒前後も可）</v>
      </c>
      <c r="M107" s="57" t="s">
        <v>218</v>
      </c>
    </row>
    <row r="108" spans="1:13" x14ac:dyDescent="0.15">
      <c r="A108" s="83" t="s">
        <v>206</v>
      </c>
      <c r="B108" s="84">
        <f>floors!$C$2</f>
        <v>65535</v>
      </c>
      <c r="C108" s="85" t="str">
        <f ca="1">VLOOKUP($B108,OFFSET([2]quests!$A$1,0,0,COUNTA([2]quests!$A:$A),MATCH(C$1,[2]quests!$1:$1,0)-MATCH($B$1,[2]quests!$1:$1,0)+1),MATCH(C$1,[2]quests!$1:$1,0)-MATCH($B$1,[2]quests!$1:$1,0)+1,FALSE)</f>
        <v>検証クエスト</v>
      </c>
      <c r="D108" s="85" t="str">
        <f ca="1">VLOOKUP($B108,OFFSET([2]quests!$A$1,0,0,COUNTA([2]quests!$A:$A),MATCH(D$1,[2]quests!$1:$1,0)-MATCH($B$1,[2]quests!$1:$1,0)+1),MATCH(D$1,[2]quests!$1:$1,0)-MATCH($B$1,[2]quests!$1:$1,0)+1,FALSE)</f>
        <v>検証</v>
      </c>
      <c r="E108" s="89" t="s">
        <v>224</v>
      </c>
      <c r="F108" s="85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5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7">
        <v>0</v>
      </c>
      <c r="I108">
        <v>39</v>
      </c>
      <c r="J108" s="86" t="s">
        <v>203</v>
      </c>
      <c r="K108" s="96" t="str">
        <f>VLOOKUP(I108,[7]stage_hints!$A:$C,3,FALSE)</f>
        <v>システム適合者を確認</v>
      </c>
      <c r="L108" s="97" t="str">
        <f>VLOOKUP(I108,[7]stage_hints!$A:$D,4,FALSE)</f>
        <v>ALICEが 「アナタ」を呼んでいます</v>
      </c>
      <c r="M108" s="57" t="s">
        <v>218</v>
      </c>
    </row>
    <row r="109" spans="1:13" x14ac:dyDescent="0.15">
      <c r="A109" s="83" t="s">
        <v>206</v>
      </c>
      <c r="B109" s="84">
        <f>floors!$C$2</f>
        <v>65535</v>
      </c>
      <c r="C109" s="85" t="str">
        <f ca="1">VLOOKUP($B109,OFFSET([2]quests!$A$1,0,0,COUNTA([2]quests!$A:$A),MATCH(C$1,[2]quests!$1:$1,0)-MATCH($B$1,[2]quests!$1:$1,0)+1),MATCH(C$1,[2]quests!$1:$1,0)-MATCH($B$1,[2]quests!$1:$1,0)+1,FALSE)</f>
        <v>検証クエスト</v>
      </c>
      <c r="D109" s="85" t="str">
        <f ca="1">VLOOKUP($B109,OFFSET([2]quests!$A$1,0,0,COUNTA([2]quests!$A:$A),MATCH(D$1,[2]quests!$1:$1,0)-MATCH($B$1,[2]quests!$1:$1,0)+1),MATCH(D$1,[2]quests!$1:$1,0)-MATCH($B$1,[2]quests!$1:$1,0)+1,FALSE)</f>
        <v>検証</v>
      </c>
      <c r="E109" s="89" t="s">
        <v>225</v>
      </c>
      <c r="F109" s="85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5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7">
        <v>0</v>
      </c>
      <c r="I109">
        <v>12</v>
      </c>
      <c r="J109" s="86" t="s">
        <v>203</v>
      </c>
      <c r="K109" s="96" t="str">
        <f>VLOOKUP(I109,[7]stage_hints!$A:$C,3,FALSE)</f>
        <v>ユニットのお気に入り登録</v>
      </c>
      <c r="L109" s="97" t="str">
        <f>VLOOKUP(I109,[7]stage_hints!$A:$D,4,FALSE)</f>
        <v>大事なユニットを誤って消さないように_x000D_フォルダから「お気に入り登録」しましょう</v>
      </c>
      <c r="M109" s="57" t="s">
        <v>218</v>
      </c>
    </row>
    <row r="110" spans="1:13" x14ac:dyDescent="0.15">
      <c r="A110" s="83" t="s">
        <v>206</v>
      </c>
      <c r="B110" s="84">
        <f>floors!$C$2</f>
        <v>65535</v>
      </c>
      <c r="C110" s="85" t="str">
        <f ca="1">VLOOKUP($B110,OFFSET([2]quests!$A$1,0,0,COUNTA([2]quests!$A:$A),MATCH(C$1,[2]quests!$1:$1,0)-MATCH($B$1,[2]quests!$1:$1,0)+1),MATCH(C$1,[2]quests!$1:$1,0)-MATCH($B$1,[2]quests!$1:$1,0)+1,FALSE)</f>
        <v>検証クエスト</v>
      </c>
      <c r="D110" s="85" t="str">
        <f ca="1">VLOOKUP($B110,OFFSET([2]quests!$A$1,0,0,COUNTA([2]quests!$A:$A),MATCH(D$1,[2]quests!$1:$1,0)-MATCH($B$1,[2]quests!$1:$1,0)+1),MATCH(D$1,[2]quests!$1:$1,0)-MATCH($B$1,[2]quests!$1:$1,0)+1,FALSE)</f>
        <v>検証</v>
      </c>
      <c r="E110" s="89" t="s">
        <v>225</v>
      </c>
      <c r="F110" s="85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5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7">
        <v>0</v>
      </c>
      <c r="I110">
        <v>17</v>
      </c>
      <c r="J110" s="86" t="s">
        <v>203</v>
      </c>
      <c r="K110" s="96" t="str">
        <f>VLOOKUP(I110,[7]stage_hints!$A:$C,3,FALSE)</f>
        <v>リンクガチャ</v>
      </c>
      <c r="L110" s="97" t="str">
        <f>VLOOKUP(I110,[7]stage_hints!$A:$D,4,FALSE)</f>
        <v>無料のリンクガチャを回して_x000D_経験値素材や売却素材を獲得しましょう</v>
      </c>
      <c r="M110" s="57" t="s">
        <v>218</v>
      </c>
    </row>
    <row r="111" spans="1:13" x14ac:dyDescent="0.15">
      <c r="A111" s="83" t="s">
        <v>206</v>
      </c>
      <c r="B111" s="84">
        <f>floors!$C$2</f>
        <v>65535</v>
      </c>
      <c r="C111" s="85" t="str">
        <f ca="1">VLOOKUP($B111,OFFSET([2]quests!$A$1,0,0,COUNTA([2]quests!$A:$A),MATCH(C$1,[2]quests!$1:$1,0)-MATCH($B$1,[2]quests!$1:$1,0)+1),MATCH(C$1,[2]quests!$1:$1,0)-MATCH($B$1,[2]quests!$1:$1,0)+1,FALSE)</f>
        <v>検証クエスト</v>
      </c>
      <c r="D111" s="85" t="str">
        <f ca="1">VLOOKUP($B111,OFFSET([2]quests!$A$1,0,0,COUNTA([2]quests!$A:$A),MATCH(D$1,[2]quests!$1:$1,0)-MATCH($B$1,[2]quests!$1:$1,0)+1),MATCH(D$1,[2]quests!$1:$1,0)-MATCH($B$1,[2]quests!$1:$1,0)+1,FALSE)</f>
        <v>検証</v>
      </c>
      <c r="E111" s="89" t="s">
        <v>225</v>
      </c>
      <c r="F111" s="85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5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7">
        <v>0</v>
      </c>
      <c r="I111">
        <v>19</v>
      </c>
      <c r="J111" s="86" t="s">
        <v>203</v>
      </c>
      <c r="K111" s="96" t="str">
        <f>VLOOKUP(I111,[7]stage_hints!$A:$C,3,FALSE)</f>
        <v>ソロ専用チャレンジタワー</v>
      </c>
      <c r="L111" s="97" t="str">
        <f>VLOOKUP(I111,[7]stage_hints!$A:$D,4,FALSE)</f>
        <v>ソロ専用の「チャレンジタワー」では_x000D_各フロアごとにクリア報酬がもらえます</v>
      </c>
      <c r="M111" s="57" t="s">
        <v>218</v>
      </c>
    </row>
    <row r="112" spans="1:13" x14ac:dyDescent="0.15">
      <c r="A112" s="83" t="s">
        <v>206</v>
      </c>
      <c r="B112" s="84">
        <f>floors!$C$2</f>
        <v>65535</v>
      </c>
      <c r="C112" s="85" t="str">
        <f ca="1">VLOOKUP($B112,OFFSET([2]quests!$A$1,0,0,COUNTA([2]quests!$A:$A),MATCH(C$1,[2]quests!$1:$1,0)-MATCH($B$1,[2]quests!$1:$1,0)+1),MATCH(C$1,[2]quests!$1:$1,0)-MATCH($B$1,[2]quests!$1:$1,0)+1,FALSE)</f>
        <v>検証クエスト</v>
      </c>
      <c r="D112" s="85" t="str">
        <f ca="1">VLOOKUP($B112,OFFSET([2]quests!$A$1,0,0,COUNTA([2]quests!$A:$A),MATCH(D$1,[2]quests!$1:$1,0)-MATCH($B$1,[2]quests!$1:$1,0)+1),MATCH(D$1,[2]quests!$1:$1,0)-MATCH($B$1,[2]quests!$1:$1,0)+1,FALSE)</f>
        <v>検証</v>
      </c>
      <c r="E112" s="89" t="s">
        <v>225</v>
      </c>
      <c r="F112" s="85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5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7">
        <v>0</v>
      </c>
      <c r="I112">
        <v>21</v>
      </c>
      <c r="J112" s="86" t="s">
        <v>203</v>
      </c>
      <c r="K112" s="96" t="str">
        <f>VLOOKUP(I112,[7]stage_hints!$A:$C,3,FALSE)</f>
        <v>スキルを有効に</v>
      </c>
      <c r="L112" s="97" t="str">
        <f>VLOOKUP(I112,[7]stage_hints!$A:$D,4,FALSE)</f>
        <v>ターン経過でユニットのスキルが使えます_x000D_強力スキルでバトルを有利に進めましょう</v>
      </c>
      <c r="M112" s="57" t="s">
        <v>218</v>
      </c>
    </row>
    <row r="113" spans="1:13" x14ac:dyDescent="0.15">
      <c r="A113" s="83" t="s">
        <v>206</v>
      </c>
      <c r="B113" s="84">
        <f>floors!$C$2</f>
        <v>65535</v>
      </c>
      <c r="C113" s="85" t="str">
        <f ca="1">VLOOKUP($B113,OFFSET([2]quests!$A$1,0,0,COUNTA([2]quests!$A:$A),MATCH(C$1,[2]quests!$1:$1,0)-MATCH($B$1,[2]quests!$1:$1,0)+1),MATCH(C$1,[2]quests!$1:$1,0)-MATCH($B$1,[2]quests!$1:$1,0)+1,FALSE)</f>
        <v>検証クエスト</v>
      </c>
      <c r="D113" s="85" t="str">
        <f ca="1">VLOOKUP($B113,OFFSET([2]quests!$A$1,0,0,COUNTA([2]quests!$A:$A),MATCH(D$1,[2]quests!$1:$1,0)-MATCH($B$1,[2]quests!$1:$1,0)+1),MATCH(D$1,[2]quests!$1:$1,0)-MATCH($B$1,[2]quests!$1:$1,0)+1,FALSE)</f>
        <v>検証</v>
      </c>
      <c r="E113" s="89" t="s">
        <v>225</v>
      </c>
      <c r="F113" s="85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5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7">
        <v>0</v>
      </c>
      <c r="I113">
        <v>29</v>
      </c>
      <c r="J113" s="86" t="s">
        <v>203</v>
      </c>
      <c r="K113" s="96" t="str">
        <f>VLOOKUP(I113,[7]stage_hints!$A:$C,3,FALSE)</f>
        <v>「バグ」のメリット</v>
      </c>
      <c r="L113" s="97" t="str">
        <f>VLOOKUP(I113,[7]stage_hints!$A:$D,4,FALSE)</f>
        <v>ユニットの「バグ」を増やすと_x000D_報酬をもらえる確率がアップします</v>
      </c>
      <c r="M113" s="57" t="s">
        <v>218</v>
      </c>
    </row>
    <row r="114" spans="1:13" x14ac:dyDescent="0.15">
      <c r="A114" s="83" t="s">
        <v>206</v>
      </c>
      <c r="B114" s="84">
        <f>floors!$C$2</f>
        <v>65535</v>
      </c>
      <c r="C114" s="85" t="str">
        <f ca="1">VLOOKUP($B114,OFFSET([2]quests!$A$1,0,0,COUNTA([2]quests!$A:$A),MATCH(C$1,[2]quests!$1:$1,0)-MATCH($B$1,[2]quests!$1:$1,0)+1),MATCH(C$1,[2]quests!$1:$1,0)-MATCH($B$1,[2]quests!$1:$1,0)+1,FALSE)</f>
        <v>検証クエスト</v>
      </c>
      <c r="D114" s="85" t="str">
        <f ca="1">VLOOKUP($B114,OFFSET([2]quests!$A$1,0,0,COUNTA([2]quests!$A:$A),MATCH(D$1,[2]quests!$1:$1,0)-MATCH($B$1,[2]quests!$1:$1,0)+1),MATCH(D$1,[2]quests!$1:$1,0)-MATCH($B$1,[2]quests!$1:$1,0)+1,FALSE)</f>
        <v>検証</v>
      </c>
      <c r="E114" s="89" t="s">
        <v>225</v>
      </c>
      <c r="F114" s="85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5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7">
        <v>0</v>
      </c>
      <c r="I114">
        <v>30</v>
      </c>
      <c r="J114" s="86" t="s">
        <v>203</v>
      </c>
      <c r="K114" s="96" t="str">
        <f>VLOOKUP(I114,[7]stage_hints!$A:$C,3,FALSE)</f>
        <v>「バグ」の増やし方</v>
      </c>
      <c r="L114" s="97" t="str">
        <f>VLOOKUP(I114,[7]stage_hints!$A:$D,4,FALSE)</f>
        <v>同じユニット同士を強化で合成すると_x000D_「バグ」を増やすことができます</v>
      </c>
      <c r="M114" s="57" t="s">
        <v>218</v>
      </c>
    </row>
    <row r="115" spans="1:13" x14ac:dyDescent="0.15">
      <c r="A115" s="83" t="s">
        <v>206</v>
      </c>
      <c r="B115" s="84">
        <f>floors!$C$2</f>
        <v>65535</v>
      </c>
      <c r="C115" s="85" t="str">
        <f ca="1">VLOOKUP($B115,OFFSET([2]quests!$A$1,0,0,COUNTA([2]quests!$A:$A),MATCH(C$1,[2]quests!$1:$1,0)-MATCH($B$1,[2]quests!$1:$1,0)+1),MATCH(C$1,[2]quests!$1:$1,0)-MATCH($B$1,[2]quests!$1:$1,0)+1,FALSE)</f>
        <v>検証クエスト</v>
      </c>
      <c r="D115" s="85" t="str">
        <f ca="1">VLOOKUP($B115,OFFSET([2]quests!$A$1,0,0,COUNTA([2]quests!$A:$A),MATCH(D$1,[2]quests!$1:$1,0)-MATCH($B$1,[2]quests!$1:$1,0)+1),MATCH(D$1,[2]quests!$1:$1,0)-MATCH($B$1,[2]quests!$1:$1,0)+1,FALSE)</f>
        <v>検証</v>
      </c>
      <c r="E115" s="89" t="s">
        <v>225</v>
      </c>
      <c r="F115" s="85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5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7">
        <v>0</v>
      </c>
      <c r="I115">
        <v>32</v>
      </c>
      <c r="J115" s="86" t="s">
        <v>203</v>
      </c>
      <c r="K115" s="96" t="str">
        <f>VLOOKUP(I115,[7]stage_hints!$A:$C,3,FALSE)</f>
        <v>敵の連続攻撃には</v>
      </c>
      <c r="L115" s="97" t="str">
        <f>VLOOKUP(I115,[7]stage_hints!$A:$D,4,FALSE)</f>
        <v>カウンタースキルを持つユニットがいれば_x000D_ダメージ回数分の反撃ができます</v>
      </c>
      <c r="M115" s="57" t="s">
        <v>218</v>
      </c>
    </row>
    <row r="116" spans="1:13" x14ac:dyDescent="0.15">
      <c r="A116" s="83" t="s">
        <v>206</v>
      </c>
      <c r="B116" s="84">
        <f>floors!$C$2</f>
        <v>65535</v>
      </c>
      <c r="C116" s="85" t="str">
        <f ca="1">VLOOKUP($B116,OFFSET([2]quests!$A$1,0,0,COUNTA([2]quests!$A:$A),MATCH(C$1,[2]quests!$1:$1,0)-MATCH($B$1,[2]quests!$1:$1,0)+1),MATCH(C$1,[2]quests!$1:$1,0)-MATCH($B$1,[2]quests!$1:$1,0)+1,FALSE)</f>
        <v>検証クエスト</v>
      </c>
      <c r="D116" s="85" t="str">
        <f ca="1">VLOOKUP($B116,OFFSET([2]quests!$A$1,0,0,COUNTA([2]quests!$A:$A),MATCH(D$1,[2]quests!$1:$1,0)-MATCH($B$1,[2]quests!$1:$1,0)+1),MATCH(D$1,[2]quests!$1:$1,0)-MATCH($B$1,[2]quests!$1:$1,0)+1,FALSE)</f>
        <v>検証</v>
      </c>
      <c r="E116" s="89" t="s">
        <v>225</v>
      </c>
      <c r="F116" s="85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5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7">
        <v>0</v>
      </c>
      <c r="I116">
        <v>33</v>
      </c>
      <c r="J116" s="86" t="s">
        <v>203</v>
      </c>
      <c r="K116" s="96" t="str">
        <f>VLOOKUP(I116,[7]stage_hints!$A:$C,3,FALSE)</f>
        <v>敵のカウンター攻撃には</v>
      </c>
      <c r="L116" s="97" t="str">
        <f>VLOOKUP(I116,[7]stage_hints!$A:$D,4,FALSE)</f>
        <v>カウンターブレイクスキルを持っていれば_x000D_敵のカウンターを解除して攻撃ができます</v>
      </c>
      <c r="M116" s="57" t="s">
        <v>218</v>
      </c>
    </row>
    <row r="117" spans="1:13" x14ac:dyDescent="0.15">
      <c r="A117" s="83" t="s">
        <v>206</v>
      </c>
      <c r="B117" s="84">
        <f>floors!$C$2</f>
        <v>65535</v>
      </c>
      <c r="C117" s="85" t="str">
        <f ca="1">VLOOKUP($B117,OFFSET([2]quests!$A$1,0,0,COUNTA([2]quests!$A:$A),MATCH(C$1,[2]quests!$1:$1,0)-MATCH($B$1,[2]quests!$1:$1,0)+1),MATCH(C$1,[2]quests!$1:$1,0)-MATCH($B$1,[2]quests!$1:$1,0)+1,FALSE)</f>
        <v>検証クエスト</v>
      </c>
      <c r="D117" s="85" t="str">
        <f ca="1">VLOOKUP($B117,OFFSET([2]quests!$A$1,0,0,COUNTA([2]quests!$A:$A),MATCH(D$1,[2]quests!$1:$1,0)-MATCH($B$1,[2]quests!$1:$1,0)+1),MATCH(D$1,[2]quests!$1:$1,0)-MATCH($B$1,[2]quests!$1:$1,0)+1,FALSE)</f>
        <v>検証</v>
      </c>
      <c r="E117" s="89" t="s">
        <v>225</v>
      </c>
      <c r="F117" s="85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5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7">
        <v>0</v>
      </c>
      <c r="I117">
        <v>34</v>
      </c>
      <c r="J117" s="86" t="s">
        <v>203</v>
      </c>
      <c r="K117" s="96" t="str">
        <f>VLOOKUP(I117,[7]stage_hints!$A:$C,3,FALSE)</f>
        <v>ステータスをスキルで下げられたら</v>
      </c>
      <c r="L117" s="97" t="str">
        <f>VLOOKUP(I117,[7]stage_hints!$A:$D,4,FALSE)</f>
        <v>ステータスダウンのスキルを受けたら_x000D_ステータスアップスキルで上書きしましょう</v>
      </c>
      <c r="M117" s="57" t="s">
        <v>218</v>
      </c>
    </row>
    <row r="118" spans="1:13" x14ac:dyDescent="0.15">
      <c r="A118" s="83" t="s">
        <v>206</v>
      </c>
      <c r="B118" s="84">
        <f>floors!$C$2</f>
        <v>65535</v>
      </c>
      <c r="C118" s="85" t="str">
        <f ca="1">VLOOKUP($B118,OFFSET([2]quests!$A$1,0,0,COUNTA([2]quests!$A:$A),MATCH(C$1,[2]quests!$1:$1,0)-MATCH($B$1,[2]quests!$1:$1,0)+1),MATCH(C$1,[2]quests!$1:$1,0)-MATCH($B$1,[2]quests!$1:$1,0)+1,FALSE)</f>
        <v>検証クエスト</v>
      </c>
      <c r="D118" s="85" t="str">
        <f ca="1">VLOOKUP($B118,OFFSET([2]quests!$A$1,0,0,COUNTA([2]quests!$A:$A),MATCH(D$1,[2]quests!$1:$1,0)-MATCH($B$1,[2]quests!$1:$1,0)+1),MATCH(D$1,[2]quests!$1:$1,0)-MATCH($B$1,[2]quests!$1:$1,0)+1,FALSE)</f>
        <v>検証</v>
      </c>
      <c r="E118" s="89" t="s">
        <v>225</v>
      </c>
      <c r="F118" s="85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5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7">
        <v>0</v>
      </c>
      <c r="I118">
        <v>35</v>
      </c>
      <c r="J118" s="86" t="s">
        <v>203</v>
      </c>
      <c r="K118" s="96" t="str">
        <f>VLOOKUP(I118,[7]stage_hints!$A:$C,3,FALSE)</f>
        <v>敵のステータスがスキルで上がったら</v>
      </c>
      <c r="L118" s="97" t="str">
        <f>VLOOKUP(I118,[7]stage_hints!$A:$D,4,FALSE)</f>
        <v>敵のステータスがスキルでアップしたときは_x000D_ステータスダウンスキルで上書きしましょう</v>
      </c>
      <c r="M118" s="57" t="s">
        <v>218</v>
      </c>
    </row>
    <row r="119" spans="1:13" x14ac:dyDescent="0.15">
      <c r="A119" s="83" t="s">
        <v>206</v>
      </c>
      <c r="B119" s="84">
        <f>floors!$C$2</f>
        <v>65535</v>
      </c>
      <c r="C119" s="85" t="str">
        <f ca="1">VLOOKUP($B119,OFFSET([2]quests!$A$1,0,0,COUNTA([2]quests!$A:$A),MATCH(C$1,[2]quests!$1:$1,0)-MATCH($B$1,[2]quests!$1:$1,0)+1),MATCH(C$1,[2]quests!$1:$1,0)-MATCH($B$1,[2]quests!$1:$1,0)+1,FALSE)</f>
        <v>検証クエスト</v>
      </c>
      <c r="D119" s="85" t="str">
        <f ca="1">VLOOKUP($B119,OFFSET([2]quests!$A$1,0,0,COUNTA([2]quests!$A:$A),MATCH(D$1,[2]quests!$1:$1,0)-MATCH($B$1,[2]quests!$1:$1,0)+1),MATCH(D$1,[2]quests!$1:$1,0)-MATCH($B$1,[2]quests!$1:$1,0)+1,FALSE)</f>
        <v>検証</v>
      </c>
      <c r="E119" s="89" t="s">
        <v>225</v>
      </c>
      <c r="F119" s="85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5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7">
        <v>0</v>
      </c>
      <c r="I119">
        <v>36</v>
      </c>
      <c r="J119" s="86" t="s">
        <v>203</v>
      </c>
      <c r="K119" s="96" t="str">
        <f>VLOOKUP(I119,[7]stage_hints!$A:$C,3,FALSE)</f>
        <v>チャレンジタワーのボス</v>
      </c>
      <c r="L119" s="97" t="str">
        <f>VLOOKUP(I119,[7]stage_hints!$A:$D,4,FALSE)</f>
        <v>チャレンジタワーでのみ登場するボスは_x000D_一定確率で獲得することができます</v>
      </c>
      <c r="M119" s="57" t="s">
        <v>218</v>
      </c>
    </row>
    <row r="120" spans="1:13" x14ac:dyDescent="0.15">
      <c r="A120" s="83" t="s">
        <v>206</v>
      </c>
      <c r="B120" s="84">
        <f>floors!$C$2</f>
        <v>65535</v>
      </c>
      <c r="C120" s="85" t="str">
        <f ca="1">VLOOKUP($B120,OFFSET([2]quests!$A$1,0,0,COUNTA([2]quests!$A:$A),MATCH(C$1,[2]quests!$1:$1,0)-MATCH($B$1,[2]quests!$1:$1,0)+1),MATCH(C$1,[2]quests!$1:$1,0)-MATCH($B$1,[2]quests!$1:$1,0)+1,FALSE)</f>
        <v>検証クエスト</v>
      </c>
      <c r="D120" s="85" t="str">
        <f ca="1">VLOOKUP($B120,OFFSET([2]quests!$A$1,0,0,COUNTA([2]quests!$A:$A),MATCH(D$1,[2]quests!$1:$1,0)-MATCH($B$1,[2]quests!$1:$1,0)+1),MATCH(D$1,[2]quests!$1:$1,0)-MATCH($B$1,[2]quests!$1:$1,0)+1,FALSE)</f>
        <v>検証</v>
      </c>
      <c r="E120" s="89" t="s">
        <v>225</v>
      </c>
      <c r="F120" s="85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5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7">
        <v>0</v>
      </c>
      <c r="I120">
        <v>37</v>
      </c>
      <c r="J120" s="86" t="s">
        <v>203</v>
      </c>
      <c r="K120" s="96" t="str">
        <f>VLOOKUP(I120,[7]stage_hints!$A:$C,3,FALSE)</f>
        <v>限界突破値の引き継ぎ</v>
      </c>
      <c r="L120" s="97" t="str">
        <f>VLOOKUP(I120,[7]stage_hints!$A:$D,4,FALSE)</f>
        <v>同じユニットを強化で合成すると_x000D_限界突破値を引き継げます（覚醒前後も可）</v>
      </c>
      <c r="M120" s="57" t="s">
        <v>218</v>
      </c>
    </row>
    <row r="121" spans="1:13" x14ac:dyDescent="0.15">
      <c r="A121" s="83" t="s">
        <v>206</v>
      </c>
      <c r="B121" s="84">
        <f>floors!$C$2</f>
        <v>65535</v>
      </c>
      <c r="C121" s="85" t="str">
        <f ca="1">VLOOKUP($B121,OFFSET([2]quests!$A$1,0,0,COUNTA([2]quests!$A:$A),MATCH(C$1,[2]quests!$1:$1,0)-MATCH($B$1,[2]quests!$1:$1,0)+1),MATCH(C$1,[2]quests!$1:$1,0)-MATCH($B$1,[2]quests!$1:$1,0)+1,FALSE)</f>
        <v>検証クエスト</v>
      </c>
      <c r="D121" s="85" t="str">
        <f ca="1">VLOOKUP($B121,OFFSET([2]quests!$A$1,0,0,COUNTA([2]quests!$A:$A),MATCH(D$1,[2]quests!$1:$1,0)-MATCH($B$1,[2]quests!$1:$1,0)+1),MATCH(D$1,[2]quests!$1:$1,0)-MATCH($B$1,[2]quests!$1:$1,0)+1,FALSE)</f>
        <v>検証</v>
      </c>
      <c r="E121" s="89" t="s">
        <v>225</v>
      </c>
      <c r="F121" s="85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5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7">
        <v>0</v>
      </c>
      <c r="I121">
        <v>39</v>
      </c>
      <c r="J121" s="86" t="s">
        <v>203</v>
      </c>
      <c r="K121" s="96" t="str">
        <f>VLOOKUP(I121,[7]stage_hints!$A:$C,3,FALSE)</f>
        <v>システム適合者を確認</v>
      </c>
      <c r="L121" s="97" t="str">
        <f>VLOOKUP(I121,[7]stage_hints!$A:$D,4,FALSE)</f>
        <v>ALICEが 「アナタ」を呼んでいます</v>
      </c>
      <c r="M121" s="57" t="s">
        <v>218</v>
      </c>
    </row>
    <row r="122" spans="1:13" x14ac:dyDescent="0.15">
      <c r="A122" s="83" t="s">
        <v>206</v>
      </c>
      <c r="B122" s="84">
        <f>floors!$C$2</f>
        <v>65535</v>
      </c>
      <c r="C122" s="85" t="str">
        <f ca="1">VLOOKUP($B122,OFFSET([2]quests!$A$1,0,0,COUNTA([2]quests!$A:$A),MATCH(C$1,[2]quests!$1:$1,0)-MATCH($B$1,[2]quests!$1:$1,0)+1),MATCH(C$1,[2]quests!$1:$1,0)-MATCH($B$1,[2]quests!$1:$1,0)+1,FALSE)</f>
        <v>検証クエスト</v>
      </c>
      <c r="D122" s="85" t="str">
        <f ca="1">VLOOKUP($B122,OFFSET([2]quests!$A$1,0,0,COUNTA([2]quests!$A:$A),MATCH(D$1,[2]quests!$1:$1,0)-MATCH($B$1,[2]quests!$1:$1,0)+1),MATCH(D$1,[2]quests!$1:$1,0)-MATCH($B$1,[2]quests!$1:$1,0)+1,FALSE)</f>
        <v>検証</v>
      </c>
      <c r="E122" s="89" t="s">
        <v>226</v>
      </c>
      <c r="F122" s="85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5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7">
        <v>0</v>
      </c>
      <c r="I122">
        <v>12</v>
      </c>
      <c r="J122" s="86" t="s">
        <v>203</v>
      </c>
      <c r="K122" s="96" t="str">
        <f>VLOOKUP(I122,[7]stage_hints!$A:$C,3,FALSE)</f>
        <v>ユニットのお気に入り登録</v>
      </c>
      <c r="L122" s="97" t="str">
        <f>VLOOKUP(I122,[7]stage_hints!$A:$D,4,FALSE)</f>
        <v>大事なユニットを誤って消さないように_x000D_フォルダから「お気に入り登録」しましょう</v>
      </c>
      <c r="M122" s="57" t="s">
        <v>218</v>
      </c>
    </row>
    <row r="123" spans="1:13" x14ac:dyDescent="0.15">
      <c r="A123" s="83" t="s">
        <v>206</v>
      </c>
      <c r="B123" s="84">
        <f>floors!$C$2</f>
        <v>65535</v>
      </c>
      <c r="C123" s="85" t="str">
        <f ca="1">VLOOKUP($B123,OFFSET([2]quests!$A$1,0,0,COUNTA([2]quests!$A:$A),MATCH(C$1,[2]quests!$1:$1,0)-MATCH($B$1,[2]quests!$1:$1,0)+1),MATCH(C$1,[2]quests!$1:$1,0)-MATCH($B$1,[2]quests!$1:$1,0)+1,FALSE)</f>
        <v>検証クエスト</v>
      </c>
      <c r="D123" s="85" t="str">
        <f ca="1">VLOOKUP($B123,OFFSET([2]quests!$A$1,0,0,COUNTA([2]quests!$A:$A),MATCH(D$1,[2]quests!$1:$1,0)-MATCH($B$1,[2]quests!$1:$1,0)+1),MATCH(D$1,[2]quests!$1:$1,0)-MATCH($B$1,[2]quests!$1:$1,0)+1,FALSE)</f>
        <v>検証</v>
      </c>
      <c r="E123" s="89" t="s">
        <v>226</v>
      </c>
      <c r="F123" s="85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5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7">
        <v>0</v>
      </c>
      <c r="I123">
        <v>17</v>
      </c>
      <c r="J123" s="86" t="s">
        <v>203</v>
      </c>
      <c r="K123" s="96" t="str">
        <f>VLOOKUP(I123,[7]stage_hints!$A:$C,3,FALSE)</f>
        <v>リンクガチャ</v>
      </c>
      <c r="L123" s="97" t="str">
        <f>VLOOKUP(I123,[7]stage_hints!$A:$D,4,FALSE)</f>
        <v>無料のリンクガチャを回して_x000D_経験値素材や売却素材を獲得しましょう</v>
      </c>
      <c r="M123" s="57" t="s">
        <v>218</v>
      </c>
    </row>
    <row r="124" spans="1:13" x14ac:dyDescent="0.15">
      <c r="A124" s="83" t="s">
        <v>206</v>
      </c>
      <c r="B124" s="84">
        <f>floors!$C$2</f>
        <v>65535</v>
      </c>
      <c r="C124" s="85" t="str">
        <f ca="1">VLOOKUP($B124,OFFSET([2]quests!$A$1,0,0,COUNTA([2]quests!$A:$A),MATCH(C$1,[2]quests!$1:$1,0)-MATCH($B$1,[2]quests!$1:$1,0)+1),MATCH(C$1,[2]quests!$1:$1,0)-MATCH($B$1,[2]quests!$1:$1,0)+1,FALSE)</f>
        <v>検証クエスト</v>
      </c>
      <c r="D124" s="85" t="str">
        <f ca="1">VLOOKUP($B124,OFFSET([2]quests!$A$1,0,0,COUNTA([2]quests!$A:$A),MATCH(D$1,[2]quests!$1:$1,0)-MATCH($B$1,[2]quests!$1:$1,0)+1),MATCH(D$1,[2]quests!$1:$1,0)-MATCH($B$1,[2]quests!$1:$1,0)+1,FALSE)</f>
        <v>検証</v>
      </c>
      <c r="E124" s="89" t="s">
        <v>226</v>
      </c>
      <c r="F124" s="85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5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7">
        <v>0</v>
      </c>
      <c r="I124">
        <v>19</v>
      </c>
      <c r="J124" s="86" t="s">
        <v>203</v>
      </c>
      <c r="K124" s="96" t="str">
        <f>VLOOKUP(I124,[7]stage_hints!$A:$C,3,FALSE)</f>
        <v>ソロ専用チャレンジタワー</v>
      </c>
      <c r="L124" s="97" t="str">
        <f>VLOOKUP(I124,[7]stage_hints!$A:$D,4,FALSE)</f>
        <v>ソロ専用の「チャレンジタワー」では_x000D_各フロアごとにクリア報酬がもらえます</v>
      </c>
      <c r="M124" s="57" t="s">
        <v>218</v>
      </c>
    </row>
    <row r="125" spans="1:13" x14ac:dyDescent="0.15">
      <c r="A125" s="83" t="s">
        <v>206</v>
      </c>
      <c r="B125" s="84">
        <f>floors!$C$2</f>
        <v>65535</v>
      </c>
      <c r="C125" s="85" t="str">
        <f ca="1">VLOOKUP($B125,OFFSET([2]quests!$A$1,0,0,COUNTA([2]quests!$A:$A),MATCH(C$1,[2]quests!$1:$1,0)-MATCH($B$1,[2]quests!$1:$1,0)+1),MATCH(C$1,[2]quests!$1:$1,0)-MATCH($B$1,[2]quests!$1:$1,0)+1,FALSE)</f>
        <v>検証クエスト</v>
      </c>
      <c r="D125" s="85" t="str">
        <f ca="1">VLOOKUP($B125,OFFSET([2]quests!$A$1,0,0,COUNTA([2]quests!$A:$A),MATCH(D$1,[2]quests!$1:$1,0)-MATCH($B$1,[2]quests!$1:$1,0)+1),MATCH(D$1,[2]quests!$1:$1,0)-MATCH($B$1,[2]quests!$1:$1,0)+1,FALSE)</f>
        <v>検証</v>
      </c>
      <c r="E125" s="89" t="s">
        <v>226</v>
      </c>
      <c r="F125" s="85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5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7">
        <v>0</v>
      </c>
      <c r="I125">
        <v>21</v>
      </c>
      <c r="J125" s="86" t="s">
        <v>203</v>
      </c>
      <c r="K125" s="96" t="str">
        <f>VLOOKUP(I125,[7]stage_hints!$A:$C,3,FALSE)</f>
        <v>スキルを有効に</v>
      </c>
      <c r="L125" s="97" t="str">
        <f>VLOOKUP(I125,[7]stage_hints!$A:$D,4,FALSE)</f>
        <v>ターン経過でユニットのスキルが使えます_x000D_強力スキルでバトルを有利に進めましょう</v>
      </c>
      <c r="M125" s="57" t="s">
        <v>218</v>
      </c>
    </row>
    <row r="126" spans="1:13" x14ac:dyDescent="0.15">
      <c r="A126" s="83" t="s">
        <v>206</v>
      </c>
      <c r="B126" s="84">
        <f>floors!$C$2</f>
        <v>65535</v>
      </c>
      <c r="C126" s="85" t="str">
        <f ca="1">VLOOKUP($B126,OFFSET([2]quests!$A$1,0,0,COUNTA([2]quests!$A:$A),MATCH(C$1,[2]quests!$1:$1,0)-MATCH($B$1,[2]quests!$1:$1,0)+1),MATCH(C$1,[2]quests!$1:$1,0)-MATCH($B$1,[2]quests!$1:$1,0)+1,FALSE)</f>
        <v>検証クエスト</v>
      </c>
      <c r="D126" s="85" t="str">
        <f ca="1">VLOOKUP($B126,OFFSET([2]quests!$A$1,0,0,COUNTA([2]quests!$A:$A),MATCH(D$1,[2]quests!$1:$1,0)-MATCH($B$1,[2]quests!$1:$1,0)+1),MATCH(D$1,[2]quests!$1:$1,0)-MATCH($B$1,[2]quests!$1:$1,0)+1,FALSE)</f>
        <v>検証</v>
      </c>
      <c r="E126" s="89" t="s">
        <v>226</v>
      </c>
      <c r="F126" s="85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5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7">
        <v>0</v>
      </c>
      <c r="I126">
        <v>29</v>
      </c>
      <c r="J126" s="86" t="s">
        <v>203</v>
      </c>
      <c r="K126" s="96" t="str">
        <f>VLOOKUP(I126,[7]stage_hints!$A:$C,3,FALSE)</f>
        <v>「バグ」のメリット</v>
      </c>
      <c r="L126" s="97" t="str">
        <f>VLOOKUP(I126,[7]stage_hints!$A:$D,4,FALSE)</f>
        <v>ユニットの「バグ」を増やすと_x000D_報酬をもらえる確率がアップします</v>
      </c>
      <c r="M126" s="57" t="s">
        <v>218</v>
      </c>
    </row>
    <row r="127" spans="1:13" x14ac:dyDescent="0.15">
      <c r="A127" s="83" t="s">
        <v>206</v>
      </c>
      <c r="B127" s="84">
        <f>floors!$C$2</f>
        <v>65535</v>
      </c>
      <c r="C127" s="85" t="str">
        <f ca="1">VLOOKUP($B127,OFFSET([2]quests!$A$1,0,0,COUNTA([2]quests!$A:$A),MATCH(C$1,[2]quests!$1:$1,0)-MATCH($B$1,[2]quests!$1:$1,0)+1),MATCH(C$1,[2]quests!$1:$1,0)-MATCH($B$1,[2]quests!$1:$1,0)+1,FALSE)</f>
        <v>検証クエスト</v>
      </c>
      <c r="D127" s="85" t="str">
        <f ca="1">VLOOKUP($B127,OFFSET([2]quests!$A$1,0,0,COUNTA([2]quests!$A:$A),MATCH(D$1,[2]quests!$1:$1,0)-MATCH($B$1,[2]quests!$1:$1,0)+1),MATCH(D$1,[2]quests!$1:$1,0)-MATCH($B$1,[2]quests!$1:$1,0)+1,FALSE)</f>
        <v>検証</v>
      </c>
      <c r="E127" s="89" t="s">
        <v>226</v>
      </c>
      <c r="F127" s="85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5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7">
        <v>0</v>
      </c>
      <c r="I127">
        <v>30</v>
      </c>
      <c r="J127" s="86" t="s">
        <v>203</v>
      </c>
      <c r="K127" s="96" t="str">
        <f>VLOOKUP(I127,[7]stage_hints!$A:$C,3,FALSE)</f>
        <v>「バグ」の増やし方</v>
      </c>
      <c r="L127" s="97" t="str">
        <f>VLOOKUP(I127,[7]stage_hints!$A:$D,4,FALSE)</f>
        <v>同じユニット同士を強化で合成すると_x000D_「バグ」を増やすことができます</v>
      </c>
      <c r="M127" s="57" t="s">
        <v>218</v>
      </c>
    </row>
    <row r="128" spans="1:13" x14ac:dyDescent="0.15">
      <c r="A128" s="83" t="s">
        <v>206</v>
      </c>
      <c r="B128" s="84">
        <f>floors!$C$2</f>
        <v>65535</v>
      </c>
      <c r="C128" s="85" t="str">
        <f ca="1">VLOOKUP($B128,OFFSET([2]quests!$A$1,0,0,COUNTA([2]quests!$A:$A),MATCH(C$1,[2]quests!$1:$1,0)-MATCH($B$1,[2]quests!$1:$1,0)+1),MATCH(C$1,[2]quests!$1:$1,0)-MATCH($B$1,[2]quests!$1:$1,0)+1,FALSE)</f>
        <v>検証クエスト</v>
      </c>
      <c r="D128" s="85" t="str">
        <f ca="1">VLOOKUP($B128,OFFSET([2]quests!$A$1,0,0,COUNTA([2]quests!$A:$A),MATCH(D$1,[2]quests!$1:$1,0)-MATCH($B$1,[2]quests!$1:$1,0)+1),MATCH(D$1,[2]quests!$1:$1,0)-MATCH($B$1,[2]quests!$1:$1,0)+1,FALSE)</f>
        <v>検証</v>
      </c>
      <c r="E128" s="89" t="s">
        <v>226</v>
      </c>
      <c r="F128" s="85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5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7">
        <v>0</v>
      </c>
      <c r="I128">
        <v>32</v>
      </c>
      <c r="J128" s="86" t="s">
        <v>203</v>
      </c>
      <c r="K128" s="96" t="str">
        <f>VLOOKUP(I128,[7]stage_hints!$A:$C,3,FALSE)</f>
        <v>敵の連続攻撃には</v>
      </c>
      <c r="L128" s="97" t="str">
        <f>VLOOKUP(I128,[7]stage_hints!$A:$D,4,FALSE)</f>
        <v>カウンタースキルを持つユニットがいれば_x000D_ダメージ回数分の反撃ができます</v>
      </c>
      <c r="M128" s="57" t="s">
        <v>218</v>
      </c>
    </row>
    <row r="129" spans="1:13" x14ac:dyDescent="0.15">
      <c r="A129" s="83" t="s">
        <v>206</v>
      </c>
      <c r="B129" s="84">
        <f>floors!$C$2</f>
        <v>65535</v>
      </c>
      <c r="C129" s="85" t="str">
        <f ca="1">VLOOKUP($B129,OFFSET([2]quests!$A$1,0,0,COUNTA([2]quests!$A:$A),MATCH(C$1,[2]quests!$1:$1,0)-MATCH($B$1,[2]quests!$1:$1,0)+1),MATCH(C$1,[2]quests!$1:$1,0)-MATCH($B$1,[2]quests!$1:$1,0)+1,FALSE)</f>
        <v>検証クエスト</v>
      </c>
      <c r="D129" s="85" t="str">
        <f ca="1">VLOOKUP($B129,OFFSET([2]quests!$A$1,0,0,COUNTA([2]quests!$A:$A),MATCH(D$1,[2]quests!$1:$1,0)-MATCH($B$1,[2]quests!$1:$1,0)+1),MATCH(D$1,[2]quests!$1:$1,0)-MATCH($B$1,[2]quests!$1:$1,0)+1,FALSE)</f>
        <v>検証</v>
      </c>
      <c r="E129" s="89" t="s">
        <v>226</v>
      </c>
      <c r="F129" s="85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5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7">
        <v>0</v>
      </c>
      <c r="I129">
        <v>33</v>
      </c>
      <c r="J129" s="86" t="s">
        <v>203</v>
      </c>
      <c r="K129" s="96" t="str">
        <f>VLOOKUP(I129,[7]stage_hints!$A:$C,3,FALSE)</f>
        <v>敵のカウンター攻撃には</v>
      </c>
      <c r="L129" s="97" t="str">
        <f>VLOOKUP(I129,[7]stage_hints!$A:$D,4,FALSE)</f>
        <v>カウンターブレイクスキルを持っていれば_x000D_敵のカウンターを解除して攻撃ができます</v>
      </c>
      <c r="M129" s="57" t="s">
        <v>218</v>
      </c>
    </row>
    <row r="130" spans="1:13" x14ac:dyDescent="0.15">
      <c r="A130" s="83" t="s">
        <v>206</v>
      </c>
      <c r="B130" s="84">
        <f>floors!$C$2</f>
        <v>65535</v>
      </c>
      <c r="C130" s="85" t="str">
        <f ca="1">VLOOKUP($B130,OFFSET([2]quests!$A$1,0,0,COUNTA([2]quests!$A:$A),MATCH(C$1,[2]quests!$1:$1,0)-MATCH($B$1,[2]quests!$1:$1,0)+1),MATCH(C$1,[2]quests!$1:$1,0)-MATCH($B$1,[2]quests!$1:$1,0)+1,FALSE)</f>
        <v>検証クエスト</v>
      </c>
      <c r="D130" s="85" t="str">
        <f ca="1">VLOOKUP($B130,OFFSET([2]quests!$A$1,0,0,COUNTA([2]quests!$A:$A),MATCH(D$1,[2]quests!$1:$1,0)-MATCH($B$1,[2]quests!$1:$1,0)+1),MATCH(D$1,[2]quests!$1:$1,0)-MATCH($B$1,[2]quests!$1:$1,0)+1,FALSE)</f>
        <v>検証</v>
      </c>
      <c r="E130" s="89" t="s">
        <v>226</v>
      </c>
      <c r="F130" s="85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5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7">
        <v>0</v>
      </c>
      <c r="I130">
        <v>34</v>
      </c>
      <c r="J130" s="86" t="s">
        <v>203</v>
      </c>
      <c r="K130" s="96" t="str">
        <f>VLOOKUP(I130,[7]stage_hints!$A:$C,3,FALSE)</f>
        <v>ステータスをスキルで下げられたら</v>
      </c>
      <c r="L130" s="97" t="str">
        <f>VLOOKUP(I130,[7]stage_hints!$A:$D,4,FALSE)</f>
        <v>ステータスダウンのスキルを受けたら_x000D_ステータスアップスキルで上書きしましょう</v>
      </c>
      <c r="M130" s="57" t="s">
        <v>218</v>
      </c>
    </row>
    <row r="131" spans="1:13" x14ac:dyDescent="0.15">
      <c r="A131" s="83" t="s">
        <v>206</v>
      </c>
      <c r="B131" s="84">
        <f>floors!$C$2</f>
        <v>65535</v>
      </c>
      <c r="C131" s="85" t="str">
        <f ca="1">VLOOKUP($B131,OFFSET([2]quests!$A$1,0,0,COUNTA([2]quests!$A:$A),MATCH(C$1,[2]quests!$1:$1,0)-MATCH($B$1,[2]quests!$1:$1,0)+1),MATCH(C$1,[2]quests!$1:$1,0)-MATCH($B$1,[2]quests!$1:$1,0)+1,FALSE)</f>
        <v>検証クエスト</v>
      </c>
      <c r="D131" s="85" t="str">
        <f ca="1">VLOOKUP($B131,OFFSET([2]quests!$A$1,0,0,COUNTA([2]quests!$A:$A),MATCH(D$1,[2]quests!$1:$1,0)-MATCH($B$1,[2]quests!$1:$1,0)+1),MATCH(D$1,[2]quests!$1:$1,0)-MATCH($B$1,[2]quests!$1:$1,0)+1,FALSE)</f>
        <v>検証</v>
      </c>
      <c r="E131" s="89" t="s">
        <v>226</v>
      </c>
      <c r="F131" s="85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5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7">
        <v>0</v>
      </c>
      <c r="I131">
        <v>35</v>
      </c>
      <c r="J131" s="86" t="s">
        <v>203</v>
      </c>
      <c r="K131" s="96" t="str">
        <f>VLOOKUP(I131,[7]stage_hints!$A:$C,3,FALSE)</f>
        <v>敵のステータスがスキルで上がったら</v>
      </c>
      <c r="L131" s="97" t="str">
        <f>VLOOKUP(I131,[7]stage_hints!$A:$D,4,FALSE)</f>
        <v>敵のステータスがスキルでアップしたときは_x000D_ステータスダウンスキルで上書きしましょう</v>
      </c>
      <c r="M131" s="57" t="s">
        <v>218</v>
      </c>
    </row>
    <row r="132" spans="1:13" x14ac:dyDescent="0.15">
      <c r="A132" s="83" t="s">
        <v>206</v>
      </c>
      <c r="B132" s="84">
        <f>floors!$C$2</f>
        <v>65535</v>
      </c>
      <c r="C132" s="85" t="str">
        <f ca="1">VLOOKUP($B132,OFFSET([2]quests!$A$1,0,0,COUNTA([2]quests!$A:$A),MATCH(C$1,[2]quests!$1:$1,0)-MATCH($B$1,[2]quests!$1:$1,0)+1),MATCH(C$1,[2]quests!$1:$1,0)-MATCH($B$1,[2]quests!$1:$1,0)+1,FALSE)</f>
        <v>検証クエスト</v>
      </c>
      <c r="D132" s="85" t="str">
        <f ca="1">VLOOKUP($B132,OFFSET([2]quests!$A$1,0,0,COUNTA([2]quests!$A:$A),MATCH(D$1,[2]quests!$1:$1,0)-MATCH($B$1,[2]quests!$1:$1,0)+1),MATCH(D$1,[2]quests!$1:$1,0)-MATCH($B$1,[2]quests!$1:$1,0)+1,FALSE)</f>
        <v>検証</v>
      </c>
      <c r="E132" s="89" t="s">
        <v>226</v>
      </c>
      <c r="F132" s="85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5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7">
        <v>0</v>
      </c>
      <c r="I132">
        <v>36</v>
      </c>
      <c r="J132" s="86" t="s">
        <v>203</v>
      </c>
      <c r="K132" s="96" t="str">
        <f>VLOOKUP(I132,[7]stage_hints!$A:$C,3,FALSE)</f>
        <v>チャレンジタワーのボス</v>
      </c>
      <c r="L132" s="97" t="str">
        <f>VLOOKUP(I132,[7]stage_hints!$A:$D,4,FALSE)</f>
        <v>チャレンジタワーでのみ登場するボスは_x000D_一定確率で獲得することができます</v>
      </c>
      <c r="M132" s="57" t="s">
        <v>218</v>
      </c>
    </row>
    <row r="133" spans="1:13" x14ac:dyDescent="0.15">
      <c r="A133" s="83" t="s">
        <v>206</v>
      </c>
      <c r="B133" s="84">
        <f>floors!$C$2</f>
        <v>65535</v>
      </c>
      <c r="C133" s="85" t="str">
        <f ca="1">VLOOKUP($B133,OFFSET([2]quests!$A$1,0,0,COUNTA([2]quests!$A:$A),MATCH(C$1,[2]quests!$1:$1,0)-MATCH($B$1,[2]quests!$1:$1,0)+1),MATCH(C$1,[2]quests!$1:$1,0)-MATCH($B$1,[2]quests!$1:$1,0)+1,FALSE)</f>
        <v>検証クエスト</v>
      </c>
      <c r="D133" s="85" t="str">
        <f ca="1">VLOOKUP($B133,OFFSET([2]quests!$A$1,0,0,COUNTA([2]quests!$A:$A),MATCH(D$1,[2]quests!$1:$1,0)-MATCH($B$1,[2]quests!$1:$1,0)+1),MATCH(D$1,[2]quests!$1:$1,0)-MATCH($B$1,[2]quests!$1:$1,0)+1,FALSE)</f>
        <v>検証</v>
      </c>
      <c r="E133" s="89" t="s">
        <v>226</v>
      </c>
      <c r="F133" s="85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5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7">
        <v>0</v>
      </c>
      <c r="I133">
        <v>37</v>
      </c>
      <c r="J133" s="86" t="s">
        <v>203</v>
      </c>
      <c r="K133" s="96" t="str">
        <f>VLOOKUP(I133,[7]stage_hints!$A:$C,3,FALSE)</f>
        <v>限界突破値の引き継ぎ</v>
      </c>
      <c r="L133" s="97" t="str">
        <f>VLOOKUP(I133,[7]stage_hints!$A:$D,4,FALSE)</f>
        <v>同じユニットを強化で合成すると_x000D_限界突破値を引き継げます（覚醒前後も可）</v>
      </c>
      <c r="M133" s="57" t="s">
        <v>218</v>
      </c>
    </row>
    <row r="134" spans="1:13" x14ac:dyDescent="0.15">
      <c r="A134" s="83" t="s">
        <v>206</v>
      </c>
      <c r="B134" s="84">
        <f>floors!$C$2</f>
        <v>65535</v>
      </c>
      <c r="C134" s="85" t="str">
        <f ca="1">VLOOKUP($B134,OFFSET([2]quests!$A$1,0,0,COUNTA([2]quests!$A:$A),MATCH(C$1,[2]quests!$1:$1,0)-MATCH($B$1,[2]quests!$1:$1,0)+1),MATCH(C$1,[2]quests!$1:$1,0)-MATCH($B$1,[2]quests!$1:$1,0)+1,FALSE)</f>
        <v>検証クエスト</v>
      </c>
      <c r="D134" s="85" t="str">
        <f ca="1">VLOOKUP($B134,OFFSET([2]quests!$A$1,0,0,COUNTA([2]quests!$A:$A),MATCH(D$1,[2]quests!$1:$1,0)-MATCH($B$1,[2]quests!$1:$1,0)+1),MATCH(D$1,[2]quests!$1:$1,0)-MATCH($B$1,[2]quests!$1:$1,0)+1,FALSE)</f>
        <v>検証</v>
      </c>
      <c r="E134" s="89" t="s">
        <v>226</v>
      </c>
      <c r="F134" s="85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5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7">
        <v>0</v>
      </c>
      <c r="I134">
        <v>39</v>
      </c>
      <c r="J134" s="86" t="s">
        <v>203</v>
      </c>
      <c r="K134" s="96" t="str">
        <f>VLOOKUP(I134,[7]stage_hints!$A:$C,3,FALSE)</f>
        <v>システム適合者を確認</v>
      </c>
      <c r="L134" s="97" t="str">
        <f>VLOOKUP(I134,[7]stage_hints!$A:$D,4,FALSE)</f>
        <v>ALICEが 「アナタ」を呼んでいます</v>
      </c>
      <c r="M134" s="57" t="s">
        <v>218</v>
      </c>
    </row>
  </sheetData>
  <phoneticPr fontId="7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N2" sqref="A1:N2"/>
    </sheetView>
  </sheetViews>
  <sheetFormatPr baseColWidth="12" defaultColWidth="13" defaultRowHeight="15" outlineLevelCol="1" x14ac:dyDescent="0.15"/>
  <cols>
    <col min="1" max="1" width="13" style="91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8" t="s">
        <v>193</v>
      </c>
      <c r="B1" s="74" t="s">
        <v>154</v>
      </c>
      <c r="C1" s="79" t="s">
        <v>195</v>
      </c>
      <c r="D1" s="79" t="s">
        <v>33</v>
      </c>
      <c r="E1" s="74" t="s">
        <v>196</v>
      </c>
      <c r="F1" s="79" t="s">
        <v>18</v>
      </c>
      <c r="G1" s="79" t="s">
        <v>33</v>
      </c>
      <c r="H1" s="74" t="s">
        <v>198</v>
      </c>
      <c r="I1" s="92" t="s">
        <v>199</v>
      </c>
      <c r="J1" s="94" t="s">
        <v>200</v>
      </c>
      <c r="K1" s="81" t="s">
        <v>130</v>
      </c>
      <c r="L1" s="80" t="s">
        <v>191</v>
      </c>
      <c r="M1" s="95" t="s">
        <v>190</v>
      </c>
      <c r="N1" s="82" t="s">
        <v>201</v>
      </c>
    </row>
    <row r="2" spans="1:14" x14ac:dyDescent="0.15">
      <c r="A2" s="83" t="s">
        <v>202</v>
      </c>
      <c r="B2" s="84">
        <f>floors!$C$2</f>
        <v>65535</v>
      </c>
      <c r="C2" s="85" t="str">
        <f ca="1">VLOOKUP($B2,OFFSET([2]quests!$A$1,0,0,COUNTA([2]quests!$A:$A),MATCH(C$1,[2]quests!$1:$1,0)-MATCH($B$1,[2]quests!$1:$1,0)+1),MATCH(C$1,[2]quests!$1:$1,0)-MATCH($B$1,[2]quests!$1:$1,0)+1,FALSE)</f>
        <v>検証クエスト</v>
      </c>
      <c r="D2" s="85" t="str">
        <f ca="1">VLOOKUP($B2,OFFSET([2]quests!$A$1,0,0,COUNTA([2]quests!$A:$A),MATCH(D$1,[2]quests!$1:$1,0)-MATCH($B$1,[2]quests!$1:$1,0)+1),MATCH(D$1,[2]quests!$1:$1,0)-MATCH($B$1,[2]quests!$1:$1,0)+1,FALSE)</f>
        <v>検証</v>
      </c>
      <c r="E2" s="86">
        <v>1</v>
      </c>
      <c r="F2" s="85" t="str">
        <f ca="1">VLOOKUP($B2&amp;"_"&amp;$E2,OFFSET([2]stages!$A$1,0,0,COUNTA([2]stages!$A:$A),MATCH(F$1,[2]stages!$2:$2,0)-MATCH("temp_stage",[2]stages!$2:$2,0)+1),MATCH(F$1,[2]stages!$2:$2,0)-MATCH("temp_stage",[2]stages!$2:$2,0)+1,FALSE)</f>
        <v>テンプレート</v>
      </c>
      <c r="G2" s="85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7">
        <v>0</v>
      </c>
      <c r="I2" s="93">
        <f>ROW()-1</f>
        <v>1</v>
      </c>
      <c r="J2" s="88" t="str">
        <f>B2&amp;TEXT(I2,"00")</f>
        <v>6553501</v>
      </c>
      <c r="K2" s="86" t="s">
        <v>203</v>
      </c>
      <c r="L2" s="89" t="s">
        <v>204</v>
      </c>
      <c r="M2" s="90" t="s">
        <v>207</v>
      </c>
      <c r="N2" s="57" t="s">
        <v>205</v>
      </c>
    </row>
  </sheetData>
  <phoneticPr fontId="7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ranking_eval_gift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2016-10-18T03:34:35Z</dcterms:modified>
</cp:coreProperties>
</file>