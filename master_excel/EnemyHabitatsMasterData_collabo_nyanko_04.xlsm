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780" yWindow="460" windowWidth="35020" windowHeight="197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6" i="9" l="1"/>
  <c r="D56" i="9"/>
  <c r="E56" i="9"/>
  <c r="G56" i="9"/>
  <c r="H56" i="9"/>
  <c r="I56" i="9"/>
  <c r="J56" i="9"/>
  <c r="K56" i="9"/>
  <c r="L56" i="9"/>
  <c r="M56" i="9"/>
  <c r="N56" i="9"/>
  <c r="J51" i="11"/>
  <c r="O56" i="9"/>
  <c r="A54" i="9"/>
  <c r="D54" i="9"/>
  <c r="E54" i="9"/>
  <c r="G54" i="9"/>
  <c r="H54" i="9"/>
  <c r="I54" i="9"/>
  <c r="J54" i="9"/>
  <c r="K54" i="9"/>
  <c r="L54" i="9"/>
  <c r="M54" i="9"/>
  <c r="N54" i="9"/>
  <c r="J49" i="11"/>
  <c r="O54" i="9"/>
  <c r="A52" i="9"/>
  <c r="D52" i="9"/>
  <c r="E52" i="9"/>
  <c r="G52" i="9"/>
  <c r="H52" i="9"/>
  <c r="I52" i="9"/>
  <c r="J52" i="9"/>
  <c r="K52" i="9"/>
  <c r="L52" i="9"/>
  <c r="M52" i="9"/>
  <c r="N52" i="9"/>
  <c r="J47" i="11"/>
  <c r="O52" i="9"/>
  <c r="A51" i="9"/>
  <c r="D51" i="9"/>
  <c r="E51" i="9"/>
  <c r="G51" i="9"/>
  <c r="H51" i="9"/>
  <c r="I51" i="9"/>
  <c r="J51" i="9"/>
  <c r="K51" i="9"/>
  <c r="L51" i="9"/>
  <c r="M51" i="9"/>
  <c r="N51" i="9"/>
  <c r="J46" i="11"/>
  <c r="O51" i="9"/>
  <c r="A49" i="9"/>
  <c r="D49" i="9"/>
  <c r="E49" i="9"/>
  <c r="G49" i="9"/>
  <c r="H49" i="9"/>
  <c r="I49" i="9"/>
  <c r="J49" i="9"/>
  <c r="K49" i="9"/>
  <c r="L49" i="9"/>
  <c r="M49" i="9"/>
  <c r="N49" i="9"/>
  <c r="J44" i="11"/>
  <c r="O49" i="9"/>
  <c r="A47" i="9"/>
  <c r="D47" i="9"/>
  <c r="E47" i="9"/>
  <c r="G47" i="9"/>
  <c r="H47" i="9"/>
  <c r="I47" i="9"/>
  <c r="J47" i="9"/>
  <c r="K47" i="9"/>
  <c r="L47" i="9"/>
  <c r="M47" i="9"/>
  <c r="N47" i="9"/>
  <c r="J42" i="11"/>
  <c r="O47" i="9"/>
  <c r="A45" i="9"/>
  <c r="D45" i="9"/>
  <c r="E45" i="9"/>
  <c r="G45" i="9"/>
  <c r="H45" i="9"/>
  <c r="I45" i="9"/>
  <c r="J45" i="9"/>
  <c r="K45" i="9"/>
  <c r="L45" i="9"/>
  <c r="M45" i="9"/>
  <c r="N45" i="9"/>
  <c r="J40" i="11"/>
  <c r="O45" i="9"/>
  <c r="A43" i="9"/>
  <c r="D43" i="9"/>
  <c r="E43" i="9"/>
  <c r="G43" i="9"/>
  <c r="H43" i="9"/>
  <c r="I43" i="9"/>
  <c r="J43" i="9"/>
  <c r="K43" i="9"/>
  <c r="L43" i="9"/>
  <c r="M43" i="9"/>
  <c r="N43" i="9"/>
  <c r="J38" i="11"/>
  <c r="O43" i="9"/>
  <c r="A78" i="9"/>
  <c r="D78" i="9"/>
  <c r="E78" i="9"/>
  <c r="G78" i="9"/>
  <c r="H78" i="9"/>
  <c r="I78" i="9"/>
  <c r="J78" i="9"/>
  <c r="K78" i="9"/>
  <c r="L78" i="9"/>
  <c r="M78" i="9"/>
  <c r="N78" i="9"/>
  <c r="J65" i="11"/>
  <c r="O78" i="9"/>
  <c r="A77" i="9"/>
  <c r="D77" i="9"/>
  <c r="E77" i="9"/>
  <c r="G77" i="9"/>
  <c r="H77" i="9"/>
  <c r="I77" i="9"/>
  <c r="J77" i="9"/>
  <c r="K77" i="9"/>
  <c r="L77" i="9"/>
  <c r="M77" i="9"/>
  <c r="N77" i="9"/>
  <c r="J64" i="11"/>
  <c r="O77" i="9"/>
  <c r="A74" i="9"/>
  <c r="D74" i="9"/>
  <c r="E74" i="9"/>
  <c r="G74" i="9"/>
  <c r="H74" i="9"/>
  <c r="I74" i="9"/>
  <c r="J74" i="9"/>
  <c r="K74" i="9"/>
  <c r="L74" i="9"/>
  <c r="M74" i="9"/>
  <c r="N74" i="9"/>
  <c r="J61" i="11"/>
  <c r="O74" i="9"/>
  <c r="A75" i="9"/>
  <c r="D75" i="9"/>
  <c r="E75" i="9"/>
  <c r="G75" i="9"/>
  <c r="H75" i="9"/>
  <c r="I75" i="9"/>
  <c r="J75" i="9"/>
  <c r="K75" i="9"/>
  <c r="L75" i="9"/>
  <c r="M75" i="9"/>
  <c r="N75" i="9"/>
  <c r="J62" i="11"/>
  <c r="O75" i="9"/>
  <c r="A72" i="9"/>
  <c r="D72" i="9"/>
  <c r="E72" i="9"/>
  <c r="G72" i="9"/>
  <c r="H72" i="9"/>
  <c r="I72" i="9"/>
  <c r="J72" i="9"/>
  <c r="K72" i="9"/>
  <c r="L72" i="9"/>
  <c r="M72" i="9"/>
  <c r="N72" i="9"/>
  <c r="J59" i="11"/>
  <c r="O72" i="9"/>
  <c r="A70" i="9"/>
  <c r="D70" i="9"/>
  <c r="E70" i="9"/>
  <c r="G70" i="9"/>
  <c r="H70" i="9"/>
  <c r="I70" i="9"/>
  <c r="J70" i="9"/>
  <c r="K70" i="9"/>
  <c r="L70" i="9"/>
  <c r="M70" i="9"/>
  <c r="N70" i="9"/>
  <c r="J57" i="11"/>
  <c r="O70" i="9"/>
  <c r="A68" i="9"/>
  <c r="D68" i="9"/>
  <c r="E68" i="9"/>
  <c r="G68" i="9"/>
  <c r="H68" i="9"/>
  <c r="I68" i="9"/>
  <c r="J68" i="9"/>
  <c r="K68" i="9"/>
  <c r="L68" i="9"/>
  <c r="M68" i="9"/>
  <c r="N68" i="9"/>
  <c r="J55" i="11"/>
  <c r="O68" i="9"/>
  <c r="A66" i="9"/>
  <c r="D66" i="9"/>
  <c r="E66" i="9"/>
  <c r="G66" i="9"/>
  <c r="H66" i="9"/>
  <c r="I66" i="9"/>
  <c r="J66" i="9"/>
  <c r="K66" i="9"/>
  <c r="L66" i="9"/>
  <c r="M66" i="9"/>
  <c r="N66" i="9"/>
  <c r="J53" i="11"/>
  <c r="O66" i="9"/>
  <c r="J60" i="11"/>
  <c r="J63" i="11"/>
  <c r="J66" i="11"/>
  <c r="J54" i="11"/>
  <c r="J56" i="11"/>
  <c r="J58" i="11"/>
  <c r="J52" i="11"/>
  <c r="J39" i="11"/>
  <c r="J41" i="11"/>
  <c r="J43" i="11"/>
  <c r="J45" i="11"/>
  <c r="J48" i="11"/>
  <c r="J50" i="11"/>
  <c r="J37" i="11"/>
  <c r="G65" i="9"/>
  <c r="H65" i="9"/>
  <c r="I65" i="9"/>
  <c r="J65" i="9"/>
  <c r="K65" i="9"/>
  <c r="L65" i="9"/>
  <c r="M65" i="9"/>
  <c r="N65" i="9"/>
  <c r="O65" i="9"/>
  <c r="G67" i="9"/>
  <c r="H67" i="9"/>
  <c r="I67" i="9"/>
  <c r="J67" i="9"/>
  <c r="K67" i="9"/>
  <c r="L67" i="9"/>
  <c r="M67" i="9"/>
  <c r="N67" i="9"/>
  <c r="O67" i="9"/>
  <c r="G69" i="9"/>
  <c r="H69" i="9"/>
  <c r="I69" i="9"/>
  <c r="J69" i="9"/>
  <c r="K69" i="9"/>
  <c r="L69" i="9"/>
  <c r="M69" i="9"/>
  <c r="N69" i="9"/>
  <c r="O69" i="9"/>
  <c r="G71" i="9"/>
  <c r="H71" i="9"/>
  <c r="I71" i="9"/>
  <c r="J71" i="9"/>
  <c r="K71" i="9"/>
  <c r="L71" i="9"/>
  <c r="M71" i="9"/>
  <c r="N71" i="9"/>
  <c r="O71" i="9"/>
  <c r="G73" i="9"/>
  <c r="H73" i="9"/>
  <c r="I73" i="9"/>
  <c r="J73" i="9"/>
  <c r="K73" i="9"/>
  <c r="L73" i="9"/>
  <c r="M73" i="9"/>
  <c r="N73" i="9"/>
  <c r="O73" i="9"/>
  <c r="G76" i="9"/>
  <c r="H76" i="9"/>
  <c r="I76" i="9"/>
  <c r="J76" i="9"/>
  <c r="K76" i="9"/>
  <c r="L76" i="9"/>
  <c r="M76" i="9"/>
  <c r="N76" i="9"/>
  <c r="O76" i="9"/>
  <c r="G79" i="9"/>
  <c r="H79" i="9"/>
  <c r="I79" i="9"/>
  <c r="J79" i="9"/>
  <c r="K79" i="9"/>
  <c r="L79" i="9"/>
  <c r="M79" i="9"/>
  <c r="N79" i="9"/>
  <c r="O79" i="9"/>
  <c r="D65" i="9"/>
  <c r="E65" i="9"/>
  <c r="D67" i="9"/>
  <c r="E67" i="9"/>
  <c r="D69" i="9"/>
  <c r="E69" i="9"/>
  <c r="D71" i="9"/>
  <c r="E71" i="9"/>
  <c r="D73" i="9"/>
  <c r="E73" i="9"/>
  <c r="D76" i="9"/>
  <c r="E76" i="9"/>
  <c r="D79" i="9"/>
  <c r="E79" i="9"/>
  <c r="G64" i="9"/>
  <c r="H64" i="9"/>
  <c r="I64" i="9"/>
  <c r="J64" i="9"/>
  <c r="K64" i="9"/>
  <c r="L64" i="9"/>
  <c r="M64" i="9"/>
  <c r="N64" i="9"/>
  <c r="J33" i="11"/>
  <c r="O64" i="9"/>
  <c r="D64" i="9"/>
  <c r="E64" i="9"/>
  <c r="A64" i="9"/>
  <c r="A65" i="9"/>
  <c r="A67" i="9"/>
  <c r="A69" i="9"/>
  <c r="A71" i="9"/>
  <c r="A73" i="9"/>
  <c r="A76" i="9"/>
  <c r="A79" i="9"/>
  <c r="J28" i="11"/>
  <c r="O41" i="9"/>
  <c r="N41" i="9"/>
  <c r="M41" i="9"/>
  <c r="L41" i="9"/>
  <c r="K41" i="9"/>
  <c r="J41" i="9"/>
  <c r="I41" i="9"/>
  <c r="H41" i="9"/>
  <c r="G41" i="9"/>
  <c r="E41" i="9"/>
  <c r="D41" i="9"/>
  <c r="A41" i="9"/>
  <c r="A57" i="9"/>
  <c r="D57" i="9"/>
  <c r="E57" i="9"/>
  <c r="G57" i="9"/>
  <c r="H57" i="9"/>
  <c r="I57" i="9"/>
  <c r="J57" i="9"/>
  <c r="K57" i="9"/>
  <c r="L57" i="9"/>
  <c r="M57" i="9"/>
  <c r="N57" i="9"/>
  <c r="J25" i="11"/>
  <c r="O57" i="9"/>
  <c r="A46" i="9"/>
  <c r="D46" i="9"/>
  <c r="E46" i="9"/>
  <c r="G46" i="9"/>
  <c r="H46" i="9"/>
  <c r="I46" i="9"/>
  <c r="J46" i="9"/>
  <c r="K46" i="9"/>
  <c r="L46" i="9"/>
  <c r="M46" i="9"/>
  <c r="N46" i="9"/>
  <c r="O46" i="9"/>
  <c r="A48" i="9"/>
  <c r="D48" i="9"/>
  <c r="E48" i="9"/>
  <c r="G48" i="9"/>
  <c r="H48" i="9"/>
  <c r="I48" i="9"/>
  <c r="J48" i="9"/>
  <c r="K48" i="9"/>
  <c r="L48" i="9"/>
  <c r="M48" i="9"/>
  <c r="N48" i="9"/>
  <c r="O48" i="9"/>
  <c r="A50" i="9"/>
  <c r="D50" i="9"/>
  <c r="E50" i="9"/>
  <c r="G50" i="9"/>
  <c r="H50" i="9"/>
  <c r="I50" i="9"/>
  <c r="J50" i="9"/>
  <c r="K50" i="9"/>
  <c r="L50" i="9"/>
  <c r="M50" i="9"/>
  <c r="N50" i="9"/>
  <c r="O50" i="9"/>
  <c r="A53" i="9"/>
  <c r="D53" i="9"/>
  <c r="E53" i="9"/>
  <c r="G53" i="9"/>
  <c r="H53" i="9"/>
  <c r="I53" i="9"/>
  <c r="J53" i="9"/>
  <c r="K53" i="9"/>
  <c r="L53" i="9"/>
  <c r="M53" i="9"/>
  <c r="N53" i="9"/>
  <c r="O53" i="9"/>
  <c r="A55" i="9"/>
  <c r="D55" i="9"/>
  <c r="E55" i="9"/>
  <c r="G55" i="9"/>
  <c r="H55" i="9"/>
  <c r="I55" i="9"/>
  <c r="J55" i="9"/>
  <c r="K55" i="9"/>
  <c r="L55" i="9"/>
  <c r="M55" i="9"/>
  <c r="N55" i="9"/>
  <c r="O55" i="9"/>
  <c r="A44" i="9"/>
  <c r="D44" i="9"/>
  <c r="E44" i="9"/>
  <c r="G44" i="9"/>
  <c r="H44" i="9"/>
  <c r="I44" i="9"/>
  <c r="J44" i="9"/>
  <c r="K44" i="9"/>
  <c r="L44" i="9"/>
  <c r="M44" i="9"/>
  <c r="N44" i="9"/>
  <c r="O44" i="9"/>
  <c r="O42" i="9"/>
  <c r="N42" i="9"/>
  <c r="M42" i="9"/>
  <c r="L42" i="9"/>
  <c r="K42" i="9"/>
  <c r="J42" i="9"/>
  <c r="I42" i="9"/>
  <c r="H42" i="9"/>
  <c r="G42" i="9"/>
  <c r="E42" i="9"/>
  <c r="D42" i="9"/>
  <c r="A42" i="9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N6" i="22"/>
  <c r="N5" i="22"/>
  <c r="N4" i="22"/>
  <c r="N3" i="22"/>
  <c r="N2" i="22"/>
  <c r="A4" i="22"/>
  <c r="C4" i="22"/>
  <c r="D4" i="22"/>
  <c r="F4" i="22"/>
  <c r="G4" i="22"/>
  <c r="A5" i="22"/>
  <c r="C5" i="22"/>
  <c r="D5" i="22"/>
  <c r="F5" i="22"/>
  <c r="G5" i="22"/>
  <c r="A6" i="22"/>
  <c r="C6" i="22"/>
  <c r="D6" i="22"/>
  <c r="F6" i="22"/>
  <c r="G6" i="22"/>
  <c r="A3" i="18"/>
  <c r="C3" i="18"/>
  <c r="D3" i="18"/>
  <c r="A4" i="18"/>
  <c r="C4" i="18"/>
  <c r="D4" i="18"/>
  <c r="A5" i="18"/>
  <c r="C5" i="18"/>
  <c r="D5" i="18"/>
  <c r="A6" i="18"/>
  <c r="C6" i="18"/>
  <c r="D6" i="18"/>
  <c r="A7" i="18"/>
  <c r="C7" i="18"/>
  <c r="D7" i="18"/>
  <c r="A59" i="9"/>
  <c r="D59" i="9"/>
  <c r="E59" i="9"/>
  <c r="G59" i="9"/>
  <c r="H59" i="9"/>
  <c r="I59" i="9"/>
  <c r="J59" i="9"/>
  <c r="K59" i="9"/>
  <c r="L59" i="9"/>
  <c r="M59" i="9"/>
  <c r="N59" i="9"/>
  <c r="J27" i="11"/>
  <c r="O59" i="9"/>
  <c r="T3" i="1"/>
  <c r="T2" i="1"/>
  <c r="A2" i="18"/>
  <c r="B19" i="21"/>
  <c r="C19" i="21"/>
  <c r="D19" i="21"/>
  <c r="F19" i="21"/>
  <c r="G19" i="21"/>
  <c r="I19" i="21"/>
  <c r="O19" i="21"/>
  <c r="B18" i="21"/>
  <c r="C18" i="21"/>
  <c r="D18" i="21"/>
  <c r="F18" i="21"/>
  <c r="G18" i="21"/>
  <c r="I18" i="21"/>
  <c r="O18" i="21"/>
  <c r="J36" i="11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A40" i="9"/>
  <c r="D40" i="9"/>
  <c r="E40" i="9"/>
  <c r="G40" i="9"/>
  <c r="H40" i="9"/>
  <c r="I40" i="9"/>
  <c r="J40" i="9"/>
  <c r="K40" i="9"/>
  <c r="L40" i="9"/>
  <c r="M40" i="9"/>
  <c r="N40" i="9"/>
  <c r="O40" i="9"/>
  <c r="J35" i="11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A39" i="9"/>
  <c r="D39" i="9"/>
  <c r="E39" i="9"/>
  <c r="G39" i="9"/>
  <c r="H39" i="9"/>
  <c r="I39" i="9"/>
  <c r="J39" i="9"/>
  <c r="K39" i="9"/>
  <c r="L39" i="9"/>
  <c r="M39" i="9"/>
  <c r="N39" i="9"/>
  <c r="O39" i="9"/>
  <c r="A11" i="1"/>
  <c r="D11" i="1"/>
  <c r="E11" i="1"/>
  <c r="F11" i="1"/>
  <c r="H11" i="1"/>
  <c r="G6" i="2"/>
  <c r="A6" i="2"/>
  <c r="G7" i="2"/>
  <c r="A7" i="2"/>
  <c r="G2" i="2"/>
  <c r="A2" i="2"/>
  <c r="G3" i="2"/>
  <c r="A3" i="2"/>
  <c r="G4" i="2"/>
  <c r="A4" i="2"/>
  <c r="G5" i="2"/>
  <c r="A5" i="2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H2" i="1"/>
  <c r="H3" i="1"/>
  <c r="H4" i="1"/>
  <c r="H5" i="1"/>
  <c r="H6" i="1"/>
  <c r="H7" i="1"/>
  <c r="H8" i="1"/>
  <c r="H9" i="1"/>
  <c r="H10" i="1"/>
  <c r="B6" i="2"/>
  <c r="D6" i="2"/>
  <c r="E6" i="2"/>
  <c r="H6" i="2"/>
  <c r="I11" i="21"/>
  <c r="I12" i="21"/>
  <c r="I13" i="21"/>
  <c r="I14" i="21"/>
  <c r="I15" i="21"/>
  <c r="I16" i="21"/>
  <c r="I17" i="21"/>
  <c r="B12" i="21"/>
  <c r="C12" i="21"/>
  <c r="D12" i="21"/>
  <c r="F12" i="21"/>
  <c r="G12" i="21"/>
  <c r="O12" i="21"/>
  <c r="B13" i="21"/>
  <c r="C13" i="21"/>
  <c r="D13" i="21"/>
  <c r="F13" i="21"/>
  <c r="G13" i="21"/>
  <c r="O13" i="21"/>
  <c r="B14" i="21"/>
  <c r="C14" i="21"/>
  <c r="D14" i="21"/>
  <c r="F14" i="21"/>
  <c r="G14" i="21"/>
  <c r="O14" i="21"/>
  <c r="B15" i="21"/>
  <c r="C15" i="21"/>
  <c r="D15" i="21"/>
  <c r="F15" i="21"/>
  <c r="G15" i="21"/>
  <c r="O15" i="21"/>
  <c r="B16" i="21"/>
  <c r="C16" i="21"/>
  <c r="D16" i="21"/>
  <c r="F16" i="21"/>
  <c r="G16" i="21"/>
  <c r="O16" i="21"/>
  <c r="B17" i="21"/>
  <c r="C17" i="21"/>
  <c r="D17" i="21"/>
  <c r="F17" i="21"/>
  <c r="G17" i="21"/>
  <c r="O17" i="21"/>
  <c r="J13" i="11"/>
  <c r="O38" i="9"/>
  <c r="N38" i="9"/>
  <c r="M38" i="9"/>
  <c r="L38" i="9"/>
  <c r="K38" i="9"/>
  <c r="J38" i="9"/>
  <c r="I38" i="9"/>
  <c r="H38" i="9"/>
  <c r="G38" i="9"/>
  <c r="E38" i="9"/>
  <c r="D38" i="9"/>
  <c r="A38" i="9"/>
  <c r="J12" i="11"/>
  <c r="O37" i="9"/>
  <c r="N37" i="9"/>
  <c r="M37" i="9"/>
  <c r="L37" i="9"/>
  <c r="K37" i="9"/>
  <c r="J37" i="9"/>
  <c r="I37" i="9"/>
  <c r="H37" i="9"/>
  <c r="G37" i="9"/>
  <c r="E37" i="9"/>
  <c r="D37" i="9"/>
  <c r="A37" i="9"/>
  <c r="J11" i="11"/>
  <c r="O36" i="9"/>
  <c r="N36" i="9"/>
  <c r="M36" i="9"/>
  <c r="L36" i="9"/>
  <c r="K36" i="9"/>
  <c r="J36" i="9"/>
  <c r="I36" i="9"/>
  <c r="H36" i="9"/>
  <c r="G36" i="9"/>
  <c r="E36" i="9"/>
  <c r="D36" i="9"/>
  <c r="A36" i="9"/>
  <c r="J10" i="11"/>
  <c r="O35" i="9"/>
  <c r="N35" i="9"/>
  <c r="M35" i="9"/>
  <c r="L35" i="9"/>
  <c r="K35" i="9"/>
  <c r="J35" i="9"/>
  <c r="I35" i="9"/>
  <c r="H35" i="9"/>
  <c r="G35" i="9"/>
  <c r="E35" i="9"/>
  <c r="D35" i="9"/>
  <c r="A35" i="9"/>
  <c r="J5" i="11"/>
  <c r="O23" i="9"/>
  <c r="N23" i="9"/>
  <c r="M23" i="9"/>
  <c r="L23" i="9"/>
  <c r="K23" i="9"/>
  <c r="J23" i="9"/>
  <c r="I23" i="9"/>
  <c r="H23" i="9"/>
  <c r="G23" i="9"/>
  <c r="E23" i="9"/>
  <c r="D23" i="9"/>
  <c r="A23" i="9"/>
  <c r="J4" i="11"/>
  <c r="O22" i="9"/>
  <c r="N22" i="9"/>
  <c r="M22" i="9"/>
  <c r="L22" i="9"/>
  <c r="K22" i="9"/>
  <c r="J22" i="9"/>
  <c r="I22" i="9"/>
  <c r="H22" i="9"/>
  <c r="G22" i="9"/>
  <c r="E22" i="9"/>
  <c r="D22" i="9"/>
  <c r="A22" i="9"/>
  <c r="J3" i="11"/>
  <c r="O21" i="9"/>
  <c r="N21" i="9"/>
  <c r="M21" i="9"/>
  <c r="L21" i="9"/>
  <c r="K21" i="9"/>
  <c r="J21" i="9"/>
  <c r="I21" i="9"/>
  <c r="H21" i="9"/>
  <c r="G21" i="9"/>
  <c r="E21" i="9"/>
  <c r="D21" i="9"/>
  <c r="A21" i="9"/>
  <c r="J2" i="11"/>
  <c r="O20" i="9"/>
  <c r="N20" i="9"/>
  <c r="M20" i="9"/>
  <c r="L20" i="9"/>
  <c r="K20" i="9"/>
  <c r="J20" i="9"/>
  <c r="I20" i="9"/>
  <c r="H20" i="9"/>
  <c r="G20" i="9"/>
  <c r="E20" i="9"/>
  <c r="D20" i="9"/>
  <c r="A20" i="9"/>
  <c r="V2" i="1"/>
  <c r="T9" i="1"/>
  <c r="A19" i="9"/>
  <c r="D19" i="9"/>
  <c r="E19" i="9"/>
  <c r="G19" i="9"/>
  <c r="H19" i="9"/>
  <c r="I19" i="9"/>
  <c r="J19" i="9"/>
  <c r="K19" i="9"/>
  <c r="L19" i="9"/>
  <c r="M19" i="9"/>
  <c r="N19" i="9"/>
  <c r="J34" i="11"/>
  <c r="O19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A6" i="9"/>
  <c r="D6" i="9"/>
  <c r="E6" i="9"/>
  <c r="G6" i="9"/>
  <c r="H6" i="9"/>
  <c r="I6" i="9"/>
  <c r="J6" i="9"/>
  <c r="K6" i="9"/>
  <c r="L6" i="9"/>
  <c r="M6" i="9"/>
  <c r="N6" i="9"/>
  <c r="O6" i="9"/>
  <c r="G6" i="10"/>
  <c r="H6" i="10"/>
  <c r="I6" i="10"/>
  <c r="J6" i="10"/>
  <c r="K6" i="10"/>
  <c r="L6" i="10"/>
  <c r="M6" i="10"/>
  <c r="M37" i="10"/>
  <c r="N37" i="10"/>
  <c r="Q37" i="10"/>
  <c r="P37" i="10"/>
  <c r="R37" i="10"/>
  <c r="O37" i="10"/>
  <c r="S37" i="10"/>
  <c r="N6" i="10"/>
  <c r="O6" i="10"/>
  <c r="P6" i="10"/>
  <c r="Q6" i="10"/>
  <c r="R6" i="10"/>
  <c r="S6" i="10"/>
  <c r="T6" i="10"/>
  <c r="U6" i="10"/>
  <c r="V6" i="10"/>
  <c r="W6" i="10"/>
  <c r="X6" i="10"/>
  <c r="Y6" i="10"/>
  <c r="J9" i="11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3" i="9"/>
  <c r="N13" i="9"/>
  <c r="M13" i="9"/>
  <c r="L13" i="9"/>
  <c r="K13" i="9"/>
  <c r="J13" i="9"/>
  <c r="I13" i="9"/>
  <c r="H13" i="9"/>
  <c r="G13" i="9"/>
  <c r="E13" i="9"/>
  <c r="D13" i="9"/>
  <c r="A13" i="9"/>
  <c r="J7" i="11"/>
  <c r="O12" i="9"/>
  <c r="N12" i="9"/>
  <c r="M12" i="9"/>
  <c r="L12" i="9"/>
  <c r="K12" i="9"/>
  <c r="J12" i="9"/>
  <c r="I12" i="9"/>
  <c r="H12" i="9"/>
  <c r="G12" i="9"/>
  <c r="E12" i="9"/>
  <c r="D12" i="9"/>
  <c r="A12" i="9"/>
  <c r="J6" i="11"/>
  <c r="O11" i="9"/>
  <c r="N11" i="9"/>
  <c r="M11" i="9"/>
  <c r="L11" i="9"/>
  <c r="K11" i="9"/>
  <c r="J11" i="9"/>
  <c r="I11" i="9"/>
  <c r="H11" i="9"/>
  <c r="G11" i="9"/>
  <c r="E11" i="9"/>
  <c r="D11" i="9"/>
  <c r="A11" i="9"/>
  <c r="I3" i="21"/>
  <c r="B3" i="21"/>
  <c r="I4" i="21"/>
  <c r="B4" i="21"/>
  <c r="B5" i="21"/>
  <c r="I5" i="21"/>
  <c r="B6" i="21"/>
  <c r="I6" i="21"/>
  <c r="B7" i="21"/>
  <c r="I7" i="21"/>
  <c r="B8" i="21"/>
  <c r="I8" i="21"/>
  <c r="B9" i="21"/>
  <c r="I9" i="21"/>
  <c r="B10" i="21"/>
  <c r="I10" i="21"/>
  <c r="B11" i="21"/>
  <c r="I2" i="21"/>
  <c r="B2" i="21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A60" i="9"/>
  <c r="D60" i="9"/>
  <c r="E60" i="9"/>
  <c r="G60" i="9"/>
  <c r="H60" i="9"/>
  <c r="I60" i="9"/>
  <c r="J60" i="9"/>
  <c r="K60" i="9"/>
  <c r="L60" i="9"/>
  <c r="M60" i="9"/>
  <c r="N60" i="9"/>
  <c r="J29" i="11"/>
  <c r="O60" i="9"/>
  <c r="A61" i="9"/>
  <c r="D61" i="9"/>
  <c r="E61" i="9"/>
  <c r="G61" i="9"/>
  <c r="H61" i="9"/>
  <c r="I61" i="9"/>
  <c r="J61" i="9"/>
  <c r="K61" i="9"/>
  <c r="L61" i="9"/>
  <c r="M61" i="9"/>
  <c r="N61" i="9"/>
  <c r="J30" i="11"/>
  <c r="O61" i="9"/>
  <c r="A62" i="9"/>
  <c r="D62" i="9"/>
  <c r="E62" i="9"/>
  <c r="G62" i="9"/>
  <c r="H62" i="9"/>
  <c r="I62" i="9"/>
  <c r="J62" i="9"/>
  <c r="K62" i="9"/>
  <c r="L62" i="9"/>
  <c r="M62" i="9"/>
  <c r="N62" i="9"/>
  <c r="J31" i="11"/>
  <c r="O62" i="9"/>
  <c r="A63" i="9"/>
  <c r="D63" i="9"/>
  <c r="E63" i="9"/>
  <c r="G63" i="9"/>
  <c r="H63" i="9"/>
  <c r="I63" i="9"/>
  <c r="J63" i="9"/>
  <c r="K63" i="9"/>
  <c r="L63" i="9"/>
  <c r="M63" i="9"/>
  <c r="N63" i="9"/>
  <c r="J32" i="11"/>
  <c r="O63" i="9"/>
  <c r="J14" i="11"/>
  <c r="J15" i="11"/>
  <c r="J16" i="11"/>
  <c r="J17" i="11"/>
  <c r="J18" i="11"/>
  <c r="J19" i="11"/>
  <c r="J20" i="11"/>
  <c r="J21" i="11"/>
  <c r="J22" i="11"/>
  <c r="J23" i="11"/>
  <c r="J24" i="11"/>
  <c r="J26" i="11"/>
  <c r="G3" i="10"/>
  <c r="H3" i="10"/>
  <c r="I3" i="10"/>
  <c r="J3" i="10"/>
  <c r="K3" i="10"/>
  <c r="L3" i="10"/>
  <c r="M3" i="10"/>
  <c r="G4" i="10"/>
  <c r="H4" i="10"/>
  <c r="I4" i="10"/>
  <c r="J4" i="10"/>
  <c r="K4" i="10"/>
  <c r="L4" i="10"/>
  <c r="M4" i="10"/>
  <c r="G5" i="10"/>
  <c r="H5" i="10"/>
  <c r="I5" i="10"/>
  <c r="J5" i="10"/>
  <c r="K5" i="10"/>
  <c r="L5" i="10"/>
  <c r="M5" i="10"/>
  <c r="G7" i="10"/>
  <c r="H7" i="10"/>
  <c r="I7" i="10"/>
  <c r="J7" i="10"/>
  <c r="K7" i="10"/>
  <c r="L7" i="10"/>
  <c r="M7" i="10"/>
  <c r="G8" i="10"/>
  <c r="H8" i="10"/>
  <c r="I8" i="10"/>
  <c r="J8" i="10"/>
  <c r="K8" i="10"/>
  <c r="L8" i="10"/>
  <c r="M8" i="10"/>
  <c r="G9" i="10"/>
  <c r="H9" i="10"/>
  <c r="I9" i="10"/>
  <c r="J9" i="10"/>
  <c r="K9" i="10"/>
  <c r="L9" i="10"/>
  <c r="M9" i="10"/>
  <c r="G10" i="10"/>
  <c r="H10" i="10"/>
  <c r="I10" i="10"/>
  <c r="J10" i="10"/>
  <c r="K10" i="10"/>
  <c r="L10" i="10"/>
  <c r="M10" i="10"/>
  <c r="G12" i="10"/>
  <c r="H12" i="10"/>
  <c r="I12" i="10"/>
  <c r="J12" i="10"/>
  <c r="K12" i="10"/>
  <c r="L12" i="10"/>
  <c r="M12" i="10"/>
  <c r="G13" i="10"/>
  <c r="H13" i="10"/>
  <c r="I13" i="10"/>
  <c r="J13" i="10"/>
  <c r="K13" i="10"/>
  <c r="L13" i="10"/>
  <c r="M13" i="10"/>
  <c r="G14" i="10"/>
  <c r="H14" i="10"/>
  <c r="I14" i="10"/>
  <c r="J14" i="10"/>
  <c r="K14" i="10"/>
  <c r="L14" i="10"/>
  <c r="M14" i="10"/>
  <c r="G15" i="10"/>
  <c r="H15" i="10"/>
  <c r="I15" i="10"/>
  <c r="J15" i="10"/>
  <c r="K15" i="10"/>
  <c r="L15" i="10"/>
  <c r="M15" i="10"/>
  <c r="G17" i="10"/>
  <c r="H17" i="10"/>
  <c r="I17" i="10"/>
  <c r="J17" i="10"/>
  <c r="K17" i="10"/>
  <c r="L17" i="10"/>
  <c r="M17" i="10"/>
  <c r="G18" i="10"/>
  <c r="H18" i="10"/>
  <c r="I18" i="10"/>
  <c r="J18" i="10"/>
  <c r="K18" i="10"/>
  <c r="L18" i="10"/>
  <c r="M18" i="10"/>
  <c r="G19" i="10"/>
  <c r="H19" i="10"/>
  <c r="I19" i="10"/>
  <c r="J19" i="10"/>
  <c r="K19" i="10"/>
  <c r="L19" i="10"/>
  <c r="M19" i="10"/>
  <c r="G20" i="10"/>
  <c r="H20" i="10"/>
  <c r="I20" i="10"/>
  <c r="J20" i="10"/>
  <c r="K20" i="10"/>
  <c r="L20" i="10"/>
  <c r="M20" i="10"/>
  <c r="G21" i="10"/>
  <c r="H21" i="10"/>
  <c r="I21" i="10"/>
  <c r="J21" i="10"/>
  <c r="K21" i="10"/>
  <c r="L21" i="10"/>
  <c r="M21" i="10"/>
  <c r="G22" i="10"/>
  <c r="H22" i="10"/>
  <c r="I22" i="10"/>
  <c r="J22" i="10"/>
  <c r="K22" i="10"/>
  <c r="L22" i="10"/>
  <c r="M22" i="10"/>
  <c r="G23" i="10"/>
  <c r="H23" i="10"/>
  <c r="I23" i="10"/>
  <c r="J23" i="10"/>
  <c r="K23" i="10"/>
  <c r="L23" i="10"/>
  <c r="M23" i="10"/>
  <c r="G24" i="10"/>
  <c r="H24" i="10"/>
  <c r="I24" i="10"/>
  <c r="J24" i="10"/>
  <c r="K24" i="10"/>
  <c r="L24" i="10"/>
  <c r="M24" i="10"/>
  <c r="G25" i="10"/>
  <c r="H25" i="10"/>
  <c r="I25" i="10"/>
  <c r="J25" i="10"/>
  <c r="K25" i="10"/>
  <c r="L25" i="10"/>
  <c r="M25" i="10"/>
  <c r="G26" i="10"/>
  <c r="H26" i="10"/>
  <c r="I26" i="10"/>
  <c r="J26" i="10"/>
  <c r="K26" i="10"/>
  <c r="L26" i="10"/>
  <c r="M26" i="10"/>
  <c r="G27" i="10"/>
  <c r="H27" i="10"/>
  <c r="I27" i="10"/>
  <c r="J27" i="10"/>
  <c r="K27" i="10"/>
  <c r="L27" i="10"/>
  <c r="M27" i="10"/>
  <c r="G30" i="10"/>
  <c r="H30" i="10"/>
  <c r="I30" i="10"/>
  <c r="J30" i="10"/>
  <c r="K30" i="10"/>
  <c r="L30" i="10"/>
  <c r="M30" i="10"/>
  <c r="G31" i="10"/>
  <c r="H31" i="10"/>
  <c r="I31" i="10"/>
  <c r="J31" i="10"/>
  <c r="K31" i="10"/>
  <c r="L31" i="10"/>
  <c r="M31" i="10"/>
  <c r="G32" i="10"/>
  <c r="H32" i="10"/>
  <c r="I32" i="10"/>
  <c r="J32" i="10"/>
  <c r="K32" i="10"/>
  <c r="L32" i="10"/>
  <c r="M32" i="10"/>
  <c r="G33" i="10"/>
  <c r="H33" i="10"/>
  <c r="I33" i="10"/>
  <c r="J33" i="10"/>
  <c r="K33" i="10"/>
  <c r="L33" i="10"/>
  <c r="M33" i="10"/>
  <c r="G34" i="10"/>
  <c r="H34" i="10"/>
  <c r="I34" i="10"/>
  <c r="J34" i="10"/>
  <c r="K34" i="10"/>
  <c r="L34" i="10"/>
  <c r="M34" i="10"/>
  <c r="G35" i="10"/>
  <c r="H35" i="10"/>
  <c r="I35" i="10"/>
  <c r="J35" i="10"/>
  <c r="K35" i="10"/>
  <c r="L35" i="10"/>
  <c r="M35" i="10"/>
  <c r="G36" i="10"/>
  <c r="H36" i="10"/>
  <c r="I36" i="10"/>
  <c r="J36" i="10"/>
  <c r="K36" i="10"/>
  <c r="L36" i="10"/>
  <c r="M36" i="10"/>
  <c r="G37" i="10"/>
  <c r="H37" i="10"/>
  <c r="I37" i="10"/>
  <c r="J37" i="10"/>
  <c r="K37" i="10"/>
  <c r="L37" i="10"/>
  <c r="G38" i="10"/>
  <c r="H38" i="10"/>
  <c r="I38" i="10"/>
  <c r="J38" i="10"/>
  <c r="K38" i="10"/>
  <c r="L38" i="10"/>
  <c r="M38" i="10"/>
  <c r="N34" i="10"/>
  <c r="Q34" i="10"/>
  <c r="P34" i="10"/>
  <c r="R34" i="10"/>
  <c r="O34" i="10"/>
  <c r="S34" i="10"/>
  <c r="N3" i="10"/>
  <c r="O3" i="10"/>
  <c r="P3" i="10"/>
  <c r="Q3" i="10"/>
  <c r="R3" i="10"/>
  <c r="S3" i="10"/>
  <c r="T3" i="10"/>
  <c r="U3" i="10"/>
  <c r="V3" i="10"/>
  <c r="W3" i="10"/>
  <c r="X3" i="10"/>
  <c r="Y3" i="10"/>
  <c r="N35" i="10"/>
  <c r="Q35" i="10"/>
  <c r="P35" i="10"/>
  <c r="R35" i="10"/>
  <c r="O35" i="10"/>
  <c r="S35" i="10"/>
  <c r="N4" i="10"/>
  <c r="O4" i="10"/>
  <c r="P4" i="10"/>
  <c r="Q4" i="10"/>
  <c r="R4" i="10"/>
  <c r="S4" i="10"/>
  <c r="T4" i="10"/>
  <c r="U4" i="10"/>
  <c r="V4" i="10"/>
  <c r="W4" i="10"/>
  <c r="X4" i="10"/>
  <c r="Y4" i="10"/>
  <c r="N36" i="10"/>
  <c r="Q36" i="10"/>
  <c r="P36" i="10"/>
  <c r="R36" i="10"/>
  <c r="O36" i="10"/>
  <c r="S36" i="10"/>
  <c r="N5" i="10"/>
  <c r="O5" i="10"/>
  <c r="P5" i="10"/>
  <c r="Q5" i="10"/>
  <c r="R5" i="10"/>
  <c r="S5" i="10"/>
  <c r="T5" i="10"/>
  <c r="U5" i="10"/>
  <c r="V5" i="10"/>
  <c r="W5" i="10"/>
  <c r="X5" i="10"/>
  <c r="Y5" i="10"/>
  <c r="N7" i="10"/>
  <c r="O7" i="10"/>
  <c r="P7" i="10"/>
  <c r="Q7" i="10"/>
  <c r="R7" i="10"/>
  <c r="S7" i="10"/>
  <c r="T7" i="10"/>
  <c r="U7" i="10"/>
  <c r="V7" i="10"/>
  <c r="W7" i="10"/>
  <c r="X7" i="10"/>
  <c r="Y7" i="10"/>
  <c r="N38" i="10"/>
  <c r="Q38" i="10"/>
  <c r="P38" i="10"/>
  <c r="R38" i="10"/>
  <c r="O38" i="10"/>
  <c r="S38" i="10"/>
  <c r="N8" i="10"/>
  <c r="O8" i="10"/>
  <c r="P8" i="10"/>
  <c r="Q8" i="10"/>
  <c r="R8" i="10"/>
  <c r="S8" i="10"/>
  <c r="T8" i="10"/>
  <c r="U8" i="10"/>
  <c r="V8" i="10"/>
  <c r="W8" i="10"/>
  <c r="X8" i="10"/>
  <c r="Y8" i="10"/>
  <c r="N9" i="10"/>
  <c r="O9" i="10"/>
  <c r="P9" i="10"/>
  <c r="Q9" i="10"/>
  <c r="R9" i="10"/>
  <c r="S9" i="10"/>
  <c r="T9" i="10"/>
  <c r="U9" i="10"/>
  <c r="V9" i="10"/>
  <c r="W9" i="10"/>
  <c r="X9" i="10"/>
  <c r="Y9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T34" i="10"/>
  <c r="U34" i="10"/>
  <c r="V34" i="10"/>
  <c r="W34" i="10"/>
  <c r="X34" i="10"/>
  <c r="Y34" i="10"/>
  <c r="T35" i="10"/>
  <c r="U35" i="10"/>
  <c r="V35" i="10"/>
  <c r="W35" i="10"/>
  <c r="X35" i="10"/>
  <c r="Y35" i="10"/>
  <c r="T36" i="10"/>
  <c r="U36" i="10"/>
  <c r="V36" i="10"/>
  <c r="W36" i="10"/>
  <c r="X36" i="10"/>
  <c r="Y36" i="10"/>
  <c r="T37" i="10"/>
  <c r="U37" i="10"/>
  <c r="V37" i="10"/>
  <c r="W37" i="10"/>
  <c r="X37" i="10"/>
  <c r="Y37" i="10"/>
  <c r="T38" i="10"/>
  <c r="U38" i="10"/>
  <c r="V38" i="10"/>
  <c r="W38" i="10"/>
  <c r="X38" i="10"/>
  <c r="Y38" i="10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H32" i="9"/>
  <c r="I32" i="9"/>
  <c r="J32" i="9"/>
  <c r="K32" i="9"/>
  <c r="L32" i="9"/>
  <c r="M32" i="9"/>
  <c r="N32" i="9"/>
  <c r="O32" i="9"/>
  <c r="A28" i="9"/>
  <c r="A29" i="9"/>
  <c r="A30" i="9"/>
  <c r="A31" i="9"/>
  <c r="A32" i="9"/>
  <c r="D28" i="9"/>
  <c r="E28" i="9"/>
  <c r="D29" i="9"/>
  <c r="E29" i="9"/>
  <c r="D30" i="9"/>
  <c r="E30" i="9"/>
  <c r="D31" i="9"/>
  <c r="E31" i="9"/>
  <c r="D32" i="9"/>
  <c r="E32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D3" i="9"/>
  <c r="E3" i="9"/>
  <c r="D4" i="9"/>
  <c r="E4" i="9"/>
  <c r="D5" i="9"/>
  <c r="E5" i="9"/>
  <c r="D7" i="9"/>
  <c r="E7" i="9"/>
  <c r="D8" i="9"/>
  <c r="E8" i="9"/>
  <c r="D9" i="9"/>
  <c r="E9" i="9"/>
  <c r="D10" i="9"/>
  <c r="E10" i="9"/>
  <c r="D15" i="9"/>
  <c r="E15" i="9"/>
  <c r="D16" i="9"/>
  <c r="E16" i="9"/>
  <c r="D17" i="9"/>
  <c r="E17" i="9"/>
  <c r="D18" i="9"/>
  <c r="E18" i="9"/>
  <c r="D24" i="9"/>
  <c r="E24" i="9"/>
  <c r="D25" i="9"/>
  <c r="E25" i="9"/>
  <c r="D26" i="9"/>
  <c r="E26" i="9"/>
  <c r="D27" i="9"/>
  <c r="E27" i="9"/>
  <c r="A3" i="9"/>
  <c r="A4" i="9"/>
  <c r="A5" i="9"/>
  <c r="A7" i="9"/>
  <c r="A8" i="9"/>
  <c r="A9" i="9"/>
  <c r="A10" i="9"/>
  <c r="A15" i="9"/>
  <c r="A16" i="9"/>
  <c r="A17" i="9"/>
  <c r="A18" i="9"/>
  <c r="A24" i="9"/>
  <c r="A25" i="9"/>
  <c r="A26" i="9"/>
  <c r="A27" i="9"/>
  <c r="O3" i="21"/>
  <c r="O4" i="21"/>
  <c r="O5" i="21"/>
  <c r="O6" i="21"/>
  <c r="O7" i="21"/>
  <c r="O8" i="21"/>
  <c r="O9" i="21"/>
  <c r="O10" i="21"/>
  <c r="O11" i="21"/>
  <c r="O2" i="21"/>
  <c r="C8" i="21"/>
  <c r="D8" i="21"/>
  <c r="F8" i="21"/>
  <c r="G8" i="21"/>
  <c r="C9" i="21"/>
  <c r="D9" i="21"/>
  <c r="F9" i="21"/>
  <c r="G9" i="21"/>
  <c r="C10" i="21"/>
  <c r="D10" i="21"/>
  <c r="F10" i="21"/>
  <c r="G10" i="21"/>
  <c r="C11" i="21"/>
  <c r="D11" i="21"/>
  <c r="F11" i="21"/>
  <c r="G11" i="21"/>
  <c r="C3" i="21"/>
  <c r="D3" i="21"/>
  <c r="F3" i="21"/>
  <c r="G3" i="21"/>
  <c r="C4" i="21"/>
  <c r="D4" i="21"/>
  <c r="F4" i="21"/>
  <c r="G4" i="21"/>
  <c r="C5" i="21"/>
  <c r="D5" i="21"/>
  <c r="F5" i="21"/>
  <c r="G5" i="21"/>
  <c r="C6" i="21"/>
  <c r="D6" i="21"/>
  <c r="F6" i="21"/>
  <c r="G6" i="21"/>
  <c r="C7" i="21"/>
  <c r="D7" i="21"/>
  <c r="F7" i="21"/>
  <c r="G7" i="21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58" i="9"/>
  <c r="D58" i="9"/>
  <c r="E58" i="9"/>
  <c r="G58" i="9"/>
  <c r="H58" i="9"/>
  <c r="I58" i="9"/>
  <c r="J58" i="9"/>
  <c r="K58" i="9"/>
  <c r="L58" i="9"/>
  <c r="M58" i="9"/>
  <c r="N58" i="9"/>
  <c r="O58" i="9"/>
  <c r="A2" i="7"/>
  <c r="D2" i="7"/>
  <c r="E2" i="7"/>
  <c r="F2" i="7"/>
  <c r="H2" i="7"/>
  <c r="I2" i="7"/>
  <c r="J2" i="7"/>
  <c r="N2" i="7"/>
  <c r="O2" i="7"/>
  <c r="P2" i="7"/>
  <c r="Q2" i="7"/>
  <c r="R2" i="7"/>
  <c r="U2" i="7"/>
  <c r="W2" i="7"/>
  <c r="Y2" i="7"/>
  <c r="A2" i="1"/>
  <c r="D2" i="1"/>
  <c r="E2" i="1"/>
  <c r="F2" i="1"/>
  <c r="I2" i="1"/>
  <c r="J2" i="1"/>
  <c r="M2" i="1"/>
  <c r="N2" i="1"/>
  <c r="O2" i="1"/>
  <c r="P2" i="1"/>
  <c r="Q2" i="1"/>
  <c r="E2" i="9"/>
  <c r="X2" i="1"/>
  <c r="AD2" i="1"/>
  <c r="AE2" i="1"/>
  <c r="AF2" i="1"/>
  <c r="AG2" i="1"/>
  <c r="AI2" i="1"/>
  <c r="A3" i="1"/>
  <c r="D3" i="1"/>
  <c r="E3" i="1"/>
  <c r="F3" i="1"/>
  <c r="I3" i="1"/>
  <c r="J3" i="1"/>
  <c r="M3" i="1"/>
  <c r="N3" i="1"/>
  <c r="O3" i="1"/>
  <c r="P3" i="1"/>
  <c r="Q3" i="1"/>
  <c r="V3" i="1"/>
  <c r="X3" i="1"/>
  <c r="AD3" i="1"/>
  <c r="AE3" i="1"/>
  <c r="AF3" i="1"/>
  <c r="AG3" i="1"/>
  <c r="AI3" i="1"/>
  <c r="A4" i="1"/>
  <c r="D4" i="1"/>
  <c r="E4" i="1"/>
  <c r="F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I9" i="1"/>
  <c r="J9" i="1"/>
  <c r="M9" i="1"/>
  <c r="N9" i="1"/>
  <c r="O9" i="1"/>
  <c r="P9" i="1"/>
  <c r="Q9" i="1"/>
  <c r="V9" i="1"/>
  <c r="X9" i="1"/>
  <c r="AD9" i="1"/>
  <c r="AE9" i="1"/>
  <c r="AF9" i="1"/>
  <c r="AG9" i="1"/>
  <c r="AI9" i="1"/>
  <c r="A10" i="1"/>
  <c r="D10" i="1"/>
  <c r="E10" i="1"/>
  <c r="F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B2" i="2"/>
  <c r="D2" i="2"/>
  <c r="E2" i="2"/>
  <c r="H2" i="2"/>
  <c r="B3" i="2"/>
  <c r="D3" i="2"/>
  <c r="E3" i="2"/>
  <c r="H3" i="2"/>
  <c r="B4" i="2"/>
  <c r="D4" i="2"/>
  <c r="E4" i="2"/>
  <c r="H4" i="2"/>
  <c r="B5" i="2"/>
  <c r="D5" i="2"/>
  <c r="E5" i="2"/>
  <c r="H5" i="2"/>
  <c r="B7" i="2"/>
  <c r="D7" i="2"/>
  <c r="E7" i="2"/>
  <c r="H7" i="2"/>
  <c r="G3" i="22"/>
  <c r="F3" i="22"/>
  <c r="D3" i="22"/>
  <c r="C3" i="22"/>
  <c r="A3" i="22"/>
  <c r="E13" i="16"/>
  <c r="G2" i="22"/>
  <c r="F2" i="22"/>
  <c r="D2" i="22"/>
  <c r="C2" i="22"/>
  <c r="A2" i="22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9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<sst xmlns="http://schemas.openxmlformats.org/spreadsheetml/2006/main" count="997" uniqueCount="410">
  <si>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</si>
  <si>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</si>
  <si>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</si>
  <si>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</si>
  <si>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</si>
  <si>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</si>
  <si>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</si>
  <si>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</si>
  <si>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</si>
  <si>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</si>
  <si>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</si>
  <si>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</si>
  <si>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</si>
  <si>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</si>
  <si>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</si>
  <si>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</si>
  <si>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</si>
  <si>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</si>
  <si>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</si>
  <si>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</si>
  <si>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</si>
  <si>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</si>
  <si>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</si>
  <si>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</si>
  <si>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</si>
  <si>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</si>
  <si>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</si>
  <si>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</si>
  <si>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</si>
  <si>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</si>
  <si>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</si>
  <si>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</si>
  <si>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</si>
  <si>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</si>
  <si>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</si>
  <si>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</si>
  <si>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</si>
  <si>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</si>
  <si>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</si>
  <si>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</si>
  <si>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</si>
  <si>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</si>
  <si>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</si>
  <si>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</si>
  <si>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</si>
  <si>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</si>
  <si>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</si>
  <si>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</si>
  <si>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</si>
  <si>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</si>
  <si>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</si>
  <si>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</si>
  <si>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</si>
  <si>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</si>
  <si>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</si>
  <si>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</si>
  <si>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</si>
  <si>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</si>
  <si>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</si>
  <si>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</si>
  <si>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</si>
  <si>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</si>
  <si>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</si>
  <si>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</si>
  <si>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</si>
  <si>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</si>
  <si>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</si>
  <si>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</si>
  <si>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</si>
  <si>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</si>
  <si>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</si>
  <si>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</si>
  <si>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</si>
  <si>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</si>
  <si>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</si>
  <si>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</si>
  <si>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</si>
  <si>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</si>
  <si>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</si>
  <si>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</si>
  <si>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</si>
  <si>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</si>
  <si>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</si>
  <si>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</si>
  <si>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</si>
  <si>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</si>
  <si>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</si>
  <si>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</si>
  <si>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</si>
  <si>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</si>
  <si>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</si>
  <si>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</si>
  <si>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</si>
  <si>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</si>
  <si>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</si>
  <si>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</si>
  <si>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</si>
  <si>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</si>
  <si>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</si>
  <si>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</si>
  <si>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</si>
  <si>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</si>
  <si>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</si>
  <si>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</si>
  <si>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</si>
  <si>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</si>
  <si>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</si>
  <si>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</si>
  <si>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</si>
  <si>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</si>
  <si>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</si>
  <si>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</si>
  <si>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</si>
  <si>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</si>
  <si>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</si>
  <si>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</si>
  <si>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</si>
  <si>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</si>
  <si>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</si>
  <si>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</si>
  <si>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</si>
  <si>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</si>
  <si>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</si>
  <si>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</si>
  <si>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</si>
  <si>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</si>
  <si>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</si>
  <si>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</si>
  <si>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</si>
  <si>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</si>
  <si>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</si>
  <si>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</si>
  <si>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</si>
  <si>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</si>
  <si>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</si>
  <si>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</si>
  <si>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</si>
  <si>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</si>
  <si>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</si>
  <si>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</si>
  <si>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</si>
  <si>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</si>
  <si>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</si>
  <si>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</si>
  <si>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</si>
  <si>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</si>
  <si>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</si>
  <si>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</si>
  <si>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</si>
  <si>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</si>
  <si>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</si>
  <si>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</si>
  <si>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</si>
  <si>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</si>
  <si>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</si>
  <si>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</si>
  <si>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</si>
  <si>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</si>
  <si>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</si>
  <si>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</si>
  <si>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</si>
  <si>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</si>
  <si>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</si>
  <si>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</si>
  <si>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</si>
  <si>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</si>
  <si>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</si>
  <si>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</si>
  <si>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</si>
  <si>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</si>
  <si>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</si>
  <si>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</si>
  <si>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</si>
  <si>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</si>
  <si>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</si>
  <si>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</si>
  <si>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</si>
  <si>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</si>
  <si>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</si>
  <si>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</si>
  <si>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</si>
  <si>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</si>
  <si>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</si>
  <si>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</si>
  <si>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</si>
  <si>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</si>
  <si>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</si>
  <si>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</si>
  <si>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</si>
  <si>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</si>
  <si>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</si>
  <si>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</si>
  <si>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</si>
  <si>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</si>
  <si>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</si>
  <si>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</si>
  <si>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</si>
  <si>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</si>
  <si>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</si>
  <si>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</si>
  <si>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</si>
  <si>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</si>
  <si>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</si>
  <si>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</si>
  <si>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</si>
  <si>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</si>
  <si>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</si>
  <si>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</si>
  <si>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</si>
  <si>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</si>
  <si>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</si>
  <si>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</si>
  <si>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</si>
  <si>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</si>
  <si>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</si>
  <si>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</si>
  <si>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</si>
  <si>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</si>
  <si>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</si>
  <si>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</si>
  <si>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</si>
  <si>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</si>
  <si>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</si>
  <si>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</si>
  <si>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</si>
  <si>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</si>
  <si>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</si>
  <si>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</si>
  <si>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</si>
  <si>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</si>
  <si>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</si>
  <si>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</si>
  <si>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</si>
  <si>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</si>
  <si>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</si>
  <si>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</si>
  <si>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</si>
  <si>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</si>
  <si>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</si>
  <si>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</si>
  <si>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</si>
  <si>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</si>
  <si>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</si>
  <si>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</si>
  <si>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</si>
  <si>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</si>
  <si>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</si>
  <si>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</si>
  <si>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</si>
  <si>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</si>
  <si>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</si>
  <si>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</si>
  <si>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old</t>
  </si>
  <si>
    <t>null</t>
    <phoneticPr fontId="5"/>
  </si>
  <si>
    <t>39012_4</t>
    <phoneticPr fontId="5"/>
  </si>
  <si>
    <t>null</t>
    <phoneticPr fontId="5"/>
  </si>
  <si>
    <t>complete</t>
  </si>
  <si>
    <t>null</t>
    <phoneticPr fontId="5"/>
  </si>
  <si>
    <t>クリティカル！</t>
  </si>
  <si>
    <t>単体攻撃</t>
  </si>
  <si>
    <t>全体攻撃</t>
  </si>
  <si>
    <t>脚がとても長い…</t>
  </si>
  <si>
    <t>『呼んだ？ボク、神さまだけど。』</t>
  </si>
  <si>
    <t>神のチカラ</t>
  </si>
  <si>
    <t>別に呼んでないけど神さまがあらわれた！</t>
    <rPh sb="0" eb="1">
      <t>ベツニ</t>
    </rPh>
    <phoneticPr fontId="5"/>
  </si>
  <si>
    <t>戦士の誇り</t>
    <rPh sb="0" eb="2">
      <t>センシ</t>
    </rPh>
    <rPh sb="3" eb="4">
      <t>ホコリ</t>
    </rPh>
    <phoneticPr fontId="5"/>
  </si>
  <si>
    <t>強靭な巨体</t>
    <phoneticPr fontId="5"/>
  </si>
  <si>
    <t>荒ぶる咆哮</t>
    <phoneticPr fontId="5"/>
  </si>
  <si>
    <t>豪腕の鉄槌</t>
    <phoneticPr fontId="5"/>
  </si>
  <si>
    <t>巨神ネコは狙いをつけている</t>
  </si>
  <si>
    <t>かみつく</t>
    <phoneticPr fontId="5"/>
  </si>
  <si>
    <t>高速頭突き</t>
    <rPh sb="0" eb="4">
      <t>コウｓ</t>
    </rPh>
    <phoneticPr fontId="5"/>
  </si>
  <si>
    <t>2ターン赤パネル無効</t>
    <phoneticPr fontId="5"/>
  </si>
  <si>
    <t>クリティカル！</t>
    <phoneticPr fontId="5"/>
  </si>
  <si>
    <t>レッドエリミネーション</t>
    <phoneticPr fontId="5"/>
  </si>
  <si>
    <t>しなる触腕</t>
    <rPh sb="3" eb="5">
      <t>ｓｙ</t>
    </rPh>
    <phoneticPr fontId="5"/>
  </si>
  <si>
    <t>魅惑のダンス</t>
    <rPh sb="0" eb="2">
      <t>ミｗ</t>
    </rPh>
    <phoneticPr fontId="5"/>
  </si>
  <si>
    <t>体当たり</t>
    <rPh sb="0" eb="2">
      <t>タイアタｒ</t>
    </rPh>
    <phoneticPr fontId="5"/>
  </si>
  <si>
    <t>上空を旋回している</t>
    <rPh sb="0" eb="2">
      <t>ｊｙ</t>
    </rPh>
    <phoneticPr fontId="5"/>
  </si>
  <si>
    <t>こちらを狙っている</t>
    <phoneticPr fontId="5"/>
  </si>
  <si>
    <t>急降下で向かってくる</t>
    <rPh sb="4" eb="5">
      <t>ムカｔｔ</t>
    </rPh>
    <phoneticPr fontId="5"/>
  </si>
  <si>
    <t>にゃんこの一言</t>
  </si>
  <si>
    <t>攻略のヒント</t>
  </si>
  <si>
    <t>異常事態は続く</t>
  </si>
  <si>
    <t>巨神ネコの撃破 お疲れ様にゃ！
もう少しでこの事件を解決できそうにゃ
引き続きみんなの活躍を期待するにゃ！</t>
    <phoneticPr fontId="5"/>
  </si>
  <si>
    <t>にゃんこの脅威</t>
  </si>
  <si>
    <t>可愛らしいネコの様な外見をしてるけど
うっかり頭の上に乗せちゃダメにゃ！
アバター権限を奪取される可能性があるにゃ</t>
    <phoneticPr fontId="5"/>
  </si>
  <si>
    <t>バトルアクス</t>
    <phoneticPr fontId="5"/>
  </si>
  <si>
    <t>ディスレッド</t>
    <phoneticPr fontId="5"/>
  </si>
  <si>
    <t>たたく</t>
    <phoneticPr fontId="5"/>
  </si>
  <si>
    <t>ネコがときどき放つクリティカル攻撃は
通常攻撃よりも格段に強力にゃ！
油断してると痛い目にあうにゃ！</t>
    <phoneticPr fontId="5"/>
  </si>
  <si>
    <t>タンクネコに守られている間は
攻撃がほとんど効かないにゃ
ターゲット指定を活用するにゃ！</t>
    <phoneticPr fontId="5"/>
  </si>
  <si>
    <t>バトルネコはクリティカル発生率が高く
通常攻撃力も高めにゃ！
タンクネコの防御を早めに排除して
撃破できるかが勝負にゃ！</t>
    <phoneticPr fontId="5"/>
  </si>
  <si>
    <t>細長い脚から繰り出す単体攻撃が
キモネコの特徴にゃ！
種族Unknownには深々と
突き刺さるので気をつけるにゃ！</t>
    <phoneticPr fontId="5"/>
  </si>
  <si>
    <t>バトルネコはクリティカル発生率が高く
通常攻撃力も高めにゃ
幸い防御力は普通なので
速攻でやっつけるのがおすすめにゃ</t>
    <phoneticPr fontId="5"/>
  </si>
  <si>
    <t>ネコノトリは先制攻撃で全員の
攻撃力をDOWNさせてくるにゃ
攻撃力UPの効果で打ち消せば
すばやく反撃に移れるにゃ！</t>
    <phoneticPr fontId="5"/>
  </si>
  <si>
    <t>巨神ネコは防御力UPとカウンターを
同時発動するので中途半端に攻撃せず
解除されるまで待つか
一気に撃破するか選ぶにゃ！</t>
    <phoneticPr fontId="5"/>
  </si>
  <si>
    <t>無謀なことをやってみたら
勇気が出ることもあるにゃ。</t>
    <phoneticPr fontId="5"/>
  </si>
  <si>
    <t>何事も感謝の気持ちが大切にゃ。</t>
    <phoneticPr fontId="5"/>
  </si>
  <si>
    <t>泣きたいときは泣けばいい。
逃げたいときは逃げればいい。
人はそんなに強い生き物じゃないにゃ。</t>
    <phoneticPr fontId="5"/>
  </si>
  <si>
    <t>ハングリーであれ。バカであれ。</t>
    <phoneticPr fontId="5"/>
  </si>
  <si>
    <t>便利すぎるコミュニケーション手段が
いつのまにか逃げ場所を奪っているにゃ。</t>
    <phoneticPr fontId="5"/>
  </si>
  <si>
    <t>あえて空気を読まず行動しているときが
一番空気を読めているときにゃ。</t>
    <phoneticPr fontId="5"/>
  </si>
  <si>
    <t>[表示しない]</t>
    <rPh sb="1" eb="3">
      <t>ヒョ</t>
    </rPh>
    <phoneticPr fontId="5"/>
  </si>
  <si>
    <t>[effect:enemy_message, val1:1.2, val2:1.2],[effect:critical, val:1.5, animation:enemy_critical]</t>
    <phoneticPr fontId="5"/>
  </si>
  <si>
    <t>[effect:enemy_message, val1:1.2, val2:1.2],[effect:rush, count:1, val:0.75]</t>
    <phoneticPr fontId="5"/>
  </si>
  <si>
    <t>[effect:enemy_message, val1:1.2, val2:0.0]</t>
    <phoneticPr fontId="5"/>
  </si>
  <si>
    <t>[effect:enemy_message, val1:1.5, val2:0.0]</t>
    <phoneticPr fontId="5"/>
  </si>
  <si>
    <t xml:space="preserve">[effect:enemy_message, val1:1.2, val2:1.2],[effect:spread, val:0.1]    </t>
    <phoneticPr fontId="5"/>
  </si>
  <si>
    <t xml:space="preserve">[effect:enemy_message, val1:1.2, val2:1.2],[effect:dis_panel, target:block_red, turn:2, animation:enemy_dis_red]    </t>
    <phoneticPr fontId="5"/>
  </si>
  <si>
    <t xml:space="preserve">[effect:enemy_message, val1:1.2, val2:1.2],[effect:critical, val:1.3, animation:enemy_critical]    </t>
    <phoneticPr fontId="5"/>
  </si>
  <si>
    <t>[effect:enemy_message, val1:1.6, val2:0.0]</t>
    <phoneticPr fontId="5"/>
  </si>
  <si>
    <t>[effect:enemy_message, val1:1.7, val2:0.0]</t>
    <phoneticPr fontId="5"/>
  </si>
  <si>
    <t xml:space="preserve">[effect:enemy_message, val1:1.2, val2:1.2],[effect:spread, val:1]    </t>
    <phoneticPr fontId="5"/>
  </si>
  <si>
    <t>[effect:enemy_message, val1:1.6, val2:1.9],[effect:ability_lock, target:unit_all, turn:1],[effect:sleep, target:unit_all, turn:1, rate:1, calc_type:target_all],[effect:fix_speed, target:myself, turn:1]</t>
    <phoneticPr fontId="5"/>
  </si>
  <si>
    <t xml:space="preserve">[effect:enemy_message, val1:1.2, val2:1.8],[effect:force_change_block, new_block:jammer, target:block_all, ignore01:crash, ignore02:crack_bomb, ignore03:jammer, ignore04:magnet, ignore05:color_break, count:3, val:0, animation:change_block]    </t>
    <phoneticPr fontId="5"/>
  </si>
  <si>
    <t xml:space="preserve">[effect:enemy_message, val1:1.2, val2:1.2],[effect:spread, val:0.5] </t>
    <phoneticPr fontId="5"/>
  </si>
  <si>
    <t>[effect:enemy_message, val1:2.4, val2:0.0]</t>
    <phoneticPr fontId="5"/>
  </si>
  <si>
    <t>[effect:enemy_message, val1:1.8, val2:0.0]</t>
    <phoneticPr fontId="5"/>
  </si>
  <si>
    <t>[effect:enemy_message, val1:1.9, val2:0.0]</t>
    <phoneticPr fontId="5"/>
  </si>
  <si>
    <t>[effect:enemy_message, val1:1.3, val2:0.0]</t>
    <phoneticPr fontId="5"/>
  </si>
  <si>
    <t>item</t>
  </si>
  <si>
    <t>unit</t>
  </si>
  <si>
    <t>clear</t>
    <phoneticPr fontId="5"/>
  </si>
  <si>
    <t>item</t>
    <phoneticPr fontId="5"/>
  </si>
  <si>
    <t>everyone</t>
    <phoneticPr fontId="5"/>
  </si>
  <si>
    <t>clear</t>
    <phoneticPr fontId="5"/>
  </si>
  <si>
    <t>item</t>
    <phoneticPr fontId="5"/>
  </si>
  <si>
    <t>full_member</t>
    <phoneticPr fontId="5"/>
  </si>
  <si>
    <t>full_member</t>
    <phoneticPr fontId="5"/>
  </si>
  <si>
    <t>unit</t>
    <phoneticPr fontId="5"/>
  </si>
  <si>
    <t>遠くから巨大なにゃんこが
距離を詰めてきている…！</t>
    <phoneticPr fontId="5"/>
  </si>
  <si>
    <t>長い脚を絡ませずに
上手に歩いている</t>
    <phoneticPr fontId="5"/>
  </si>
  <si>
    <t>[effect:enemy_message, val1:2.5, val2:0.0]</t>
    <phoneticPr fontId="5"/>
  </si>
  <si>
    <t>赤属性のユニットに大ダメージ</t>
    <phoneticPr fontId="5"/>
  </si>
  <si>
    <t>種族Unknownのユニットに大ダメージ</t>
    <phoneticPr fontId="5"/>
  </si>
  <si>
    <t>ときにはプライドを
捨ててみるのもいいにゃ。</t>
    <phoneticPr fontId="5"/>
  </si>
  <si>
    <t>何事も一生懸命な人ほど魅力があるにゃ。
笑顔も、涙も、怒りも、
全力でやってみるにゃ！</t>
    <phoneticPr fontId="5"/>
  </si>
  <si>
    <t>8ターン全ユニットの攻撃力20%DOWN</t>
    <phoneticPr fontId="5"/>
  </si>
  <si>
    <t xml:space="preserve">[effect:enemy_message, val1:1.2, val2:1.4],[effect:damage_anti_color, target:unit_one, color:red, val1:1.5, val2:0.8]    </t>
    <phoneticPr fontId="5"/>
  </si>
  <si>
    <t>[effect:enemy_message, val1:1.2, val2:2.0],[effect:damage_anti_tribe, target:unit_one, tribe:unknown, val1:2.5, val2:1]</t>
    <phoneticPr fontId="5"/>
  </si>
  <si>
    <t>[effect:enemy_message, val1:1.2, val2:3.8],[effect:break_enchance_enemy, target:myself, val:222222, lowest_val:2222222, count:-1, status:defense, turn:1, block01:jammer, calc:add, animation:enemy_enhance_defense],[effect:enemy_counter, target:myself, invoke_condition:unit_all, counter_target:attacker, turn:1, val:1, animation:enemy_counter]</t>
    <phoneticPr fontId="5"/>
  </si>
  <si>
    <t>ランダムで先頭ユニットのSCパネルに最大5個変換</t>
    <rPh sb="18" eb="20">
      <t>サイダイ</t>
    </rPh>
    <rPh sb="21" eb="22">
      <t>コ</t>
    </rPh>
    <phoneticPr fontId="5"/>
  </si>
  <si>
    <t>[effect:enemy_message, val1:1.2, val2:2.0],[effect:attack_break, target:unit_all, turn:8, val:0.2, calc:mul, animation:attack_break01]</t>
    <phoneticPr fontId="5"/>
  </si>
  <si>
    <t>ja</t>
    <phoneticPr fontId="5"/>
  </si>
  <si>
    <t>ja</t>
    <phoneticPr fontId="5"/>
  </si>
  <si>
    <t>巨神ネコは
攻撃動作に入ろうとしている</t>
    <phoneticPr fontId="5"/>
  </si>
  <si>
    <t>巨神ネコが
腕をゆっくりと振り上げていく</t>
    <phoneticPr fontId="5"/>
  </si>
  <si>
    <t>巨神ネコは
こちらを見据えている</t>
    <rPh sb="10" eb="12">
      <t>ミス</t>
    </rPh>
    <phoneticPr fontId="5"/>
  </si>
  <si>
    <t>巨体はゆっくりと
膝をつき動かなくなった…</t>
    <phoneticPr fontId="5"/>
  </si>
  <si>
    <t>キモネコは
脚を巧みに動かしている</t>
    <phoneticPr fontId="5"/>
  </si>
  <si>
    <t>こちらに
方向転換しようとしている</t>
    <phoneticPr fontId="5"/>
  </si>
  <si>
    <t>敵全体の全ての効果を解除+
1ターン敵全体にスキルバインド</t>
    <rPh sb="0" eb="3">
      <t>テキゼンタイ</t>
    </rPh>
    <rPh sb="18" eb="21">
      <t>テキゼンタイ</t>
    </rPh>
    <phoneticPr fontId="5"/>
  </si>
  <si>
    <t>バトルネコを
守っている</t>
    <rPh sb="7" eb="8">
      <t>マモｔ</t>
    </rPh>
    <phoneticPr fontId="5"/>
  </si>
  <si>
    <t>ネコを
守っている</t>
    <rPh sb="4" eb="5">
      <t>マモｔ</t>
    </rPh>
    <phoneticPr fontId="5"/>
  </si>
  <si>
    <t>タンクネコは
動かなくなった</t>
    <rPh sb="7" eb="8">
      <t>ウゴカナク</t>
    </rPh>
    <phoneticPr fontId="5"/>
  </si>
  <si>
    <t>じわじわと
接近してくる</t>
    <phoneticPr fontId="5"/>
  </si>
  <si>
    <t>味方を
守っている</t>
    <rPh sb="0" eb="2">
      <t>ミカタ</t>
    </rPh>
    <rPh sb="4" eb="5">
      <t>マモｔ</t>
    </rPh>
    <phoneticPr fontId="5"/>
  </si>
  <si>
    <t>[effect:enemy_message, val1:1.2, val2:0.0]</t>
    <phoneticPr fontId="5"/>
  </si>
  <si>
    <t>この巨躯の前ではヒーローもたまらんにゃ</t>
    <rPh sb="5" eb="6">
      <t>マ</t>
    </rPh>
    <phoneticPr fontId="5"/>
  </si>
  <si>
    <t>美の女神も強靭な肉体には敵わんにゃ</t>
    <rPh sb="0" eb="1">
      <t>ビn</t>
    </rPh>
    <rPh sb="5" eb="7">
      <t>キョウジンn</t>
    </rPh>
    <rPh sb="12" eb="13">
      <t>カナワn</t>
    </rPh>
    <phoneticPr fontId="5"/>
  </si>
  <si>
    <t>その豊満なボディとこの巨躯、勝負にゃ</t>
    <rPh sb="11" eb="13">
      <t>キョk</t>
    </rPh>
    <rPh sb="14" eb="16">
      <t>ショウb</t>
    </rPh>
    <phoneticPr fontId="5"/>
  </si>
  <si>
    <t>超絶破壊力の前では美貌は無力にゃ！</t>
    <rPh sb="0" eb="5">
      <t>チョ</t>
    </rPh>
    <rPh sb="9" eb="11">
      <t>ビボ</t>
    </rPh>
    <phoneticPr fontId="5"/>
  </si>
  <si>
    <t>戦女神と破壊の力、どちらが強いかにゃ？</t>
    <rPh sb="0" eb="3">
      <t>イクs</t>
    </rPh>
    <rPh sb="4" eb="6">
      <t>ハカ</t>
    </rPh>
    <phoneticPr fontId="5"/>
  </si>
  <si>
    <t>超古代兵器…！腕が鳴るにゃ</t>
    <rPh sb="0" eb="5">
      <t>チョウコダ</t>
    </rPh>
    <rPh sb="7" eb="8">
      <t>ウd</t>
    </rPh>
    <phoneticPr fontId="5"/>
  </si>
  <si>
    <t>癒しの力にはやられんにゃ！</t>
    <rPh sb="0" eb="1">
      <t>イヤs</t>
    </rPh>
    <phoneticPr fontId="5"/>
  </si>
  <si>
    <t>美の女神に心ごと撃ち抜かれたにゃ…</t>
    <rPh sb="0" eb="1">
      <t>ビn</t>
    </rPh>
    <rPh sb="8" eb="9">
      <t>ウチヌカr</t>
    </rPh>
    <phoneticPr fontId="5"/>
  </si>
  <si>
    <t>やはりそのボディは凶器にゃ…</t>
    <rPh sb="9" eb="11">
      <t>キョ</t>
    </rPh>
    <phoneticPr fontId="5"/>
  </si>
  <si>
    <t>この破壊力を持っても美には打ち勝てなかったにゃ</t>
    <rPh sb="10" eb="11">
      <t>ビn</t>
    </rPh>
    <rPh sb="13" eb="14">
      <t>ウチカt</t>
    </rPh>
    <phoneticPr fontId="5"/>
  </si>
  <si>
    <t>やはり超古代兵器はロマンだったにゃ…強いにゃ</t>
    <rPh sb="3" eb="8">
      <t>チョウコダ</t>
    </rPh>
    <rPh sb="18" eb="19">
      <t>ツヨ</t>
    </rPh>
    <phoneticPr fontId="5"/>
  </si>
  <si>
    <t>破壊の力では癒しには太刀打ちできんかったにゃ…</t>
    <rPh sb="0" eb="2">
      <t>ハカ</t>
    </rPh>
    <rPh sb="6" eb="7">
      <t>イy</t>
    </rPh>
    <rPh sb="10" eb="13">
      <t>タチウt</t>
    </rPh>
    <phoneticPr fontId="5"/>
  </si>
  <si>
    <t>[effect:enemy_message, val1:1.7, val2:0.0]</t>
    <phoneticPr fontId="5"/>
  </si>
  <si>
    <t>[effect:enemy_message, val1:1.8, val2:0.0]</t>
    <phoneticPr fontId="5"/>
  </si>
  <si>
    <t>[effect:enemy_message, val1:1.7, val2:0.0]</t>
    <phoneticPr fontId="5"/>
  </si>
  <si>
    <t>[effect:enemy_message, val1:1.9, val2:0.0]</t>
    <phoneticPr fontId="5"/>
  </si>
  <si>
    <t>[effect:enemy_message, val1:2.1, val2:0.0]</t>
    <phoneticPr fontId="5"/>
  </si>
  <si>
    <t>[effect:enemy_message, val1:2.2, val2:0.0]</t>
    <phoneticPr fontId="5"/>
  </si>
  <si>
    <t>[effect:enemy_message, val1:1.9, val2:0.0]</t>
    <phoneticPr fontId="5"/>
  </si>
  <si>
    <t>[effect:enemy_message, val1:2.8, val2:0.0]</t>
    <phoneticPr fontId="5"/>
  </si>
  <si>
    <t>[effect:enemy_message, val1:2.7, val2:0.0]</t>
    <phoneticPr fontId="5"/>
  </si>
  <si>
    <t>あくびを
している</t>
    <phoneticPr fontId="5"/>
  </si>
  <si>
    <t>1ターンお邪魔パネル吸収して防御力UP+
1ターン全ユニットの攻撃をカウンター</t>
    <phoneticPr fontId="5"/>
  </si>
  <si>
    <t>ランダムでお邪魔パネルに最大3個変換</t>
    <phoneticPr fontId="5"/>
  </si>
  <si>
    <t>1537  キャットマンダディ</t>
  </si>
  <si>
    <t>1538  キャットマンダーク</t>
  </si>
  <si>
    <t>1541  美女神アフロディーテ</t>
  </si>
  <si>
    <t>1542  メガロディーテ</t>
  </si>
  <si>
    <t>1539  雷神のサンディア</t>
  </si>
  <si>
    <t>1540  雷神のサンディアβ</t>
  </si>
  <si>
    <t>1533  ネコエステ</t>
  </si>
  <si>
    <t>1534  ネコジェンヌ</t>
  </si>
  <si>
    <t>1510  ネコヴァルキリー</t>
  </si>
  <si>
    <t>1511  ネコヴァルキリー･真</t>
  </si>
  <si>
    <t>1512  ネコヴァルキリー･聖</t>
  </si>
  <si>
    <t>1523  ネコムート</t>
  </si>
  <si>
    <t>1524  狂乱のネコムート</t>
  </si>
  <si>
    <t>1535  ねこナース</t>
  </si>
  <si>
    <t>1536  ハートフルねこナース</t>
  </si>
  <si>
    <t>戦女神の力はやはり強かったにゃ…</t>
    <rPh sb="0" eb="3">
      <t>イクs</t>
    </rPh>
    <rPh sb="9" eb="10">
      <t>ツヨk</t>
    </rPh>
    <phoneticPr fontId="5"/>
  </si>
  <si>
    <t>ヒーローの力は未知数だったにゃ…</t>
    <phoneticPr fontId="5"/>
  </si>
  <si>
    <t>[effect:enemy_message, val1:2.1, val2:0.0]</t>
    <phoneticPr fontId="5"/>
  </si>
  <si>
    <t>[effect:enemy_message, val1:1.2, val2:2.4],[effect:force_change_block, new_block:crash, target:block_all, ignore01:crash, ignore02:crack_bomb, ignore03:color_break, ignore04:magnet, count:5, val:12],[effect:suicide, val:1, dead_type:escape, target:myself]</t>
    <phoneticPr fontId="5"/>
  </si>
  <si>
    <t>無防備に
突撃してくる</t>
    <rPh sb="5" eb="7">
      <t>トツゲキ</t>
    </rPh>
    <phoneticPr fontId="5"/>
  </si>
  <si>
    <t>とびつく</t>
    <phoneticPr fontId="5"/>
  </si>
  <si>
    <t>ネコの防御力激烈UP+
敵全体にスリープ耐性&amp;スキルバインド耐性</t>
    <phoneticPr fontId="5"/>
  </si>
  <si>
    <t>バトルネコの防御力激烈UP+
敵全体にスリープ耐性&amp;スキルバインド耐性</t>
    <phoneticPr fontId="5"/>
  </si>
  <si>
    <t>[effect:enemy_message, val1:1.2, val2:3.1],[effect:enhance_enemy,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</si>
  <si>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val2:3.4],[effect:enhance_enemy,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t>
    <phoneticPr fontId="5"/>
  </si>
  <si>
    <t>[effect:enemy_message, val1:1.2, val2:2.7],[effect:remove_enhancement, target:enemy_all, target_effect:all, target_type:all, animation:frozen_wave_unit],[effect:hungup, target:enemy_all, turn:1, rate:1, animation:hungup02]</t>
    <phoneticPr fontId="5"/>
  </si>
  <si>
    <t>[effect:enemy_message, val1:1.2, val2:2.7],[effect:remove_enhancement, target:enemy_all, target_effect:all, target_type:all, animation:frozen_wave_unit],[effect:hungup, target:enemy_all, turn:1, rate:1, animation:hungup02]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</si>
</sst>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"/>
    <numFmt numFmtId="178" formatCode="0.000_);[Red]\(0.000\)"/>
    <numFmt numFmtId="179" formatCode="#,##0.000_);[Red]\(#,##0.000\)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0.8"/>
      <color rgb="FF000000"/>
      <name val="HiraKakuPro-W3"/>
      <family val="2"/>
    </font>
    <font>
      <sz val="14.4"/>
      <color rgb="FF000000"/>
      <name val="Arial"/>
    </font>
    <font>
      <sz val="12"/>
      <color rgb="FFFF0000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3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51" fillId="37" borderId="7" xfId="0" applyFont="1" applyFill="1" applyBorder="1" applyAlignment="1">
      <alignment vertical="center"/>
    </xf>
    <xf numFmtId="178" fontId="4" fillId="2" borderId="7" xfId="0" applyNumberFormat="1" applyFont="1" applyFill="1" applyBorder="1" applyAlignment="1">
      <alignment horizontal="left" vertical="center"/>
    </xf>
    <xf numFmtId="178" fontId="8" fillId="0" borderId="4" xfId="0" applyNumberFormat="1" applyFont="1" applyBorder="1" applyAlignment="1">
      <alignment vertical="center"/>
    </xf>
    <xf numFmtId="178" fontId="4" fillId="0" borderId="0" xfId="0" applyNumberFormat="1" applyFont="1" applyAlignment="1">
      <alignment vertical="center"/>
    </xf>
    <xf numFmtId="179" fontId="4" fillId="2" borderId="7" xfId="0" applyNumberFormat="1" applyFont="1" applyFill="1" applyBorder="1" applyAlignment="1">
      <alignment horizontal="left" vertical="center"/>
    </xf>
    <xf numFmtId="179" fontId="8" fillId="0" borderId="4" xfId="0" applyNumberFormat="1" applyFont="1" applyBorder="1" applyAlignment="1">
      <alignment vertical="center"/>
    </xf>
    <xf numFmtId="179" fontId="4" fillId="0" borderId="0" xfId="0" applyNumberFormat="1" applyFont="1" applyAlignment="1">
      <alignment vertical="center"/>
    </xf>
    <xf numFmtId="56" fontId="52" fillId="14" borderId="7" xfId="0" applyNumberFormat="1" applyFont="1" applyFill="1" applyBorder="1" applyAlignment="1">
      <alignment horizontal="center"/>
    </xf>
    <xf numFmtId="0" fontId="52" fillId="0" borderId="0" xfId="0" applyFont="1"/>
    <xf numFmtId="0" fontId="16" fillId="13" borderId="7" xfId="0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53" fillId="0" borderId="7" xfId="0" applyFont="1" applyBorder="1"/>
    <xf numFmtId="0" fontId="53" fillId="0" borderId="7" xfId="0" applyFont="1" applyBorder="1" applyAlignment="1">
      <alignment wrapText="1"/>
    </xf>
    <xf numFmtId="0" fontId="54" fillId="0" borderId="7" xfId="0" applyFont="1" applyBorder="1" applyAlignment="1">
      <alignment wrapText="1"/>
    </xf>
    <xf numFmtId="0" fontId="0" fillId="0" borderId="7" xfId="0" applyFont="1" applyFill="1" applyBorder="1"/>
    <xf numFmtId="0" fontId="0" fillId="0" borderId="7" xfId="0" applyFont="1" applyFill="1" applyBorder="1" applyAlignment="1">
      <alignment wrapText="1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0" fillId="0" borderId="7" xfId="0" applyFont="1" applyFill="1" applyBorder="1" applyAlignment="1">
      <alignment horizontal="left" vertical="center" wrapText="1"/>
    </xf>
    <xf numFmtId="0" fontId="0" fillId="0" borderId="7" xfId="0" applyFont="1" applyBorder="1"/>
    <xf numFmtId="0" fontId="27" fillId="0" borderId="7" xfId="0" applyFont="1" applyBorder="1" applyAlignment="1">
      <alignment vertical="center"/>
    </xf>
    <xf numFmtId="0" fontId="27" fillId="0" borderId="7" xfId="0" applyFont="1" applyBorder="1" applyAlignment="1">
      <alignment vertical="center" wrapText="1"/>
    </xf>
    <xf numFmtId="0" fontId="27" fillId="0" borderId="7" xfId="0" applyFont="1" applyFill="1" applyBorder="1" applyAlignment="1">
      <alignment vertical="center"/>
    </xf>
    <xf numFmtId="0" fontId="27" fillId="0" borderId="7" xfId="0" applyFont="1" applyFill="1" applyBorder="1" applyAlignment="1">
      <alignment vertical="center" wrapText="1"/>
    </xf>
    <xf numFmtId="0" fontId="55" fillId="13" borderId="7" xfId="0" applyFont="1" applyFill="1" applyBorder="1" applyAlignment="1">
      <alignment vertical="center" wrapText="1"/>
    </xf>
    <xf numFmtId="0" fontId="0" fillId="0" borderId="7" xfId="0" applyFont="1" applyBorder="1" applyAlignment="1">
      <alignment wrapText="1"/>
    </xf>
    <xf numFmtId="0" fontId="0" fillId="38" borderId="7" xfId="0" applyFill="1" applyBorder="1"/>
    <xf numFmtId="0" fontId="55" fillId="13" borderId="7" xfId="0" applyFont="1" applyFill="1" applyBorder="1"/>
    <xf numFmtId="0" fontId="16" fillId="34" borderId="12" xfId="0" applyFont="1" applyFill="1" applyBorder="1" applyAlignment="1">
      <alignment vertical="center"/>
    </xf>
    <xf numFmtId="0" fontId="16" fillId="34" borderId="24" xfId="0" applyFont="1" applyFill="1" applyBorder="1" applyAlignment="1">
      <alignment vertical="center"/>
    </xf>
    <xf numFmtId="0" fontId="16" fillId="34" borderId="0" xfId="0" applyFont="1" applyFill="1" applyAlignment="1">
      <alignment vertical="center"/>
    </xf>
    <xf numFmtId="0" fontId="27" fillId="0" borderId="7" xfId="0" applyFont="1" applyFill="1" applyBorder="1" applyAlignment="1">
      <alignment wrapText="1"/>
    </xf>
    <xf numFmtId="0" fontId="16" fillId="0" borderId="7" xfId="0" applyFont="1" applyBorder="1" applyAlignment="1">
      <alignment vertical="center"/>
    </xf>
    <xf numFmtId="0" fontId="16" fillId="2" borderId="0" xfId="0" applyFont="1" applyFill="1" applyAlignment="1">
      <alignment vertical="center"/>
    </xf>
  </cellXfs>
  <cellStyles count="7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48012</v>
          </cell>
        </row>
        <row r="246">
          <cell r="A246">
            <v>48501</v>
          </cell>
        </row>
        <row r="247">
          <cell r="A247">
            <v>48502</v>
          </cell>
        </row>
        <row r="248">
          <cell r="A248">
            <v>48701</v>
          </cell>
        </row>
        <row r="249">
          <cell r="A249">
            <v>41001</v>
          </cell>
        </row>
        <row r="250">
          <cell r="A250">
            <v>41002</v>
          </cell>
        </row>
        <row r="251">
          <cell r="A251">
            <v>41003</v>
          </cell>
        </row>
        <row r="252">
          <cell r="A252">
            <v>41004</v>
          </cell>
        </row>
        <row r="253">
          <cell r="A253">
            <v>41005</v>
          </cell>
        </row>
        <row r="254">
          <cell r="A254">
            <v>41006</v>
          </cell>
        </row>
        <row r="255">
          <cell r="A255">
            <v>41007</v>
          </cell>
        </row>
        <row r="256">
          <cell r="A256">
            <v>41008</v>
          </cell>
        </row>
        <row r="257">
          <cell r="A257">
            <v>41009</v>
          </cell>
        </row>
        <row r="258">
          <cell r="A258">
            <v>41010</v>
          </cell>
        </row>
        <row r="259">
          <cell r="A259">
            <v>41011</v>
          </cell>
        </row>
        <row r="260">
          <cell r="A260">
            <v>41012</v>
          </cell>
        </row>
        <row r="261">
          <cell r="A261">
            <v>41013</v>
          </cell>
        </row>
        <row r="262">
          <cell r="A262">
            <v>41014</v>
          </cell>
        </row>
        <row r="263">
          <cell r="A263">
            <v>41015</v>
          </cell>
        </row>
        <row r="264">
          <cell r="A264">
            <v>47001</v>
          </cell>
        </row>
        <row r="265">
          <cell r="A265">
            <v>47002</v>
          </cell>
        </row>
        <row r="266">
          <cell r="A266">
            <v>47003</v>
          </cell>
        </row>
        <row r="267">
          <cell r="A267">
            <v>47004</v>
          </cell>
        </row>
        <row r="268">
          <cell r="A268">
            <v>47005</v>
          </cell>
        </row>
        <row r="269">
          <cell r="A269">
            <v>47006</v>
          </cell>
        </row>
        <row r="270">
          <cell r="A270">
            <v>47007</v>
          </cell>
        </row>
        <row r="271">
          <cell r="A271">
            <v>47008</v>
          </cell>
        </row>
        <row r="272">
          <cell r="A272">
            <v>47009</v>
          </cell>
        </row>
        <row r="273">
          <cell r="A273">
            <v>47010</v>
          </cell>
        </row>
        <row r="274">
          <cell r="A274">
            <v>47011</v>
          </cell>
        </row>
        <row r="275">
          <cell r="A275">
            <v>49001</v>
          </cell>
        </row>
        <row r="276">
          <cell r="A276">
            <v>49002</v>
          </cell>
        </row>
        <row r="277">
          <cell r="A277">
            <v>49003</v>
          </cell>
        </row>
        <row r="278">
          <cell r="A278">
            <v>49004</v>
          </cell>
        </row>
        <row r="279">
          <cell r="A279">
            <v>49005</v>
          </cell>
        </row>
        <row r="280">
          <cell r="A280">
            <v>49006</v>
          </cell>
        </row>
        <row r="281">
          <cell r="A281">
            <v>49007</v>
          </cell>
        </row>
        <row r="282">
          <cell r="A282">
            <v>49008</v>
          </cell>
        </row>
        <row r="283">
          <cell r="A283">
            <v>49009</v>
          </cell>
        </row>
        <row r="284">
          <cell r="A284">
            <v>49010</v>
          </cell>
        </row>
        <row r="285">
          <cell r="A285">
            <v>49011</v>
          </cell>
        </row>
        <row r="286">
          <cell r="A286">
            <v>49012</v>
          </cell>
        </row>
        <row r="287">
          <cell r="A287">
            <v>49013</v>
          </cell>
        </row>
        <row r="288">
          <cell r="A288">
            <v>49014</v>
          </cell>
        </row>
        <row r="289">
          <cell r="A289">
            <v>49015</v>
          </cell>
        </row>
        <row r="290">
          <cell r="A290">
            <v>50001</v>
          </cell>
        </row>
        <row r="291">
          <cell r="A291">
            <v>50002</v>
          </cell>
        </row>
        <row r="292">
          <cell r="A292">
            <v>50003</v>
          </cell>
        </row>
        <row r="293">
          <cell r="A293">
            <v>50004</v>
          </cell>
        </row>
        <row r="294">
          <cell r="A294">
            <v>50005</v>
          </cell>
        </row>
        <row r="295">
          <cell r="A295">
            <v>50006</v>
          </cell>
        </row>
        <row r="296">
          <cell r="A296">
            <v>50007</v>
          </cell>
        </row>
        <row r="297">
          <cell r="A297">
            <v>50008</v>
          </cell>
        </row>
        <row r="298">
          <cell r="A298">
            <v>50009</v>
          </cell>
        </row>
        <row r="299">
          <cell r="A299">
            <v>50010</v>
          </cell>
        </row>
        <row r="300">
          <cell r="A300">
            <v>50011</v>
          </cell>
        </row>
        <row r="301">
          <cell r="A301">
            <v>50012</v>
          </cell>
        </row>
        <row r="302">
          <cell r="A302">
            <v>50013</v>
          </cell>
        </row>
        <row r="303">
          <cell r="A303">
            <v>50014</v>
          </cell>
        </row>
        <row r="304">
          <cell r="A304">
            <v>51001</v>
          </cell>
        </row>
        <row r="305">
          <cell r="A305">
            <v>51002</v>
          </cell>
        </row>
        <row r="306">
          <cell r="A306">
            <v>58001</v>
          </cell>
        </row>
        <row r="307">
          <cell r="A307">
            <v>59001</v>
          </cell>
        </row>
        <row r="308">
          <cell r="A308">
            <v>59002</v>
          </cell>
        </row>
        <row r="309">
          <cell r="A309">
            <v>60001</v>
          </cell>
        </row>
        <row r="310">
          <cell r="A310">
            <v>60002</v>
          </cell>
        </row>
        <row r="311">
          <cell r="A311">
            <v>60003</v>
          </cell>
        </row>
        <row r="312">
          <cell r="A312">
            <v>60004</v>
          </cell>
        </row>
        <row r="313">
          <cell r="A313">
            <v>60005</v>
          </cell>
        </row>
        <row r="314">
          <cell r="A314">
            <v>60006</v>
          </cell>
        </row>
        <row r="315">
          <cell r="A315">
            <v>60007</v>
          </cell>
        </row>
        <row r="316">
          <cell r="A316">
            <v>60010</v>
          </cell>
        </row>
        <row r="317">
          <cell r="A317">
            <v>60011</v>
          </cell>
        </row>
        <row r="318">
          <cell r="A318">
            <v>61011</v>
          </cell>
        </row>
        <row r="319">
          <cell r="A319">
            <v>60012</v>
          </cell>
        </row>
        <row r="320">
          <cell r="A320">
            <v>60013</v>
          </cell>
        </row>
        <row r="321">
          <cell r="A321">
            <v>60014</v>
          </cell>
        </row>
        <row r="322">
          <cell r="A322">
            <v>60015</v>
          </cell>
        </row>
        <row r="323">
          <cell r="A323">
            <v>60016</v>
          </cell>
        </row>
        <row r="324">
          <cell r="A324">
            <v>60017</v>
          </cell>
        </row>
        <row r="325">
          <cell r="A325">
            <v>60018</v>
          </cell>
        </row>
        <row r="326">
          <cell r="A326">
            <v>60019</v>
          </cell>
        </row>
        <row r="327">
          <cell r="A327">
            <v>60020</v>
          </cell>
        </row>
        <row r="328">
          <cell r="A328">
            <v>60025</v>
          </cell>
        </row>
        <row r="329">
          <cell r="A329">
            <v>60026</v>
          </cell>
        </row>
        <row r="330">
          <cell r="A330">
            <v>60027</v>
          </cell>
        </row>
        <row r="331">
          <cell r="A331">
            <v>60028</v>
          </cell>
        </row>
        <row r="332">
          <cell r="A332">
            <v>65525</v>
          </cell>
        </row>
        <row r="333">
          <cell r="A333">
            <v>65526</v>
          </cell>
        </row>
        <row r="334">
          <cell r="A334">
            <v>65527</v>
          </cell>
        </row>
        <row r="335">
          <cell r="A335">
            <v>65528</v>
          </cell>
        </row>
        <row r="336">
          <cell r="A336">
            <v>65529</v>
          </cell>
        </row>
        <row r="337">
          <cell r="A337">
            <v>65530</v>
          </cell>
        </row>
        <row r="338">
          <cell r="A338">
            <v>65531</v>
          </cell>
        </row>
        <row r="339">
          <cell r="A339">
            <v>65532</v>
          </cell>
        </row>
        <row r="340">
          <cell r="A340">
            <v>65533</v>
          </cell>
        </row>
        <row r="341">
          <cell r="A341">
            <v>65534</v>
          </cell>
        </row>
        <row r="342">
          <cell r="A342">
            <v>65535</v>
          </cell>
        </row>
        <row r="343">
          <cell r="A343">
            <v>60021</v>
          </cell>
        </row>
        <row r="344">
          <cell r="A344">
            <v>60022</v>
          </cell>
        </row>
        <row r="345">
          <cell r="A345">
            <v>60023</v>
          </cell>
        </row>
        <row r="346">
          <cell r="A34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48012_1</v>
          </cell>
        </row>
        <row r="873">
          <cell r="A873" t="str">
            <v>48012_2</v>
          </cell>
        </row>
        <row r="874">
          <cell r="A874" t="str">
            <v>48501_1</v>
          </cell>
        </row>
        <row r="875">
          <cell r="A875" t="str">
            <v>48501_2</v>
          </cell>
        </row>
        <row r="876">
          <cell r="A876" t="str">
            <v>48502_1</v>
          </cell>
        </row>
        <row r="877">
          <cell r="A877" t="str">
            <v>48502_2</v>
          </cell>
        </row>
        <row r="878">
          <cell r="A878" t="str">
            <v>48701_1</v>
          </cell>
        </row>
        <row r="879">
          <cell r="A879" t="str">
            <v>48701_2</v>
          </cell>
        </row>
        <row r="880">
          <cell r="A880" t="str">
            <v>49001_1</v>
          </cell>
        </row>
        <row r="881">
          <cell r="A881" t="str">
            <v>49002_1</v>
          </cell>
        </row>
        <row r="882">
          <cell r="A882" t="str">
            <v>49002_2</v>
          </cell>
        </row>
        <row r="883">
          <cell r="A883" t="str">
            <v>49003_1</v>
          </cell>
        </row>
        <row r="884">
          <cell r="A884" t="str">
            <v>49003_2</v>
          </cell>
        </row>
        <row r="885">
          <cell r="A885" t="str">
            <v>49004_1</v>
          </cell>
        </row>
        <row r="886">
          <cell r="A886" t="str">
            <v>49004_2</v>
          </cell>
        </row>
        <row r="887">
          <cell r="A887" t="str">
            <v>49004_3</v>
          </cell>
        </row>
        <row r="888">
          <cell r="A888" t="str">
            <v>49005_1</v>
          </cell>
        </row>
        <row r="889">
          <cell r="A889" t="str">
            <v>49006_1</v>
          </cell>
        </row>
        <row r="890">
          <cell r="A890" t="str">
            <v>49006_2</v>
          </cell>
        </row>
        <row r="891">
          <cell r="A891" t="str">
            <v>49007_1</v>
          </cell>
        </row>
        <row r="892">
          <cell r="A892" t="str">
            <v>49007_2</v>
          </cell>
        </row>
        <row r="893">
          <cell r="A893" t="str">
            <v>49007_3</v>
          </cell>
        </row>
        <row r="894">
          <cell r="A894" t="str">
            <v>49008_1</v>
          </cell>
        </row>
        <row r="895">
          <cell r="A895" t="str">
            <v>49009_1</v>
          </cell>
        </row>
        <row r="896">
          <cell r="A896" t="str">
            <v>49010_1</v>
          </cell>
        </row>
        <row r="897">
          <cell r="A897" t="str">
            <v>49011_1</v>
          </cell>
        </row>
        <row r="898">
          <cell r="A898" t="str">
            <v>49012_1</v>
          </cell>
        </row>
        <row r="899">
          <cell r="A899" t="str">
            <v>49013_1</v>
          </cell>
        </row>
        <row r="900">
          <cell r="A900" t="str">
            <v>49014_1</v>
          </cell>
        </row>
        <row r="901">
          <cell r="A901" t="str">
            <v>49014_2</v>
          </cell>
        </row>
        <row r="902">
          <cell r="A902" t="str">
            <v>49015_1</v>
          </cell>
        </row>
        <row r="903">
          <cell r="A903" t="str">
            <v>49015_2</v>
          </cell>
        </row>
        <row r="904">
          <cell r="A904" t="str">
            <v>49015_3</v>
          </cell>
        </row>
        <row r="905">
          <cell r="A905" t="str">
            <v>50001_1</v>
          </cell>
        </row>
        <row r="906">
          <cell r="A906" t="str">
            <v>50002_1</v>
          </cell>
        </row>
        <row r="907">
          <cell r="A907" t="str">
            <v>50003_1</v>
          </cell>
        </row>
        <row r="908">
          <cell r="A908" t="str">
            <v>50004_1</v>
          </cell>
        </row>
        <row r="909">
          <cell r="A909" t="str">
            <v>50005_1</v>
          </cell>
        </row>
        <row r="910">
          <cell r="A910" t="str">
            <v>50006_1</v>
          </cell>
        </row>
        <row r="911">
          <cell r="A911" t="str">
            <v>50007_1</v>
          </cell>
        </row>
        <row r="912">
          <cell r="A912" t="str">
            <v>50008_1</v>
          </cell>
        </row>
        <row r="913">
          <cell r="A913" t="str">
            <v>50009_1</v>
          </cell>
        </row>
        <row r="914">
          <cell r="A914" t="str">
            <v>50010_1</v>
          </cell>
        </row>
        <row r="915">
          <cell r="A915" t="str">
            <v>50011_1</v>
          </cell>
        </row>
        <row r="916">
          <cell r="A916" t="str">
            <v>50012_1</v>
          </cell>
        </row>
        <row r="917">
          <cell r="A917" t="str">
            <v>50013_1</v>
          </cell>
        </row>
        <row r="918">
          <cell r="A918" t="str">
            <v>50014_1</v>
          </cell>
        </row>
        <row r="919">
          <cell r="A919" t="str">
            <v>51001_1</v>
          </cell>
        </row>
        <row r="920">
          <cell r="A920" t="str">
            <v>51002_1</v>
          </cell>
        </row>
        <row r="921">
          <cell r="A921" t="str">
            <v>58001_1</v>
          </cell>
        </row>
        <row r="922">
          <cell r="A922" t="str">
            <v>59001_1</v>
          </cell>
        </row>
        <row r="923">
          <cell r="A923" t="str">
            <v>59002_1</v>
          </cell>
        </row>
        <row r="924">
          <cell r="A924" t="str">
            <v>60001_1</v>
          </cell>
        </row>
        <row r="925">
          <cell r="A925" t="str">
            <v>60002_1</v>
          </cell>
        </row>
        <row r="926">
          <cell r="A926" t="str">
            <v>60002_2</v>
          </cell>
        </row>
        <row r="927">
          <cell r="A927" t="str">
            <v>60003_1</v>
          </cell>
        </row>
        <row r="928">
          <cell r="A928" t="str">
            <v>60003_2</v>
          </cell>
        </row>
        <row r="929">
          <cell r="A929" t="str">
            <v>60003_3</v>
          </cell>
        </row>
        <row r="930">
          <cell r="A930" t="str">
            <v>60004_1</v>
          </cell>
        </row>
        <row r="931">
          <cell r="A931" t="str">
            <v>60005_1</v>
          </cell>
        </row>
        <row r="932">
          <cell r="A932" t="str">
            <v>60006_1</v>
          </cell>
        </row>
        <row r="933">
          <cell r="A933" t="str">
            <v>60006_2</v>
          </cell>
        </row>
        <row r="934">
          <cell r="A934" t="str">
            <v>60006_3</v>
          </cell>
        </row>
        <row r="935">
          <cell r="A935" t="str">
            <v>60007_1</v>
          </cell>
        </row>
        <row r="936">
          <cell r="A936" t="str">
            <v>60007_2</v>
          </cell>
        </row>
        <row r="937">
          <cell r="A937" t="str">
            <v>60007_3</v>
          </cell>
        </row>
        <row r="938">
          <cell r="A938" t="str">
            <v>60010_1</v>
          </cell>
        </row>
        <row r="939">
          <cell r="A939" t="str">
            <v>60011_1</v>
          </cell>
        </row>
        <row r="940">
          <cell r="A940" t="str">
            <v>60011_2</v>
          </cell>
        </row>
        <row r="941">
          <cell r="A941" t="str">
            <v>60012_1</v>
          </cell>
        </row>
        <row r="942">
          <cell r="A942" t="str">
            <v>60013_1</v>
          </cell>
        </row>
        <row r="943">
          <cell r="A943" t="str">
            <v>60013_2</v>
          </cell>
        </row>
        <row r="944">
          <cell r="A944" t="str">
            <v>60013_3</v>
          </cell>
        </row>
        <row r="945">
          <cell r="A945" t="str">
            <v>60014_1</v>
          </cell>
        </row>
        <row r="946">
          <cell r="A946" t="str">
            <v>60015_1</v>
          </cell>
        </row>
        <row r="947">
          <cell r="A947" t="str">
            <v>60016_1</v>
          </cell>
        </row>
        <row r="948">
          <cell r="A948" t="str">
            <v>60017_1</v>
          </cell>
        </row>
        <row r="949">
          <cell r="A949" t="str">
            <v>60018_1</v>
          </cell>
        </row>
        <row r="950">
          <cell r="A950" t="str">
            <v>60019_1</v>
          </cell>
        </row>
        <row r="951">
          <cell r="A951" t="str">
            <v>60020_1</v>
          </cell>
        </row>
        <row r="952">
          <cell r="A952" t="str">
            <v>60021_3</v>
          </cell>
        </row>
        <row r="953">
          <cell r="A953" t="str">
            <v>60022_3</v>
          </cell>
        </row>
        <row r="954">
          <cell r="A954" t="str">
            <v>60023_3</v>
          </cell>
        </row>
        <row r="955">
          <cell r="A955" t="str">
            <v>60024_3</v>
          </cell>
        </row>
        <row r="956">
          <cell r="A956" t="str">
            <v>60025_1</v>
          </cell>
        </row>
        <row r="957">
          <cell r="A957" t="str">
            <v>60026_1</v>
          </cell>
        </row>
        <row r="958">
          <cell r="A958" t="str">
            <v>61011_1</v>
          </cell>
        </row>
        <row r="959">
          <cell r="A959" t="str">
            <v>60027_1</v>
          </cell>
        </row>
        <row r="960">
          <cell r="A960" t="str">
            <v>60028_1</v>
          </cell>
        </row>
        <row r="961">
          <cell r="A961" t="str">
            <v>65525_1</v>
          </cell>
        </row>
        <row r="962">
          <cell r="A962" t="str">
            <v>65526_1</v>
          </cell>
        </row>
        <row r="963">
          <cell r="A963" t="str">
            <v>65526_2</v>
          </cell>
        </row>
        <row r="964">
          <cell r="A964" t="str">
            <v>65527_1</v>
          </cell>
        </row>
        <row r="965">
          <cell r="A965" t="str">
            <v>65528_1</v>
          </cell>
        </row>
        <row r="966">
          <cell r="A966" t="str">
            <v>65529_1</v>
          </cell>
        </row>
        <row r="967">
          <cell r="A967" t="str">
            <v>65530_1</v>
          </cell>
        </row>
        <row r="968">
          <cell r="A968" t="str">
            <v>65531_1</v>
          </cell>
        </row>
        <row r="969">
          <cell r="A969" t="str">
            <v>65531_2</v>
          </cell>
        </row>
        <row r="970">
          <cell r="A970" t="str">
            <v>65532_1</v>
          </cell>
        </row>
        <row r="971">
          <cell r="A971" t="str">
            <v>65532_2</v>
          </cell>
        </row>
        <row r="972">
          <cell r="A972" t="str">
            <v>65533_1</v>
          </cell>
        </row>
        <row r="973">
          <cell r="A973" t="str">
            <v>65533_2</v>
          </cell>
        </row>
        <row r="974">
          <cell r="A974" t="str">
            <v>65534_1</v>
          </cell>
        </row>
        <row r="975">
          <cell r="A975" t="str">
            <v>65534_2</v>
          </cell>
        </row>
        <row r="976">
          <cell r="A976" t="str">
            <v>65535_1</v>
          </cell>
        </row>
        <row r="977">
          <cell r="A977" t="str">
            <v>65535_2</v>
          </cell>
        </row>
        <row r="978">
          <cell r="A978" t="str">
            <v>65535_3</v>
          </cell>
        </row>
        <row r="979">
          <cell r="A979" t="str">
            <v>65535_4</v>
          </cell>
        </row>
        <row r="980">
          <cell r="A980" t="str">
            <v>65535_5</v>
          </cell>
        </row>
        <row r="981">
          <cell r="A981" t="str">
            <v>65535_6</v>
          </cell>
        </row>
        <row r="982">
          <cell r="A982" t="str">
            <v>65535_7</v>
          </cell>
        </row>
        <row r="983">
          <cell r="A983" t="str">
            <v>65535_8</v>
          </cell>
        </row>
        <row r="984">
          <cell r="A984" t="str">
            <v>65535_9</v>
          </cell>
        </row>
        <row r="985">
          <cell r="A98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1431</v>
          </cell>
        </row>
        <row r="1403">
          <cell r="A1403">
            <v>1432</v>
          </cell>
        </row>
        <row r="1404">
          <cell r="A1404">
            <v>1433</v>
          </cell>
        </row>
        <row r="1405">
          <cell r="A1405">
            <v>1434</v>
          </cell>
        </row>
        <row r="1406">
          <cell r="A1406">
            <v>1435</v>
          </cell>
        </row>
        <row r="1407">
          <cell r="A1407">
            <v>1452</v>
          </cell>
        </row>
        <row r="1408">
          <cell r="A1408">
            <v>1453</v>
          </cell>
        </row>
        <row r="1409">
          <cell r="A1409">
            <v>1454</v>
          </cell>
        </row>
        <row r="1410">
          <cell r="A1410">
            <v>1455</v>
          </cell>
        </row>
        <row r="1411">
          <cell r="A1411">
            <v>1456</v>
          </cell>
        </row>
        <row r="1412">
          <cell r="A1412">
            <v>1457</v>
          </cell>
        </row>
        <row r="1413">
          <cell r="A1413">
            <v>1458</v>
          </cell>
        </row>
        <row r="1414">
          <cell r="A1414">
            <v>1459</v>
          </cell>
        </row>
        <row r="1415">
          <cell r="A1415">
            <v>1460</v>
          </cell>
        </row>
        <row r="1416">
          <cell r="A1416">
            <v>1461</v>
          </cell>
        </row>
        <row r="1417">
          <cell r="A1417">
            <v>1462</v>
          </cell>
        </row>
        <row r="1418">
          <cell r="A1418">
            <v>1463</v>
          </cell>
        </row>
        <row r="1419">
          <cell r="A1419">
            <v>1464</v>
          </cell>
        </row>
        <row r="1420">
          <cell r="A1420">
            <v>1465</v>
          </cell>
        </row>
        <row r="1421">
          <cell r="A1421">
            <v>1466</v>
          </cell>
        </row>
        <row r="1422">
          <cell r="A1422">
            <v>1467</v>
          </cell>
        </row>
        <row r="1423">
          <cell r="A1423">
            <v>1468</v>
          </cell>
        </row>
        <row r="1424">
          <cell r="A1424">
            <v>1469</v>
          </cell>
        </row>
        <row r="1425">
          <cell r="A1425">
            <v>1470</v>
          </cell>
        </row>
        <row r="1426">
          <cell r="A1426">
            <v>1488</v>
          </cell>
        </row>
        <row r="1427">
          <cell r="A1427">
            <v>1489</v>
          </cell>
        </row>
        <row r="1428">
          <cell r="A1428">
            <v>1495</v>
          </cell>
        </row>
        <row r="1429">
          <cell r="A1429">
            <v>1496</v>
          </cell>
        </row>
        <row r="1430">
          <cell r="A1430">
            <v>1497</v>
          </cell>
        </row>
        <row r="1431">
          <cell r="A1431">
            <v>1498</v>
          </cell>
        </row>
        <row r="1432">
          <cell r="A1432">
            <v>1499</v>
          </cell>
        </row>
        <row r="1433">
          <cell r="A1433">
            <v>1500</v>
          </cell>
        </row>
        <row r="1434">
          <cell r="A1434">
            <v>1501</v>
          </cell>
        </row>
        <row r="1435">
          <cell r="A1435">
            <v>1502</v>
          </cell>
        </row>
        <row r="1436">
          <cell r="A1436">
            <v>1503</v>
          </cell>
        </row>
        <row r="1437">
          <cell r="A1437">
            <v>1504</v>
          </cell>
        </row>
        <row r="1438">
          <cell r="A1438">
            <v>1505</v>
          </cell>
        </row>
        <row r="1439">
          <cell r="A1439">
            <v>1506</v>
          </cell>
        </row>
        <row r="1440">
          <cell r="A1440">
            <v>1507</v>
          </cell>
        </row>
        <row r="1441">
          <cell r="A1441">
            <v>1508</v>
          </cell>
        </row>
        <row r="1442">
          <cell r="A1442">
            <v>1509</v>
          </cell>
        </row>
        <row r="1443">
          <cell r="A1443">
            <v>1510</v>
          </cell>
        </row>
        <row r="1444">
          <cell r="A1444">
            <v>1511</v>
          </cell>
        </row>
        <row r="1445">
          <cell r="A1445">
            <v>1512</v>
          </cell>
        </row>
        <row r="1446">
          <cell r="A1446">
            <v>1513</v>
          </cell>
        </row>
        <row r="1447">
          <cell r="A1447">
            <v>1514</v>
          </cell>
        </row>
        <row r="1448">
          <cell r="A1448">
            <v>1515</v>
          </cell>
        </row>
        <row r="1449">
          <cell r="A1449">
            <v>1516</v>
          </cell>
        </row>
        <row r="1450">
          <cell r="A1450">
            <v>1517</v>
          </cell>
        </row>
        <row r="1451">
          <cell r="A1451">
            <v>1518</v>
          </cell>
        </row>
        <row r="1452">
          <cell r="A1452">
            <v>1519</v>
          </cell>
        </row>
        <row r="1453">
          <cell r="A1453">
            <v>1520</v>
          </cell>
        </row>
        <row r="1454">
          <cell r="A1454">
            <v>1521</v>
          </cell>
        </row>
        <row r="1455">
          <cell r="A1455">
            <v>1522</v>
          </cell>
        </row>
        <row r="1456">
          <cell r="A1456">
            <v>1523</v>
          </cell>
        </row>
        <row r="1457">
          <cell r="A1457">
            <v>1524</v>
          </cell>
        </row>
        <row r="1458">
          <cell r="A1458">
            <v>1525</v>
          </cell>
        </row>
        <row r="1459">
          <cell r="A1459">
            <v>1526</v>
          </cell>
        </row>
        <row r="1460">
          <cell r="A1460">
            <v>1527</v>
          </cell>
        </row>
        <row r="1461">
          <cell r="A1461">
            <v>1528</v>
          </cell>
        </row>
        <row r="1462">
          <cell r="A1462">
            <v>1529</v>
          </cell>
        </row>
        <row r="1463">
          <cell r="A1463">
            <v>1530</v>
          </cell>
        </row>
        <row r="1464">
          <cell r="A1464">
            <v>1531</v>
          </cell>
        </row>
        <row r="1465">
          <cell r="A1465">
            <v>1532</v>
          </cell>
        </row>
        <row r="1466">
          <cell r="A1466">
            <v>1533</v>
          </cell>
        </row>
        <row r="1467">
          <cell r="A1467">
            <v>1534</v>
          </cell>
        </row>
        <row r="1468">
          <cell r="A1468">
            <v>1535</v>
          </cell>
        </row>
        <row r="1469">
          <cell r="A1469">
            <v>1536</v>
          </cell>
        </row>
        <row r="1470">
          <cell r="A1470">
            <v>1537</v>
          </cell>
        </row>
        <row r="1471">
          <cell r="A1471">
            <v>1538</v>
          </cell>
        </row>
        <row r="1472">
          <cell r="A1472">
            <v>1539</v>
          </cell>
        </row>
        <row r="1473">
          <cell r="A1473">
            <v>1540</v>
          </cell>
        </row>
        <row r="1474">
          <cell r="A1474">
            <v>1541</v>
          </cell>
        </row>
        <row r="1475">
          <cell r="A1475">
            <v>1542</v>
          </cell>
        </row>
        <row r="1476">
          <cell r="A1476">
            <v>1543</v>
          </cell>
        </row>
        <row r="1477">
          <cell r="A1477">
            <v>1544</v>
          </cell>
        </row>
        <row r="1478">
          <cell r="A1478">
            <v>1545</v>
          </cell>
        </row>
        <row r="1479">
          <cell r="A1479">
            <v>1546</v>
          </cell>
        </row>
        <row r="1480">
          <cell r="A1480">
            <v>1547</v>
          </cell>
        </row>
        <row r="1481">
          <cell r="A1481">
            <v>1548</v>
          </cell>
        </row>
        <row r="1482">
          <cell r="A1482">
            <v>1549</v>
          </cell>
        </row>
        <row r="1483">
          <cell r="A1483">
            <v>1550</v>
          </cell>
        </row>
        <row r="1484">
          <cell r="A1484">
            <v>5001</v>
          </cell>
        </row>
        <row r="1485">
          <cell r="A1485">
            <v>5002</v>
          </cell>
        </row>
        <row r="1486">
          <cell r="A1486">
            <v>5003</v>
          </cell>
        </row>
        <row r="1487">
          <cell r="A1487">
            <v>5004</v>
          </cell>
        </row>
        <row r="1488">
          <cell r="A1488">
            <v>5005</v>
          </cell>
        </row>
        <row r="1489">
          <cell r="A1489">
            <v>5006</v>
          </cell>
        </row>
        <row r="1490">
          <cell r="A1490">
            <v>5007</v>
          </cell>
        </row>
        <row r="1491">
          <cell r="A1491">
            <v>5008</v>
          </cell>
        </row>
        <row r="1492">
          <cell r="A1492">
            <v>6001</v>
          </cell>
        </row>
        <row r="1493">
          <cell r="A1493">
            <v>6002</v>
          </cell>
        </row>
        <row r="1494">
          <cell r="A1494">
            <v>6003</v>
          </cell>
        </row>
        <row r="1495">
          <cell r="A1495">
            <v>6004</v>
          </cell>
        </row>
        <row r="1496">
          <cell r="A1496">
            <v>6005</v>
          </cell>
        </row>
        <row r="1497">
          <cell r="A1497">
            <v>6006</v>
          </cell>
        </row>
        <row r="1498">
          <cell r="A1498">
            <v>6007</v>
          </cell>
        </row>
        <row r="1499">
          <cell r="A1499">
            <v>6008</v>
          </cell>
        </row>
        <row r="1500">
          <cell r="A1500">
            <v>6009</v>
          </cell>
        </row>
        <row r="1501">
          <cell r="A1501">
            <v>6010</v>
          </cell>
        </row>
        <row r="1502">
          <cell r="A1502">
            <v>6011</v>
          </cell>
        </row>
        <row r="1503">
          <cell r="A1503">
            <v>6012</v>
          </cell>
        </row>
        <row r="1504">
          <cell r="A1504">
            <v>6013</v>
          </cell>
        </row>
        <row r="1505">
          <cell r="A1505">
            <v>6014</v>
          </cell>
        </row>
        <row r="1506">
          <cell r="A1506">
            <v>6015</v>
          </cell>
        </row>
        <row r="1507">
          <cell r="A1507">
            <v>6016</v>
          </cell>
        </row>
        <row r="1508">
          <cell r="A1508">
            <v>6017</v>
          </cell>
        </row>
        <row r="1509">
          <cell r="A1509">
            <v>6018</v>
          </cell>
        </row>
        <row r="1510">
          <cell r="A1510">
            <v>6019</v>
          </cell>
        </row>
        <row r="1511">
          <cell r="A1511">
            <v>6020</v>
          </cell>
        </row>
        <row r="1512">
          <cell r="A1512">
            <v>8001</v>
          </cell>
        </row>
        <row r="1513">
          <cell r="A1513">
            <v>8002</v>
          </cell>
        </row>
        <row r="1514">
          <cell r="A1514">
            <v>8003</v>
          </cell>
        </row>
        <row r="1515">
          <cell r="A1515">
            <v>8004</v>
          </cell>
        </row>
        <row r="1516">
          <cell r="A1516">
            <v>8005</v>
          </cell>
        </row>
        <row r="1517">
          <cell r="A1517">
            <v>8006</v>
          </cell>
        </row>
        <row r="1518">
          <cell r="A1518">
            <v>8007</v>
          </cell>
        </row>
        <row r="1519">
          <cell r="A1519">
            <v>8008</v>
          </cell>
        </row>
        <row r="1520">
          <cell r="A1520">
            <v>8009</v>
          </cell>
        </row>
        <row r="1521">
          <cell r="A1521">
            <v>8010</v>
          </cell>
        </row>
        <row r="1522">
          <cell r="A1522">
            <v>8011</v>
          </cell>
        </row>
        <row r="1523">
          <cell r="A1523">
            <v>8012</v>
          </cell>
        </row>
        <row r="1524">
          <cell r="A1524">
            <v>8013</v>
          </cell>
        </row>
        <row r="1525">
          <cell r="A1525">
            <v>8014</v>
          </cell>
        </row>
        <row r="1526">
          <cell r="A1526">
            <v>8015</v>
          </cell>
        </row>
        <row r="1527">
          <cell r="A1527">
            <v>8016</v>
          </cell>
        </row>
        <row r="1528">
          <cell r="A1528">
            <v>8017</v>
          </cell>
        </row>
        <row r="1529">
          <cell r="A1529">
            <v>8018</v>
          </cell>
        </row>
        <row r="1530">
          <cell r="A1530">
            <v>8019</v>
          </cell>
        </row>
        <row r="1531">
          <cell r="A1531">
            <v>8020</v>
          </cell>
        </row>
        <row r="1532">
          <cell r="A1532">
            <v>8021</v>
          </cell>
        </row>
        <row r="1533">
          <cell r="A1533">
            <v>8022</v>
          </cell>
        </row>
        <row r="1534">
          <cell r="A1534">
            <v>8023</v>
          </cell>
        </row>
        <row r="1535">
          <cell r="A1535">
            <v>8024</v>
          </cell>
        </row>
        <row r="1536">
          <cell r="A1536">
            <v>8025</v>
          </cell>
        </row>
        <row r="1537">
          <cell r="A1537">
            <v>8026</v>
          </cell>
        </row>
        <row r="1538">
          <cell r="A1538">
            <v>8027</v>
          </cell>
        </row>
        <row r="1539">
          <cell r="A1539">
            <v>8028</v>
          </cell>
        </row>
        <row r="1540">
          <cell r="A1540">
            <v>8029</v>
          </cell>
        </row>
        <row r="1541">
          <cell r="A1541">
            <v>8030</v>
          </cell>
        </row>
        <row r="1542">
          <cell r="A1542">
            <v>8031</v>
          </cell>
        </row>
        <row r="1543">
          <cell r="A1543">
            <v>8032</v>
          </cell>
        </row>
        <row r="1544">
          <cell r="A1544">
            <v>8033</v>
          </cell>
        </row>
        <row r="1545">
          <cell r="A1545">
            <v>8034</v>
          </cell>
        </row>
        <row r="1546">
          <cell r="A1546">
            <v>8035</v>
          </cell>
        </row>
        <row r="1547">
          <cell r="A1547">
            <v>8036</v>
          </cell>
        </row>
        <row r="1548">
          <cell r="A1548">
            <v>8037</v>
          </cell>
        </row>
        <row r="1549">
          <cell r="A1549">
            <v>8038</v>
          </cell>
        </row>
        <row r="1550">
          <cell r="A1550">
            <v>8039</v>
          </cell>
        </row>
        <row r="1551">
          <cell r="A1551">
            <v>8040</v>
          </cell>
        </row>
        <row r="1552">
          <cell r="A1552">
            <v>8041</v>
          </cell>
        </row>
        <row r="1553">
          <cell r="A1553">
            <v>8042</v>
          </cell>
        </row>
        <row r="1554">
          <cell r="A1554">
            <v>8043</v>
          </cell>
        </row>
        <row r="1555">
          <cell r="A1555">
            <v>8044</v>
          </cell>
        </row>
        <row r="1556">
          <cell r="A1556">
            <v>8045</v>
          </cell>
        </row>
        <row r="1557">
          <cell r="A1557">
            <v>8046</v>
          </cell>
        </row>
        <row r="1558">
          <cell r="A1558">
            <v>8047</v>
          </cell>
        </row>
        <row r="1559">
          <cell r="A1559">
            <v>8048</v>
          </cell>
        </row>
        <row r="1560">
          <cell r="A1560">
            <v>8049</v>
          </cell>
        </row>
        <row r="1561">
          <cell r="A1561">
            <v>8050</v>
          </cell>
        </row>
        <row r="1562">
          <cell r="A1562">
            <v>8051</v>
          </cell>
        </row>
        <row r="1563">
          <cell r="A1563">
            <v>8052</v>
          </cell>
        </row>
        <row r="1564">
          <cell r="A1564">
            <v>8053</v>
          </cell>
        </row>
        <row r="1565">
          <cell r="A1565">
            <v>8054</v>
          </cell>
        </row>
        <row r="1566">
          <cell r="A1566">
            <v>8055</v>
          </cell>
        </row>
        <row r="1567">
          <cell r="A1567">
            <v>8056</v>
          </cell>
        </row>
        <row r="1568">
          <cell r="A1568">
            <v>8057</v>
          </cell>
        </row>
        <row r="1569">
          <cell r="A1569">
            <v>8058</v>
          </cell>
        </row>
        <row r="1570">
          <cell r="A1570">
            <v>8059</v>
          </cell>
        </row>
        <row r="1571">
          <cell r="A1571">
            <v>8060</v>
          </cell>
        </row>
        <row r="1572">
          <cell r="A1572">
            <v>8061</v>
          </cell>
        </row>
        <row r="1573">
          <cell r="A1573">
            <v>8062</v>
          </cell>
        </row>
        <row r="1574">
          <cell r="A1574">
            <v>8063</v>
          </cell>
        </row>
        <row r="1575">
          <cell r="A1575">
            <v>8064</v>
          </cell>
        </row>
        <row r="1576">
          <cell r="A1576">
            <v>8065</v>
          </cell>
        </row>
        <row r="1577">
          <cell r="A1577">
            <v>8066</v>
          </cell>
        </row>
        <row r="1578">
          <cell r="A1578">
            <v>8067</v>
          </cell>
        </row>
        <row r="1579">
          <cell r="A1579">
            <v>8068</v>
          </cell>
        </row>
        <row r="1580">
          <cell r="A1580">
            <v>8069</v>
          </cell>
        </row>
        <row r="1581">
          <cell r="A1581">
            <v>8070</v>
          </cell>
        </row>
        <row r="1582">
          <cell r="A1582">
            <v>8071</v>
          </cell>
        </row>
        <row r="1583">
          <cell r="A1583">
            <v>8072</v>
          </cell>
        </row>
        <row r="1584">
          <cell r="A1584">
            <v>8073</v>
          </cell>
        </row>
        <row r="1585">
          <cell r="A1585">
            <v>8074</v>
          </cell>
        </row>
        <row r="1586">
          <cell r="A1586">
            <v>8075</v>
          </cell>
        </row>
        <row r="1587">
          <cell r="A1587">
            <v>8076</v>
          </cell>
        </row>
        <row r="1588">
          <cell r="A1588">
            <v>8077</v>
          </cell>
        </row>
        <row r="1589">
          <cell r="A1589">
            <v>8078</v>
          </cell>
        </row>
        <row r="1590">
          <cell r="A1590">
            <v>8079</v>
          </cell>
        </row>
        <row r="1591">
          <cell r="A1591">
            <v>8080</v>
          </cell>
        </row>
        <row r="1592">
          <cell r="A1592">
            <v>8081</v>
          </cell>
        </row>
        <row r="1593">
          <cell r="A1593">
            <v>8082</v>
          </cell>
        </row>
        <row r="1594">
          <cell r="A1594">
            <v>8083</v>
          </cell>
        </row>
        <row r="1595">
          <cell r="A1595">
            <v>8084</v>
          </cell>
        </row>
        <row r="1596">
          <cell r="A1596">
            <v>8087</v>
          </cell>
        </row>
        <row r="1597">
          <cell r="A1597">
            <v>8088</v>
          </cell>
        </row>
        <row r="1598">
          <cell r="A1598">
            <v>8089</v>
          </cell>
        </row>
        <row r="1599">
          <cell r="A1599">
            <v>8090</v>
          </cell>
        </row>
        <row r="1600">
          <cell r="A1600">
            <v>8095</v>
          </cell>
        </row>
        <row r="1601">
          <cell r="A1601">
            <v>8096</v>
          </cell>
        </row>
        <row r="1602">
          <cell r="A1602">
            <v>8097</v>
          </cell>
        </row>
        <row r="1603">
          <cell r="A1603">
            <v>8098</v>
          </cell>
        </row>
        <row r="1604">
          <cell r="A1604">
            <v>8099</v>
          </cell>
        </row>
        <row r="1605">
          <cell r="A1605">
            <v>9001</v>
          </cell>
        </row>
        <row r="1606">
          <cell r="A1606">
            <v>9002</v>
          </cell>
        </row>
        <row r="1607">
          <cell r="A1607">
            <v>9003</v>
          </cell>
        </row>
        <row r="1608">
          <cell r="A1608">
            <v>9004</v>
          </cell>
        </row>
        <row r="1609">
          <cell r="A1609">
            <v>10001</v>
          </cell>
        </row>
        <row r="1610">
          <cell r="A1610">
            <v>10002</v>
          </cell>
        </row>
        <row r="1611">
          <cell r="A1611">
            <v>10003</v>
          </cell>
        </row>
        <row r="1612">
          <cell r="A1612">
            <v>10004</v>
          </cell>
        </row>
        <row r="1613">
          <cell r="A1613">
            <v>10005</v>
          </cell>
        </row>
        <row r="1614">
          <cell r="A1614">
            <v>10006</v>
          </cell>
        </row>
        <row r="1615">
          <cell r="A1615">
            <v>10007</v>
          </cell>
        </row>
        <row r="1616">
          <cell r="A1616">
            <v>10008</v>
          </cell>
        </row>
        <row r="1617">
          <cell r="A1617">
            <v>10009</v>
          </cell>
        </row>
        <row r="1618">
          <cell r="A1618">
            <v>10010</v>
          </cell>
        </row>
        <row r="1619">
          <cell r="A1619">
            <v>10011</v>
          </cell>
        </row>
        <row r="1620">
          <cell r="A1620">
            <v>10012</v>
          </cell>
        </row>
        <row r="1621">
          <cell r="A1621">
            <v>10013</v>
          </cell>
        </row>
        <row r="1622">
          <cell r="A1622">
            <v>10014</v>
          </cell>
        </row>
        <row r="1623">
          <cell r="A1623">
            <v>10015</v>
          </cell>
        </row>
        <row r="1624">
          <cell r="A1624">
            <v>10016</v>
          </cell>
        </row>
        <row r="1625">
          <cell r="A1625">
            <v>10017</v>
          </cell>
        </row>
        <row r="1626">
          <cell r="A1626">
            <v>10018</v>
          </cell>
        </row>
        <row r="1627">
          <cell r="A1627">
            <v>10019</v>
          </cell>
        </row>
        <row r="1628">
          <cell r="A1628">
            <v>10020</v>
          </cell>
        </row>
        <row r="1629">
          <cell r="A1629">
            <v>10021</v>
          </cell>
        </row>
        <row r="1630">
          <cell r="A1630">
            <v>10022</v>
          </cell>
        </row>
        <row r="1631">
          <cell r="A1631">
            <v>10023</v>
          </cell>
        </row>
        <row r="1632">
          <cell r="A1632">
            <v>10024</v>
          </cell>
        </row>
        <row r="1633">
          <cell r="A1633">
            <v>10025</v>
          </cell>
        </row>
        <row r="1634">
          <cell r="A1634">
            <v>10026</v>
          </cell>
        </row>
        <row r="1635">
          <cell r="A1635">
            <v>10027</v>
          </cell>
        </row>
        <row r="1636">
          <cell r="A1636">
            <v>10028</v>
          </cell>
        </row>
        <row r="1637">
          <cell r="A1637">
            <v>10029</v>
          </cell>
        </row>
        <row r="1638">
          <cell r="A1638">
            <v>10030</v>
          </cell>
        </row>
        <row r="1639">
          <cell r="A1639">
            <v>10031</v>
          </cell>
        </row>
        <row r="1640">
          <cell r="A1640">
            <v>10032</v>
          </cell>
        </row>
        <row r="1641">
          <cell r="A1641">
            <v>10033</v>
          </cell>
        </row>
        <row r="1642">
          <cell r="A1642">
            <v>10034</v>
          </cell>
        </row>
        <row r="1643">
          <cell r="A1643">
            <v>10035</v>
          </cell>
        </row>
        <row r="1644">
          <cell r="A1644">
            <v>10036</v>
          </cell>
        </row>
        <row r="1645">
          <cell r="A1645">
            <v>10037</v>
          </cell>
        </row>
        <row r="1646">
          <cell r="A1646">
            <v>10038</v>
          </cell>
        </row>
        <row r="1647">
          <cell r="A1647">
            <v>10039</v>
          </cell>
        </row>
        <row r="1648">
          <cell r="A1648">
            <v>10040</v>
          </cell>
        </row>
        <row r="1649">
          <cell r="A1649">
            <v>10041</v>
          </cell>
        </row>
        <row r="1650">
          <cell r="A1650">
            <v>10042</v>
          </cell>
        </row>
        <row r="1651">
          <cell r="A1651">
            <v>10043</v>
          </cell>
        </row>
        <row r="1652">
          <cell r="A1652">
            <v>10044</v>
          </cell>
        </row>
        <row r="1653">
          <cell r="A1653">
            <v>10045</v>
          </cell>
        </row>
        <row r="1654">
          <cell r="A1654">
            <v>10046</v>
          </cell>
        </row>
        <row r="1655">
          <cell r="A1655">
            <v>10047</v>
          </cell>
        </row>
        <row r="1656">
          <cell r="A1656">
            <v>10048</v>
          </cell>
        </row>
        <row r="1657">
          <cell r="A1657">
            <v>10049</v>
          </cell>
        </row>
        <row r="1658">
          <cell r="A1658">
            <v>10050</v>
          </cell>
        </row>
        <row r="1659">
          <cell r="A1659">
            <v>10051</v>
          </cell>
        </row>
        <row r="1660">
          <cell r="A1660">
            <v>10052</v>
          </cell>
        </row>
        <row r="1661">
          <cell r="A1661">
            <v>10053</v>
          </cell>
        </row>
        <row r="1662">
          <cell r="A1662">
            <v>10054</v>
          </cell>
        </row>
        <row r="1663">
          <cell r="A1663">
            <v>10055</v>
          </cell>
        </row>
        <row r="1664">
          <cell r="A1664">
            <v>10056</v>
          </cell>
        </row>
        <row r="1665">
          <cell r="A1665">
            <v>10057</v>
          </cell>
        </row>
        <row r="1666">
          <cell r="A1666">
            <v>10058</v>
          </cell>
        </row>
        <row r="1667">
          <cell r="A1667">
            <v>10059</v>
          </cell>
        </row>
        <row r="1668">
          <cell r="A1668">
            <v>10060</v>
          </cell>
        </row>
        <row r="1669">
          <cell r="A1669">
            <v>10061</v>
          </cell>
        </row>
        <row r="1670">
          <cell r="A1670">
            <v>10062</v>
          </cell>
        </row>
        <row r="1671">
          <cell r="A1671">
            <v>10063</v>
          </cell>
        </row>
        <row r="1672">
          <cell r="A1672">
            <v>10064</v>
          </cell>
        </row>
        <row r="1673">
          <cell r="A1673">
            <v>10065</v>
          </cell>
        </row>
        <row r="1674">
          <cell r="A1674">
            <v>10066</v>
          </cell>
        </row>
        <row r="1675">
          <cell r="A1675">
            <v>10067</v>
          </cell>
        </row>
        <row r="1676">
          <cell r="A1676">
            <v>10068</v>
          </cell>
        </row>
        <row r="1677">
          <cell r="A1677">
            <v>10069</v>
          </cell>
        </row>
        <row r="1678">
          <cell r="A1678">
            <v>10070</v>
          </cell>
        </row>
        <row r="1679">
          <cell r="A1679">
            <v>10071</v>
          </cell>
        </row>
        <row r="1680">
          <cell r="A1680">
            <v>10072</v>
          </cell>
        </row>
        <row r="1681">
          <cell r="A1681">
            <v>10073</v>
          </cell>
        </row>
        <row r="1682">
          <cell r="A1682">
            <v>10074</v>
          </cell>
        </row>
        <row r="1683">
          <cell r="A1683">
            <v>10075</v>
          </cell>
        </row>
        <row r="1684">
          <cell r="A1684">
            <v>10076</v>
          </cell>
        </row>
        <row r="1685">
          <cell r="A1685">
            <v>10077</v>
          </cell>
        </row>
        <row r="1686">
          <cell r="A1686">
            <v>10078</v>
          </cell>
        </row>
        <row r="1687">
          <cell r="A1687">
            <v>10079</v>
          </cell>
        </row>
        <row r="1688">
          <cell r="A1688">
            <v>10080</v>
          </cell>
        </row>
        <row r="1689">
          <cell r="A1689">
            <v>10081</v>
          </cell>
        </row>
        <row r="1690">
          <cell r="A1690">
            <v>10082</v>
          </cell>
        </row>
        <row r="1691">
          <cell r="A1691">
            <v>10083</v>
          </cell>
        </row>
        <row r="1692">
          <cell r="A1692">
            <v>10084</v>
          </cell>
        </row>
        <row r="1693">
          <cell r="A1693">
            <v>10085</v>
          </cell>
        </row>
        <row r="1694">
          <cell r="A1694">
            <v>10086</v>
          </cell>
        </row>
        <row r="1695">
          <cell r="A1695">
            <v>10087</v>
          </cell>
        </row>
        <row r="1696">
          <cell r="A1696">
            <v>10088</v>
          </cell>
        </row>
        <row r="1697">
          <cell r="A1697">
            <v>10089</v>
          </cell>
        </row>
        <row r="1698">
          <cell r="A1698">
            <v>10090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F47" sqref="F4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252</v>
      </c>
      <c r="B2" s="56" t="s">
        <v>107</v>
      </c>
      <c r="C2" s="62" t="s">
        <v>254</v>
      </c>
      <c r="D2" s="56" t="s">
        <v>108</v>
      </c>
      <c r="E2" s="55" t="str">
        <f>B2&amp;C2&amp;D2</f>
        <v>floors_39012_4.tmp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252</v>
      </c>
      <c r="B3" s="56" t="s">
        <v>110</v>
      </c>
      <c r="C3" s="62" t="s">
        <v>254</v>
      </c>
      <c r="D3" s="56" t="s">
        <v>108</v>
      </c>
      <c r="E3" s="55" t="str">
        <f>B3&amp;C3&amp;D3</f>
        <v>enemy_habitats_39012_4.tmp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187</v>
      </c>
      <c r="B4" s="56" t="s">
        <v>112</v>
      </c>
      <c r="C4" s="62" t="s">
        <v>254</v>
      </c>
      <c r="D4" s="56" t="s">
        <v>108</v>
      </c>
      <c r="E4" s="55" t="str">
        <f>B4&amp;C4&amp;D4</f>
        <v>enemy_habitat_S_39012_4.tmp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252</v>
      </c>
      <c r="B5" s="56" t="s">
        <v>114</v>
      </c>
      <c r="C5" s="62" t="s">
        <v>254</v>
      </c>
      <c r="D5" s="56" t="s">
        <v>108</v>
      </c>
      <c r="E5" s="55" t="str">
        <f>B5&amp;C5&amp;D5</f>
        <v>enemy_skill_sets_39012_4.tmp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252</v>
      </c>
      <c r="B6" s="56" t="s">
        <v>116</v>
      </c>
      <c r="C6" s="62" t="s">
        <v>254</v>
      </c>
      <c r="D6" s="56" t="s">
        <v>117</v>
      </c>
      <c r="E6" s="55" t="str">
        <f t="shared" ref="E6:E10" si="0">B6&amp;C6&amp;D6</f>
        <v>enemy_skills_tmp_39012_4.tmp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252</v>
      </c>
      <c r="B7" s="56" t="s">
        <v>118</v>
      </c>
      <c r="C7" s="62" t="s">
        <v>254</v>
      </c>
      <c r="D7" s="56" t="s">
        <v>108</v>
      </c>
      <c r="E7" s="55" t="str">
        <f>B7&amp;C7&amp;D7</f>
        <v>enemy_skills_i18n_39012_4.tmp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252</v>
      </c>
      <c r="B8" s="56" t="s">
        <v>120</v>
      </c>
      <c r="C8" s="62" t="s">
        <v>254</v>
      </c>
      <c r="D8" s="56" t="s">
        <v>121</v>
      </c>
      <c r="E8" s="55" t="str">
        <f t="shared" si="0"/>
        <v>enemy_skill_triggers_39012_4.tmp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252</v>
      </c>
      <c r="B9" s="67" t="s">
        <v>177</v>
      </c>
      <c r="C9" s="62" t="s">
        <v>254</v>
      </c>
      <c r="D9" s="67" t="s">
        <v>171</v>
      </c>
      <c r="E9" s="68" t="str">
        <f t="shared" si="0"/>
        <v>stage_bug_bonuses_39012_4.tmp</v>
      </c>
      <c r="F9" s="67" t="s">
        <v>172</v>
      </c>
      <c r="G9" s="64" t="s">
        <v>151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252</v>
      </c>
      <c r="B10" s="67" t="s">
        <v>200</v>
      </c>
      <c r="C10" s="62" t="s">
        <v>254</v>
      </c>
      <c r="D10" s="67" t="s">
        <v>180</v>
      </c>
      <c r="E10" s="68" t="str">
        <f t="shared" si="0"/>
        <v>stage_hints_data_c_39012_4.tmp</v>
      </c>
      <c r="F10" s="67" t="s">
        <v>208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5" customFormat="1" x14ac:dyDescent="0.15">
      <c r="A11" s="60" t="s">
        <v>252</v>
      </c>
      <c r="B11" s="67" t="s">
        <v>201</v>
      </c>
      <c r="C11" s="62" t="s">
        <v>254</v>
      </c>
      <c r="D11" s="67" t="s">
        <v>171</v>
      </c>
      <c r="E11" s="68" t="str">
        <f t="shared" ref="E11:E13" si="1">B11&amp;C11&amp;D11</f>
        <v>stage_hints_data_f_39012_4.tmp</v>
      </c>
      <c r="F11" s="67" t="s">
        <v>209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5" customFormat="1" x14ac:dyDescent="0.15">
      <c r="A12" s="60" t="s">
        <v>252</v>
      </c>
      <c r="B12" s="67" t="s">
        <v>202</v>
      </c>
      <c r="C12" s="62" t="s">
        <v>254</v>
      </c>
      <c r="D12" s="67" t="s">
        <v>171</v>
      </c>
      <c r="E12" s="68" t="str">
        <f t="shared" si="1"/>
        <v>stage_hints_i18n_39012_4.tmp</v>
      </c>
      <c r="F12" s="67" t="s">
        <v>210</v>
      </c>
      <c r="G12" s="74" t="s">
        <v>203</v>
      </c>
      <c r="H12" s="92" t="s">
        <v>204</v>
      </c>
      <c r="I12" s="73" t="s">
        <v>205</v>
      </c>
      <c r="J12" s="100" t="s">
        <v>206</v>
      </c>
      <c r="K12" s="66" t="s">
        <v>207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5" customFormat="1" x14ac:dyDescent="0.15">
      <c r="A13" s="60" t="s">
        <v>252</v>
      </c>
      <c r="B13" s="67" t="s">
        <v>248</v>
      </c>
      <c r="C13" s="62" t="s">
        <v>254</v>
      </c>
      <c r="D13" s="67" t="s">
        <v>229</v>
      </c>
      <c r="E13" s="68" t="str">
        <f t="shared" si="1"/>
        <v>stage_bonuses_39012_4.tmp</v>
      </c>
      <c r="F13" s="67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L9" sqref="L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39012_4-1</v>
      </c>
      <c r="B2" s="16" t="str">
        <f>IF(COUNTIF(enemy_habitats!$H:$H,A2),"OK","NG")</f>
        <v>OK</v>
      </c>
      <c r="C2" s="7">
        <v>39012</v>
      </c>
      <c r="D2" s="11" t="str">
        <f ca="1">VLOOKUP($C2,OFFSET([2]quests!$A$1,0,0,COUNTA([2]quests!$A:$A),MATCH(D$1,[2]quests!$1:$1,0)-MATCH($C$1,[2]quests!$1:$1,0)+1),MATCH(D$1,[2]quests!$1:$1,0)-MATCH($C$1,[2]quests!$1:$1,0)+1,FALSE)</f>
        <v>侵略！？にゃんこ軍団現る！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4</v>
      </c>
      <c r="G2" s="23" t="str">
        <f t="shared" ref="G2:G7" si="1">C2&amp;"_"&amp;F2</f>
        <v>39012_4</v>
      </c>
      <c r="H2" s="15" t="str">
        <f ca="1">VLOOKUP($G2,OFFSET([2]stages!$A$1,0,0,COUNTA([2]stages!$A:$A),MATCH(H$1,[2]stages!$2:$2,0)-MATCH($G$1,[2]stages!$2:$2,0)+1),MATCH(H$1,[2]stages!$2:$2,0)-MATCH($G$1,[2]stages!$2:$2,0)+1,FALSE)</f>
        <v>【超上級】侵略！？にゃんこ軍団現る！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39012_4-2</v>
      </c>
      <c r="B3" s="16" t="str">
        <f>IF(COUNTIF(enemy_habitats!$H:$H,A3),"OK","NG")</f>
        <v>OK</v>
      </c>
      <c r="C3" s="7">
        <v>39012</v>
      </c>
      <c r="D3" s="11" t="str">
        <f ca="1">VLOOKUP($C3,OFFSET([2]quests!$A$1,0,0,COUNTA([2]quests!$A:$A),MATCH(D$1,[2]quests!$1:$1,0)-MATCH($C$1,[2]quests!$1:$1,0)+1),MATCH(D$1,[2]quests!$1:$1,0)-MATCH($C$1,[2]quests!$1:$1,0)+1,FALSE)</f>
        <v>侵略！？にゃんこ軍団現る！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4</v>
      </c>
      <c r="G3" s="23" t="str">
        <f t="shared" si="1"/>
        <v>39012_4</v>
      </c>
      <c r="H3" s="15" t="str">
        <f ca="1">VLOOKUP($G3,OFFSET([2]stages!$A$1,0,0,COUNTA([2]stages!$A:$A),MATCH(H$1,[2]stages!$2:$2,0)-MATCH($G$1,[2]stages!$2:$2,0)+1),MATCH(H$1,[2]stages!$2:$2,0)-MATCH($G$1,[2]stages!$2:$2,0)+1,FALSE)</f>
        <v>【超上級】侵略！？にゃんこ軍団現る！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39012_4-3</v>
      </c>
      <c r="B4" s="16" t="str">
        <f>IF(COUNTIF(enemy_habitats!$H:$H,A4),"OK","NG")</f>
        <v>OK</v>
      </c>
      <c r="C4" s="7">
        <v>39012</v>
      </c>
      <c r="D4" s="11" t="str">
        <f ca="1">VLOOKUP($C4,OFFSET([2]quests!$A$1,0,0,COUNTA([2]quests!$A:$A),MATCH(D$1,[2]quests!$1:$1,0)-MATCH($C$1,[2]quests!$1:$1,0)+1),MATCH(D$1,[2]quests!$1:$1,0)-MATCH($C$1,[2]quests!$1:$1,0)+1,FALSE)</f>
        <v>侵略！？にゃんこ軍団現る！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4</v>
      </c>
      <c r="G4" s="23" t="str">
        <f t="shared" si="1"/>
        <v>39012_4</v>
      </c>
      <c r="H4" s="15" t="str">
        <f ca="1">VLOOKUP($G4,OFFSET([2]stages!$A$1,0,0,COUNTA([2]stages!$A:$A),MATCH(H$1,[2]stages!$2:$2,0)-MATCH($G$1,[2]stages!$2:$2,0)+1),MATCH(H$1,[2]stages!$2:$2,0)-MATCH($G$1,[2]stages!$2:$2,0)+1,FALSE)</f>
        <v>【超上級】侵略！？にゃんこ軍団現る！</v>
      </c>
      <c r="I4" s="21">
        <v>3</v>
      </c>
      <c r="J4" s="12">
        <v>40</v>
      </c>
      <c r="K4" s="12">
        <v>40</v>
      </c>
    </row>
    <row r="5" spans="1:11" ht="21" customHeight="1" x14ac:dyDescent="0.15">
      <c r="A5" s="16" t="str">
        <f t="shared" si="0"/>
        <v>39012_4-4</v>
      </c>
      <c r="B5" s="16" t="str">
        <f>IF(COUNTIF(enemy_habitats!$H:$H,A5),"OK","NG")</f>
        <v>OK</v>
      </c>
      <c r="C5" s="7">
        <v>39012</v>
      </c>
      <c r="D5" s="11" t="str">
        <f ca="1">VLOOKUP($C5,OFFSET([2]quests!$A$1,0,0,COUNTA([2]quests!$A:$A),MATCH(D$1,[2]quests!$1:$1,0)-MATCH($C$1,[2]quests!$1:$1,0)+1),MATCH(D$1,[2]quests!$1:$1,0)-MATCH($C$1,[2]quests!$1:$1,0)+1,FALSE)</f>
        <v>侵略！？にゃんこ軍団現る！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4</v>
      </c>
      <c r="G5" s="23" t="str">
        <f t="shared" si="1"/>
        <v>39012_4</v>
      </c>
      <c r="H5" s="15" t="str">
        <f ca="1">VLOOKUP($G5,OFFSET([2]stages!$A$1,0,0,COUNTA([2]stages!$A:$A),MATCH(H$1,[2]stages!$2:$2,0)-MATCH($G$1,[2]stages!$2:$2,0)+1),MATCH(H$1,[2]stages!$2:$2,0)-MATCH($G$1,[2]stages!$2:$2,0)+1,FALSE)</f>
        <v>【超上級】侵略！？にゃんこ軍団現る！</v>
      </c>
      <c r="I5" s="21">
        <v>4</v>
      </c>
      <c r="J5" s="12">
        <v>45</v>
      </c>
      <c r="K5" s="12">
        <v>45</v>
      </c>
    </row>
    <row r="6" spans="1:11" ht="21" customHeight="1" x14ac:dyDescent="0.15">
      <c r="A6" s="16" t="str">
        <f t="shared" ref="A6" si="2">G6&amp;"-"&amp;I6</f>
        <v>39012_4-5</v>
      </c>
      <c r="B6" s="16" t="str">
        <f>IF(COUNTIF(enemy_habitats!$H:$H,A6),"OK","NG")</f>
        <v>OK</v>
      </c>
      <c r="C6" s="7">
        <v>39012</v>
      </c>
      <c r="D6" s="11" t="str">
        <f ca="1">VLOOKUP($C6,OFFSET([2]quests!$A$1,0,0,COUNTA([2]quests!$A:$A),MATCH(D$1,[2]quests!$1:$1,0)-MATCH($C$1,[2]quests!$1:$1,0)+1),MATCH(D$1,[2]quests!$1:$1,0)-MATCH($C$1,[2]quests!$1:$1,0)+1,FALSE)</f>
        <v>侵略！？にゃんこ軍団現る！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4</v>
      </c>
      <c r="G6" s="23" t="str">
        <f t="shared" ref="G6" si="3">C6&amp;"_"&amp;F6</f>
        <v>39012_4</v>
      </c>
      <c r="H6" s="15" t="str">
        <f ca="1">VLOOKUP($G6,OFFSET([2]stages!$A$1,0,0,COUNTA([2]stages!$A:$A),MATCH(H$1,[2]stages!$2:$2,0)-MATCH($G$1,[2]stages!$2:$2,0)+1),MATCH(H$1,[2]stages!$2:$2,0)-MATCH($G$1,[2]stages!$2:$2,0)+1,FALSE)</f>
        <v>【超上級】侵略！？にゃんこ軍団現る！</v>
      </c>
      <c r="I6" s="21">
        <v>5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39012_4-6</v>
      </c>
      <c r="B7" s="16" t="str">
        <f>IF(COUNTIF(enemy_habitats!$H:$H,A7),"OK","NG")</f>
        <v>OK</v>
      </c>
      <c r="C7" s="7">
        <v>39012</v>
      </c>
      <c r="D7" s="11" t="str">
        <f ca="1">VLOOKUP($C7,OFFSET([2]quests!$A$1,0,0,COUNTA([2]quests!$A:$A),MATCH(D$1,[2]quests!$1:$1,0)-MATCH($C$1,[2]quests!$1:$1,0)+1),MATCH(D$1,[2]quests!$1:$1,0)-MATCH($C$1,[2]quests!$1:$1,0)+1,FALSE)</f>
        <v>侵略！？にゃんこ軍団現る！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1">
        <v>4</v>
      </c>
      <c r="G7" s="23" t="str">
        <f t="shared" si="1"/>
        <v>39012_4</v>
      </c>
      <c r="H7" s="15" t="str">
        <f ca="1">VLOOKUP($G7,OFFSET([2]stages!$A$1,0,0,COUNTA([2]stages!$A:$A),MATCH(H$1,[2]stages!$2:$2,0)-MATCH($G$1,[2]stages!$2:$2,0)+1),MATCH(H$1,[2]stages!$2:$2,0)-MATCH($G$1,[2]stages!$2:$2,0)+1,FALSE)</f>
        <v>【超上級】侵略！？にゃんこ軍団現る！</v>
      </c>
      <c r="I7" s="21">
        <v>6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AE5" sqref="AE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112" bestFit="1" customWidth="1"/>
    <col min="20" max="20" width="14.83203125" style="103" customWidth="1"/>
    <col min="21" max="21" width="17.5" style="115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110" t="s">
        <v>48</v>
      </c>
      <c r="T1" s="101" t="s">
        <v>249</v>
      </c>
      <c r="U1" s="113" t="s">
        <v>50</v>
      </c>
      <c r="V1" s="101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0" si="0">B2&amp;"_"&amp;C2&amp;"-"&amp;G2&amp;"/"&amp;L2&amp;"&lt;lv"&amp;R2&amp;"&gt;s"&amp;AC2</f>
        <v>39012_4-1/1504&lt;lv40&gt;s2</v>
      </c>
      <c r="B2" s="22">
        <v>39012</v>
      </c>
      <c r="C2" s="21">
        <v>4</v>
      </c>
      <c r="D2" s="2" t="str">
        <f t="shared" ref="D2:D10" si="1">B2&amp;"_"&amp;C2</f>
        <v>39012_4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【超上級】侵略！？にゃんこ軍団現る！</v>
      </c>
      <c r="G2" s="21">
        <v>1</v>
      </c>
      <c r="H2" s="15" t="str">
        <f t="shared" ref="H2:H10" si="2">B2&amp;"_"&amp;C2&amp;"-"&amp;G2</f>
        <v>39012_4-1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257</v>
      </c>
      <c r="L2" s="20">
        <v>1504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ネコ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111">
        <v>0.48192771084337349</v>
      </c>
      <c r="T2" s="102">
        <f ca="1">ROUND(VLOOKUP(R2,[3]enemy_base_stats!$A:$F,2,FALSE) *INDIRECT("[EnemyMasterData.xlsm]enemies!Y"&amp;(L2))*  INDIRECT("[EnemyMasterData.xlsm]enemies!J"&amp;(L2))* INDIRECT("[EnemyMasterData.xlsm]enemies!O"&amp;(L2))* INDIRECT("[EnemyMasterData.xlsm]enemies!E"&amp;(L2))* INDIRECT("[EnemyMasterData.xlsm]enemies!S"&amp;(L2))* INDIRECT("[EnemyMasterData.xlsm]enemies!AD"&amp;(L2))*[4]ステータス!$B$2,0)*S2</f>
        <v>0</v>
      </c>
      <c r="U2" s="114">
        <v>0.45400000000000001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61">
        <v>39012401</v>
      </c>
      <c r="Z2" s="6">
        <v>3</v>
      </c>
      <c r="AA2" s="6">
        <v>100</v>
      </c>
      <c r="AB2" s="6">
        <v>0</v>
      </c>
      <c r="AC2" s="17">
        <v>2</v>
      </c>
      <c r="AD2" s="24">
        <f t="shared" ref="AD2:AD10" si="3">L2</f>
        <v>1504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ネコ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Drop1T</v>
      </c>
      <c r="AH2" s="7">
        <v>1</v>
      </c>
      <c r="AI2" s="24">
        <f t="shared" ref="AI2:AI10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39012_4-1/1505&lt;lv40&gt;s2</v>
      </c>
      <c r="B3" s="22">
        <v>39012</v>
      </c>
      <c r="C3" s="21">
        <v>4</v>
      </c>
      <c r="D3" s="2" t="str">
        <f t="shared" si="1"/>
        <v>39012_4</v>
      </c>
      <c r="E3" s="4" t="str">
        <f ca="1">VLOOKUP($B3,OFFSET([2]quests!$A$1,0,0,COUNTA([2]quests!$A:$A),MATCH(E$1,[2]quests!$1:$1,0)-MATCH($B$1,[2]quests!$1:$1,0)+1),MATCH(E$1,[2]quests!$1:$1,0)-MATCH($B$1,[2]quests!$1:$1,0)+1,FALSE)</f>
        <v>侵略！？にゃんこ軍団現る！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【超上級】侵略！？にゃんこ軍団現る！</v>
      </c>
      <c r="G3" s="21">
        <v>1</v>
      </c>
      <c r="H3" s="15" t="str">
        <f t="shared" si="2"/>
        <v>39012_4-1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257</v>
      </c>
      <c r="L3" s="20">
        <v>1505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タンクネコ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111">
        <v>0.94494859805470921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0</v>
      </c>
      <c r="U3" s="114">
        <v>0.44500000000000001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0</v>
      </c>
      <c r="W3" s="5">
        <v>1000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3" s="61">
        <v>39012402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1505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Drop1T</v>
      </c>
      <c r="AH3" s="7">
        <v>1</v>
      </c>
      <c r="AI3" s="24">
        <f t="shared" ca="1" si="4"/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39012_4-2/1505&lt;lv40&gt;s2</v>
      </c>
      <c r="B4" s="22">
        <v>39012</v>
      </c>
      <c r="C4" s="21">
        <v>4</v>
      </c>
      <c r="D4" s="2" t="str">
        <f t="shared" si="1"/>
        <v>39012_4</v>
      </c>
      <c r="E4" s="4" t="str">
        <f ca="1">VLOOKUP($B4,OFFSET([2]quests!$A$1,0,0,COUNTA([2]quests!$A:$A),MATCH(E$1,[2]quests!$1:$1,0)-MATCH($B$1,[2]quests!$1:$1,0)+1),MATCH(E$1,[2]quests!$1:$1,0)-MATCH($B$1,[2]quests!$1:$1,0)+1,FALSE)</f>
        <v>侵略！？にゃんこ軍団現る！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【超上級】侵略！？にゃんこ軍団現る！</v>
      </c>
      <c r="G4" s="21">
        <v>2</v>
      </c>
      <c r="H4" s="15" t="str">
        <f t="shared" si="2"/>
        <v>39012_4-2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257</v>
      </c>
      <c r="L4" s="20">
        <v>1505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タンクネコ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40</v>
      </c>
      <c r="S4" s="111">
        <v>0.94494859805470921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114">
        <v>0.44500000000000001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1000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4" s="61">
        <v>39012403</v>
      </c>
      <c r="Z4" s="6">
        <v>1</v>
      </c>
      <c r="AA4" s="6">
        <v>100</v>
      </c>
      <c r="AB4" s="6">
        <v>1</v>
      </c>
      <c r="AC4" s="17">
        <v>2</v>
      </c>
      <c r="AD4" s="24">
        <f t="shared" si="3"/>
        <v>1505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タンクネコ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1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Drop1T</v>
      </c>
      <c r="AH4" s="7">
        <v>1</v>
      </c>
      <c r="AI4" s="24">
        <f t="shared" ca="1" si="4"/>
        <v>1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39012_4-2/1506&lt;lv40&gt;s1</v>
      </c>
      <c r="B5" s="22">
        <v>39012</v>
      </c>
      <c r="C5" s="21">
        <v>4</v>
      </c>
      <c r="D5" s="2" t="str">
        <f t="shared" si="1"/>
        <v>39012_4</v>
      </c>
      <c r="E5" s="4" t="str">
        <f ca="1">VLOOKUP($B5,OFFSET([2]quests!$A$1,0,0,COUNTA([2]quests!$A:$A),MATCH(E$1,[2]quests!$1:$1,0)-MATCH($B$1,[2]quests!$1:$1,0)+1),MATCH(E$1,[2]quests!$1:$1,0)-MATCH($B$1,[2]quests!$1:$1,0)+1,FALSE)</f>
        <v>侵略！？にゃんこ軍団現る！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【超上級】侵略！？にゃんこ軍団現る！</v>
      </c>
      <c r="G5" s="21">
        <v>2</v>
      </c>
      <c r="H5" s="15" t="str">
        <f t="shared" si="2"/>
        <v>39012_4-2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257</v>
      </c>
      <c r="L5" s="20">
        <v>1506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バトルネコ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111">
        <v>0.73764445537251044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0</v>
      </c>
      <c r="U5" s="114">
        <v>0.57399999999999995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2ターン赤パネル無効</v>
      </c>
      <c r="Y5" s="61">
        <v>39012404</v>
      </c>
      <c r="Z5" s="6">
        <v>2</v>
      </c>
      <c r="AA5" s="6">
        <v>100</v>
      </c>
      <c r="AB5" s="6">
        <v>0</v>
      </c>
      <c r="AC5" s="17">
        <v>1</v>
      </c>
      <c r="AD5" s="24">
        <f t="shared" si="3"/>
        <v>1506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39012_4-3/1504&lt;lv40&gt;s2</v>
      </c>
      <c r="B6" s="22">
        <v>39012</v>
      </c>
      <c r="C6" s="21">
        <v>4</v>
      </c>
      <c r="D6" s="2" t="str">
        <f t="shared" si="1"/>
        <v>39012_4</v>
      </c>
      <c r="E6" s="4" t="str">
        <f ca="1">VLOOKUP($B6,OFFSET([2]quests!$A$1,0,0,COUNTA([2]quests!$A:$A),MATCH(E$1,[2]quests!$1:$1,0)-MATCH($B$1,[2]quests!$1:$1,0)+1),MATCH(E$1,[2]quests!$1:$1,0)-MATCH($B$1,[2]quests!$1:$1,0)+1,FALSE)</f>
        <v>侵略！？にゃんこ軍団現る！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【超上級】侵略！？にゃんこ軍団現る！</v>
      </c>
      <c r="G6" s="21">
        <v>3</v>
      </c>
      <c r="H6" s="15" t="str">
        <f t="shared" si="2"/>
        <v>39012_4-3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38" t="s">
        <v>257</v>
      </c>
      <c r="L6" s="20">
        <v>1504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ネコ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40</v>
      </c>
      <c r="S6" s="111">
        <v>0.72260000000000002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14">
        <v>0.45400000000000001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6" s="61">
        <v>39012405</v>
      </c>
      <c r="Z6" s="6">
        <v>1</v>
      </c>
      <c r="AA6" s="6">
        <v>100</v>
      </c>
      <c r="AB6" s="6">
        <v>0</v>
      </c>
      <c r="AC6" s="17">
        <v>2</v>
      </c>
      <c r="AD6" s="24">
        <f t="shared" si="3"/>
        <v>1504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ネコ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Drop1T</v>
      </c>
      <c r="AH6" s="7">
        <v>1</v>
      </c>
      <c r="AI6" s="24">
        <f t="shared" ca="1" si="4"/>
        <v>1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39012_4-3/1507&lt;lv40&gt;s1</v>
      </c>
      <c r="B7" s="22">
        <v>39012</v>
      </c>
      <c r="C7" s="21">
        <v>4</v>
      </c>
      <c r="D7" s="2" t="str">
        <f t="shared" si="1"/>
        <v>39012_4</v>
      </c>
      <c r="E7" s="4" t="str">
        <f ca="1">VLOOKUP($B7,OFFSET([2]quests!$A$1,0,0,COUNTA([2]quests!$A:$A),MATCH(E$1,[2]quests!$1:$1,0)-MATCH($B$1,[2]quests!$1:$1,0)+1),MATCH(E$1,[2]quests!$1:$1,0)-MATCH($B$1,[2]quests!$1:$1,0)+1,FALSE)</f>
        <v>侵略！？にゃんこ軍団現る！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【超上級】侵略！？にゃんこ軍団現る！</v>
      </c>
      <c r="G7" s="21">
        <v>3</v>
      </c>
      <c r="H7" s="15" t="str">
        <f t="shared" si="2"/>
        <v>39012_4-3</v>
      </c>
      <c r="I7" s="4">
        <f ca="1">VLOOKUP($H7,OFFSET(floors!$A$1,0,0,COUNTA(floors!$A:$A),MATCH(I$1,floors!$1:$1,0)-MATCH($H$1,floors!$1:$1,0)+1),MATCH(I$1,floors!$1:$1,0)-MATCH($H$1,floors!$1:$1,0)+1,FALSE)</f>
        <v>40</v>
      </c>
      <c r="J7" s="4">
        <f ca="1">VLOOKUP($H7,OFFSET(floors!$A$1,0,0,COUNTA(floors!$A:$A),MATCH(J$1,floors!$1:$1,0)-MATCH($H$1,floors!$1:$1,0)+1),MATCH(J$1,floors!$1:$1,0)-MATCH($H$1,floors!$1:$1,0)+1,FALSE)</f>
        <v>40</v>
      </c>
      <c r="K7" s="38" t="s">
        <v>257</v>
      </c>
      <c r="L7" s="20">
        <v>1507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キモネコ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25</v>
      </c>
      <c r="R7" s="5">
        <v>40</v>
      </c>
      <c r="S7" s="111">
        <v>0.89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14">
        <v>0.98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種族Unknownのユニットに大ダメージ</v>
      </c>
      <c r="Y7" s="61">
        <v>39012406</v>
      </c>
      <c r="Z7" s="6">
        <v>1</v>
      </c>
      <c r="AA7" s="6">
        <v>100</v>
      </c>
      <c r="AB7" s="6">
        <v>1</v>
      </c>
      <c r="AC7" s="17">
        <v>1</v>
      </c>
      <c r="AD7" s="24">
        <f t="shared" si="3"/>
        <v>1507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キモネコ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3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39012_4-4/1506&lt;lv40&gt;s1</v>
      </c>
      <c r="B8" s="22">
        <v>39012</v>
      </c>
      <c r="C8" s="21">
        <v>4</v>
      </c>
      <c r="D8" s="2" t="str">
        <f t="shared" si="1"/>
        <v>39012_4</v>
      </c>
      <c r="E8" s="4" t="str">
        <f ca="1">VLOOKUP($B8,OFFSET([2]quests!$A$1,0,0,COUNTA([2]quests!$A:$A),MATCH(E$1,[2]quests!$1:$1,0)-MATCH($B$1,[2]quests!$1:$1,0)+1),MATCH(E$1,[2]quests!$1:$1,0)-MATCH($B$1,[2]quests!$1:$1,0)+1,FALSE)</f>
        <v>侵略！？にゃんこ軍団現る！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【超上級】侵略！？にゃんこ軍団現る！</v>
      </c>
      <c r="G8" s="21">
        <v>4</v>
      </c>
      <c r="H8" s="15" t="str">
        <f t="shared" si="2"/>
        <v>39012_4-4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257</v>
      </c>
      <c r="L8" s="20">
        <v>1506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バトルネコ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40</v>
      </c>
      <c r="S8" s="111">
        <v>0.97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114">
        <v>0.57399999999999995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2ターン赤パネル無効</v>
      </c>
      <c r="Y8" s="61">
        <v>39012408</v>
      </c>
      <c r="Z8" s="6">
        <v>1</v>
      </c>
      <c r="AA8" s="6">
        <v>100</v>
      </c>
      <c r="AB8" s="6">
        <v>0</v>
      </c>
      <c r="AC8" s="17">
        <v>1</v>
      </c>
      <c r="AD8" s="24">
        <f t="shared" si="3"/>
        <v>1506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バトルネコ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39012_4-4/1508&lt;lv40&gt;s2</v>
      </c>
      <c r="B9" s="22">
        <v>39012</v>
      </c>
      <c r="C9" s="21">
        <v>4</v>
      </c>
      <c r="D9" s="2" t="str">
        <f t="shared" si="1"/>
        <v>39012_4</v>
      </c>
      <c r="E9" s="4" t="str">
        <f ca="1">VLOOKUP($B9,OFFSET([2]quests!$A$1,0,0,COUNTA([2]quests!$A:$A),MATCH(E$1,[2]quests!$1:$1,0)-MATCH($B$1,[2]quests!$1:$1,0)+1),MATCH(E$1,[2]quests!$1:$1,0)-MATCH($B$1,[2]quests!$1:$1,0)+1,FALSE)</f>
        <v>侵略！？にゃんこ軍団現る！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【超上級】侵略！？にゃんこ軍団現る！</v>
      </c>
      <c r="G9" s="21">
        <v>4</v>
      </c>
      <c r="H9" s="15" t="str">
        <f t="shared" si="2"/>
        <v>39012_4-4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257</v>
      </c>
      <c r="L9" s="20">
        <v>1508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ネコノトリ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111">
        <v>0.55600000000000005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114">
        <v>0.373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8ターン全ユニットの攻撃力20%DOWN</v>
      </c>
      <c r="Y9" s="61">
        <v>39012407</v>
      </c>
      <c r="Z9" s="6">
        <v>1</v>
      </c>
      <c r="AA9" s="6">
        <v>100</v>
      </c>
      <c r="AB9" s="6">
        <v>1</v>
      </c>
      <c r="AC9" s="17">
        <v>2</v>
      </c>
      <c r="AD9" s="24">
        <f t="shared" si="3"/>
        <v>1508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ネコノトリ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Drop2N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39012_4-5/638&lt;lv40&gt;s1</v>
      </c>
      <c r="B10" s="22">
        <v>39012</v>
      </c>
      <c r="C10" s="21">
        <v>4</v>
      </c>
      <c r="D10" s="2" t="str">
        <f t="shared" si="1"/>
        <v>39012_4</v>
      </c>
      <c r="E10" s="4" t="str">
        <f ca="1">VLOOKUP($B10,OFFSET([2]quests!$A$1,0,0,COUNTA([2]quests!$A:$A),MATCH(E$1,[2]quests!$1:$1,0)-MATCH($B$1,[2]quests!$1:$1,0)+1),MATCH(E$1,[2]quests!$1:$1,0)-MATCH($B$1,[2]quests!$1:$1,0)+1,FALSE)</f>
        <v>侵略！？にゃんこ軍団現る！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【超上級】侵略！？にゃんこ軍団現る！</v>
      </c>
      <c r="G10" s="21">
        <v>5</v>
      </c>
      <c r="H10" s="15" t="str">
        <f t="shared" si="2"/>
        <v>39012_4-5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257</v>
      </c>
      <c r="L10" s="119">
        <v>638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神さま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40</v>
      </c>
      <c r="S10" s="111">
        <v>10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663730</v>
      </c>
      <c r="U10" s="114">
        <v>10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46690</v>
      </c>
      <c r="W10" s="5">
        <v>22222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別に呼んでないけど神さまがあらわれた！</v>
      </c>
      <c r="Y10" s="61">
        <v>39012410</v>
      </c>
      <c r="Z10" s="6">
        <v>1</v>
      </c>
      <c r="AA10" s="6">
        <v>100</v>
      </c>
      <c r="AB10" s="6">
        <v>1</v>
      </c>
      <c r="AC10" s="17">
        <v>1</v>
      </c>
      <c r="AD10" s="24">
        <f t="shared" si="3"/>
        <v>638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神さま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6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4"/>
        <v>6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ref="A11" si="5">B11&amp;"_"&amp;C11&amp;"-"&amp;G11&amp;"/"&amp;L11&amp;"&lt;lv"&amp;R11&amp;"&gt;s"&amp;AC11</f>
        <v>39012_4-6/1509&lt;lv40&gt;s1</v>
      </c>
      <c r="B11" s="22">
        <v>39012</v>
      </c>
      <c r="C11" s="21">
        <v>4</v>
      </c>
      <c r="D11" s="2" t="str">
        <f t="shared" ref="D11" si="6">B11&amp;"_"&amp;C11</f>
        <v>39012_4</v>
      </c>
      <c r="E11" s="4" t="str">
        <f ca="1">VLOOKUP($B11,OFFSET([2]quests!$A$1,0,0,COUNTA([2]quests!$A:$A),MATCH(E$1,[2]quests!$1:$1,0)-MATCH($B$1,[2]quests!$1:$1,0)+1),MATCH(E$1,[2]quests!$1:$1,0)-MATCH($B$1,[2]quests!$1:$1,0)+1,FALSE)</f>
        <v>侵略！？にゃんこ軍団現る！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【超上級】侵略！？にゃんこ軍団現る！</v>
      </c>
      <c r="G11" s="21">
        <v>6</v>
      </c>
      <c r="H11" s="15" t="str">
        <f t="shared" ref="H11" si="7">B11&amp;"_"&amp;C11&amp;"-"&amp;G11</f>
        <v>39012_4-6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257</v>
      </c>
      <c r="L11" s="20">
        <v>1509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巨神ネコ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40</v>
      </c>
      <c r="S11" s="111">
        <v>2.91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114">
        <v>1.3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5">
        <v>3000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11" s="61">
        <v>39012409</v>
      </c>
      <c r="Z11" s="6">
        <v>1</v>
      </c>
      <c r="AA11" s="6">
        <v>100</v>
      </c>
      <c r="AB11" s="6">
        <v>1</v>
      </c>
      <c r="AC11" s="17">
        <v>1</v>
      </c>
      <c r="AD11" s="24">
        <f t="shared" ref="AD11" si="8">L11</f>
        <v>1509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巨神ネコ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ref="AI11" ca="1" si="9">AF11</f>
        <v>5</v>
      </c>
      <c r="AJ11" s="8">
        <v>100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32" sqref="G3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249</v>
      </c>
      <c r="V1" s="26" t="s">
        <v>50</v>
      </c>
      <c r="W1" s="101" t="s">
        <v>250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39012_4-1/1&lt;lv40&gt;sq1st2</v>
      </c>
      <c r="B2" s="22">
        <v>39012</v>
      </c>
      <c r="C2" s="21">
        <v>4</v>
      </c>
      <c r="D2" s="2" t="str">
        <f>B2&amp;"_"&amp;C2</f>
        <v>39012_4</v>
      </c>
      <c r="E2" s="4" t="str">
        <f ca="1">VLOOKUP($B2,OFFSET([2]quests!$A$1,0,0,COUNTA([2]quests!$A:$A),MATCH(E$1,[2]quests!$1:$1,0)-MATCH($B$1,[2]quests!$1:$1,0)+1),MATCH(E$1,[2]quests!$1:$1,0)-MATCH($B$1,[2]quests!$1:$1,0)+1,FALSE)</f>
        <v>侵略！？にゃんこ軍団現る！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【超上級】侵略！？にゃんこ軍団現る！</v>
      </c>
      <c r="G2" s="21">
        <v>1</v>
      </c>
      <c r="H2" s="15" t="str">
        <f>B2&amp;"_"&amp;C2&amp;"-"&amp;G2</f>
        <v>39012_4-1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40</v>
      </c>
      <c r="T2" s="25">
        <v>1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8300</v>
      </c>
      <c r="V2" s="25">
        <v>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3040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61">
        <v>39012411</v>
      </c>
      <c r="AA2" s="70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workbookViewId="0">
      <pane xSplit="5" ySplit="1" topLeftCell="F50" activePane="bottomRight" state="frozen"/>
      <selection pane="topRight"/>
      <selection pane="bottomLeft"/>
      <selection pane="bottomRight" activeCell="E65" sqref="E65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8.33203125" style="49" bestFit="1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:A32" si="0">B2&amp;"_"&amp;C2</f>
        <v>39012401_39012401</v>
      </c>
      <c r="B2" s="47">
        <v>39012401</v>
      </c>
      <c r="C2" s="47">
        <v>39012401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7">
        <v>39012401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7"/>
      <c r="Q2" s="47"/>
      <c r="R2" s="47"/>
    </row>
    <row r="3" spans="1:18" ht="21" customHeight="1" x14ac:dyDescent="0.15">
      <c r="A3" s="39" t="str">
        <f t="shared" si="0"/>
        <v>39012401_39012402</v>
      </c>
      <c r="B3" s="47">
        <v>39012401</v>
      </c>
      <c r="C3" s="47">
        <v>39012402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とびつく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7">
        <v>39012402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39012401_39012403</v>
      </c>
      <c r="B4" s="47">
        <v>39012401</v>
      </c>
      <c r="C4" s="47">
        <v>39012403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じわじわと_x000D_接近してくる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47">
        <v>39012403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0"/>
        <v>39012401_39012404</v>
      </c>
      <c r="B5" s="47">
        <v>39012401</v>
      </c>
      <c r="C5" s="47">
        <v>39012404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あくびを_x000D_している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" s="47">
        <v>39012404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thickBot="1" x14ac:dyDescent="0.2">
      <c r="A6" s="128" t="str">
        <f t="shared" ref="A6" si="1">B6&amp;"_"&amp;C6</f>
        <v>39012401_39012434</v>
      </c>
      <c r="B6" s="129">
        <v>39012401</v>
      </c>
      <c r="C6" s="129">
        <v>39012434</v>
      </c>
      <c r="D6" s="130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6" s="130" t="str">
        <f ca="1">VLOOKUP($C6,OFFSET(enemy_skills!$A$1,0,0,COUNTA(enemy_skills!$A:$A),MATCH(E$1,enemy_skills!$1:$1,0)-MATCH("enemy_skill_id",enemy_skills!$1:$1,0)+1),MATCH(E$1,enemy_skills!$1:$1,0)-MATCH("enemy_skill_id",enemy_skills!$1:$1,0)+1,FALSE)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6" s="129">
        <v>39012433</v>
      </c>
      <c r="G6" s="131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31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131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31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31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31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31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31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6" s="131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29"/>
      <c r="Q6" s="129"/>
      <c r="R6" s="129"/>
    </row>
    <row r="7" spans="1:18" ht="21" customHeight="1" x14ac:dyDescent="0.15">
      <c r="A7" s="39" t="str">
        <f t="shared" si="0"/>
        <v>39012402_39012405</v>
      </c>
      <c r="B7" s="125">
        <v>39012402</v>
      </c>
      <c r="C7" s="125">
        <v>39012405</v>
      </c>
      <c r="D7" s="12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7" s="126" t="str">
        <f ca="1">VLOOKUP($C7,OFFSET(enemy_skills!$A$1,0,0,COUNTA(enemy_skills!$A:$A),MATCH(E$1,enemy_skills!$1:$1,0)-MATCH("enemy_skill_id",enemy_skills!$1:$1,0)+1),MATCH(E$1,enemy_skills!$1:$1,0)-MATCH("enemy_skill_id",enemy_skills!$1:$1,0)+1,FALSE)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" s="125">
        <v>39012405</v>
      </c>
      <c r="G7" s="12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2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" s="12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2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2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2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12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12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2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25"/>
      <c r="Q7" s="125"/>
      <c r="R7" s="125"/>
    </row>
    <row r="8" spans="1:18" ht="21" customHeight="1" x14ac:dyDescent="0.15">
      <c r="A8" s="39" t="str">
        <f t="shared" si="0"/>
        <v>39012402_39012406</v>
      </c>
      <c r="B8" s="47">
        <v>39012402</v>
      </c>
      <c r="C8" s="47">
        <v>39012406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47">
        <v>39012406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39012402_39012407</v>
      </c>
      <c r="B9" s="47">
        <v>39012402</v>
      </c>
      <c r="C9" s="47">
        <v>39012407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39012407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7"/>
      <c r="Q9" s="47"/>
      <c r="R9" s="47"/>
    </row>
    <row r="10" spans="1:18" ht="21" customHeight="1" thickBot="1" x14ac:dyDescent="0.2">
      <c r="A10" s="128" t="str">
        <f t="shared" si="0"/>
        <v>39012402_39012408</v>
      </c>
      <c r="B10" s="129">
        <v>39012402</v>
      </c>
      <c r="C10" s="129">
        <v>39012408</v>
      </c>
      <c r="D10" s="130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ネコを_x000D_守っている</v>
      </c>
      <c r="E10" s="130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ネコの防御力激烈UP+_x000D_敵全体にスリープ耐性&amp;スキルバインド耐性</v>
      </c>
      <c r="F10" s="129">
        <v>39012408</v>
      </c>
      <c r="G10" s="131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131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131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31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31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31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31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31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31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29"/>
      <c r="Q10" s="129"/>
      <c r="R10" s="129"/>
    </row>
    <row r="11" spans="1:18" ht="21" customHeight="1" x14ac:dyDescent="0.15">
      <c r="A11" s="39" t="str">
        <f t="shared" ref="A11:A14" si="2">B11&amp;"_"&amp;C11</f>
        <v>39012403_39012405</v>
      </c>
      <c r="B11" s="125">
        <v>39012403</v>
      </c>
      <c r="C11" s="125">
        <v>39012405</v>
      </c>
      <c r="D11" s="12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味方を_x000D_守っている</v>
      </c>
      <c r="E11" s="12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" s="125">
        <v>39012405</v>
      </c>
      <c r="G11" s="12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2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1" s="12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2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2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2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2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12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2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25"/>
      <c r="Q11" s="125"/>
      <c r="R11" s="125"/>
    </row>
    <row r="12" spans="1:18" ht="21" customHeight="1" x14ac:dyDescent="0.15">
      <c r="A12" s="39" t="str">
        <f t="shared" si="2"/>
        <v>39012403_39012406</v>
      </c>
      <c r="B12" s="47">
        <v>39012403</v>
      </c>
      <c r="C12" s="47">
        <v>39012406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タンクネコは_x000D_動かなくなった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" s="47">
        <v>39012406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39012403_39012407</v>
      </c>
      <c r="B13" s="47">
        <v>39012403</v>
      </c>
      <c r="C13" s="47">
        <v>39012407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高速頭突き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47">
        <v>39012407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thickBot="1" x14ac:dyDescent="0.2">
      <c r="A14" s="128" t="str">
        <f t="shared" si="2"/>
        <v>39012403_39012433</v>
      </c>
      <c r="B14" s="129">
        <v>39012403</v>
      </c>
      <c r="C14" s="129">
        <v>39012433</v>
      </c>
      <c r="D14" s="130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バトルネコを_x000D_守っている</v>
      </c>
      <c r="E14" s="130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バトルネコの防御力激烈UP+_x000D_敵全体にスリープ耐性&amp;スキルバインド耐性</v>
      </c>
      <c r="F14" s="129">
        <v>39012408</v>
      </c>
      <c r="G14" s="131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31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131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31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31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31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31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31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31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29"/>
      <c r="Q14" s="129"/>
      <c r="R14" s="129"/>
    </row>
    <row r="15" spans="1:18" ht="21" customHeight="1" x14ac:dyDescent="0.15">
      <c r="A15" s="39" t="str">
        <f t="shared" si="0"/>
        <v>39012404_39012409</v>
      </c>
      <c r="B15" s="125">
        <v>39012404</v>
      </c>
      <c r="C15" s="125">
        <v>39012409</v>
      </c>
      <c r="D15" s="12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15" s="12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15" s="125">
        <v>39012409</v>
      </c>
      <c r="G15" s="12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12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5" s="12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5" s="12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2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2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12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12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2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5" s="125"/>
      <c r="Q15" s="125"/>
      <c r="R15" s="125"/>
    </row>
    <row r="16" spans="1:18" ht="21" customHeight="1" x14ac:dyDescent="0.15">
      <c r="A16" s="39" t="str">
        <f t="shared" si="0"/>
        <v>39012404_39012410</v>
      </c>
      <c r="B16" s="47">
        <v>39012404</v>
      </c>
      <c r="C16" s="47">
        <v>39012410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47">
        <v>39012410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" s="47"/>
      <c r="Q16" s="47"/>
      <c r="R16" s="47"/>
    </row>
    <row r="17" spans="1:18" ht="21" customHeight="1" x14ac:dyDescent="0.15">
      <c r="A17" s="39" t="str">
        <f t="shared" si="0"/>
        <v>39012404_39012411</v>
      </c>
      <c r="B17" s="47">
        <v>39012404</v>
      </c>
      <c r="C17" s="47">
        <v>39012411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レッドエリミネーション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17" s="47">
        <v>39012411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7" s="47"/>
      <c r="Q17" s="47"/>
      <c r="R17" s="47"/>
    </row>
    <row r="18" spans="1:18" ht="21" customHeight="1" x14ac:dyDescent="0.15">
      <c r="A18" s="39" t="str">
        <f t="shared" si="0"/>
        <v>39012404_39012412</v>
      </c>
      <c r="B18" s="47">
        <v>39012404</v>
      </c>
      <c r="C18" s="47">
        <v>39012412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戦士の誇り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18" s="47">
        <v>39012412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thickBot="1" x14ac:dyDescent="0.2">
      <c r="A19" s="128" t="str">
        <f t="shared" ref="A19:A23" si="3">B19&amp;"_"&amp;C19</f>
        <v>39012404_39012435</v>
      </c>
      <c r="B19" s="129">
        <v>39012404</v>
      </c>
      <c r="C19" s="129">
        <v>39012435</v>
      </c>
      <c r="D19" s="13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無防備に_x000D_突撃してくる</v>
      </c>
      <c r="E19" s="13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敵全体の全ての効果を解除+_x000D_1ターン敵全体にスキルバインド</v>
      </c>
      <c r="F19" s="129">
        <v>39012433</v>
      </c>
      <c r="G19" s="131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131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131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31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31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31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31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31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1505</v>
      </c>
      <c r="O19" s="131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29"/>
      <c r="Q19" s="129"/>
      <c r="R19" s="129"/>
    </row>
    <row r="20" spans="1:18" ht="21" customHeight="1" x14ac:dyDescent="0.15">
      <c r="A20" s="39" t="str">
        <f t="shared" si="3"/>
        <v>39012405_39012401</v>
      </c>
      <c r="B20" s="125">
        <v>39012405</v>
      </c>
      <c r="C20" s="125">
        <v>39012401</v>
      </c>
      <c r="D20" s="12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かみつく</v>
      </c>
      <c r="E20" s="12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" s="125">
        <v>39012401</v>
      </c>
      <c r="G20" s="12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12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" s="12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0" s="12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2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2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12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" s="12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2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0" s="125"/>
      <c r="Q20" s="125"/>
      <c r="R20" s="125"/>
    </row>
    <row r="21" spans="1:18" ht="21" customHeight="1" x14ac:dyDescent="0.15">
      <c r="A21" s="39" t="str">
        <f t="shared" si="3"/>
        <v>39012405_39012402</v>
      </c>
      <c r="B21" s="47">
        <v>39012405</v>
      </c>
      <c r="C21" s="47">
        <v>39012402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とびつく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1" s="47">
        <v>39012402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39012405_39012403</v>
      </c>
      <c r="B22" s="47">
        <v>39012405</v>
      </c>
      <c r="C22" s="47">
        <v>39012403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じわじわと_x000D_接近してくる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" s="47">
        <v>39012403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thickBot="1" x14ac:dyDescent="0.2">
      <c r="A23" s="128" t="str">
        <f t="shared" si="3"/>
        <v>39012405_39012404</v>
      </c>
      <c r="B23" s="129">
        <v>39012405</v>
      </c>
      <c r="C23" s="129">
        <v>39012404</v>
      </c>
      <c r="D23" s="130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あくびを_x000D_している</v>
      </c>
      <c r="E23" s="130" t="str">
        <f ca="1">VLOOKUP($C23,OFFSET(enemy_skills!$A$1,0,0,COUNTA(enemy_skills!$A:$A),MATCH(E$1,enemy_skills!$1:$1,0)-MATCH("enemy_skill_id",enemy_skills!$1:$1,0)+1),MATCH(E$1,enemy_skills!$1:$1,0)-MATCH("enemy_skill_id",enemy_skills!$1:$1,0)+1,FALSE)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" s="129">
        <v>39012404</v>
      </c>
      <c r="G23" s="131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131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3" s="131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31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31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31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131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31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31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29"/>
      <c r="Q23" s="129"/>
      <c r="R23" s="129"/>
    </row>
    <row r="24" spans="1:18" ht="21" customHeight="1" x14ac:dyDescent="0.15">
      <c r="A24" s="39" t="str">
        <f t="shared" si="0"/>
        <v>39012406_39012413</v>
      </c>
      <c r="B24" s="125">
        <v>39012406</v>
      </c>
      <c r="C24" s="125">
        <v>39012413</v>
      </c>
      <c r="D24" s="12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しなる触腕</v>
      </c>
      <c r="E24" s="12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種族Unknownのユニットに大ダメージ</v>
      </c>
      <c r="F24" s="125">
        <v>39012413</v>
      </c>
      <c r="G24" s="12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2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4" s="12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12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12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2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12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12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2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125"/>
      <c r="Q24" s="125"/>
      <c r="R24" s="125"/>
    </row>
    <row r="25" spans="1:18" ht="21" customHeight="1" x14ac:dyDescent="0.15">
      <c r="A25" s="39" t="str">
        <f t="shared" si="0"/>
        <v>39012406_39012414</v>
      </c>
      <c r="B25" s="47">
        <v>39012406</v>
      </c>
      <c r="C25" s="47">
        <v>39012414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たたく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単体攻撃</v>
      </c>
      <c r="F25" s="47">
        <v>39012414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39012406_39012415</v>
      </c>
      <c r="B26" s="47">
        <v>39012406</v>
      </c>
      <c r="C26" s="47">
        <v>39012415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脚がとても長い…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6" s="47">
        <v>39012415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6" s="47"/>
      <c r="Q26" s="47"/>
      <c r="R26" s="47"/>
    </row>
    <row r="27" spans="1:18" ht="21" customHeight="1" x14ac:dyDescent="0.15">
      <c r="A27" s="39" t="str">
        <f t="shared" si="0"/>
        <v>39012406_39012416</v>
      </c>
      <c r="B27" s="47">
        <v>39012406</v>
      </c>
      <c r="C27" s="47">
        <v>39012416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こちらに_x000D_方向転換しようとしている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7" s="47">
        <v>39012416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7" s="47"/>
      <c r="Q27" s="47"/>
      <c r="R27" s="47"/>
    </row>
    <row r="28" spans="1:18" ht="21" customHeight="1" x14ac:dyDescent="0.15">
      <c r="A28" s="39" t="str">
        <f t="shared" si="0"/>
        <v>39012406_39012417</v>
      </c>
      <c r="B28" s="47">
        <v>39012406</v>
      </c>
      <c r="C28" s="47">
        <v>39012417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キモネコは_x000D_脚を巧みに動かしている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" s="47">
        <v>39012417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thickBot="1" x14ac:dyDescent="0.2">
      <c r="A29" s="128" t="str">
        <f t="shared" si="0"/>
        <v>39012406_39012418</v>
      </c>
      <c r="B29" s="129">
        <v>39012406</v>
      </c>
      <c r="C29" s="129">
        <v>39012418</v>
      </c>
      <c r="D29" s="130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長い脚を絡ませずに_x000D_上手に歩いている</v>
      </c>
      <c r="E29" s="130" t="str">
        <f ca="1">VLOOKUP($C29,OFFSET(enemy_skills!$A$1,0,0,COUNTA(enemy_skills!$A:$A),MATCH(E$1,enemy_skills!$1:$1,0)-MATCH("enemy_skill_id",enemy_skills!$1:$1,0)+1),MATCH(E$1,enemy_skills!$1:$1,0)-MATCH("enemy_skill_id",enemy_skills!$1:$1,0)+1,FALSE)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" s="129">
        <v>39012418</v>
      </c>
      <c r="G29" s="131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131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29" s="131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131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31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31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131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31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31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29"/>
      <c r="Q29" s="129"/>
      <c r="R29" s="129"/>
    </row>
    <row r="30" spans="1:18" ht="21" customHeight="1" x14ac:dyDescent="0.15">
      <c r="A30" s="39" t="str">
        <f t="shared" si="0"/>
        <v>39012407_39012419</v>
      </c>
      <c r="B30" s="125">
        <v>39012407</v>
      </c>
      <c r="C30" s="125">
        <v>39012419</v>
      </c>
      <c r="D30" s="12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魅惑のダンス</v>
      </c>
      <c r="E30" s="12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8ターン全ユニットの攻撃力20%DOWN</v>
      </c>
      <c r="F30" s="125">
        <v>39012419</v>
      </c>
      <c r="G30" s="12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12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12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2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2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2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2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2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2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25"/>
      <c r="Q30" s="125"/>
      <c r="R30" s="125"/>
    </row>
    <row r="31" spans="1:18" ht="21" customHeight="1" x14ac:dyDescent="0.15">
      <c r="A31" s="39" t="str">
        <f t="shared" si="0"/>
        <v>39012407_39012420</v>
      </c>
      <c r="B31" s="47">
        <v>39012407</v>
      </c>
      <c r="C31" s="47">
        <v>39012420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体当たり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" s="47">
        <v>39012420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" s="47"/>
      <c r="Q31" s="47"/>
      <c r="R31" s="47"/>
    </row>
    <row r="32" spans="1:18" ht="21" customHeight="1" x14ac:dyDescent="0.15">
      <c r="A32" s="39" t="str">
        <f t="shared" si="0"/>
        <v>39012407_39012421</v>
      </c>
      <c r="B32" s="47">
        <v>39012407</v>
      </c>
      <c r="C32" s="47">
        <v>39012421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上空を旋回している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" s="47">
        <v>39012421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2" s="47"/>
      <c r="Q32" s="47"/>
      <c r="R32" s="47"/>
    </row>
    <row r="33" spans="1:18" ht="21" customHeight="1" x14ac:dyDescent="0.15">
      <c r="A33" s="39" t="str">
        <f t="shared" ref="A33:A58" si="4">B33&amp;"_"&amp;C33</f>
        <v>39012407_39012422</v>
      </c>
      <c r="B33" s="47">
        <v>39012407</v>
      </c>
      <c r="C33" s="47">
        <v>39012422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こちらを狙っている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3" s="47">
        <v>39012422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7"/>
      <c r="Q33" s="47"/>
      <c r="R33" s="47"/>
    </row>
    <row r="34" spans="1:18" ht="21" customHeight="1" thickBot="1" x14ac:dyDescent="0.2">
      <c r="A34" s="128" t="str">
        <f t="shared" si="4"/>
        <v>39012407_39012423</v>
      </c>
      <c r="B34" s="129">
        <v>39012407</v>
      </c>
      <c r="C34" s="129">
        <v>39012423</v>
      </c>
      <c r="D34" s="130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急降下で向かってくる</v>
      </c>
      <c r="E34" s="130" t="str">
        <f ca="1">VLOOKUP($C34,OFFSET(enemy_skills!$A$1,0,0,COUNTA(enemy_skills!$A:$A),MATCH(E$1,enemy_skills!$1:$1,0)-MATCH("enemy_skill_id",enemy_skills!$1:$1,0)+1),MATCH(E$1,enemy_skills!$1:$1,0)-MATCH("enemy_skill_id",enemy_skills!$1:$1,0)+1,FALSE)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4" s="129">
        <v>39012423</v>
      </c>
      <c r="G34" s="131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131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4" s="131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131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131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131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131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131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131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129"/>
      <c r="Q34" s="129"/>
      <c r="R34" s="129"/>
    </row>
    <row r="35" spans="1:18" ht="21" customHeight="1" x14ac:dyDescent="0.15">
      <c r="A35" s="39" t="str">
        <f t="shared" si="4"/>
        <v>39012408_39012409</v>
      </c>
      <c r="B35" s="125">
        <v>39012408</v>
      </c>
      <c r="C35" s="125">
        <v>39012409</v>
      </c>
      <c r="D35" s="12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ディスレッド</v>
      </c>
      <c r="E35" s="12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2ターン赤パネル無効</v>
      </c>
      <c r="F35" s="125">
        <v>39012409</v>
      </c>
      <c r="G35" s="12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2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5" s="12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12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2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2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12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12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2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125"/>
      <c r="Q35" s="125"/>
      <c r="R35" s="125"/>
    </row>
    <row r="36" spans="1:18" ht="21" customHeight="1" x14ac:dyDescent="0.15">
      <c r="A36" s="39" t="str">
        <f t="shared" si="4"/>
        <v>39012408_39012410</v>
      </c>
      <c r="B36" s="47">
        <v>39012408</v>
      </c>
      <c r="C36" s="47">
        <v>39012410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バトルアクス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6" s="47">
        <v>39012410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7"/>
      <c r="Q36" s="47"/>
      <c r="R36" s="47"/>
    </row>
    <row r="37" spans="1:18" ht="21" customHeight="1" x14ac:dyDescent="0.15">
      <c r="A37" s="39" t="str">
        <f t="shared" si="4"/>
        <v>39012408_39012411</v>
      </c>
      <c r="B37" s="47">
        <v>39012408</v>
      </c>
      <c r="C37" s="47">
        <v>39012411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レッドエリミネーション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7" s="47">
        <v>39012411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7" s="47"/>
      <c r="Q37" s="47"/>
      <c r="R37" s="47"/>
    </row>
    <row r="38" spans="1:18" ht="21" customHeight="1" thickBot="1" x14ac:dyDescent="0.2">
      <c r="A38" s="128" t="str">
        <f t="shared" si="4"/>
        <v>39012408_39012412</v>
      </c>
      <c r="B38" s="129">
        <v>39012408</v>
      </c>
      <c r="C38" s="129">
        <v>39012412</v>
      </c>
      <c r="D38" s="130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戦士の誇り</v>
      </c>
      <c r="E38" s="130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8" s="129">
        <v>39012412</v>
      </c>
      <c r="G38" s="131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131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8" s="131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31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31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31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131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31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31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29"/>
      <c r="Q38" s="129"/>
      <c r="R38" s="129"/>
    </row>
    <row r="39" spans="1:18" ht="21" customHeight="1" x14ac:dyDescent="0.15">
      <c r="A39" s="39" t="str">
        <f t="shared" ref="A39" si="5">B39&amp;"_"&amp;C39</f>
        <v>39012410_39012436</v>
      </c>
      <c r="B39" s="125">
        <v>39012410</v>
      </c>
      <c r="C39" s="125">
        <v>39012436</v>
      </c>
      <c r="D39" s="12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『呼んだ？ボク、神さまだけど。』</v>
      </c>
      <c r="E39" s="12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別に呼んでないけど神さまがあらわれた！</v>
      </c>
      <c r="F39" s="125">
        <v>39012434</v>
      </c>
      <c r="G39" s="12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12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12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2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2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2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12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12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2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25"/>
      <c r="Q39" s="125"/>
      <c r="R39" s="125"/>
    </row>
    <row r="40" spans="1:18" ht="21" customHeight="1" thickBot="1" x14ac:dyDescent="0.2">
      <c r="A40" s="128" t="str">
        <f>B40&amp;"_"&amp;C40</f>
        <v>39012410_39012437</v>
      </c>
      <c r="B40" s="129">
        <v>39012410</v>
      </c>
      <c r="C40" s="129">
        <v>39012437</v>
      </c>
      <c r="D40" s="130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神のチカラ</v>
      </c>
      <c r="E40" s="130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ランダムで先頭ユニットのSCパネルに最大5個変換</v>
      </c>
      <c r="F40" s="129">
        <v>39012435</v>
      </c>
      <c r="G40" s="131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31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0" s="131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31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31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31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131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31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31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29"/>
      <c r="Q40" s="129"/>
      <c r="R40" s="129"/>
    </row>
    <row r="41" spans="1:18" ht="21" customHeight="1" x14ac:dyDescent="0.15">
      <c r="A41" s="39" t="str">
        <f t="shared" ref="A41" si="6">B41&amp;"_"&amp;C41</f>
        <v>39012409_39012427</v>
      </c>
      <c r="B41" s="47">
        <v>39012409</v>
      </c>
      <c r="C41" s="47">
        <v>39012427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遠くから巨大なにゃんこが_x000D_距離を詰めてきている…！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47">
        <v>39012427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7">B42&amp;"_"&amp;C42</f>
        <v>39012409_39012438</v>
      </c>
      <c r="B42" s="125">
        <v>39012409</v>
      </c>
      <c r="C42" s="142">
        <v>39012438</v>
      </c>
      <c r="D42" s="12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この巨躯の前ではヒーローもたまらんにゃ</v>
      </c>
      <c r="E42" s="12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04">
        <v>39012436</v>
      </c>
      <c r="G42" s="12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12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107</v>
      </c>
      <c r="I42" s="12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2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2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2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12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27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42" s="12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25"/>
      <c r="Q42" s="125"/>
      <c r="R42" s="125"/>
    </row>
    <row r="43" spans="1:18" ht="21" customHeight="1" x14ac:dyDescent="0.15">
      <c r="A43" s="39" t="str">
        <f t="shared" ref="A43" si="8">B43&amp;"_"&amp;C43</f>
        <v>39012409_39012438</v>
      </c>
      <c r="B43" s="125">
        <v>39012409</v>
      </c>
      <c r="C43" s="142">
        <v>39012438</v>
      </c>
      <c r="D43" s="12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この巨躯の前ではヒーローもたまらんにゃ</v>
      </c>
      <c r="E43" s="12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3" s="104">
        <v>39012437</v>
      </c>
      <c r="G43" s="12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2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108</v>
      </c>
      <c r="I43" s="12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2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2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2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2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27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43" s="12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25"/>
      <c r="Q43" s="125"/>
      <c r="R43" s="125"/>
    </row>
    <row r="44" spans="1:18" ht="21" customHeight="1" x14ac:dyDescent="0.15">
      <c r="A44" s="39" t="str">
        <f t="shared" ref="A44" si="9">B44&amp;"_"&amp;C44</f>
        <v>39012409_39012439</v>
      </c>
      <c r="B44" s="125">
        <v>39012409</v>
      </c>
      <c r="C44" s="142">
        <v>39012439</v>
      </c>
      <c r="D44" s="12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美の女神も強靭な肉体には敵わんにゃ</v>
      </c>
      <c r="E44" s="12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4" s="104">
        <v>39012438</v>
      </c>
      <c r="G44" s="12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12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4" s="12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2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12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2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2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127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44" s="12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25"/>
      <c r="Q44" s="125"/>
      <c r="R44" s="125"/>
    </row>
    <row r="45" spans="1:18" ht="21" customHeight="1" x14ac:dyDescent="0.15">
      <c r="A45" s="39" t="str">
        <f t="shared" ref="A45" si="10">B45&amp;"_"&amp;C45</f>
        <v>39012409_39012439</v>
      </c>
      <c r="B45" s="125">
        <v>39012409</v>
      </c>
      <c r="C45" s="142">
        <v>39012439</v>
      </c>
      <c r="D45" s="12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美の女神も強靭な肉体には敵わんにゃ</v>
      </c>
      <c r="E45" s="12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5" s="104">
        <v>39012439</v>
      </c>
      <c r="G45" s="12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12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104</v>
      </c>
      <c r="I45" s="12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2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2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2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2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27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45" s="12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25"/>
      <c r="Q45" s="125"/>
      <c r="R45" s="125"/>
    </row>
    <row r="46" spans="1:18" ht="21" customHeight="1" x14ac:dyDescent="0.15">
      <c r="A46" s="39" t="str">
        <f t="shared" ref="A46:A55" si="11">B46&amp;"_"&amp;C46</f>
        <v>39012409_39012440</v>
      </c>
      <c r="B46" s="125">
        <v>39012409</v>
      </c>
      <c r="C46" s="142">
        <v>39012440</v>
      </c>
      <c r="D46" s="12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その豊満なボディとこの巨躯、勝負にゃ</v>
      </c>
      <c r="E46" s="12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6" s="104">
        <v>39012440</v>
      </c>
      <c r="G46" s="12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12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114</v>
      </c>
      <c r="I46" s="12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2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12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2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2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127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46" s="12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25"/>
      <c r="Q46" s="125"/>
      <c r="R46" s="125"/>
    </row>
    <row r="47" spans="1:18" ht="21" customHeight="1" x14ac:dyDescent="0.15">
      <c r="A47" s="39" t="str">
        <f t="shared" ref="A47" si="12">B47&amp;"_"&amp;C47</f>
        <v>39012409_39012440</v>
      </c>
      <c r="B47" s="125">
        <v>39012409</v>
      </c>
      <c r="C47" s="142">
        <v>39012440</v>
      </c>
      <c r="D47" s="12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その豊満なボディとこの巨躯、勝負にゃ</v>
      </c>
      <c r="E47" s="12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7" s="104">
        <v>39012441</v>
      </c>
      <c r="G47" s="12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12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47" s="12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12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12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12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12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12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47" s="12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125"/>
      <c r="Q47" s="125"/>
      <c r="R47" s="125"/>
    </row>
    <row r="48" spans="1:18" ht="21" customHeight="1" x14ac:dyDescent="0.15">
      <c r="A48" s="39" t="str">
        <f t="shared" si="11"/>
        <v>39012409_39012441</v>
      </c>
      <c r="B48" s="125">
        <v>39012409</v>
      </c>
      <c r="C48" s="142">
        <v>39012441</v>
      </c>
      <c r="D48" s="12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超絶破壊力の前では美貌は無力にゃ！</v>
      </c>
      <c r="E48" s="12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8" s="104">
        <v>39012442</v>
      </c>
      <c r="G48" s="12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12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48" s="12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12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12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12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12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12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48" s="12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125"/>
      <c r="Q48" s="125"/>
      <c r="R48" s="125"/>
    </row>
    <row r="49" spans="1:18" ht="21" customHeight="1" x14ac:dyDescent="0.15">
      <c r="A49" s="39" t="str">
        <f t="shared" ref="A49" si="13">B49&amp;"_"&amp;C49</f>
        <v>39012409_39012441</v>
      </c>
      <c r="B49" s="125">
        <v>39012409</v>
      </c>
      <c r="C49" s="142">
        <v>39012441</v>
      </c>
      <c r="D49" s="12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超絶破壊力の前では美貌は無力にゃ！</v>
      </c>
      <c r="E49" s="12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9" s="104">
        <v>39012443</v>
      </c>
      <c r="G49" s="12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12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113</v>
      </c>
      <c r="I49" s="12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12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12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12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12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12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49" s="12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125"/>
      <c r="Q49" s="125"/>
      <c r="R49" s="125"/>
    </row>
    <row r="50" spans="1:18" ht="21" customHeight="1" x14ac:dyDescent="0.15">
      <c r="A50" s="39" t="str">
        <f t="shared" si="11"/>
        <v>39012409_39012442</v>
      </c>
      <c r="B50" s="125">
        <v>39012409</v>
      </c>
      <c r="C50" s="142">
        <v>39012442</v>
      </c>
      <c r="D50" s="12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戦女神と破壊の力、どちらが強いかにゃ？</v>
      </c>
      <c r="E50" s="12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0" s="104">
        <v>39012444</v>
      </c>
      <c r="G50" s="12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12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109</v>
      </c>
      <c r="I50" s="12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12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12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12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12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12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50" s="12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25"/>
      <c r="Q50" s="125"/>
      <c r="R50" s="125"/>
    </row>
    <row r="51" spans="1:18" ht="21" customHeight="1" x14ac:dyDescent="0.15">
      <c r="A51" s="39" t="str">
        <f t="shared" ref="A51" si="14">B51&amp;"_"&amp;C51</f>
        <v>39012409_39012442</v>
      </c>
      <c r="B51" s="125">
        <v>39012409</v>
      </c>
      <c r="C51" s="142">
        <v>39012442</v>
      </c>
      <c r="D51" s="12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戦女神と破壊の力、どちらが強いかにゃ？</v>
      </c>
      <c r="E51" s="12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1" s="104">
        <v>39012445</v>
      </c>
      <c r="G51" s="12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12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1" s="12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2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2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2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2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27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51" s="12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25"/>
      <c r="Q51" s="125"/>
      <c r="R51" s="125"/>
    </row>
    <row r="52" spans="1:18" ht="21" customHeight="1" x14ac:dyDescent="0.15">
      <c r="A52" s="39" t="str">
        <f t="shared" ref="A52" si="15">B52&amp;"_"&amp;C52</f>
        <v>39012409_39012442</v>
      </c>
      <c r="B52" s="125">
        <v>39012409</v>
      </c>
      <c r="C52" s="142">
        <v>39012442</v>
      </c>
      <c r="D52" s="12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戦女神と破壊の力、どちらが強いかにゃ？</v>
      </c>
      <c r="E52" s="12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2" s="104">
        <v>39012446</v>
      </c>
      <c r="G52" s="12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2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52" s="12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2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2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2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2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27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52" s="12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125"/>
      <c r="Q52" s="125"/>
      <c r="R52" s="125"/>
    </row>
    <row r="53" spans="1:18" ht="21" customHeight="1" x14ac:dyDescent="0.15">
      <c r="A53" s="39" t="str">
        <f t="shared" si="11"/>
        <v>39012409_39012443</v>
      </c>
      <c r="B53" s="125">
        <v>39012409</v>
      </c>
      <c r="C53" s="142">
        <v>39012443</v>
      </c>
      <c r="D53" s="12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超古代兵器…！腕が鳴るにゃ</v>
      </c>
      <c r="E53" s="12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3" s="104">
        <v>39012447</v>
      </c>
      <c r="G53" s="12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12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3" s="12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12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12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12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12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127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53" s="12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125"/>
      <c r="Q53" s="125"/>
      <c r="R53" s="125"/>
    </row>
    <row r="54" spans="1:18" ht="21" customHeight="1" x14ac:dyDescent="0.15">
      <c r="A54" s="39" t="str">
        <f t="shared" ref="A54" si="16">B54&amp;"_"&amp;C54</f>
        <v>39012409_39012443</v>
      </c>
      <c r="B54" s="125">
        <v>39012409</v>
      </c>
      <c r="C54" s="142">
        <v>39012443</v>
      </c>
      <c r="D54" s="12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超古代兵器…！腕が鳴るにゃ</v>
      </c>
      <c r="E54" s="12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4" s="104">
        <v>39012448</v>
      </c>
      <c r="G54" s="12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12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106</v>
      </c>
      <c r="I54" s="12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12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12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12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12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12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54" s="12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25"/>
      <c r="Q54" s="125"/>
      <c r="R54" s="125"/>
    </row>
    <row r="55" spans="1:18" ht="21" customHeight="1" x14ac:dyDescent="0.15">
      <c r="A55" s="39" t="str">
        <f t="shared" si="11"/>
        <v>39012409_39012444</v>
      </c>
      <c r="B55" s="125">
        <v>39012409</v>
      </c>
      <c r="C55" s="142">
        <v>39012444</v>
      </c>
      <c r="D55" s="12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癒しの力にはやられんにゃ！</v>
      </c>
      <c r="E55" s="12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5" s="104">
        <v>39012449</v>
      </c>
      <c r="G55" s="12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12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5" s="12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12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12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12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12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12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55" s="12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25"/>
      <c r="Q55" s="125"/>
      <c r="R55" s="125"/>
    </row>
    <row r="56" spans="1:18" ht="21" customHeight="1" x14ac:dyDescent="0.15">
      <c r="A56" s="39" t="str">
        <f t="shared" ref="A56" si="17">B56&amp;"_"&amp;C56</f>
        <v>39012409_39012444</v>
      </c>
      <c r="B56" s="125">
        <v>39012409</v>
      </c>
      <c r="C56" s="142">
        <v>39012444</v>
      </c>
      <c r="D56" s="12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癒しの力にはやられんにゃ！</v>
      </c>
      <c r="E56" s="12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6" s="104">
        <v>39012450</v>
      </c>
      <c r="G56" s="12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12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56" s="12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2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2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2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12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12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56" s="12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125"/>
      <c r="Q56" s="125"/>
      <c r="R56" s="125"/>
    </row>
    <row r="57" spans="1:18" ht="21" customHeight="1" x14ac:dyDescent="0.15">
      <c r="A57" s="39" t="str">
        <f t="shared" si="4"/>
        <v>39012409_39012424</v>
      </c>
      <c r="B57" s="125">
        <v>39012409</v>
      </c>
      <c r="C57" s="125">
        <v>39012424</v>
      </c>
      <c r="D57" s="12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強靭な巨体</v>
      </c>
      <c r="E57" s="12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1ターンお邪魔パネル吸収して防御力UP+_x000D_1ターン全ユニットの攻撃をカウンター</v>
      </c>
      <c r="F57" s="125">
        <v>39012424</v>
      </c>
      <c r="G57" s="12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2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7" s="12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7" s="12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2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2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12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12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2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7" s="125"/>
      <c r="Q57" s="125"/>
      <c r="R57" s="125"/>
    </row>
    <row r="58" spans="1:18" ht="21" customHeight="1" x14ac:dyDescent="0.15">
      <c r="A58" s="39" t="str">
        <f t="shared" si="4"/>
        <v>39012409_39012425</v>
      </c>
      <c r="B58" s="47">
        <v>39012409</v>
      </c>
      <c r="C58" s="47">
        <v>39012425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荒ぶる咆哮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58" s="47">
        <v>39012425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8" s="47"/>
      <c r="Q58" s="47"/>
      <c r="R58" s="47"/>
    </row>
    <row r="59" spans="1:18" ht="21" customHeight="1" x14ac:dyDescent="0.15">
      <c r="A59" s="39" t="str">
        <f t="shared" ref="A59" si="18">B59&amp;"_"&amp;C59</f>
        <v>39012409_39012426</v>
      </c>
      <c r="B59" s="47">
        <v>39012409</v>
      </c>
      <c r="C59" s="47">
        <v>39012426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豪腕の鉄槌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9" s="47">
        <v>39012426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ref="A60:A79" si="19">B60&amp;"_"&amp;C60</f>
        <v>39012409_39012428</v>
      </c>
      <c r="B60" s="47">
        <v>39012409</v>
      </c>
      <c r="C60" s="47">
        <v>39012428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巨神ネコは_x000D_攻撃動作に入ろうとしている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0" s="47">
        <v>39012428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0" s="47"/>
      <c r="Q60" s="47"/>
      <c r="R60" s="47"/>
    </row>
    <row r="61" spans="1:18" ht="21" customHeight="1" x14ac:dyDescent="0.15">
      <c r="A61" s="39" t="str">
        <f t="shared" si="19"/>
        <v>39012409_39012429</v>
      </c>
      <c r="B61" s="47">
        <v>39012409</v>
      </c>
      <c r="C61" s="47">
        <v>39012429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巨神ネコが_x000D_腕をゆっくりと振り上げていく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1" s="47">
        <v>39012429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1" s="47"/>
      <c r="Q61" s="47"/>
      <c r="R61" s="47"/>
    </row>
    <row r="62" spans="1:18" ht="21" customHeight="1" x14ac:dyDescent="0.15">
      <c r="A62" s="39" t="str">
        <f t="shared" si="19"/>
        <v>39012409_39012430</v>
      </c>
      <c r="B62" s="47">
        <v>39012409</v>
      </c>
      <c r="C62" s="47">
        <v>39012430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巨神ネコは_x000D_こちらを見据えている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2" s="47">
        <v>39012430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9"/>
        <v>39012409_39012431</v>
      </c>
      <c r="B63" s="47">
        <v>39012409</v>
      </c>
      <c r="C63" s="47">
        <v>39012431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巨神ネコは狙いをつけている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3" s="47">
        <v>39012431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9"/>
        <v>39012409_39012432</v>
      </c>
      <c r="B64" s="47">
        <v>39012409</v>
      </c>
      <c r="C64" s="47">
        <v>39012432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巨体はゆっくりと_x000D_膝をつき動かなくなった…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4" s="47">
        <v>39012432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9"/>
        <v>39012409_39012445</v>
      </c>
      <c r="B65" s="47">
        <v>39012409</v>
      </c>
      <c r="C65" s="106">
        <v>39012445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ヒーローの力は未知数だったにゃ…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5" s="106">
        <v>39012451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122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1537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" si="20">B66&amp;"_"&amp;C66</f>
        <v>39012409_39012445</v>
      </c>
      <c r="B66" s="47">
        <v>39012409</v>
      </c>
      <c r="C66" s="106">
        <v>39012445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ヒーローの力は未知数だったにゃ…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6" s="106">
        <v>39012452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123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1538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9"/>
        <v>39012409_39012446</v>
      </c>
      <c r="B67" s="47">
        <v>39012409</v>
      </c>
      <c r="C67" s="106">
        <v>39012446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美の女神に心ごと撃ち抜かれたにゃ…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7" s="106">
        <v>39012453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118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1541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ref="A68" si="21">B68&amp;"_"&amp;C68</f>
        <v>39012409_39012446</v>
      </c>
      <c r="B68" s="47">
        <v>39012409</v>
      </c>
      <c r="C68" s="106">
        <v>39012446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美の女神に心ごと撃ち抜かれたにゃ…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8" s="106">
        <v>39012454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119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1542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9"/>
        <v>39012409_39012447</v>
      </c>
      <c r="B69" s="47">
        <v>39012409</v>
      </c>
      <c r="C69" s="106">
        <v>39012447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やはりそのボディは凶器にゃ…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69" s="106">
        <v>39012455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129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1539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ref="A70" si="22">B70&amp;"_"&amp;C70</f>
        <v>39012409_39012447</v>
      </c>
      <c r="B70" s="47">
        <v>39012409</v>
      </c>
      <c r="C70" s="106">
        <v>39012447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やはりそのボディは凶器にゃ…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0" s="106">
        <v>39012456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1540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9"/>
        <v>39012409_39012448</v>
      </c>
      <c r="B71" s="47">
        <v>39012409</v>
      </c>
      <c r="C71" s="106">
        <v>39012448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この破壊力を持っても美には打ち勝てなかったにゃ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1" s="106">
        <v>39012457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127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1533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ref="A72" si="23">B72&amp;"_"&amp;C72</f>
        <v>39012409_39012448</v>
      </c>
      <c r="B72" s="47">
        <v>39012409</v>
      </c>
      <c r="C72" s="106">
        <v>39012448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この破壊力を持っても美には打ち勝てなかったにゃ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2" s="106">
        <v>39012458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128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1534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9"/>
        <v>39012409_39012449</v>
      </c>
      <c r="B73" s="47">
        <v>39012409</v>
      </c>
      <c r="C73" s="106">
        <v>39012449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戦女神の力はやはり強かったにゃ…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3" s="106">
        <v>39012459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124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1510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ref="A74:A75" si="24">B74&amp;"_"&amp;C74</f>
        <v>39012409_39012449</v>
      </c>
      <c r="B74" s="47">
        <v>39012409</v>
      </c>
      <c r="C74" s="106">
        <v>39012449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戦女神の力はやはり強かったにゃ…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4" s="106">
        <v>39012460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125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1511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24"/>
        <v>39012409_39012449</v>
      </c>
      <c r="B75" s="47">
        <v>39012409</v>
      </c>
      <c r="C75" s="106">
        <v>39012449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戦女神の力はやはり強かったにゃ…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5" s="106">
        <v>39012461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126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1512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9"/>
        <v>39012409_39012450</v>
      </c>
      <c r="B76" s="47">
        <v>39012409</v>
      </c>
      <c r="C76" s="106">
        <v>39012450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やはり超古代兵器はロマンだったにゃ…強いにゃ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" s="106">
        <v>39012462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1523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" si="25">B77&amp;"_"&amp;C77</f>
        <v>39012409_39012450</v>
      </c>
      <c r="B77" s="47">
        <v>39012409</v>
      </c>
      <c r="C77" s="106">
        <v>39012450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やはり超古代兵器はロマンだったにゃ…強いにゃ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7" s="106">
        <v>39012463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1524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ref="A78" si="26">B78&amp;"_"&amp;C78</f>
        <v>39012409_39012451</v>
      </c>
      <c r="B78" s="47">
        <v>39012409</v>
      </c>
      <c r="C78" s="106">
        <v>39012451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破壊の力では癒しには太刀打ちできんかったにゃ…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8" s="106">
        <v>39012464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116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1535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thickBot="1" x14ac:dyDescent="0.2">
      <c r="A79" s="128" t="str">
        <f t="shared" si="19"/>
        <v>39012409_39012451</v>
      </c>
      <c r="B79" s="129">
        <v>39012409</v>
      </c>
      <c r="C79" s="143">
        <v>39012451</v>
      </c>
      <c r="D79" s="130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破壊の力では癒しには太刀打ちできんかったにゃ…</v>
      </c>
      <c r="E79" s="130" t="str">
        <f ca="1">VLOOKUP($C79,OFFSET(enemy_skills!$A$1,0,0,COUNTA(enemy_skills!$A:$A),MATCH(E$1,enemy_skills!$1:$1,0)-MATCH("enemy_skill_id",enemy_skills!$1:$1,0)+1),MATCH(E$1,enemy_skills!$1:$1,0)-MATCH("enemy_skill_id",enemy_skills!$1:$1,0)+1,FALSE)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9" s="106">
        <v>39012465</v>
      </c>
      <c r="G79" s="131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131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117</v>
      </c>
      <c r="I79" s="131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31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31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31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131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131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1536</v>
      </c>
      <c r="O79" s="131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29"/>
      <c r="Q79" s="129"/>
      <c r="R79" s="129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2"/>
  <sheetViews>
    <sheetView showGridLines="0" tabSelected="1" workbookViewId="0">
      <pane ySplit="1" topLeftCell="A2" activePane="bottomLeft" state="frozenSplit"/>
      <selection pane="bottomLeft" activeCell="E6" sqref="E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52.1640625" style="49" customWidth="1"/>
    <col min="6" max="6" width="55.83203125" style="49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39012401</v>
      </c>
      <c r="B2" s="62" t="s">
        <v>304</v>
      </c>
      <c r="C2" s="50">
        <v>3</v>
      </c>
      <c r="D2" s="50" t="s">
        <v>128</v>
      </c>
      <c r="E2" s="123" t="s">
        <v>270</v>
      </c>
      <c r="F2" s="123" t="s">
        <v>258</v>
      </c>
      <c r="G2" s="63" t="str">
        <f>IFERROR(LEFT(B2,FIND("],",B2)),B2)</f>
        <v>[effect:enemy_message, val1:1.2,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[effect:critical, val:1.5, animation:enemy_critical]</v>
      </c>
      <c r="N2" s="48" t="str">
        <f>IFERROR(LEFT(M2,FIND("],",M2)+S33),M2)</f>
        <v>[effect:critical, val:1.5, animation:enemy_critical]</v>
      </c>
      <c r="O2" s="63">
        <f>FIND("effect:",N2)+7</f>
        <v>9</v>
      </c>
      <c r="P2" s="63">
        <f>IFERROR(FIND(",",N2),LEN(N2))</f>
        <v>17</v>
      </c>
      <c r="Q2" s="63" t="e">
        <f>FIND("target:",N2)+7</f>
        <v>#VALUE!</v>
      </c>
      <c r="R2" s="63">
        <f>FIND(",",N2,P2+1)</f>
        <v>26</v>
      </c>
      <c r="S2" s="63" t="str">
        <f>IFERROR(VLOOKUP(MID(N2,Q2,R2-Q2),[6]skilldef!$C:$D,2,FALSE),"-") &amp; " / " &amp; IFERROR(VLOOKUP(MID(N2,O2,P2-O2),[6]skilldef!$A:$B,2,FALSE),"-")</f>
        <v>- / 大攻撃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2">
      <c r="A3" s="47">
        <v>39012402</v>
      </c>
      <c r="B3" s="62" t="s">
        <v>305</v>
      </c>
      <c r="C3" s="50">
        <v>3</v>
      </c>
      <c r="D3" s="50" t="s">
        <v>128</v>
      </c>
      <c r="E3" s="120" t="s">
        <v>403</v>
      </c>
      <c r="F3" s="120" t="s">
        <v>259</v>
      </c>
      <c r="G3" s="63" t="str">
        <f t="shared" ref="G3:G38" si="0">IFERROR(LEFT(B3,FIND("],",B3)),B3)</f>
        <v>[effect:enemy_message, val1:1.2, val2:1.2]</v>
      </c>
      <c r="H3" s="63">
        <f t="shared" ref="H3:H38" si="1">FIND("effect:",G3)+7</f>
        <v>9</v>
      </c>
      <c r="I3" s="63">
        <f t="shared" ref="I3:I38" si="2">IFERROR(FIND(",",G3),LEN(G3))</f>
        <v>22</v>
      </c>
      <c r="J3" s="63" t="e">
        <f t="shared" ref="J3:J38" si="3">FIND("target:",G3)+7</f>
        <v>#VALUE!</v>
      </c>
      <c r="K3" s="63">
        <f t="shared" ref="K3:K38" si="4"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ref="M3:M38" si="5">IFERROR(RIGHT(B3,LEN(B3)-FIND("],",B3)-1),"none")</f>
        <v>[effect:rush, count:1, val:0.75]</v>
      </c>
      <c r="N3" s="48" t="str">
        <f>IFERROR(LEFT(M3,FIND("],",M3)+S34),M3)</f>
        <v>[effect:rush, count:1, val:0.75]</v>
      </c>
      <c r="O3" s="63">
        <f t="shared" ref="O3:O38" si="6">FIND("effect:",N3)+7</f>
        <v>9</v>
      </c>
      <c r="P3" s="63">
        <f t="shared" ref="P3:P38" si="7">IFERROR(FIND(",",N3),LEN(N3))</f>
        <v>13</v>
      </c>
      <c r="Q3" s="63" t="e">
        <f t="shared" ref="Q3:Q38" si="8">FIND("target:",N3)+7</f>
        <v>#VALUE!</v>
      </c>
      <c r="R3" s="63">
        <f t="shared" ref="R3:R38" si="9">FIND(",",N3,P3+1)</f>
        <v>22</v>
      </c>
      <c r="S3" s="63" t="str">
        <f>IFERROR(VLOOKUP(MID(N3,Q3,R3-Q3),[6]skilldef!$C:$D,2,FALSE),"-") &amp; " / " &amp; IFERROR(VLOOKUP(MID(N3,O3,P3-O3),[6]skilldef!$A:$B,2,FALSE),"-")</f>
        <v>- / 連続攻撃</v>
      </c>
      <c r="T3" s="48" t="str">
        <f t="shared" ref="T3:T38" si="10">IFERROR(RIGHT(M3,LEN(M3)-FIND("],",M3)-1),"none")</f>
        <v>none</v>
      </c>
      <c r="U3" s="63" t="e">
        <f t="shared" ref="U3:U38" si="11">FIND("effect:",T3)+7</f>
        <v>#VALUE!</v>
      </c>
      <c r="V3" s="63">
        <f t="shared" ref="V3:V38" si="12">IFERROR(FIND(",",T3),LEN(T3))</f>
        <v>4</v>
      </c>
      <c r="W3" s="63" t="e">
        <f t="shared" ref="W3:W38" si="13">FIND("target:",T3)+7</f>
        <v>#VALUE!</v>
      </c>
      <c r="X3" s="63" t="e">
        <f t="shared" ref="X3:X38" si="14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30" x14ac:dyDescent="0.15">
      <c r="A4" s="47">
        <v>39012403</v>
      </c>
      <c r="B4" s="62" t="s">
        <v>306</v>
      </c>
      <c r="C4" s="50">
        <v>3</v>
      </c>
      <c r="D4" s="50" t="s">
        <v>128</v>
      </c>
      <c r="E4" s="124" t="s">
        <v>356</v>
      </c>
      <c r="F4" s="123" t="s">
        <v>303</v>
      </c>
      <c r="G4" s="63" t="str">
        <f t="shared" si="0"/>
        <v>[effect:enemy_message, val1:1.2, val2:0.0]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none</v>
      </c>
      <c r="N4" s="48" t="str">
        <f>IFERROR(LEFT(M4,FIND("],",M4)+S35),M4)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</row>
    <row r="5" spans="1:28" ht="30" x14ac:dyDescent="0.15">
      <c r="A5" s="47">
        <v>39012404</v>
      </c>
      <c r="B5" s="62" t="s">
        <v>306</v>
      </c>
      <c r="C5" s="50">
        <v>3</v>
      </c>
      <c r="D5" s="50" t="s">
        <v>128</v>
      </c>
      <c r="E5" s="124" t="s">
        <v>380</v>
      </c>
      <c r="F5" s="123" t="s">
        <v>303</v>
      </c>
      <c r="G5" s="63" t="str">
        <f t="shared" si="0"/>
        <v>[effect:enemy_message, val1:1.2, val2:0.0]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none</v>
      </c>
      <c r="N5" s="48" t="str">
        <f>IFERROR(LEFT(M5,FIND("],",M5)+S36),M5)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112" x14ac:dyDescent="0.15">
      <c r="A6" s="118">
        <v>39012434</v>
      </c>
      <c r="B6" s="62" t="s">
        <v>408</v>
      </c>
      <c r="C6" s="50">
        <v>3</v>
      </c>
      <c r="D6" s="50" t="s">
        <v>345</v>
      </c>
      <c r="E6" s="132" t="s">
        <v>402</v>
      </c>
      <c r="F6" s="124" t="s">
        <v>352</v>
      </c>
      <c r="G6" s="63" t="str">
        <f t="shared" si="0"/>
        <v>[effect:enemy_message, val1:1.2, val2:2.7]</v>
      </c>
      <c r="H6" s="63">
        <f t="shared" si="1"/>
        <v>9</v>
      </c>
      <c r="I6" s="63">
        <f t="shared" ref="I6" si="15">IFERROR(FIND(",",G6),LEN(G6))</f>
        <v>22</v>
      </c>
      <c r="J6" s="63" t="e">
        <f t="shared" ref="J6" si="16">FIND("target:",G6)+7</f>
        <v>#VALUE!</v>
      </c>
      <c r="K6" s="63">
        <f t="shared" ref="K6" si="17">FIND(",",G6,I6+1)</f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ref="M6" si="18">IFERROR(RIGHT(B6,LEN(B6)-FIND("],",B6)-1),"none")</f>
        <v>[effect:remove_enhancement, target:enemy_all, target_effect:all, target_type:all, animation:frozen_wave_unit],[effect:hungup, target:enemy_all, turn:1, rate:1, animation:hungup02]</v>
      </c>
      <c r="N6" s="48" t="str">
        <f>IFERROR(LEFT(M6,FIND("],",M6)+S37),M6)</f>
        <v>[effect:remove_enhancement, target:enemy_all, target_effect:all, target_type:all, animation:frozen_wave_unit],[effect:hungup, target:enemy_all, turn:1, rate:1, animation:hungup02]</v>
      </c>
      <c r="O6" s="63">
        <f t="shared" si="6"/>
        <v>9</v>
      </c>
      <c r="P6" s="63">
        <f t="shared" ref="P6" si="19">IFERROR(FIND(",",N6),LEN(N6))</f>
        <v>27</v>
      </c>
      <c r="Q6" s="63">
        <f t="shared" ref="Q6" si="20">FIND("target:",N6)+7</f>
        <v>36</v>
      </c>
      <c r="R6" s="63">
        <f t="shared" ref="R6" si="21">FIND(",",N6,P6+1)</f>
        <v>45</v>
      </c>
      <c r="S6" s="63" t="str">
        <f>IFERROR(VLOOKUP(MID(N6,Q6,R6-Q6),[6]skilldef!$C:$D,2,FALSE),"-") &amp; " / " &amp; IFERROR(VLOOKUP(MID(N6,O6,P6-O6),[6]skilldef!$A:$B,2,FALSE),"-")</f>
        <v>敵全体に / -</v>
      </c>
      <c r="T6" s="48" t="str">
        <f t="shared" ref="T6" si="22">IFERROR(RIGHT(M6,LEN(M6)-FIND("],",M6)-1),"none")</f>
        <v>[effect:hungup, target:enemy_all, turn:1, rate:1, animation:hungup02]</v>
      </c>
      <c r="U6" s="63">
        <f t="shared" si="11"/>
        <v>9</v>
      </c>
      <c r="V6" s="63">
        <f t="shared" ref="V6" si="23">IFERROR(FIND(",",T6),LEN(T6))</f>
        <v>15</v>
      </c>
      <c r="W6" s="63">
        <f t="shared" ref="W6" si="24">FIND("target:",T6)+7</f>
        <v>24</v>
      </c>
      <c r="X6" s="63">
        <f t="shared" ref="X6" si="25">FIND(",",T6,V6+1)</f>
        <v>33</v>
      </c>
      <c r="Y6" s="63" t="str">
        <f>IFERROR(VLOOKUP(MID(T6,W6,X6-W6),[6]skilldef!$C:$D,2,FALSE),"-") &amp; " / " &amp; IFERROR(VLOOKUP(MID(T6,U6,V6-U6),[6]skilldef!$A:$B,2,FALSE),"-")</f>
        <v>敵全体に / ハングアップ</v>
      </c>
      <c r="Z6" s="50"/>
      <c r="AA6" s="51"/>
      <c r="AB6" s="50"/>
    </row>
    <row r="7" spans="1:28" ht="21" customHeight="1" x14ac:dyDescent="0.15">
      <c r="A7" s="47">
        <v>39012405</v>
      </c>
      <c r="B7" s="62" t="s">
        <v>306</v>
      </c>
      <c r="C7" s="50">
        <v>3</v>
      </c>
      <c r="D7" s="50" t="s">
        <v>128</v>
      </c>
      <c r="E7" s="139" t="s">
        <v>357</v>
      </c>
      <c r="F7" s="123" t="s">
        <v>303</v>
      </c>
      <c r="G7" s="63" t="str">
        <f t="shared" si="0"/>
        <v>[effect:enemy_message, val1:1.2, val2:0.0]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none</v>
      </c>
      <c r="N7" s="48" t="str">
        <f>IFERROR(LEFT(M7,FIND("],",M7)+S37),M7)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21" customHeight="1" x14ac:dyDescent="0.15">
      <c r="A8" s="47">
        <v>39012406</v>
      </c>
      <c r="B8" s="62" t="s">
        <v>358</v>
      </c>
      <c r="C8" s="50">
        <v>3</v>
      </c>
      <c r="D8" s="50" t="s">
        <v>128</v>
      </c>
      <c r="E8" s="124" t="s">
        <v>355</v>
      </c>
      <c r="F8" s="123" t="s">
        <v>303</v>
      </c>
      <c r="G8" s="63" t="str">
        <f t="shared" si="0"/>
        <v>[effect:enemy_message, val1:1.2, val2:0.0]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none</v>
      </c>
      <c r="N8" s="48" t="str">
        <f>IFERROR(LEFT(M8,FIND("],",M8)+S38),M8)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21" customHeight="1" x14ac:dyDescent="0.15">
      <c r="A9" s="47">
        <v>39012407</v>
      </c>
      <c r="B9" s="62" t="s">
        <v>308</v>
      </c>
      <c r="C9" s="50">
        <v>3</v>
      </c>
      <c r="D9" s="50" t="s">
        <v>128</v>
      </c>
      <c r="E9" s="124" t="s">
        <v>271</v>
      </c>
      <c r="F9" s="123" t="s">
        <v>260</v>
      </c>
      <c r="G9" s="63" t="str">
        <f t="shared" si="0"/>
        <v>[effect:enemy_message, val1:1.2, val2:1.2]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 xml:space="preserve">[effect:spread, val:0.1]    </v>
      </c>
      <c r="N9" s="48" t="str">
        <f>IFERROR(LEFT(M9,FIND("],",M9)+S39),M9)</f>
        <v xml:space="preserve">[effect:spread, val:0.1]    </v>
      </c>
      <c r="O9" s="63">
        <f t="shared" si="6"/>
        <v>9</v>
      </c>
      <c r="P9" s="63">
        <f t="shared" si="7"/>
        <v>15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全体攻撃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168" x14ac:dyDescent="0.15">
      <c r="A10" s="47">
        <v>39012408</v>
      </c>
      <c r="B10" s="62" t="s">
        <v>406</v>
      </c>
      <c r="C10" s="50">
        <v>3</v>
      </c>
      <c r="D10" s="50" t="s">
        <v>128</v>
      </c>
      <c r="E10" s="139" t="s">
        <v>354</v>
      </c>
      <c r="F10" s="124" t="s">
        <v>404</v>
      </c>
      <c r="G10" s="63" t="str">
        <f t="shared" si="0"/>
        <v>[effect:enemy_message, val1:1.2, val2:3.1]</v>
      </c>
      <c r="H10" s="63">
        <f t="shared" si="1"/>
        <v>9</v>
      </c>
      <c r="I10" s="63">
        <f t="shared" si="2"/>
        <v>22</v>
      </c>
      <c r="J10" s="63" t="e">
        <f t="shared" si="3"/>
        <v>#VALUE!</v>
      </c>
      <c r="K10" s="63">
        <f t="shared" si="4"/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0" s="48" t="str">
        <f>IFERROR(LEFT(M10,FIND("],",M10)+S40),M10)</f>
        <v>[effect:enhance_enemy, target:enemy_red,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0" s="63">
        <f t="shared" si="6"/>
        <v>9</v>
      </c>
      <c r="P10" s="63">
        <f t="shared" si="7"/>
        <v>22</v>
      </c>
      <c r="Q10" s="63">
        <f t="shared" si="8"/>
        <v>31</v>
      </c>
      <c r="R10" s="63">
        <f t="shared" si="9"/>
        <v>40</v>
      </c>
      <c r="S10" s="63" t="str">
        <f>IFERROR(VLOOKUP(MID(N10,Q10,R10-Q10),[6]skilldef!$C:$D,2,FALSE),"-") &amp; " / " &amp; IFERROR(VLOOKUP(MID(N10,O10,P10-O10),[6]skilldef!$A:$B,2,FALSE),"-")</f>
        <v>赤の敵に / ステータス強化</v>
      </c>
      <c r="T10" s="48" t="str">
        <f t="shared" si="10"/>
        <v>[effect:tolerance, target:enemy_all, turn:-1, count:-1, tolerance_effect:sleep, animation:enemy_tolerance],[effect:tolerance, target:enemy_all, turn:-1, count:-1, tolerance_effect:hungup]</v>
      </c>
      <c r="U10" s="63">
        <f t="shared" si="11"/>
        <v>9</v>
      </c>
      <c r="V10" s="63">
        <f t="shared" si="12"/>
        <v>18</v>
      </c>
      <c r="W10" s="63">
        <f t="shared" si="13"/>
        <v>27</v>
      </c>
      <c r="X10" s="63">
        <f t="shared" si="14"/>
        <v>36</v>
      </c>
      <c r="Y10" s="63" t="str">
        <f>IFERROR(VLOOKUP(MID(T10,W10,X10-W10),[6]skilldef!$C:$D,2,FALSE),"-") &amp; " / " &amp; IFERROR(VLOOKUP(MID(T10,U10,V10-U10),[6]skilldef!$A:$B,2,FALSE),"-")</f>
        <v>敵全体に / 状態異常耐性</v>
      </c>
      <c r="Z10" s="50"/>
      <c r="AA10" s="51"/>
      <c r="AB10" s="50"/>
    </row>
    <row r="11" spans="1:28" ht="168" x14ac:dyDescent="0.15">
      <c r="A11" s="118">
        <v>39012433</v>
      </c>
      <c r="B11" s="62" t="s">
        <v>407</v>
      </c>
      <c r="C11" s="50">
        <v>3</v>
      </c>
      <c r="D11" s="50" t="s">
        <v>128</v>
      </c>
      <c r="E11" s="139" t="s">
        <v>353</v>
      </c>
      <c r="F11" s="124" t="s">
        <v>405</v>
      </c>
      <c r="G11" s="63" t="str">
        <f t="shared" ref="G11" si="26">IFERROR(LEFT(B11,FIND("],",B11)),B11)</f>
        <v>[effect:enemy_message, val1:1.2, val2:3.4]</v>
      </c>
      <c r="H11" s="63">
        <f t="shared" si="1"/>
        <v>9</v>
      </c>
      <c r="I11" s="63">
        <f t="shared" ref="I11" si="27">IFERROR(FIND(",",G11),LEN(G11))</f>
        <v>22</v>
      </c>
      <c r="J11" s="63" t="e">
        <f t="shared" ref="J11" si="28">FIND("target:",G11)+7</f>
        <v>#VALUE!</v>
      </c>
      <c r="K11" s="63">
        <f t="shared" ref="K11" si="29">FIND(",",G11,I11+1)</f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ref="M11" si="30">IFERROR(RIGHT(B11,LEN(B11)-FIND("],",B11)-1),"none")</f>
        <v>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N11" s="48" t="str">
        <f>IFERROR(LEFT(M11,FIND("],",M11)+S41),M11)</f>
        <v>[effect:enhance_enemy, target:enemy_yellow, turn:-1, status:defense, val:2222222, calc:add, animation:enemy_enhance_defense],[effect:tolerance, target:enemy_all, turn:-1, count:-1, tolerance_effect:sleep, animation:enemy_tolerance],[effect:tolerance, target:enemy_all, turn:-1, count:-1, tolerance_effect:hungup]</v>
      </c>
      <c r="O11" s="63">
        <f t="shared" si="6"/>
        <v>9</v>
      </c>
      <c r="P11" s="63">
        <f t="shared" ref="P11" si="31">IFERROR(FIND(",",N11),LEN(N11))</f>
        <v>22</v>
      </c>
      <c r="Q11" s="63">
        <f t="shared" ref="Q11" si="32">FIND("target:",N11)+7</f>
        <v>31</v>
      </c>
      <c r="R11" s="63">
        <f t="shared" ref="R11" si="33">FIND(",",N11,P11+1)</f>
        <v>43</v>
      </c>
      <c r="S11" s="63" t="str">
        <f>IFERROR(VLOOKUP(MID(N11,Q11,R11-Q11),[6]skilldef!$C:$D,2,FALSE),"-") &amp; " / " &amp; IFERROR(VLOOKUP(MID(N11,O11,P11-O11),[6]skilldef!$A:$B,2,FALSE),"-")</f>
        <v>黄の敵に / ステータス強化</v>
      </c>
      <c r="T11" s="48" t="str">
        <f t="shared" ref="T11" si="34">IFERROR(RIGHT(M11,LEN(M11)-FIND("],",M11)-1),"none")</f>
        <v>[effect:tolerance, target:enemy_all, turn:-1, count:-1, tolerance_effect:sleep, animation:enemy_tolerance],[effect:tolerance, target:enemy_all, turn:-1, count:-1, tolerance_effect:hungup]</v>
      </c>
      <c r="U11" s="63">
        <f t="shared" si="11"/>
        <v>9</v>
      </c>
      <c r="V11" s="63">
        <f t="shared" ref="V11" si="35">IFERROR(FIND(",",T11),LEN(T11))</f>
        <v>18</v>
      </c>
      <c r="W11" s="63">
        <f t="shared" ref="W11" si="36">FIND("target:",T11)+7</f>
        <v>27</v>
      </c>
      <c r="X11" s="63">
        <f t="shared" ref="X11" si="37">FIND(",",T11,V11+1)</f>
        <v>36</v>
      </c>
      <c r="Y11" s="63" t="str">
        <f>IFERROR(VLOOKUP(MID(T11,W11,X11-W11),[6]skilldef!$C:$D,2,FALSE),"-") &amp; " / " &amp; IFERROR(VLOOKUP(MID(T11,U11,V11-U11),[6]skilldef!$A:$B,2,FALSE),"-")</f>
        <v>敵全体に / 状態異常耐性</v>
      </c>
      <c r="Z11" s="50"/>
      <c r="AA11" s="51"/>
      <c r="AB11" s="50"/>
    </row>
    <row r="12" spans="1:28" ht="21" customHeight="1" x14ac:dyDescent="0.15">
      <c r="A12" s="47">
        <v>39012409</v>
      </c>
      <c r="B12" s="62" t="s">
        <v>309</v>
      </c>
      <c r="C12" s="50">
        <v>3</v>
      </c>
      <c r="D12" s="50" t="s">
        <v>128</v>
      </c>
      <c r="E12" s="133" t="s">
        <v>288</v>
      </c>
      <c r="F12" s="123" t="s">
        <v>272</v>
      </c>
      <c r="G12" s="63" t="str">
        <f t="shared" si="0"/>
        <v>[effect:enemy_message, val1:1.2, val2:1.2]</v>
      </c>
      <c r="H12" s="63">
        <f t="shared" si="1"/>
        <v>9</v>
      </c>
      <c r="I12" s="63">
        <f t="shared" si="2"/>
        <v>22</v>
      </c>
      <c r="J12" s="63" t="e">
        <f t="shared" si="3"/>
        <v>#VALUE!</v>
      </c>
      <c r="K12" s="63">
        <f t="shared" si="4"/>
        <v>32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5"/>
        <v xml:space="preserve">[effect:dis_panel, target:block_red, turn:2, animation:enemy_dis_red]    </v>
      </c>
      <c r="N12" s="48" t="str">
        <f>IFERROR(LEFT(M12,FIND("],",M12)+S41),M12)</f>
        <v xml:space="preserve">[effect:dis_panel, target:block_red, turn:2, animation:enemy_dis_red]    </v>
      </c>
      <c r="O12" s="63">
        <f t="shared" si="6"/>
        <v>9</v>
      </c>
      <c r="P12" s="63">
        <f t="shared" si="7"/>
        <v>18</v>
      </c>
      <c r="Q12" s="63">
        <f t="shared" si="8"/>
        <v>27</v>
      </c>
      <c r="R12" s="63">
        <f t="shared" si="9"/>
        <v>36</v>
      </c>
      <c r="S12" s="63" t="str">
        <f>IFERROR(VLOOKUP(MID(N12,Q12,R12-Q12),[6]skilldef!$C:$D,2,FALSE),"-") &amp; " / " &amp; IFERROR(VLOOKUP(MID(N12,O12,P12-O12),[6]skilldef!$A:$B,2,FALSE),"-")</f>
        <v>赤パネルを / ディスパネル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</row>
    <row r="13" spans="1:28" ht="21" customHeight="1" x14ac:dyDescent="0.15">
      <c r="A13" s="47">
        <v>39012410</v>
      </c>
      <c r="B13" s="62" t="s">
        <v>310</v>
      </c>
      <c r="C13" s="50">
        <v>3</v>
      </c>
      <c r="D13" s="50" t="s">
        <v>128</v>
      </c>
      <c r="E13" s="133" t="s">
        <v>287</v>
      </c>
      <c r="F13" s="123" t="s">
        <v>273</v>
      </c>
      <c r="G13" s="63" t="str">
        <f t="shared" si="0"/>
        <v>[effect:enemy_message, val1:1.2, val2:1.2]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5"/>
        <v xml:space="preserve">[effect:critical, val:1.3, animation:enemy_critical]    </v>
      </c>
      <c r="N13" s="48" t="str">
        <f>IFERROR(LEFT(M13,FIND("],",M13)+S42),M13)</f>
        <v xml:space="preserve">[effect:critical, val:1.3, animation:enemy_critical]    </v>
      </c>
      <c r="O13" s="63">
        <f t="shared" si="6"/>
        <v>9</v>
      </c>
      <c r="P13" s="63">
        <f t="shared" si="7"/>
        <v>17</v>
      </c>
      <c r="Q13" s="63" t="e">
        <f t="shared" si="8"/>
        <v>#VALUE!</v>
      </c>
      <c r="R13" s="63">
        <f t="shared" si="9"/>
        <v>26</v>
      </c>
      <c r="S13" s="63" t="str">
        <f>IFERROR(VLOOKUP(MID(N13,Q13,R13-Q13),[6]skilldef!$C:$D,2,FALSE),"-") &amp; " / " &amp; IFERROR(VLOOKUP(MID(N13,O13,P13-O13),[6]skilldef!$A:$B,2,FALSE),"-")</f>
        <v>- / 大攻撃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</row>
    <row r="14" spans="1:28" ht="21" customHeight="1" x14ac:dyDescent="0.15">
      <c r="A14" s="47">
        <v>39012411</v>
      </c>
      <c r="B14" s="62" t="s">
        <v>339</v>
      </c>
      <c r="C14" s="50">
        <v>3</v>
      </c>
      <c r="D14" s="50" t="s">
        <v>128</v>
      </c>
      <c r="E14" s="133" t="s">
        <v>274</v>
      </c>
      <c r="F14" s="123" t="s">
        <v>334</v>
      </c>
      <c r="G14" s="63" t="str">
        <f t="shared" si="0"/>
        <v>[effect:enemy_message, val1:1.2, val2:1.4]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5"/>
        <v xml:space="preserve">[effect:damage_anti_color, target:unit_one, color:red, val1:1.5, val2:0.8]    </v>
      </c>
      <c r="N14" s="48" t="str">
        <f>IFERROR(LEFT(M14,FIND("],",M14)+S43),M14)</f>
        <v xml:space="preserve">[effect:damage_anti_color, target:unit_one, color:red, val1:1.5, val2:0.8]    </v>
      </c>
      <c r="O14" s="63">
        <f t="shared" si="6"/>
        <v>9</v>
      </c>
      <c r="P14" s="63">
        <f t="shared" si="7"/>
        <v>26</v>
      </c>
      <c r="Q14" s="63">
        <f t="shared" si="8"/>
        <v>35</v>
      </c>
      <c r="R14" s="63">
        <f t="shared" si="9"/>
        <v>43</v>
      </c>
      <c r="S14" s="63" t="str">
        <f>IFERROR(VLOOKUP(MID(N14,Q14,R14-Q14),[6]skilldef!$C:$D,2,FALSE),"-") &amp; " / " &amp; IFERROR(VLOOKUP(MID(N14,O14,P14-O14),[6]skilldef!$A:$B,2,FALSE),"-")</f>
        <v>味方単体に / 属性キラー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1" customHeight="1" x14ac:dyDescent="0.2">
      <c r="A15" s="47">
        <v>39012412</v>
      </c>
      <c r="B15" s="62" t="s">
        <v>305</v>
      </c>
      <c r="C15" s="50">
        <v>3</v>
      </c>
      <c r="D15" s="50" t="s">
        <v>128</v>
      </c>
      <c r="E15" s="120" t="s">
        <v>265</v>
      </c>
      <c r="F15" s="120" t="s">
        <v>259</v>
      </c>
      <c r="G15" s="63" t="str">
        <f t="shared" si="0"/>
        <v>[effect:enemy_message, val1:1.2, val2:1.2]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[effect:rush, count:1, val:0.75]</v>
      </c>
      <c r="N15" s="48" t="str">
        <f>IFERROR(LEFT(M15,FIND("],",M15)+S44),M15)</f>
        <v>[effect:rush, count:1, val:0.75]</v>
      </c>
      <c r="O15" s="63">
        <f t="shared" si="6"/>
        <v>9</v>
      </c>
      <c r="P15" s="63">
        <f t="shared" si="7"/>
        <v>13</v>
      </c>
      <c r="Q15" s="63" t="e">
        <f t="shared" si="8"/>
        <v>#VALUE!</v>
      </c>
      <c r="R15" s="63">
        <f t="shared" si="9"/>
        <v>22</v>
      </c>
      <c r="S15" s="63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112" x14ac:dyDescent="0.15">
      <c r="A16" s="118">
        <v>39012435</v>
      </c>
      <c r="B16" s="62" t="s">
        <v>409</v>
      </c>
      <c r="C16" s="50">
        <v>3</v>
      </c>
      <c r="D16" s="50" t="s">
        <v>344</v>
      </c>
      <c r="E16" s="132" t="s">
        <v>402</v>
      </c>
      <c r="F16" s="124" t="s">
        <v>352</v>
      </c>
      <c r="G16" s="63" t="str">
        <f t="shared" ref="G16" si="38">IFERROR(LEFT(B16,FIND("],",B16)),B16)</f>
        <v>[effect:enemy_message, val1:1.2, val2:2.7]</v>
      </c>
      <c r="H16" s="63">
        <f t="shared" si="1"/>
        <v>9</v>
      </c>
      <c r="I16" s="63">
        <f t="shared" si="2"/>
        <v>22</v>
      </c>
      <c r="J16" s="63" t="e">
        <f t="shared" si="3"/>
        <v>#VALUE!</v>
      </c>
      <c r="K16" s="63">
        <f t="shared" si="4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[effect:remove_enhancement, target:enemy_all, target_effect:all, target_type:all, animation:frozen_wave_unit],[effect:hungup, target:enemy_all, turn:1, rate:1, animation:hungup02]</v>
      </c>
      <c r="N16" s="48" t="str">
        <f>IFERROR(LEFT(M16,FIND("],",M16)+S47),M16)</f>
        <v>[effect:remove_enhancement, target:enemy_all, target_effect:all, target_type:all, animation:frozen_wave_unit],[effect:hungup, target:enemy_all, turn:1, rate:1, animation:hungup02]</v>
      </c>
      <c r="O16" s="63">
        <f t="shared" si="6"/>
        <v>9</v>
      </c>
      <c r="P16" s="63">
        <f t="shared" si="7"/>
        <v>27</v>
      </c>
      <c r="Q16" s="63">
        <f t="shared" si="8"/>
        <v>36</v>
      </c>
      <c r="R16" s="63">
        <f t="shared" si="9"/>
        <v>45</v>
      </c>
      <c r="S16" s="63" t="str">
        <f>IFERROR(VLOOKUP(MID(N16,Q16,R16-Q16),[6]skilldef!$C:$D,2,FALSE),"-") &amp; " / " &amp; IFERROR(VLOOKUP(MID(N16,O16,P16-O16),[6]skilldef!$A:$B,2,FALSE),"-")</f>
        <v>敵全体に / -</v>
      </c>
      <c r="T16" s="48" t="str">
        <f t="shared" si="10"/>
        <v>[effect:hungup, target:enemy_all, turn:1, rate:1, animation:hungup02]</v>
      </c>
      <c r="U16" s="63">
        <f t="shared" si="11"/>
        <v>9</v>
      </c>
      <c r="V16" s="63">
        <f t="shared" si="12"/>
        <v>15</v>
      </c>
      <c r="W16" s="63">
        <f t="shared" si="13"/>
        <v>24</v>
      </c>
      <c r="X16" s="63">
        <f t="shared" si="14"/>
        <v>33</v>
      </c>
      <c r="Y16" s="63" t="str">
        <f>IFERROR(VLOOKUP(MID(T16,W16,X16-W16),[6]skilldef!$C:$D,2,FALSE),"-") &amp; " / " &amp; IFERROR(VLOOKUP(MID(T16,U16,V16-U16),[6]skilldef!$A:$B,2,FALSE),"-")</f>
        <v>敵全体に / ハングアップ</v>
      </c>
      <c r="Z16" s="50"/>
      <c r="AA16" s="51"/>
      <c r="AB16" s="50"/>
    </row>
    <row r="17" spans="1:28" ht="21" customHeight="1" x14ac:dyDescent="0.15">
      <c r="A17" s="47">
        <v>39012413</v>
      </c>
      <c r="B17" s="62" t="s">
        <v>340</v>
      </c>
      <c r="C17" s="50">
        <v>3</v>
      </c>
      <c r="D17" s="50" t="s">
        <v>128</v>
      </c>
      <c r="E17" s="123" t="s">
        <v>275</v>
      </c>
      <c r="F17" s="123" t="s">
        <v>335</v>
      </c>
      <c r="G17" s="63" t="str">
        <f t="shared" si="0"/>
        <v>[effect:enemy_message, val1:1.2, val2:2.0]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[effect:damage_anti_tribe, target:unit_one, tribe:unknown, val1:2.5, val2:1]</v>
      </c>
      <c r="N17" s="48" t="str">
        <f t="shared" ref="N17:N29" si="39">IFERROR(LEFT(M17,FIND("],",M17)+S45),M17)</f>
        <v>[effect:damage_anti_tribe, target:unit_one, tribe:unknown, val1:2.5, val2:1]</v>
      </c>
      <c r="O17" s="63">
        <f t="shared" si="6"/>
        <v>9</v>
      </c>
      <c r="P17" s="63">
        <f t="shared" si="7"/>
        <v>26</v>
      </c>
      <c r="Q17" s="63">
        <f t="shared" si="8"/>
        <v>35</v>
      </c>
      <c r="R17" s="63">
        <f t="shared" si="9"/>
        <v>43</v>
      </c>
      <c r="S17" s="63" t="str">
        <f>IFERROR(VLOOKUP(MID(N17,Q17,R17-Q17),[6]skilldef!$C:$D,2,FALSE),"-") &amp; " / " &amp; IFERROR(VLOOKUP(MID(N17,O17,P17-O17),[6]skilldef!$A:$B,2,FALSE),"-")</f>
        <v>味方単体に / 種族キラー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</row>
    <row r="18" spans="1:28" ht="21" customHeight="1" x14ac:dyDescent="0.2">
      <c r="A18" s="47">
        <v>39012414</v>
      </c>
      <c r="B18" s="62" t="s">
        <v>305</v>
      </c>
      <c r="C18" s="50">
        <v>3</v>
      </c>
      <c r="D18" s="50" t="s">
        <v>128</v>
      </c>
      <c r="E18" s="120" t="s">
        <v>289</v>
      </c>
      <c r="F18" s="120" t="s">
        <v>259</v>
      </c>
      <c r="G18" s="63" t="str">
        <f t="shared" si="0"/>
        <v>[effect:enemy_message, val1:1.2, val2:1.2]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[effect:rush, count:1, val:0.75]</v>
      </c>
      <c r="N18" s="48" t="str">
        <f t="shared" si="39"/>
        <v>[effect:rush, count:1, val:0.75]</v>
      </c>
      <c r="O18" s="63">
        <f t="shared" si="6"/>
        <v>9</v>
      </c>
      <c r="P18" s="63">
        <f t="shared" si="7"/>
        <v>13</v>
      </c>
      <c r="Q18" s="63" t="e">
        <f t="shared" si="8"/>
        <v>#VALUE!</v>
      </c>
      <c r="R18" s="63">
        <f t="shared" si="9"/>
        <v>22</v>
      </c>
      <c r="S18" s="63" t="str">
        <f>IFERROR(VLOOKUP(MID(N18,Q18,R18-Q18),[6]skilldef!$C:$D,2,FALSE),"-") &amp; " / " &amp; IFERROR(VLOOKUP(MID(N18,O18,P18-O18),[6]skilldef!$A:$B,2,FALSE),"-")</f>
        <v>- / 連続攻撃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</row>
    <row r="19" spans="1:28" ht="21" customHeight="1" x14ac:dyDescent="0.15">
      <c r="A19" s="47">
        <v>39012415</v>
      </c>
      <c r="B19" s="62" t="s">
        <v>306</v>
      </c>
      <c r="C19" s="50">
        <v>3</v>
      </c>
      <c r="D19" s="50" t="s">
        <v>128</v>
      </c>
      <c r="E19" s="123" t="s">
        <v>261</v>
      </c>
      <c r="F19" s="123" t="s">
        <v>303</v>
      </c>
      <c r="G19" s="63" t="str">
        <f t="shared" si="0"/>
        <v>[effect:enemy_message, val1:1.2, val2:0.0]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5"/>
        <v>none</v>
      </c>
      <c r="N19" s="48" t="str">
        <f t="shared" si="39"/>
        <v>none</v>
      </c>
      <c r="O19" s="63" t="e">
        <f t="shared" si="6"/>
        <v>#VALUE!</v>
      </c>
      <c r="P19" s="63">
        <f t="shared" si="7"/>
        <v>4</v>
      </c>
      <c r="Q19" s="63" t="e">
        <f t="shared" si="8"/>
        <v>#VALUE!</v>
      </c>
      <c r="R19" s="63" t="e">
        <f t="shared" si="9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47">
        <v>39012416</v>
      </c>
      <c r="B20" s="62" t="s">
        <v>311</v>
      </c>
      <c r="C20" s="50">
        <v>3</v>
      </c>
      <c r="D20" s="50" t="s">
        <v>128</v>
      </c>
      <c r="E20" s="124" t="s">
        <v>351</v>
      </c>
      <c r="F20" s="123" t="s">
        <v>303</v>
      </c>
      <c r="G20" s="63" t="str">
        <f t="shared" si="0"/>
        <v>[effect:enemy_message, val1:1.6, val2:0.0]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5"/>
        <v>none</v>
      </c>
      <c r="N20" s="48" t="str">
        <f t="shared" si="39"/>
        <v>none</v>
      </c>
      <c r="O20" s="63" t="e">
        <f t="shared" si="6"/>
        <v>#VALUE!</v>
      </c>
      <c r="P20" s="63">
        <f t="shared" si="7"/>
        <v>4</v>
      </c>
      <c r="Q20" s="63" t="e">
        <f t="shared" si="8"/>
        <v>#VALUE!</v>
      </c>
      <c r="R20" s="63" t="e">
        <f t="shared" si="9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21" customHeight="1" x14ac:dyDescent="0.15">
      <c r="A21" s="47">
        <v>39012417</v>
      </c>
      <c r="B21" s="62" t="s">
        <v>311</v>
      </c>
      <c r="C21" s="50">
        <v>3</v>
      </c>
      <c r="D21" s="50" t="s">
        <v>128</v>
      </c>
      <c r="E21" s="124" t="s">
        <v>350</v>
      </c>
      <c r="F21" s="123" t="s">
        <v>303</v>
      </c>
      <c r="G21" s="63" t="str">
        <f t="shared" si="0"/>
        <v>[effect:enemy_message, val1:1.6, val2:0.0]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none</v>
      </c>
      <c r="N21" s="48" t="str">
        <f t="shared" si="39"/>
        <v>none</v>
      </c>
      <c r="O21" s="63" t="e">
        <f t="shared" si="6"/>
        <v>#VALUE!</v>
      </c>
      <c r="P21" s="63">
        <f t="shared" si="7"/>
        <v>4</v>
      </c>
      <c r="Q21" s="63" t="e">
        <f t="shared" si="8"/>
        <v>#VALUE!</v>
      </c>
      <c r="R21" s="63" t="e">
        <f t="shared" si="9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30" x14ac:dyDescent="0.15">
      <c r="A22" s="47">
        <v>39012418</v>
      </c>
      <c r="B22" s="62" t="s">
        <v>312</v>
      </c>
      <c r="C22" s="50">
        <v>3</v>
      </c>
      <c r="D22" s="50" t="s">
        <v>128</v>
      </c>
      <c r="E22" s="124" t="s">
        <v>332</v>
      </c>
      <c r="F22" s="123" t="s">
        <v>303</v>
      </c>
      <c r="G22" s="63" t="str">
        <f t="shared" si="0"/>
        <v>[effect:enemy_message, val1:1.7, val2:0.0]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5"/>
        <v>none</v>
      </c>
      <c r="N22" s="48" t="str">
        <f t="shared" si="39"/>
        <v>none</v>
      </c>
      <c r="O22" s="63" t="e">
        <f t="shared" si="6"/>
        <v>#VALUE!</v>
      </c>
      <c r="P22" s="63">
        <f t="shared" si="7"/>
        <v>4</v>
      </c>
      <c r="Q22" s="63" t="e">
        <f t="shared" si="8"/>
        <v>#VALUE!</v>
      </c>
      <c r="R22" s="63" t="e">
        <f t="shared" si="9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none</v>
      </c>
      <c r="U22" s="63" t="e">
        <f t="shared" si="11"/>
        <v>#VALUE!</v>
      </c>
      <c r="V22" s="63">
        <f t="shared" si="12"/>
        <v>4</v>
      </c>
      <c r="W22" s="63" t="e">
        <f t="shared" si="13"/>
        <v>#VALUE!</v>
      </c>
      <c r="X22" s="63" t="e">
        <f t="shared" si="14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1" customHeight="1" x14ac:dyDescent="0.15">
      <c r="A23" s="47">
        <v>39012419</v>
      </c>
      <c r="B23" s="62" t="s">
        <v>343</v>
      </c>
      <c r="C23" s="50">
        <v>3</v>
      </c>
      <c r="D23" s="50" t="s">
        <v>128</v>
      </c>
      <c r="E23" s="123" t="s">
        <v>276</v>
      </c>
      <c r="F23" s="123" t="s">
        <v>338</v>
      </c>
      <c r="G23" s="63" t="str">
        <f t="shared" si="0"/>
        <v>[effect:enemy_message, val1:1.2, val2:2.0]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5"/>
        <v>[effect:attack_break, target:unit_all, turn:8, val:0.2, calc:mul, animation:attack_break01]</v>
      </c>
      <c r="N23" s="48" t="str">
        <f t="shared" si="39"/>
        <v>[effect:attack_break, target:unit_all, turn:8, val:0.2, calc:mul, animation:attack_break01]</v>
      </c>
      <c r="O23" s="63">
        <f t="shared" si="6"/>
        <v>9</v>
      </c>
      <c r="P23" s="63">
        <f t="shared" si="7"/>
        <v>21</v>
      </c>
      <c r="Q23" s="63">
        <f t="shared" si="8"/>
        <v>30</v>
      </c>
      <c r="R23" s="63">
        <f t="shared" si="9"/>
        <v>38</v>
      </c>
      <c r="S23" s="63" t="str">
        <f>IFERROR(VLOOKUP(MID(N23,Q23,R23-Q23),[6]skilldef!$C:$D,2,FALSE),"-") &amp; " / " &amp; IFERROR(VLOOKUP(MID(N23,O23,P23-O23),[6]skilldef!$A:$B,2,FALSE),"-")</f>
        <v>味方全体に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 x14ac:dyDescent="0.15">
      <c r="A24" s="47">
        <v>39012420</v>
      </c>
      <c r="B24" s="62" t="s">
        <v>313</v>
      </c>
      <c r="C24" s="50">
        <v>3</v>
      </c>
      <c r="D24" s="50" t="s">
        <v>128</v>
      </c>
      <c r="E24" s="123" t="s">
        <v>277</v>
      </c>
      <c r="F24" s="123" t="s">
        <v>260</v>
      </c>
      <c r="G24" s="63" t="str">
        <f t="shared" si="0"/>
        <v>[effect:enemy_message, val1:1.2, val2:1.2]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 xml:space="preserve">[effect:spread, val:1]    </v>
      </c>
      <c r="N24" s="48" t="str">
        <f t="shared" si="39"/>
        <v xml:space="preserve">[effect:spread, val:1]    </v>
      </c>
      <c r="O24" s="63">
        <f t="shared" si="6"/>
        <v>9</v>
      </c>
      <c r="P24" s="63">
        <f t="shared" si="7"/>
        <v>15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全体攻撃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1" customHeight="1" x14ac:dyDescent="0.15">
      <c r="A25" s="47">
        <v>39012421</v>
      </c>
      <c r="B25" s="62" t="s">
        <v>306</v>
      </c>
      <c r="C25" s="50">
        <v>3</v>
      </c>
      <c r="D25" s="50" t="s">
        <v>128</v>
      </c>
      <c r="E25" s="123" t="s">
        <v>278</v>
      </c>
      <c r="F25" s="123" t="s">
        <v>303</v>
      </c>
      <c r="G25" s="63" t="str">
        <f t="shared" si="0"/>
        <v>[effect:enemy_message, val1:1.2, val2:0.0]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none</v>
      </c>
      <c r="N25" s="48" t="str">
        <f t="shared" si="39"/>
        <v>none</v>
      </c>
      <c r="O25" s="63" t="e">
        <f t="shared" si="6"/>
        <v>#VALUE!</v>
      </c>
      <c r="P25" s="63">
        <f t="shared" si="7"/>
        <v>4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1" customHeight="1" x14ac:dyDescent="0.15">
      <c r="A26" s="47">
        <v>39012422</v>
      </c>
      <c r="B26" s="62" t="s">
        <v>306</v>
      </c>
      <c r="C26" s="50">
        <v>3</v>
      </c>
      <c r="D26" s="50" t="s">
        <v>128</v>
      </c>
      <c r="E26" s="123" t="s">
        <v>279</v>
      </c>
      <c r="F26" s="123" t="s">
        <v>303</v>
      </c>
      <c r="G26" s="63" t="str">
        <f t="shared" si="0"/>
        <v>[effect:enemy_message, val1:1.2, val2:0.0]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si="5"/>
        <v>none</v>
      </c>
      <c r="N26" s="48" t="str">
        <f t="shared" si="39"/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 x14ac:dyDescent="0.15">
      <c r="A27" s="47">
        <v>39012423</v>
      </c>
      <c r="B27" s="62" t="s">
        <v>306</v>
      </c>
      <c r="C27" s="50">
        <v>3</v>
      </c>
      <c r="D27" s="50" t="s">
        <v>128</v>
      </c>
      <c r="E27" s="123" t="s">
        <v>280</v>
      </c>
      <c r="F27" s="123" t="s">
        <v>303</v>
      </c>
      <c r="G27" s="63" t="str">
        <f t="shared" si="0"/>
        <v>[effect:enemy_message, val1:1.2, val2:0.0]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none</v>
      </c>
      <c r="N27" s="48" t="str">
        <f t="shared" si="39"/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1" customHeight="1" x14ac:dyDescent="0.2">
      <c r="A28" s="118">
        <v>39012436</v>
      </c>
      <c r="B28" s="62" t="s">
        <v>314</v>
      </c>
      <c r="C28" s="50">
        <v>3</v>
      </c>
      <c r="D28" s="50" t="s">
        <v>128</v>
      </c>
      <c r="E28" s="120" t="s">
        <v>262</v>
      </c>
      <c r="F28" s="120" t="s">
        <v>264</v>
      </c>
      <c r="G28" s="63" t="str">
        <f t="shared" ref="G28" si="40">IFERROR(LEFT(B28,FIND("],",B28)),B28)</f>
        <v>[effect:enemy_message, val1:1.6, val2:1.9]</v>
      </c>
      <c r="H28" s="63">
        <f t="shared" ref="H28" si="41">FIND("effect:",G28)+7</f>
        <v>9</v>
      </c>
      <c r="I28" s="63">
        <f t="shared" ref="I28" si="42">IFERROR(FIND(",",G28),LEN(G28))</f>
        <v>22</v>
      </c>
      <c r="J28" s="63" t="e">
        <f t="shared" ref="J28" si="43">FIND("target:",G28)+7</f>
        <v>#VALUE!</v>
      </c>
      <c r="K28" s="63">
        <f t="shared" ref="K28" si="44">FIND(",",G28,I28+1)</f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ref="M28" si="45">IFERROR(RIGHT(B28,LEN(B28)-FIND("],",B28)-1),"none")</f>
        <v>[effect:ability_lock, target:unit_all, turn:1],[effect:sleep, target:unit_all, turn:1, rate:1, calc_type:target_all],[effect:fix_speed, target:myself, turn:1]</v>
      </c>
      <c r="N28" s="48" t="str">
        <f t="shared" si="39"/>
        <v>[effect:ability_lock, target:unit_all, turn:1]</v>
      </c>
      <c r="O28" s="63">
        <f t="shared" ref="O28" si="46">FIND("effect:",N28)+7</f>
        <v>9</v>
      </c>
      <c r="P28" s="63">
        <f t="shared" ref="P28" si="47">IFERROR(FIND(",",N28),LEN(N28))</f>
        <v>21</v>
      </c>
      <c r="Q28" s="63">
        <f t="shared" ref="Q28" si="48">FIND("target:",N28)+7</f>
        <v>30</v>
      </c>
      <c r="R28" s="63">
        <f t="shared" ref="R28" si="49">FIND(",",N28,P28+1)</f>
        <v>38</v>
      </c>
      <c r="S28" s="63" t="str">
        <f>IFERROR(VLOOKUP(MID(N28,Q28,R28-Q28),[6]skilldef!$C:$D,2,FALSE),"-") &amp; " / " &amp; IFERROR(VLOOKUP(MID(N28,O28,P28-O28),[6]skilldef!$A:$B,2,FALSE),"-")</f>
        <v>味方全体に / -</v>
      </c>
      <c r="T28" s="48" t="str">
        <f t="shared" ref="T28" si="50">IFERROR(RIGHT(M28,LEN(M28)-FIND("],",M28)-1),"none")</f>
        <v>[effect:sleep, target:unit_all, turn:1, rate:1, calc_type:target_all],[effect:fix_speed, target:myself, turn:1]</v>
      </c>
      <c r="U28" s="63">
        <f t="shared" ref="U28" si="51">FIND("effect:",T28)+7</f>
        <v>9</v>
      </c>
      <c r="V28" s="63">
        <f t="shared" ref="V28" si="52">IFERROR(FIND(",",T28),LEN(T28))</f>
        <v>14</v>
      </c>
      <c r="W28" s="63">
        <f t="shared" ref="W28" si="53">FIND("target:",T28)+7</f>
        <v>23</v>
      </c>
      <c r="X28" s="63">
        <f t="shared" ref="X28" si="54">FIND(",",T28,V28+1)</f>
        <v>31</v>
      </c>
      <c r="Y28" s="63" t="str">
        <f>IFERROR(VLOOKUP(MID(T28,W28,X28-W28),[6]skilldef!$C:$D,2,FALSE),"-") &amp; " / " &amp; IFERROR(VLOOKUP(MID(T28,U28,V28-U28),[6]skilldef!$A:$B,2,FALSE),"-")</f>
        <v>味方全体に / スリープ</v>
      </c>
      <c r="Z28" s="50"/>
      <c r="AA28" s="51"/>
      <c r="AB28" s="50"/>
    </row>
    <row r="29" spans="1:28" ht="21" customHeight="1" x14ac:dyDescent="0.2">
      <c r="A29" s="118">
        <v>39012437</v>
      </c>
      <c r="B29" s="140" t="s">
        <v>401</v>
      </c>
      <c r="C29" s="50">
        <v>3</v>
      </c>
      <c r="D29" s="50" t="s">
        <v>128</v>
      </c>
      <c r="E29" s="120" t="s">
        <v>263</v>
      </c>
      <c r="F29" s="120" t="s">
        <v>342</v>
      </c>
      <c r="G29" s="63" t="str">
        <f t="shared" ref="G29" si="55">IFERROR(LEFT(B29,FIND("],",B29)),B29)</f>
        <v>[effect:enemy_message, val1:1.2, val2:2.4]</v>
      </c>
      <c r="H29" s="63">
        <f t="shared" ref="H29" si="56">FIND("effect:",G29)+7</f>
        <v>9</v>
      </c>
      <c r="I29" s="63">
        <f t="shared" ref="I29" si="57">IFERROR(FIND(",",G29),LEN(G29))</f>
        <v>22</v>
      </c>
      <c r="J29" s="63" t="e">
        <f t="shared" ref="J29" si="58">FIND("target:",G29)+7</f>
        <v>#VALUE!</v>
      </c>
      <c r="K29" s="63">
        <f t="shared" ref="K29" si="59">FIND(",",G29,I29+1)</f>
        <v>32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ref="M29" si="60">IFERROR(RIGHT(B29,LEN(B29)-FIND("],",B29)-1),"none")</f>
        <v>[effect:force_change_block, new_block:crash, target:block_all, ignore01:crash, ignore02:crack_bomb, ignore03:color_break, ignore04:magnet, count:5, val:12],[effect:suicide, val:1, dead_type:escape, target:myself]</v>
      </c>
      <c r="N29" s="48" t="str">
        <f t="shared" si="39"/>
        <v>[effect:force_change_block, new_block:crash, target:block_all, ignore01:crash, ignore02:crack_bomb, ignore03:color_break, ignore04:magnet, count:5, val:12]</v>
      </c>
      <c r="O29" s="63">
        <f t="shared" ref="O29" si="61">FIND("effect:",N29)+7</f>
        <v>9</v>
      </c>
      <c r="P29" s="63">
        <f t="shared" ref="P29" si="62">IFERROR(FIND(",",N29),LEN(N29))</f>
        <v>27</v>
      </c>
      <c r="Q29" s="63">
        <f t="shared" ref="Q29" si="63">FIND("target:",N29)+7</f>
        <v>53</v>
      </c>
      <c r="R29" s="63">
        <f t="shared" ref="R29" si="64">FIND(",",N29,P29+1)</f>
        <v>44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" si="65">IFERROR(RIGHT(M29,LEN(M29)-FIND("],",M29)-1),"none")</f>
        <v>[effect:suicide, val:1, dead_type:escape, target:myself]</v>
      </c>
      <c r="U29" s="63">
        <f t="shared" ref="U29" si="66">FIND("effect:",T29)+7</f>
        <v>9</v>
      </c>
      <c r="V29" s="63">
        <f t="shared" ref="V29" si="67">IFERROR(FIND(",",T29),LEN(T29))</f>
        <v>16</v>
      </c>
      <c r="W29" s="63">
        <f t="shared" ref="W29" si="68">FIND("target:",T29)+7</f>
        <v>50</v>
      </c>
      <c r="X29" s="63">
        <f t="shared" ref="X29" si="69">FIND(",",T29,V29+1)</f>
        <v>23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</row>
    <row r="30" spans="1:28" ht="154" x14ac:dyDescent="0.2">
      <c r="A30" s="47">
        <v>39012424</v>
      </c>
      <c r="B30" s="62" t="s">
        <v>341</v>
      </c>
      <c r="C30" s="50">
        <v>3</v>
      </c>
      <c r="D30" s="50" t="s">
        <v>128</v>
      </c>
      <c r="E30" s="120" t="s">
        <v>266</v>
      </c>
      <c r="F30" s="121" t="s">
        <v>381</v>
      </c>
      <c r="G30" s="63" t="str">
        <f t="shared" si="0"/>
        <v>[effect:enemy_message, val1:1.2, val2:3.8]</v>
      </c>
      <c r="H30" s="63">
        <f t="shared" si="1"/>
        <v>9</v>
      </c>
      <c r="I30" s="63">
        <f t="shared" si="2"/>
        <v>22</v>
      </c>
      <c r="J30" s="63" t="e">
        <f t="shared" si="3"/>
        <v>#VALUE!</v>
      </c>
      <c r="K30" s="63">
        <f t="shared" si="4"/>
        <v>32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[effect:break_enchance_enemy, target:myself, val:222222, lowest_val:2222222, count:-1, status:defense, turn:1, block01:jammer, calc:add, animation:enemy_enhance_defense],[effect:enemy_counter, target:myself, invoke_condition:unit_all, counter_target:attacker, turn:1, val:1, animation:enemy_counter]</v>
      </c>
      <c r="N30" s="48" t="str">
        <f>IFERROR(LEFT(M30,FIND("],",M30)+S56),M30)</f>
        <v>[effect:break_enchance_enemy, target:myself, val:222222, lowest_val:2222222, count:-1, status:defense, turn:1, block01:jammer, calc:add, animation:enemy_enhance_defense]</v>
      </c>
      <c r="O30" s="63">
        <f t="shared" si="6"/>
        <v>9</v>
      </c>
      <c r="P30" s="63">
        <f t="shared" si="7"/>
        <v>29</v>
      </c>
      <c r="Q30" s="63">
        <f t="shared" si="8"/>
        <v>38</v>
      </c>
      <c r="R30" s="63">
        <f t="shared" si="9"/>
        <v>44</v>
      </c>
      <c r="S30" s="63" t="str">
        <f>IFERROR(VLOOKUP(MID(N30,Q30,R30-Q30),[6]skilldef!$C:$D,2,FALSE),"-") &amp; " / " &amp; IFERROR(VLOOKUP(MID(N30,O30,P30-O30),[6]skilldef!$A:$B,2,FALSE),"-")</f>
        <v>自分自身に / -</v>
      </c>
      <c r="T30" s="48" t="str">
        <f t="shared" si="10"/>
        <v>[effect:enemy_counter, target:myself, invoke_condition:unit_all, counter_target:attacker, turn:1, val:1, animation:enemy_counter]</v>
      </c>
      <c r="U30" s="63">
        <f t="shared" si="11"/>
        <v>9</v>
      </c>
      <c r="V30" s="63">
        <f t="shared" si="12"/>
        <v>22</v>
      </c>
      <c r="W30" s="63">
        <f t="shared" si="13"/>
        <v>31</v>
      </c>
      <c r="X30" s="63">
        <f t="shared" si="14"/>
        <v>37</v>
      </c>
      <c r="Y30" s="63" t="str">
        <f>IFERROR(VLOOKUP(MID(T30,W30,X30-W30),[6]skilldef!$C:$D,2,FALSE),"-") &amp; " / " &amp; IFERROR(VLOOKUP(MID(T30,U30,V30-U30),[6]skilldef!$A:$B,2,FALSE),"-")</f>
        <v>自分自身に / カウンター</v>
      </c>
      <c r="Z30" s="50"/>
      <c r="AA30" s="51"/>
      <c r="AB30" s="50"/>
    </row>
    <row r="31" spans="1:28" ht="21" customHeight="1" x14ac:dyDescent="0.2">
      <c r="A31" s="47">
        <v>39012425</v>
      </c>
      <c r="B31" s="62" t="s">
        <v>315</v>
      </c>
      <c r="C31" s="50">
        <v>3</v>
      </c>
      <c r="D31" s="50" t="s">
        <v>128</v>
      </c>
      <c r="E31" s="120" t="s">
        <v>267</v>
      </c>
      <c r="F31" s="120" t="s">
        <v>382</v>
      </c>
      <c r="G31" s="63" t="str">
        <f t="shared" si="0"/>
        <v>[effect:enemy_message, val1:1.2, val2:1.8]</v>
      </c>
      <c r="H31" s="63">
        <f t="shared" si="1"/>
        <v>9</v>
      </c>
      <c r="I31" s="63">
        <f t="shared" si="2"/>
        <v>22</v>
      </c>
      <c r="J31" s="63" t="e">
        <f t="shared" si="3"/>
        <v>#VALUE!</v>
      </c>
      <c r="K31" s="63">
        <f t="shared" si="4"/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si="5"/>
        <v xml:space="preserve">[effect:force_change_block, new_block:jammer, target:block_all, ignore01:crash, ignore02:crack_bomb, ignore03:jammer, ignore04:magnet, ignore05:color_break, count:3, val:0, animation:change_block]    </v>
      </c>
      <c r="N31" s="48" t="str">
        <f>IFERROR(LEFT(M31,FIND("],",M31)+S57),M31)</f>
        <v xml:space="preserve">[effect:force_change_block, new_block:jammer, target:block_all, ignore01:crash, ignore02:crack_bomb, ignore03:jammer, ignore04:magnet, ignore05:color_break, count:3, val:0, animation:change_block]    </v>
      </c>
      <c r="O31" s="63">
        <f t="shared" si="6"/>
        <v>9</v>
      </c>
      <c r="P31" s="63">
        <f t="shared" si="7"/>
        <v>27</v>
      </c>
      <c r="Q31" s="63">
        <f t="shared" si="8"/>
        <v>54</v>
      </c>
      <c r="R31" s="63">
        <f t="shared" si="9"/>
        <v>45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3" t="e">
        <f t="shared" si="11"/>
        <v>#VALUE!</v>
      </c>
      <c r="V31" s="63">
        <f t="shared" si="12"/>
        <v>4</v>
      </c>
      <c r="W31" s="63" t="e">
        <f t="shared" si="13"/>
        <v>#VALUE!</v>
      </c>
      <c r="X31" s="63" t="e">
        <f t="shared" si="14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 x14ac:dyDescent="0.2">
      <c r="A32" s="47">
        <v>39012426</v>
      </c>
      <c r="B32" s="62" t="s">
        <v>316</v>
      </c>
      <c r="C32" s="50">
        <v>3</v>
      </c>
      <c r="D32" s="50" t="s">
        <v>128</v>
      </c>
      <c r="E32" s="120" t="s">
        <v>268</v>
      </c>
      <c r="F32" s="120" t="s">
        <v>260</v>
      </c>
      <c r="G32" s="63" t="str">
        <f t="shared" si="0"/>
        <v>[effect:enemy_message, val1:1.2, val2:1.2]</v>
      </c>
      <c r="H32" s="63">
        <f t="shared" si="1"/>
        <v>9</v>
      </c>
      <c r="I32" s="63">
        <f t="shared" si="2"/>
        <v>22</v>
      </c>
      <c r="J32" s="63" t="e">
        <f t="shared" si="3"/>
        <v>#VALUE!</v>
      </c>
      <c r="K32" s="63">
        <f t="shared" si="4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 xml:space="preserve">[effect:spread, val:0.5] </v>
      </c>
      <c r="N32" s="48" t="str">
        <f>IFERROR(LEFT(M32,FIND("],",M32)+S58),M32)</f>
        <v xml:space="preserve">[effect:spread, val:0.5] </v>
      </c>
      <c r="O32" s="63">
        <f t="shared" si="6"/>
        <v>9</v>
      </c>
      <c r="P32" s="63">
        <f t="shared" si="7"/>
        <v>15</v>
      </c>
      <c r="Q32" s="63" t="e">
        <f t="shared" si="8"/>
        <v>#VALUE!</v>
      </c>
      <c r="R32" s="63" t="e">
        <f t="shared" si="9"/>
        <v>#VALUE!</v>
      </c>
      <c r="S32" s="63" t="str">
        <f>IFERROR(VLOOKUP(MID(N32,Q32,R32-Q32),[6]skilldef!$C:$D,2,FALSE),"-") &amp; " / " &amp; IFERROR(VLOOKUP(MID(N32,O32,P32-O32),[6]skilldef!$A:$B,2,FALSE),"-")</f>
        <v>- / 全体攻撃</v>
      </c>
      <c r="T32" s="48" t="str">
        <f t="shared" si="10"/>
        <v>none</v>
      </c>
      <c r="U32" s="63" t="e">
        <f t="shared" si="11"/>
        <v>#VALUE!</v>
      </c>
      <c r="V32" s="63">
        <f t="shared" si="12"/>
        <v>4</v>
      </c>
      <c r="W32" s="63" t="e">
        <f t="shared" si="13"/>
        <v>#VALUE!</v>
      </c>
      <c r="X32" s="63" t="e">
        <f t="shared" si="14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</row>
    <row r="33" spans="1:28" ht="30" x14ac:dyDescent="0.15">
      <c r="A33" s="47">
        <v>39012427</v>
      </c>
      <c r="B33" s="62" t="s">
        <v>317</v>
      </c>
      <c r="C33" s="50">
        <v>3</v>
      </c>
      <c r="D33" s="50" t="s">
        <v>128</v>
      </c>
      <c r="E33" s="124" t="s">
        <v>331</v>
      </c>
      <c r="F33" s="123" t="s">
        <v>303</v>
      </c>
      <c r="G33" s="63" t="str">
        <f t="shared" si="0"/>
        <v>[effect:enemy_message, val1:2.4, val2:0.0]</v>
      </c>
      <c r="H33" s="63">
        <f t="shared" si="1"/>
        <v>9</v>
      </c>
      <c r="I33" s="63">
        <f t="shared" si="2"/>
        <v>22</v>
      </c>
      <c r="J33" s="63" t="e">
        <f t="shared" si="3"/>
        <v>#VALUE!</v>
      </c>
      <c r="K33" s="63">
        <f t="shared" si="4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none</v>
      </c>
      <c r="N33" s="48" t="str">
        <f>IFERROR(LEFT(M33,FIND("],",M33)+S59),M33)</f>
        <v>none</v>
      </c>
      <c r="O33" s="63" t="e">
        <f t="shared" si="6"/>
        <v>#VALUE!</v>
      </c>
      <c r="P33" s="63">
        <f t="shared" si="7"/>
        <v>4</v>
      </c>
      <c r="Q33" s="63" t="e">
        <f t="shared" si="8"/>
        <v>#VALUE!</v>
      </c>
      <c r="R33" s="63" t="e">
        <f t="shared" si="9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10"/>
        <v>none</v>
      </c>
      <c r="U33" s="63" t="e">
        <f t="shared" si="11"/>
        <v>#VALUE!</v>
      </c>
      <c r="V33" s="63">
        <f t="shared" si="12"/>
        <v>4</v>
      </c>
      <c r="W33" s="63" t="e">
        <f t="shared" si="13"/>
        <v>#VALUE!</v>
      </c>
      <c r="X33" s="63" t="e">
        <f t="shared" si="14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</row>
    <row r="34" spans="1:28" ht="30" x14ac:dyDescent="0.15">
      <c r="A34" s="47">
        <v>39012428</v>
      </c>
      <c r="B34" s="62" t="s">
        <v>318</v>
      </c>
      <c r="C34" s="50">
        <v>3</v>
      </c>
      <c r="D34" s="50" t="s">
        <v>128</v>
      </c>
      <c r="E34" s="124" t="s">
        <v>346</v>
      </c>
      <c r="F34" s="123" t="s">
        <v>303</v>
      </c>
      <c r="G34" s="63" t="str">
        <f t="shared" si="0"/>
        <v>[effect:enemy_message, val1:1.8, val2:0.0]</v>
      </c>
      <c r="H34" s="63">
        <f t="shared" si="1"/>
        <v>9</v>
      </c>
      <c r="I34" s="63">
        <f t="shared" si="2"/>
        <v>22</v>
      </c>
      <c r="J34" s="63" t="e">
        <f t="shared" si="3"/>
        <v>#VALUE!</v>
      </c>
      <c r="K34" s="63">
        <f t="shared" si="4"/>
        <v>32</v>
      </c>
      <c r="L34" s="63" t="str">
        <f>IFERROR(VLOOKUP(MID(G34,J34,K34-J34),[6]skilldef!$C:$D,2,FALSE),"-") &amp; " / " &amp; IFERROR(VLOOKUP(MID(G34,H34,I34-H34),[6]skilldef!$A:$B,2,FALSE),"-")</f>
        <v>- / -</v>
      </c>
      <c r="M34" s="63" t="str">
        <f t="shared" si="5"/>
        <v>none</v>
      </c>
      <c r="N34" s="48" t="str">
        <f t="shared" ref="N34:N38" si="70">IFERROR(LEFT(M34,FIND("],",M34)+S60),M34)</f>
        <v>none</v>
      </c>
      <c r="O34" s="63" t="e">
        <f t="shared" si="6"/>
        <v>#VALUE!</v>
      </c>
      <c r="P34" s="63">
        <f t="shared" si="7"/>
        <v>4</v>
      </c>
      <c r="Q34" s="63" t="e">
        <f t="shared" si="8"/>
        <v>#VALUE!</v>
      </c>
      <c r="R34" s="63" t="e">
        <f t="shared" si="9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none</v>
      </c>
      <c r="U34" s="63" t="e">
        <f t="shared" si="11"/>
        <v>#VALUE!</v>
      </c>
      <c r="V34" s="63">
        <f t="shared" si="12"/>
        <v>4</v>
      </c>
      <c r="W34" s="63" t="e">
        <f t="shared" si="13"/>
        <v>#VALUE!</v>
      </c>
      <c r="X34" s="63" t="e">
        <f t="shared" si="14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</row>
    <row r="35" spans="1:28" ht="21" customHeight="1" x14ac:dyDescent="0.15">
      <c r="A35" s="47">
        <v>39012429</v>
      </c>
      <c r="B35" s="62" t="s">
        <v>319</v>
      </c>
      <c r="C35" s="50">
        <v>3</v>
      </c>
      <c r="D35" s="50" t="s">
        <v>128</v>
      </c>
      <c r="E35" s="124" t="s">
        <v>347</v>
      </c>
      <c r="F35" s="123" t="s">
        <v>303</v>
      </c>
      <c r="G35" s="63" t="str">
        <f t="shared" si="0"/>
        <v>[effect:enemy_message, val1:1.9, val2:0.0]</v>
      </c>
      <c r="H35" s="63">
        <f t="shared" si="1"/>
        <v>9</v>
      </c>
      <c r="I35" s="63">
        <f t="shared" si="2"/>
        <v>22</v>
      </c>
      <c r="J35" s="63" t="e">
        <f t="shared" si="3"/>
        <v>#VALUE!</v>
      </c>
      <c r="K35" s="63">
        <f t="shared" si="4"/>
        <v>32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5"/>
        <v>none</v>
      </c>
      <c r="N35" s="48" t="str">
        <f t="shared" si="70"/>
        <v>none</v>
      </c>
      <c r="O35" s="63" t="e">
        <f t="shared" si="6"/>
        <v>#VALUE!</v>
      </c>
      <c r="P35" s="63">
        <f t="shared" si="7"/>
        <v>4</v>
      </c>
      <c r="Q35" s="63" t="e">
        <f t="shared" si="8"/>
        <v>#VALUE!</v>
      </c>
      <c r="R35" s="63" t="e">
        <f t="shared" si="9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</row>
    <row r="36" spans="1:28" ht="21" customHeight="1" x14ac:dyDescent="0.15">
      <c r="A36" s="47">
        <v>39012430</v>
      </c>
      <c r="B36" s="62" t="s">
        <v>307</v>
      </c>
      <c r="C36" s="50">
        <v>3</v>
      </c>
      <c r="D36" s="50" t="s">
        <v>128</v>
      </c>
      <c r="E36" s="124" t="s">
        <v>348</v>
      </c>
      <c r="F36" s="123" t="s">
        <v>303</v>
      </c>
      <c r="G36" s="63" t="str">
        <f t="shared" si="0"/>
        <v>[effect:enemy_message, val1:1.5, val2:0.0]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none</v>
      </c>
      <c r="N36" s="48" t="str">
        <f t="shared" si="70"/>
        <v>none</v>
      </c>
      <c r="O36" s="63" t="e">
        <f t="shared" si="6"/>
        <v>#VALUE!</v>
      </c>
      <c r="P36" s="63">
        <f t="shared" si="7"/>
        <v>4</v>
      </c>
      <c r="Q36" s="63" t="e">
        <f t="shared" si="8"/>
        <v>#VALUE!</v>
      </c>
      <c r="R36" s="63" t="e">
        <f t="shared" si="9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21" customHeight="1" x14ac:dyDescent="0.15">
      <c r="A37" s="47">
        <v>39012431</v>
      </c>
      <c r="B37" s="62" t="s">
        <v>320</v>
      </c>
      <c r="C37" s="50">
        <v>3</v>
      </c>
      <c r="D37" s="50" t="s">
        <v>128</v>
      </c>
      <c r="E37" s="123" t="s">
        <v>269</v>
      </c>
      <c r="F37" s="123" t="s">
        <v>303</v>
      </c>
      <c r="G37" s="63" t="str">
        <f t="shared" si="0"/>
        <v>[effect:enemy_message, val1:1.3, val2:0.0]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>none</v>
      </c>
      <c r="N37" s="48" t="str">
        <f t="shared" si="70"/>
        <v>none</v>
      </c>
      <c r="O37" s="63" t="e">
        <f t="shared" si="6"/>
        <v>#VALUE!</v>
      </c>
      <c r="P37" s="63">
        <f t="shared" si="7"/>
        <v>4</v>
      </c>
      <c r="Q37" s="63" t="e">
        <f t="shared" si="8"/>
        <v>#VALUE!</v>
      </c>
      <c r="R37" s="63" t="e">
        <f t="shared" si="9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1" customHeight="1" x14ac:dyDescent="0.2">
      <c r="A38" s="47">
        <v>39012432</v>
      </c>
      <c r="B38" s="62" t="s">
        <v>333</v>
      </c>
      <c r="C38" s="50">
        <v>3</v>
      </c>
      <c r="D38" s="50" t="s">
        <v>128</v>
      </c>
      <c r="E38" s="121" t="s">
        <v>349</v>
      </c>
      <c r="F38" s="123" t="s">
        <v>303</v>
      </c>
      <c r="G38" s="63" t="str">
        <f t="shared" si="0"/>
        <v>[effect:enemy_message, val1:2.5, val2:0.0]</v>
      </c>
      <c r="H38" s="63">
        <f t="shared" si="1"/>
        <v>9</v>
      </c>
      <c r="I38" s="63">
        <f t="shared" si="2"/>
        <v>22</v>
      </c>
      <c r="J38" s="63" t="e">
        <f t="shared" si="3"/>
        <v>#VALUE!</v>
      </c>
      <c r="K38" s="63">
        <f t="shared" si="4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5"/>
        <v>none</v>
      </c>
      <c r="N38" s="48" t="str">
        <f t="shared" si="70"/>
        <v>none</v>
      </c>
      <c r="O38" s="63" t="e">
        <f t="shared" si="6"/>
        <v>#VALUE!</v>
      </c>
      <c r="P38" s="63">
        <f t="shared" si="7"/>
        <v>4</v>
      </c>
      <c r="Q38" s="63" t="e">
        <f t="shared" si="8"/>
        <v>#VALUE!</v>
      </c>
      <c r="R38" s="63" t="e">
        <f t="shared" si="9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15" x14ac:dyDescent="0.15">
      <c r="A39" s="47">
        <v>39012438</v>
      </c>
      <c r="B39" s="62" t="s">
        <v>319</v>
      </c>
      <c r="C39" s="50">
        <v>3</v>
      </c>
      <c r="D39" s="50" t="s">
        <v>128</v>
      </c>
      <c r="E39" s="145" t="s">
        <v>359</v>
      </c>
      <c r="F39" s="123" t="s">
        <v>303</v>
      </c>
      <c r="G39" s="63" t="str">
        <f t="shared" ref="G39" si="71">IFERROR(LEFT(B39,FIND("],",B39)),B39)</f>
        <v>[effect:enemy_message, val1:1.9, val2:0.0]</v>
      </c>
      <c r="H39" s="63">
        <f t="shared" ref="H39" si="72">FIND("effect:",G39)+7</f>
        <v>9</v>
      </c>
      <c r="I39" s="63">
        <f t="shared" ref="I39" si="73">IFERROR(FIND(",",G39),LEN(G39))</f>
        <v>22</v>
      </c>
      <c r="J39" s="63" t="e">
        <f t="shared" ref="J39" si="74">FIND("target:",G39)+7</f>
        <v>#VALUE!</v>
      </c>
      <c r="K39" s="63">
        <f t="shared" ref="K39" si="75">FIND(",",G39,I39+1)</f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ref="M39" si="76">IFERROR(RIGHT(B39,LEN(B39)-FIND("],",B39)-1),"none")</f>
        <v>none</v>
      </c>
      <c r="N39" s="48" t="str">
        <f>IFERROR(LEFT(M39,FIND("],",M39)+S65),M39)</f>
        <v>none</v>
      </c>
      <c r="O39" s="63" t="e">
        <f t="shared" ref="O39" si="77">FIND("effect:",N39)+7</f>
        <v>#VALUE!</v>
      </c>
      <c r="P39" s="63">
        <f t="shared" ref="P39" si="78">IFERROR(FIND(",",N39),LEN(N39))</f>
        <v>4</v>
      </c>
      <c r="Q39" s="63" t="e">
        <f t="shared" ref="Q39" si="79">FIND("target:",N39)+7</f>
        <v>#VALUE!</v>
      </c>
      <c r="R39" s="63" t="e">
        <f t="shared" ref="R39" si="80">FIND(",",N39,P39+1)</f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ref="T39" si="81">IFERROR(RIGHT(M39,LEN(M39)-FIND("],",M39)-1),"none")</f>
        <v>none</v>
      </c>
      <c r="U39" s="63" t="e">
        <f t="shared" ref="U39" si="82">FIND("effect:",T39)+7</f>
        <v>#VALUE!</v>
      </c>
      <c r="V39" s="63">
        <f t="shared" ref="V39" si="83">IFERROR(FIND(",",T39),LEN(T39))</f>
        <v>4</v>
      </c>
      <c r="W39" s="63" t="e">
        <f t="shared" ref="W39" si="84">FIND("target:",T39)+7</f>
        <v>#VALUE!</v>
      </c>
      <c r="X39" s="63" t="e">
        <f t="shared" ref="X39" si="85">FIND(",",T39,V39+1)</f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15" x14ac:dyDescent="0.15">
      <c r="A40" s="47">
        <v>39012439</v>
      </c>
      <c r="B40" s="62" t="s">
        <v>371</v>
      </c>
      <c r="C40" s="50">
        <v>3</v>
      </c>
      <c r="D40" s="50" t="s">
        <v>128</v>
      </c>
      <c r="E40" s="145" t="s">
        <v>360</v>
      </c>
      <c r="F40" s="123" t="s">
        <v>303</v>
      </c>
      <c r="G40" s="63" t="str">
        <f t="shared" ref="G40:G51" si="86">IFERROR(LEFT(B40,FIND("],",B40)),B40)</f>
        <v>[effect:enemy_message, val1:1.7, val2:0.0]</v>
      </c>
      <c r="H40" s="63">
        <f t="shared" ref="H40:H51" si="87">FIND("effect:",G40)+7</f>
        <v>9</v>
      </c>
      <c r="I40" s="63">
        <f t="shared" ref="I40:I51" si="88">IFERROR(FIND(",",G40),LEN(G40))</f>
        <v>22</v>
      </c>
      <c r="J40" s="63" t="e">
        <f t="shared" ref="J40:J51" si="89">FIND("target:",G40)+7</f>
        <v>#VALUE!</v>
      </c>
      <c r="K40" s="63">
        <f t="shared" ref="K40:K51" si="90">FIND(",",G40,I40+1)</f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ref="M40:M51" si="91">IFERROR(RIGHT(B40,LEN(B40)-FIND("],",B40)-1),"none")</f>
        <v>none</v>
      </c>
      <c r="N40" s="48" t="str">
        <f t="shared" ref="N40:N51" si="92">IFERROR(LEFT(M40,FIND("],",M40)+S66),M40)</f>
        <v>none</v>
      </c>
      <c r="O40" s="63" t="e">
        <f t="shared" ref="O40:O51" si="93">FIND("effect:",N40)+7</f>
        <v>#VALUE!</v>
      </c>
      <c r="P40" s="63">
        <f t="shared" ref="P40:P51" si="94">IFERROR(FIND(",",N40),LEN(N40))</f>
        <v>4</v>
      </c>
      <c r="Q40" s="63" t="e">
        <f t="shared" ref="Q40:Q51" si="95">FIND("target:",N40)+7</f>
        <v>#VALUE!</v>
      </c>
      <c r="R40" s="63" t="e">
        <f t="shared" ref="R40:R51" si="96">FIND(",",N40,P40+1)</f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ref="T40:T51" si="97">IFERROR(RIGHT(M40,LEN(M40)-FIND("],",M40)-1),"none")</f>
        <v>none</v>
      </c>
      <c r="U40" s="63" t="e">
        <f t="shared" ref="U40:U51" si="98">FIND("effect:",T40)+7</f>
        <v>#VALUE!</v>
      </c>
      <c r="V40" s="63">
        <f t="shared" ref="V40:V51" si="99">IFERROR(FIND(",",T40),LEN(T40))</f>
        <v>4</v>
      </c>
      <c r="W40" s="63" t="e">
        <f t="shared" ref="W40:W51" si="100">FIND("target:",T40)+7</f>
        <v>#VALUE!</v>
      </c>
      <c r="X40" s="63" t="e">
        <f t="shared" ref="X40:X51" si="101">FIND(",",T40,V40+1)</f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15" x14ac:dyDescent="0.15">
      <c r="A41" s="47">
        <v>39012440</v>
      </c>
      <c r="B41" s="62" t="s">
        <v>372</v>
      </c>
      <c r="C41" s="50">
        <v>3</v>
      </c>
      <c r="D41" s="50" t="s">
        <v>128</v>
      </c>
      <c r="E41" s="145" t="s">
        <v>361</v>
      </c>
      <c r="F41" s="123" t="s">
        <v>303</v>
      </c>
      <c r="G41" s="63" t="str">
        <f t="shared" si="86"/>
        <v>[effect:enemy_message, val1:1.8, val2:0.0]</v>
      </c>
      <c r="H41" s="63">
        <f t="shared" si="87"/>
        <v>9</v>
      </c>
      <c r="I41" s="63">
        <f t="shared" si="88"/>
        <v>22</v>
      </c>
      <c r="J41" s="63" t="e">
        <f t="shared" si="89"/>
        <v>#VALUE!</v>
      </c>
      <c r="K41" s="63">
        <f t="shared" si="90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91"/>
        <v>none</v>
      </c>
      <c r="N41" s="48" t="str">
        <f t="shared" si="92"/>
        <v>none</v>
      </c>
      <c r="O41" s="63" t="e">
        <f t="shared" si="93"/>
        <v>#VALUE!</v>
      </c>
      <c r="P41" s="63">
        <f t="shared" si="94"/>
        <v>4</v>
      </c>
      <c r="Q41" s="63" t="e">
        <f t="shared" si="95"/>
        <v>#VALUE!</v>
      </c>
      <c r="R41" s="63" t="e">
        <f t="shared" si="9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97"/>
        <v>none</v>
      </c>
      <c r="U41" s="63" t="e">
        <f t="shared" si="98"/>
        <v>#VALUE!</v>
      </c>
      <c r="V41" s="63">
        <f t="shared" si="99"/>
        <v>4</v>
      </c>
      <c r="W41" s="63" t="e">
        <f t="shared" si="100"/>
        <v>#VALUE!</v>
      </c>
      <c r="X41" s="63" t="e">
        <f t="shared" si="10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15" x14ac:dyDescent="0.15">
      <c r="A42" s="47">
        <v>39012441</v>
      </c>
      <c r="B42" s="62" t="s">
        <v>373</v>
      </c>
      <c r="C42" s="50">
        <v>3</v>
      </c>
      <c r="D42" s="50" t="s">
        <v>128</v>
      </c>
      <c r="E42" s="145" t="s">
        <v>362</v>
      </c>
      <c r="F42" s="123" t="s">
        <v>303</v>
      </c>
      <c r="G42" s="63" t="str">
        <f t="shared" si="86"/>
        <v>[effect:enemy_message, val1:1.7, val2:0.0]</v>
      </c>
      <c r="H42" s="63">
        <f t="shared" si="87"/>
        <v>9</v>
      </c>
      <c r="I42" s="63">
        <f t="shared" si="88"/>
        <v>22</v>
      </c>
      <c r="J42" s="63" t="e">
        <f t="shared" si="89"/>
        <v>#VALUE!</v>
      </c>
      <c r="K42" s="63">
        <f t="shared" si="90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91"/>
        <v>none</v>
      </c>
      <c r="N42" s="48" t="str">
        <f t="shared" si="92"/>
        <v>none</v>
      </c>
      <c r="O42" s="63" t="e">
        <f t="shared" si="93"/>
        <v>#VALUE!</v>
      </c>
      <c r="P42" s="63">
        <f t="shared" si="94"/>
        <v>4</v>
      </c>
      <c r="Q42" s="63" t="e">
        <f t="shared" si="95"/>
        <v>#VALUE!</v>
      </c>
      <c r="R42" s="63" t="e">
        <f t="shared" si="9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97"/>
        <v>none</v>
      </c>
      <c r="U42" s="63" t="e">
        <f t="shared" si="98"/>
        <v>#VALUE!</v>
      </c>
      <c r="V42" s="63">
        <f t="shared" si="99"/>
        <v>4</v>
      </c>
      <c r="W42" s="63" t="e">
        <f t="shared" si="100"/>
        <v>#VALUE!</v>
      </c>
      <c r="X42" s="63" t="e">
        <f t="shared" si="10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15" x14ac:dyDescent="0.15">
      <c r="A43" s="47">
        <v>39012442</v>
      </c>
      <c r="B43" s="62" t="s">
        <v>374</v>
      </c>
      <c r="C43" s="50">
        <v>3</v>
      </c>
      <c r="D43" s="50" t="s">
        <v>128</v>
      </c>
      <c r="E43" s="145" t="s">
        <v>363</v>
      </c>
      <c r="F43" s="123" t="s">
        <v>303</v>
      </c>
      <c r="G43" s="63" t="str">
        <f t="shared" si="86"/>
        <v>[effect:enemy_message, val1:1.9, val2:0.0]</v>
      </c>
      <c r="H43" s="63">
        <f t="shared" si="87"/>
        <v>9</v>
      </c>
      <c r="I43" s="63">
        <f t="shared" si="88"/>
        <v>22</v>
      </c>
      <c r="J43" s="63" t="e">
        <f t="shared" si="89"/>
        <v>#VALUE!</v>
      </c>
      <c r="K43" s="63">
        <f t="shared" si="90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91"/>
        <v>none</v>
      </c>
      <c r="N43" s="48" t="str">
        <f t="shared" si="92"/>
        <v>none</v>
      </c>
      <c r="O43" s="63" t="e">
        <f t="shared" si="93"/>
        <v>#VALUE!</v>
      </c>
      <c r="P43" s="63">
        <f t="shared" si="94"/>
        <v>4</v>
      </c>
      <c r="Q43" s="63" t="e">
        <f t="shared" si="95"/>
        <v>#VALUE!</v>
      </c>
      <c r="R43" s="63" t="e">
        <f t="shared" si="9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97"/>
        <v>none</v>
      </c>
      <c r="U43" s="63" t="e">
        <f t="shared" si="98"/>
        <v>#VALUE!</v>
      </c>
      <c r="V43" s="63">
        <f t="shared" si="99"/>
        <v>4</v>
      </c>
      <c r="W43" s="63" t="e">
        <f t="shared" si="100"/>
        <v>#VALUE!</v>
      </c>
      <c r="X43" s="63" t="e">
        <f t="shared" si="10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15" x14ac:dyDescent="0.15">
      <c r="A44" s="47">
        <v>39012443</v>
      </c>
      <c r="B44" s="62" t="s">
        <v>320</v>
      </c>
      <c r="C44" s="50">
        <v>3</v>
      </c>
      <c r="D44" s="50" t="s">
        <v>128</v>
      </c>
      <c r="E44" s="145" t="s">
        <v>364</v>
      </c>
      <c r="F44" s="123" t="s">
        <v>303</v>
      </c>
      <c r="G44" s="63" t="str">
        <f t="shared" si="86"/>
        <v>[effect:enemy_message, val1:1.3, val2:0.0]</v>
      </c>
      <c r="H44" s="63">
        <f t="shared" si="87"/>
        <v>9</v>
      </c>
      <c r="I44" s="63">
        <f t="shared" si="88"/>
        <v>22</v>
      </c>
      <c r="J44" s="63" t="e">
        <f t="shared" si="89"/>
        <v>#VALUE!</v>
      </c>
      <c r="K44" s="63">
        <f t="shared" si="90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91"/>
        <v>none</v>
      </c>
      <c r="N44" s="48" t="str">
        <f t="shared" si="92"/>
        <v>none</v>
      </c>
      <c r="O44" s="63" t="e">
        <f t="shared" si="93"/>
        <v>#VALUE!</v>
      </c>
      <c r="P44" s="63">
        <f t="shared" si="94"/>
        <v>4</v>
      </c>
      <c r="Q44" s="63" t="e">
        <f t="shared" si="95"/>
        <v>#VALUE!</v>
      </c>
      <c r="R44" s="63" t="e">
        <f t="shared" si="96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97"/>
        <v>none</v>
      </c>
      <c r="U44" s="63" t="e">
        <f t="shared" si="98"/>
        <v>#VALUE!</v>
      </c>
      <c r="V44" s="63">
        <f t="shared" si="99"/>
        <v>4</v>
      </c>
      <c r="W44" s="63" t="e">
        <f t="shared" si="100"/>
        <v>#VALUE!</v>
      </c>
      <c r="X44" s="63" t="e">
        <f t="shared" si="101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15" x14ac:dyDescent="0.15">
      <c r="A45" s="47">
        <v>39012444</v>
      </c>
      <c r="B45" s="62" t="s">
        <v>320</v>
      </c>
      <c r="C45" s="50">
        <v>3</v>
      </c>
      <c r="D45" s="50" t="s">
        <v>128</v>
      </c>
      <c r="E45" s="145" t="s">
        <v>365</v>
      </c>
      <c r="F45" s="123" t="s">
        <v>303</v>
      </c>
      <c r="G45" s="63" t="str">
        <f t="shared" si="86"/>
        <v>[effect:enemy_message, val1:1.3, val2:0.0]</v>
      </c>
      <c r="H45" s="63">
        <f t="shared" si="87"/>
        <v>9</v>
      </c>
      <c r="I45" s="63">
        <f t="shared" si="88"/>
        <v>22</v>
      </c>
      <c r="J45" s="63" t="e">
        <f t="shared" si="89"/>
        <v>#VALUE!</v>
      </c>
      <c r="K45" s="63">
        <f t="shared" si="90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91"/>
        <v>none</v>
      </c>
      <c r="N45" s="48" t="str">
        <f t="shared" si="92"/>
        <v>none</v>
      </c>
      <c r="O45" s="63" t="e">
        <f t="shared" si="93"/>
        <v>#VALUE!</v>
      </c>
      <c r="P45" s="63">
        <f t="shared" si="94"/>
        <v>4</v>
      </c>
      <c r="Q45" s="63" t="e">
        <f t="shared" si="95"/>
        <v>#VALUE!</v>
      </c>
      <c r="R45" s="63" t="e">
        <f t="shared" si="96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97"/>
        <v>none</v>
      </c>
      <c r="U45" s="63" t="e">
        <f t="shared" si="98"/>
        <v>#VALUE!</v>
      </c>
      <c r="V45" s="63">
        <f t="shared" si="99"/>
        <v>4</v>
      </c>
      <c r="W45" s="63" t="e">
        <f t="shared" si="100"/>
        <v>#VALUE!</v>
      </c>
      <c r="X45" s="63" t="e">
        <f t="shared" si="10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15" x14ac:dyDescent="0.15">
      <c r="A46" s="47">
        <v>39012445</v>
      </c>
      <c r="B46" s="62" t="s">
        <v>375</v>
      </c>
      <c r="C46" s="50">
        <v>3</v>
      </c>
      <c r="D46" s="50" t="s">
        <v>128</v>
      </c>
      <c r="E46" s="81" t="s">
        <v>399</v>
      </c>
      <c r="F46" s="123" t="s">
        <v>303</v>
      </c>
      <c r="G46" s="63" t="str">
        <f t="shared" si="86"/>
        <v>[effect:enemy_message, val1:2.1, val2:0.0]</v>
      </c>
      <c r="H46" s="63">
        <f t="shared" si="87"/>
        <v>9</v>
      </c>
      <c r="I46" s="63">
        <f t="shared" si="88"/>
        <v>22</v>
      </c>
      <c r="J46" s="63" t="e">
        <f t="shared" si="89"/>
        <v>#VALUE!</v>
      </c>
      <c r="K46" s="63">
        <f t="shared" si="90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91"/>
        <v>none</v>
      </c>
      <c r="N46" s="48" t="str">
        <f t="shared" si="92"/>
        <v>none</v>
      </c>
      <c r="O46" s="63" t="e">
        <f t="shared" si="93"/>
        <v>#VALUE!</v>
      </c>
      <c r="P46" s="63">
        <f t="shared" si="94"/>
        <v>4</v>
      </c>
      <c r="Q46" s="63" t="e">
        <f t="shared" si="95"/>
        <v>#VALUE!</v>
      </c>
      <c r="R46" s="63" t="e">
        <f t="shared" si="96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97"/>
        <v>none</v>
      </c>
      <c r="U46" s="63" t="e">
        <f t="shared" si="98"/>
        <v>#VALUE!</v>
      </c>
      <c r="V46" s="63">
        <f t="shared" si="99"/>
        <v>4</v>
      </c>
      <c r="W46" s="63" t="e">
        <f t="shared" si="100"/>
        <v>#VALUE!</v>
      </c>
      <c r="X46" s="63" t="e">
        <f t="shared" si="101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15" x14ac:dyDescent="0.15">
      <c r="A47" s="47">
        <v>39012446</v>
      </c>
      <c r="B47" s="62" t="s">
        <v>376</v>
      </c>
      <c r="C47" s="50">
        <v>3</v>
      </c>
      <c r="D47" s="50" t="s">
        <v>128</v>
      </c>
      <c r="E47" s="81" t="s">
        <v>366</v>
      </c>
      <c r="F47" s="123" t="s">
        <v>303</v>
      </c>
      <c r="G47" s="63" t="str">
        <f t="shared" si="86"/>
        <v>[effect:enemy_message, val1:2.2, val2:0.0]</v>
      </c>
      <c r="H47" s="63">
        <f t="shared" si="87"/>
        <v>9</v>
      </c>
      <c r="I47" s="63">
        <f t="shared" si="88"/>
        <v>22</v>
      </c>
      <c r="J47" s="63" t="e">
        <f t="shared" si="89"/>
        <v>#VALUE!</v>
      </c>
      <c r="K47" s="63">
        <f t="shared" si="90"/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si="91"/>
        <v>none</v>
      </c>
      <c r="N47" s="48" t="str">
        <f t="shared" si="92"/>
        <v>none</v>
      </c>
      <c r="O47" s="63" t="e">
        <f t="shared" si="93"/>
        <v>#VALUE!</v>
      </c>
      <c r="P47" s="63">
        <f t="shared" si="94"/>
        <v>4</v>
      </c>
      <c r="Q47" s="63" t="e">
        <f t="shared" si="95"/>
        <v>#VALUE!</v>
      </c>
      <c r="R47" s="63" t="e">
        <f t="shared" si="96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97"/>
        <v>none</v>
      </c>
      <c r="U47" s="63" t="e">
        <f t="shared" si="98"/>
        <v>#VALUE!</v>
      </c>
      <c r="V47" s="63">
        <f t="shared" si="99"/>
        <v>4</v>
      </c>
      <c r="W47" s="63" t="e">
        <f t="shared" si="100"/>
        <v>#VALUE!</v>
      </c>
      <c r="X47" s="63" t="e">
        <f t="shared" si="101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</row>
    <row r="48" spans="1:28" ht="15" x14ac:dyDescent="0.15">
      <c r="A48" s="47">
        <v>39012447</v>
      </c>
      <c r="B48" s="62" t="s">
        <v>377</v>
      </c>
      <c r="C48" s="50">
        <v>3</v>
      </c>
      <c r="D48" s="50" t="s">
        <v>128</v>
      </c>
      <c r="E48" s="81" t="s">
        <v>367</v>
      </c>
      <c r="F48" s="123" t="s">
        <v>303</v>
      </c>
      <c r="G48" s="63" t="str">
        <f t="shared" si="86"/>
        <v>[effect:enemy_message, val1:1.9, val2:0.0]</v>
      </c>
      <c r="H48" s="63">
        <f t="shared" si="87"/>
        <v>9</v>
      </c>
      <c r="I48" s="63">
        <f t="shared" si="88"/>
        <v>22</v>
      </c>
      <c r="J48" s="63" t="e">
        <f t="shared" si="89"/>
        <v>#VALUE!</v>
      </c>
      <c r="K48" s="63">
        <f t="shared" si="90"/>
        <v>32</v>
      </c>
      <c r="L48" s="63" t="str">
        <f>IFERROR(VLOOKUP(MID(G48,J48,K48-J48),[6]skilldef!$C:$D,2,FALSE),"-") &amp; " / " &amp; IFERROR(VLOOKUP(MID(G48,H48,I48-H48),[6]skilldef!$A:$B,2,FALSE),"-")</f>
        <v>- / -</v>
      </c>
      <c r="M48" s="63" t="str">
        <f t="shared" si="91"/>
        <v>none</v>
      </c>
      <c r="N48" s="48" t="str">
        <f t="shared" si="92"/>
        <v>none</v>
      </c>
      <c r="O48" s="63" t="e">
        <f t="shared" si="93"/>
        <v>#VALUE!</v>
      </c>
      <c r="P48" s="63">
        <f t="shared" si="94"/>
        <v>4</v>
      </c>
      <c r="Q48" s="63" t="e">
        <f t="shared" si="95"/>
        <v>#VALUE!</v>
      </c>
      <c r="R48" s="63" t="e">
        <f t="shared" si="96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97"/>
        <v>none</v>
      </c>
      <c r="U48" s="63" t="e">
        <f t="shared" si="98"/>
        <v>#VALUE!</v>
      </c>
      <c r="V48" s="63">
        <f t="shared" si="99"/>
        <v>4</v>
      </c>
      <c r="W48" s="63" t="e">
        <f t="shared" si="100"/>
        <v>#VALUE!</v>
      </c>
      <c r="X48" s="63" t="e">
        <f t="shared" si="101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</row>
    <row r="49" spans="1:28" ht="15" x14ac:dyDescent="0.15">
      <c r="A49" s="47">
        <v>39012448</v>
      </c>
      <c r="B49" s="62" t="s">
        <v>378</v>
      </c>
      <c r="C49" s="50">
        <v>3</v>
      </c>
      <c r="D49" s="50" t="s">
        <v>128</v>
      </c>
      <c r="E49" s="81" t="s">
        <v>368</v>
      </c>
      <c r="F49" s="123" t="s">
        <v>303</v>
      </c>
      <c r="G49" s="63" t="str">
        <f t="shared" si="86"/>
        <v>[effect:enemy_message, val1:2.8, val2:0.0]</v>
      </c>
      <c r="H49" s="63">
        <f t="shared" si="87"/>
        <v>9</v>
      </c>
      <c r="I49" s="63">
        <f t="shared" si="88"/>
        <v>22</v>
      </c>
      <c r="J49" s="63" t="e">
        <f t="shared" si="89"/>
        <v>#VALUE!</v>
      </c>
      <c r="K49" s="63">
        <f t="shared" si="90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91"/>
        <v>none</v>
      </c>
      <c r="N49" s="48" t="str">
        <f t="shared" si="92"/>
        <v>none</v>
      </c>
      <c r="O49" s="63" t="e">
        <f t="shared" si="93"/>
        <v>#VALUE!</v>
      </c>
      <c r="P49" s="63">
        <f t="shared" si="94"/>
        <v>4</v>
      </c>
      <c r="Q49" s="63" t="e">
        <f t="shared" si="95"/>
        <v>#VALUE!</v>
      </c>
      <c r="R49" s="63" t="e">
        <f t="shared" si="96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97"/>
        <v>none</v>
      </c>
      <c r="U49" s="63" t="e">
        <f t="shared" si="98"/>
        <v>#VALUE!</v>
      </c>
      <c r="V49" s="63">
        <f t="shared" si="99"/>
        <v>4</v>
      </c>
      <c r="W49" s="63" t="e">
        <f t="shared" si="100"/>
        <v>#VALUE!</v>
      </c>
      <c r="X49" s="63" t="e">
        <f t="shared" si="10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1"/>
      <c r="AB49" s="50"/>
    </row>
    <row r="50" spans="1:28" ht="15" x14ac:dyDescent="0.15">
      <c r="A50" s="47">
        <v>39012449</v>
      </c>
      <c r="B50" s="62" t="s">
        <v>400</v>
      </c>
      <c r="C50" s="50">
        <v>3</v>
      </c>
      <c r="D50" s="50" t="s">
        <v>128</v>
      </c>
      <c r="E50" s="141" t="s">
        <v>398</v>
      </c>
      <c r="F50" s="123" t="s">
        <v>303</v>
      </c>
      <c r="G50" s="63" t="str">
        <f t="shared" si="86"/>
        <v>[effect:enemy_message, val1:2.1, val2:0.0]</v>
      </c>
      <c r="H50" s="63">
        <f t="shared" si="87"/>
        <v>9</v>
      </c>
      <c r="I50" s="63">
        <f t="shared" si="88"/>
        <v>22</v>
      </c>
      <c r="J50" s="63" t="e">
        <f t="shared" si="89"/>
        <v>#VALUE!</v>
      </c>
      <c r="K50" s="63">
        <f t="shared" si="90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91"/>
        <v>none</v>
      </c>
      <c r="N50" s="48" t="str">
        <f t="shared" si="92"/>
        <v>none</v>
      </c>
      <c r="O50" s="63" t="e">
        <f t="shared" si="93"/>
        <v>#VALUE!</v>
      </c>
      <c r="P50" s="63">
        <f t="shared" si="94"/>
        <v>4</v>
      </c>
      <c r="Q50" s="63" t="e">
        <f t="shared" si="95"/>
        <v>#VALUE!</v>
      </c>
      <c r="R50" s="63" t="e">
        <f t="shared" si="9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97"/>
        <v>none</v>
      </c>
      <c r="U50" s="63" t="e">
        <f t="shared" si="98"/>
        <v>#VALUE!</v>
      </c>
      <c r="V50" s="63">
        <f t="shared" si="99"/>
        <v>4</v>
      </c>
      <c r="W50" s="63" t="e">
        <f t="shared" si="100"/>
        <v>#VALUE!</v>
      </c>
      <c r="X50" s="63" t="e">
        <f t="shared" si="10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1"/>
      <c r="AB50" s="50"/>
    </row>
    <row r="51" spans="1:28" ht="15" x14ac:dyDescent="0.15">
      <c r="A51" s="47">
        <v>39012450</v>
      </c>
      <c r="B51" s="62" t="s">
        <v>379</v>
      </c>
      <c r="C51" s="50">
        <v>3</v>
      </c>
      <c r="D51" s="50" t="s">
        <v>128</v>
      </c>
      <c r="E51" s="81" t="s">
        <v>369</v>
      </c>
      <c r="F51" s="123" t="s">
        <v>303</v>
      </c>
      <c r="G51" s="63" t="str">
        <f t="shared" si="86"/>
        <v>[effect:enemy_message, val1:2.7, val2:0.0]</v>
      </c>
      <c r="H51" s="63">
        <f t="shared" si="87"/>
        <v>9</v>
      </c>
      <c r="I51" s="63">
        <f t="shared" si="88"/>
        <v>22</v>
      </c>
      <c r="J51" s="63" t="e">
        <f t="shared" si="89"/>
        <v>#VALUE!</v>
      </c>
      <c r="K51" s="63">
        <f t="shared" si="90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91"/>
        <v>none</v>
      </c>
      <c r="N51" s="48" t="str">
        <f t="shared" si="92"/>
        <v>none</v>
      </c>
      <c r="O51" s="63" t="e">
        <f t="shared" si="93"/>
        <v>#VALUE!</v>
      </c>
      <c r="P51" s="63">
        <f t="shared" si="94"/>
        <v>4</v>
      </c>
      <c r="Q51" s="63" t="e">
        <f t="shared" si="95"/>
        <v>#VALUE!</v>
      </c>
      <c r="R51" s="63" t="e">
        <f t="shared" si="96"/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si="97"/>
        <v>none</v>
      </c>
      <c r="U51" s="63" t="e">
        <f t="shared" si="98"/>
        <v>#VALUE!</v>
      </c>
      <c r="V51" s="63">
        <f t="shared" si="99"/>
        <v>4</v>
      </c>
      <c r="W51" s="63" t="e">
        <f t="shared" si="100"/>
        <v>#VALUE!</v>
      </c>
      <c r="X51" s="63" t="e">
        <f t="shared" si="101"/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</row>
    <row r="52" spans="1:28" ht="15" x14ac:dyDescent="0.15">
      <c r="A52" s="47">
        <v>39012451</v>
      </c>
      <c r="B52" s="62" t="s">
        <v>378</v>
      </c>
      <c r="C52" s="50">
        <v>3</v>
      </c>
      <c r="D52" s="50" t="s">
        <v>128</v>
      </c>
      <c r="E52" s="81" t="s">
        <v>370</v>
      </c>
      <c r="F52" s="123" t="s">
        <v>303</v>
      </c>
      <c r="G52" s="63" t="str">
        <f t="shared" ref="G52" si="102">IFERROR(LEFT(B52,FIND("],",B52)),B52)</f>
        <v>[effect:enemy_message, val1:2.8, val2:0.0]</v>
      </c>
      <c r="H52" s="63">
        <f t="shared" ref="H52" si="103">FIND("effect:",G52)+7</f>
        <v>9</v>
      </c>
      <c r="I52" s="63">
        <f t="shared" ref="I52" si="104">IFERROR(FIND(",",G52),LEN(G52))</f>
        <v>22</v>
      </c>
      <c r="J52" s="63" t="e">
        <f t="shared" ref="J52" si="105">FIND("target:",G52)+7</f>
        <v>#VALUE!</v>
      </c>
      <c r="K52" s="63">
        <f t="shared" ref="K52" si="106">FIND(",",G52,I52+1)</f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ref="M52" si="107">IFERROR(RIGHT(B52,LEN(B52)-FIND("],",B52)-1),"none")</f>
        <v>none</v>
      </c>
      <c r="N52" s="48" t="str">
        <f t="shared" ref="N52" si="108">IFERROR(LEFT(M52,FIND("],",M52)+S78),M52)</f>
        <v>none</v>
      </c>
      <c r="O52" s="63" t="e">
        <f t="shared" ref="O52" si="109">FIND("effect:",N52)+7</f>
        <v>#VALUE!</v>
      </c>
      <c r="P52" s="63">
        <f t="shared" ref="P52" si="110">IFERROR(FIND(",",N52),LEN(N52))</f>
        <v>4</v>
      </c>
      <c r="Q52" s="63" t="e">
        <f t="shared" ref="Q52" si="111">FIND("target:",N52)+7</f>
        <v>#VALUE!</v>
      </c>
      <c r="R52" s="63" t="e">
        <f t="shared" ref="R52" si="112">FIND(",",N52,P52+1)</f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ref="T52" si="113">IFERROR(RIGHT(M52,LEN(M52)-FIND("],",M52)-1),"none")</f>
        <v>none</v>
      </c>
      <c r="U52" s="63" t="e">
        <f t="shared" ref="U52" si="114">FIND("effect:",T52)+7</f>
        <v>#VALUE!</v>
      </c>
      <c r="V52" s="63">
        <f t="shared" ref="V52" si="115">IFERROR(FIND(",",T52),LEN(T52))</f>
        <v>4</v>
      </c>
      <c r="W52" s="63" t="e">
        <f t="shared" ref="W52" si="116">FIND("target:",T52)+7</f>
        <v>#VALUE!</v>
      </c>
      <c r="X52" s="63" t="e">
        <f t="shared" ref="X52" si="117">FIND(",",T52,V52+1)</f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81"/>
  <sheetViews>
    <sheetView showGridLines="0" workbookViewId="0">
      <pane ySplit="1" topLeftCell="A35" activePane="bottomLeft" state="frozenSplit"/>
      <selection pane="bottomLeft" activeCell="A52" sqref="A52:A6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39" style="45" customWidth="1"/>
    <col min="13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4">
        <v>39012401</v>
      </c>
      <c r="B2" s="104">
        <v>0</v>
      </c>
      <c r="C2" s="104">
        <v>99</v>
      </c>
      <c r="D2" s="104">
        <v>30</v>
      </c>
      <c r="E2" s="104" t="s">
        <v>251</v>
      </c>
      <c r="F2" s="104" t="s">
        <v>90</v>
      </c>
      <c r="G2" s="104" t="s">
        <v>251</v>
      </c>
      <c r="H2" s="104">
        <v>2</v>
      </c>
      <c r="I2" s="104" t="s">
        <v>90</v>
      </c>
      <c r="J2" s="48">
        <f t="shared" ref="J2" si="0">D2</f>
        <v>30</v>
      </c>
    </row>
    <row r="3" spans="1:11" ht="21" customHeight="1" x14ac:dyDescent="0.15">
      <c r="A3" s="104">
        <v>39012402</v>
      </c>
      <c r="B3" s="104">
        <v>0</v>
      </c>
      <c r="C3" s="104">
        <v>98</v>
      </c>
      <c r="D3" s="104">
        <v>100</v>
      </c>
      <c r="E3" s="104" t="s">
        <v>89</v>
      </c>
      <c r="F3" s="104" t="s">
        <v>53</v>
      </c>
      <c r="G3" s="104" t="s">
        <v>89</v>
      </c>
      <c r="H3" s="104">
        <v>2</v>
      </c>
      <c r="I3" s="104" t="s">
        <v>53</v>
      </c>
      <c r="J3" s="48">
        <f t="shared" ref="J3:J9" si="1">D3</f>
        <v>100</v>
      </c>
    </row>
    <row r="4" spans="1:11" ht="21" customHeight="1" x14ac:dyDescent="0.15">
      <c r="A4" s="104">
        <v>39012403</v>
      </c>
      <c r="B4" s="104">
        <v>0</v>
      </c>
      <c r="C4" s="104">
        <v>97</v>
      </c>
      <c r="D4" s="104">
        <v>50</v>
      </c>
      <c r="E4" s="104" t="s">
        <v>89</v>
      </c>
      <c r="F4" s="104" t="s">
        <v>53</v>
      </c>
      <c r="G4" s="104" t="s">
        <v>89</v>
      </c>
      <c r="H4" s="104" t="s">
        <v>53</v>
      </c>
      <c r="I4" s="104" t="s">
        <v>53</v>
      </c>
      <c r="J4" s="48">
        <f t="shared" si="1"/>
        <v>50</v>
      </c>
    </row>
    <row r="5" spans="1:11" ht="21" customHeight="1" x14ac:dyDescent="0.15">
      <c r="A5" s="104">
        <v>39012404</v>
      </c>
      <c r="B5" s="104">
        <v>0</v>
      </c>
      <c r="C5" s="104">
        <v>96</v>
      </c>
      <c r="D5" s="104">
        <v>100</v>
      </c>
      <c r="E5" s="104" t="s">
        <v>89</v>
      </c>
      <c r="F5" s="104" t="s">
        <v>53</v>
      </c>
      <c r="G5" s="104" t="s">
        <v>89</v>
      </c>
      <c r="H5" s="104" t="s">
        <v>53</v>
      </c>
      <c r="I5" s="104" t="s">
        <v>53</v>
      </c>
      <c r="J5" s="48">
        <f t="shared" si="1"/>
        <v>100</v>
      </c>
    </row>
    <row r="6" spans="1:11" ht="21" customHeight="1" x14ac:dyDescent="0.15">
      <c r="A6" s="104">
        <v>39012405</v>
      </c>
      <c r="B6" s="105">
        <v>0</v>
      </c>
      <c r="C6" s="105">
        <v>97</v>
      </c>
      <c r="D6" s="105">
        <v>100</v>
      </c>
      <c r="E6" s="105" t="s">
        <v>89</v>
      </c>
      <c r="F6" s="105" t="s">
        <v>53</v>
      </c>
      <c r="G6" s="105" t="s">
        <v>253</v>
      </c>
      <c r="H6" s="105">
        <v>2</v>
      </c>
      <c r="I6" s="105" t="s">
        <v>53</v>
      </c>
      <c r="J6" s="48">
        <f t="shared" si="1"/>
        <v>100</v>
      </c>
    </row>
    <row r="7" spans="1:11" ht="21" customHeight="1" x14ac:dyDescent="0.15">
      <c r="A7" s="104">
        <v>39012406</v>
      </c>
      <c r="B7" s="105">
        <v>0</v>
      </c>
      <c r="C7" s="105">
        <v>99</v>
      </c>
      <c r="D7" s="105">
        <v>100</v>
      </c>
      <c r="E7" s="105" t="s">
        <v>89</v>
      </c>
      <c r="F7" s="105" t="s">
        <v>53</v>
      </c>
      <c r="G7" s="105">
        <v>0</v>
      </c>
      <c r="H7" s="105" t="s">
        <v>253</v>
      </c>
      <c r="I7" s="105">
        <v>0</v>
      </c>
      <c r="J7" s="48">
        <f t="shared" si="1"/>
        <v>100</v>
      </c>
    </row>
    <row r="8" spans="1:11" ht="21" customHeight="1" x14ac:dyDescent="0.15">
      <c r="A8" s="104">
        <v>39012407</v>
      </c>
      <c r="B8" s="105">
        <v>0</v>
      </c>
      <c r="C8" s="105">
        <v>98</v>
      </c>
      <c r="D8" s="105">
        <v>50</v>
      </c>
      <c r="E8" s="105" t="s">
        <v>89</v>
      </c>
      <c r="F8" s="105" t="s">
        <v>53</v>
      </c>
      <c r="G8" s="105" t="s">
        <v>89</v>
      </c>
      <c r="H8" s="105">
        <v>2</v>
      </c>
      <c r="I8" s="105" t="s">
        <v>53</v>
      </c>
      <c r="J8" s="48">
        <f t="shared" si="1"/>
        <v>50</v>
      </c>
    </row>
    <row r="9" spans="1:11" ht="21" customHeight="1" x14ac:dyDescent="0.15">
      <c r="A9" s="104">
        <v>39012408</v>
      </c>
      <c r="B9" s="105">
        <v>1</v>
      </c>
      <c r="C9" s="105">
        <v>100</v>
      </c>
      <c r="D9" s="105">
        <v>100</v>
      </c>
      <c r="E9" s="105" t="s">
        <v>89</v>
      </c>
      <c r="F9" s="105" t="s">
        <v>53</v>
      </c>
      <c r="G9" s="105">
        <v>1</v>
      </c>
      <c r="H9" s="105" t="s">
        <v>53</v>
      </c>
      <c r="I9" s="105" t="s">
        <v>53</v>
      </c>
      <c r="J9" s="48">
        <f t="shared" si="1"/>
        <v>100</v>
      </c>
    </row>
    <row r="10" spans="1:11" ht="21" customHeight="1" x14ac:dyDescent="0.15">
      <c r="A10" s="104">
        <v>39012409</v>
      </c>
      <c r="B10" s="106">
        <v>0</v>
      </c>
      <c r="C10" s="106">
        <v>98</v>
      </c>
      <c r="D10" s="106">
        <v>30</v>
      </c>
      <c r="E10" s="106" t="s">
        <v>89</v>
      </c>
      <c r="F10" s="106" t="s">
        <v>53</v>
      </c>
      <c r="G10" s="106" t="s">
        <v>89</v>
      </c>
      <c r="H10" s="106">
        <v>2</v>
      </c>
      <c r="I10" s="106" t="s">
        <v>53</v>
      </c>
      <c r="J10" s="48">
        <f>D10</f>
        <v>30</v>
      </c>
    </row>
    <row r="11" spans="1:11" ht="21" customHeight="1" x14ac:dyDescent="0.15">
      <c r="A11" s="104">
        <v>39012410</v>
      </c>
      <c r="B11" s="106">
        <v>0</v>
      </c>
      <c r="C11" s="106">
        <v>99</v>
      </c>
      <c r="D11" s="106">
        <v>50</v>
      </c>
      <c r="E11" s="106" t="s">
        <v>53</v>
      </c>
      <c r="F11" s="106" t="s">
        <v>53</v>
      </c>
      <c r="G11" s="106" t="s">
        <v>53</v>
      </c>
      <c r="H11" s="106" t="s">
        <v>53</v>
      </c>
      <c r="I11" s="106" t="s">
        <v>53</v>
      </c>
      <c r="J11" s="48">
        <f t="shared" ref="J11" si="2">D11</f>
        <v>50</v>
      </c>
    </row>
    <row r="12" spans="1:11" ht="21" customHeight="1" x14ac:dyDescent="0.15">
      <c r="A12" s="104">
        <v>39012411</v>
      </c>
      <c r="B12" s="106">
        <v>0</v>
      </c>
      <c r="C12" s="106">
        <v>97</v>
      </c>
      <c r="D12" s="106">
        <v>35</v>
      </c>
      <c r="E12" s="106" t="s">
        <v>53</v>
      </c>
      <c r="F12" s="106" t="s">
        <v>53</v>
      </c>
      <c r="G12" s="106" t="s">
        <v>53</v>
      </c>
      <c r="H12" s="106">
        <v>2</v>
      </c>
      <c r="I12" s="106" t="s">
        <v>53</v>
      </c>
      <c r="J12" s="48">
        <f t="shared" ref="J12:J32" si="3">D12</f>
        <v>35</v>
      </c>
    </row>
    <row r="13" spans="1:11" ht="21" customHeight="1" x14ac:dyDescent="0.15">
      <c r="A13" s="104">
        <v>39012412</v>
      </c>
      <c r="B13" s="106">
        <v>0</v>
      </c>
      <c r="C13" s="106">
        <v>96</v>
      </c>
      <c r="D13" s="106">
        <v>100</v>
      </c>
      <c r="E13" s="106" t="s">
        <v>53</v>
      </c>
      <c r="F13" s="106" t="s">
        <v>53</v>
      </c>
      <c r="G13" s="106" t="s">
        <v>53</v>
      </c>
      <c r="H13" s="106" t="s">
        <v>53</v>
      </c>
      <c r="I13" s="106" t="s">
        <v>53</v>
      </c>
      <c r="J13" s="48">
        <f t="shared" si="3"/>
        <v>100</v>
      </c>
    </row>
    <row r="14" spans="1:11" ht="21" customHeight="1" x14ac:dyDescent="0.15">
      <c r="A14" s="104">
        <v>39012413</v>
      </c>
      <c r="B14" s="107">
        <v>0</v>
      </c>
      <c r="C14" s="107">
        <v>100</v>
      </c>
      <c r="D14" s="107">
        <v>40</v>
      </c>
      <c r="E14" s="107" t="s">
        <v>53</v>
      </c>
      <c r="F14" s="107" t="s">
        <v>53</v>
      </c>
      <c r="G14" s="107" t="s">
        <v>53</v>
      </c>
      <c r="H14" s="107">
        <v>3</v>
      </c>
      <c r="I14" s="107" t="s">
        <v>53</v>
      </c>
      <c r="J14" s="48">
        <f t="shared" si="3"/>
        <v>40</v>
      </c>
    </row>
    <row r="15" spans="1:11" ht="21" customHeight="1" x14ac:dyDescent="0.15">
      <c r="A15" s="104">
        <v>39012414</v>
      </c>
      <c r="B15" s="107">
        <v>0</v>
      </c>
      <c r="C15" s="107">
        <v>99</v>
      </c>
      <c r="D15" s="107">
        <v>100</v>
      </c>
      <c r="E15" s="107" t="s">
        <v>53</v>
      </c>
      <c r="F15" s="107" t="s">
        <v>53</v>
      </c>
      <c r="G15" s="107" t="s">
        <v>53</v>
      </c>
      <c r="H15" s="107">
        <v>3</v>
      </c>
      <c r="I15" s="107" t="s">
        <v>53</v>
      </c>
      <c r="J15" s="48">
        <f t="shared" si="3"/>
        <v>100</v>
      </c>
    </row>
    <row r="16" spans="1:11" ht="21" customHeight="1" x14ac:dyDescent="0.15">
      <c r="A16" s="104">
        <v>39012415</v>
      </c>
      <c r="B16" s="107">
        <v>0</v>
      </c>
      <c r="C16" s="107">
        <v>98</v>
      </c>
      <c r="D16" s="107">
        <v>25</v>
      </c>
      <c r="E16" s="107" t="s">
        <v>53</v>
      </c>
      <c r="F16" s="107" t="s">
        <v>53</v>
      </c>
      <c r="G16" s="107" t="s">
        <v>53</v>
      </c>
      <c r="H16" s="107" t="s">
        <v>53</v>
      </c>
      <c r="I16" s="107" t="s">
        <v>53</v>
      </c>
      <c r="J16" s="48">
        <f t="shared" si="3"/>
        <v>25</v>
      </c>
    </row>
    <row r="17" spans="1:10" ht="21" customHeight="1" x14ac:dyDescent="0.15">
      <c r="A17" s="104">
        <v>39012416</v>
      </c>
      <c r="B17" s="107">
        <v>0</v>
      </c>
      <c r="C17" s="107">
        <v>97</v>
      </c>
      <c r="D17" s="107">
        <v>33</v>
      </c>
      <c r="E17" s="107" t="s">
        <v>53</v>
      </c>
      <c r="F17" s="107" t="s">
        <v>53</v>
      </c>
      <c r="G17" s="107" t="s">
        <v>53</v>
      </c>
      <c r="H17" s="107" t="s">
        <v>53</v>
      </c>
      <c r="I17" s="107" t="s">
        <v>53</v>
      </c>
      <c r="J17" s="48">
        <f t="shared" si="3"/>
        <v>33</v>
      </c>
    </row>
    <row r="18" spans="1:10" ht="21" customHeight="1" x14ac:dyDescent="0.15">
      <c r="A18" s="104">
        <v>39012417</v>
      </c>
      <c r="B18" s="107">
        <v>0</v>
      </c>
      <c r="C18" s="107">
        <v>96</v>
      </c>
      <c r="D18" s="107">
        <v>50</v>
      </c>
      <c r="E18" s="107" t="s">
        <v>53</v>
      </c>
      <c r="F18" s="107" t="s">
        <v>53</v>
      </c>
      <c r="G18" s="107" t="s">
        <v>53</v>
      </c>
      <c r="H18" s="107" t="s">
        <v>53</v>
      </c>
      <c r="I18" s="107" t="s">
        <v>53</v>
      </c>
      <c r="J18" s="48">
        <f t="shared" si="3"/>
        <v>50</v>
      </c>
    </row>
    <row r="19" spans="1:10" ht="21" customHeight="1" x14ac:dyDescent="0.15">
      <c r="A19" s="104">
        <v>39012418</v>
      </c>
      <c r="B19" s="107">
        <v>0</v>
      </c>
      <c r="C19" s="107">
        <v>95</v>
      </c>
      <c r="D19" s="107">
        <v>100</v>
      </c>
      <c r="E19" s="107" t="s">
        <v>53</v>
      </c>
      <c r="F19" s="107" t="s">
        <v>53</v>
      </c>
      <c r="G19" s="107" t="s">
        <v>53</v>
      </c>
      <c r="H19" s="107" t="s">
        <v>53</v>
      </c>
      <c r="I19" s="107" t="s">
        <v>53</v>
      </c>
      <c r="J19" s="48">
        <f t="shared" si="3"/>
        <v>100</v>
      </c>
    </row>
    <row r="20" spans="1:10" ht="21" customHeight="1" x14ac:dyDescent="0.15">
      <c r="A20" s="104">
        <v>39012419</v>
      </c>
      <c r="B20" s="108">
        <v>1</v>
      </c>
      <c r="C20" s="108">
        <v>100</v>
      </c>
      <c r="D20" s="108">
        <v>100</v>
      </c>
      <c r="E20" s="108" t="s">
        <v>53</v>
      </c>
      <c r="F20" s="108" t="s">
        <v>53</v>
      </c>
      <c r="G20" s="108">
        <v>1</v>
      </c>
      <c r="H20" s="108" t="s">
        <v>53</v>
      </c>
      <c r="I20" s="108" t="s">
        <v>53</v>
      </c>
      <c r="J20" s="48">
        <f t="shared" si="3"/>
        <v>100</v>
      </c>
    </row>
    <row r="21" spans="1:10" ht="21" customHeight="1" x14ac:dyDescent="0.15">
      <c r="A21" s="104">
        <v>39012420</v>
      </c>
      <c r="B21" s="108">
        <v>0</v>
      </c>
      <c r="C21" s="108">
        <v>99</v>
      </c>
      <c r="D21" s="108">
        <v>50</v>
      </c>
      <c r="E21" s="108" t="s">
        <v>53</v>
      </c>
      <c r="F21" s="108" t="s">
        <v>53</v>
      </c>
      <c r="G21" s="108" t="s">
        <v>53</v>
      </c>
      <c r="H21" s="108">
        <v>2</v>
      </c>
      <c r="I21" s="108" t="s">
        <v>53</v>
      </c>
      <c r="J21" s="48">
        <f t="shared" si="3"/>
        <v>50</v>
      </c>
    </row>
    <row r="22" spans="1:10" ht="21" customHeight="1" x14ac:dyDescent="0.15">
      <c r="A22" s="104">
        <v>39012421</v>
      </c>
      <c r="B22" s="108">
        <v>0</v>
      </c>
      <c r="C22" s="108">
        <v>98</v>
      </c>
      <c r="D22" s="108">
        <v>33</v>
      </c>
      <c r="E22" s="108" t="s">
        <v>53</v>
      </c>
      <c r="F22" s="108" t="s">
        <v>53</v>
      </c>
      <c r="G22" s="108" t="s">
        <v>53</v>
      </c>
      <c r="H22" s="108" t="s">
        <v>255</v>
      </c>
      <c r="I22" s="108" t="s">
        <v>53</v>
      </c>
      <c r="J22" s="48">
        <f t="shared" si="3"/>
        <v>33</v>
      </c>
    </row>
    <row r="23" spans="1:10" ht="21" customHeight="1" x14ac:dyDescent="0.15">
      <c r="A23" s="104">
        <v>39012422</v>
      </c>
      <c r="B23" s="108">
        <v>0</v>
      </c>
      <c r="C23" s="108">
        <v>97</v>
      </c>
      <c r="D23" s="108">
        <v>50</v>
      </c>
      <c r="E23" s="108" t="s">
        <v>53</v>
      </c>
      <c r="F23" s="108" t="s">
        <v>53</v>
      </c>
      <c r="G23" s="108" t="s">
        <v>53</v>
      </c>
      <c r="H23" s="108" t="s">
        <v>53</v>
      </c>
      <c r="I23" s="108" t="s">
        <v>53</v>
      </c>
      <c r="J23" s="48">
        <f t="shared" si="3"/>
        <v>50</v>
      </c>
    </row>
    <row r="24" spans="1:10" ht="21" customHeight="1" x14ac:dyDescent="0.15">
      <c r="A24" s="104">
        <v>39012423</v>
      </c>
      <c r="B24" s="108">
        <v>0</v>
      </c>
      <c r="C24" s="108">
        <v>96</v>
      </c>
      <c r="D24" s="108">
        <v>100</v>
      </c>
      <c r="E24" s="108" t="s">
        <v>53</v>
      </c>
      <c r="F24" s="108" t="s">
        <v>53</v>
      </c>
      <c r="G24" s="108" t="s">
        <v>53</v>
      </c>
      <c r="H24" s="108" t="s">
        <v>53</v>
      </c>
      <c r="I24" s="108" t="s">
        <v>53</v>
      </c>
      <c r="J24" s="48">
        <f t="shared" si="3"/>
        <v>100</v>
      </c>
    </row>
    <row r="25" spans="1:10" ht="14" x14ac:dyDescent="0.15">
      <c r="A25" s="104">
        <v>39012424</v>
      </c>
      <c r="B25" s="47">
        <v>0</v>
      </c>
      <c r="C25" s="47">
        <v>99</v>
      </c>
      <c r="D25" s="47">
        <v>75</v>
      </c>
      <c r="E25" s="47" t="s">
        <v>53</v>
      </c>
      <c r="F25" s="47" t="s">
        <v>53</v>
      </c>
      <c r="G25" s="47" t="s">
        <v>53</v>
      </c>
      <c r="H25" s="47">
        <v>4</v>
      </c>
      <c r="I25" s="47" t="s">
        <v>53</v>
      </c>
      <c r="J25" s="48">
        <f t="shared" si="3"/>
        <v>75</v>
      </c>
    </row>
    <row r="26" spans="1:10" ht="21" customHeight="1" x14ac:dyDescent="0.15">
      <c r="A26" s="104">
        <v>39012425</v>
      </c>
      <c r="B26" s="47">
        <v>0</v>
      </c>
      <c r="C26" s="47">
        <v>98</v>
      </c>
      <c r="D26" s="47">
        <v>50</v>
      </c>
      <c r="E26" s="47" t="s">
        <v>53</v>
      </c>
      <c r="F26" s="47" t="s">
        <v>53</v>
      </c>
      <c r="G26" s="47" t="s">
        <v>53</v>
      </c>
      <c r="H26" s="47">
        <v>2</v>
      </c>
      <c r="I26" s="47" t="s">
        <v>53</v>
      </c>
      <c r="J26" s="48">
        <f t="shared" si="3"/>
        <v>50</v>
      </c>
    </row>
    <row r="27" spans="1:10" ht="21" customHeight="1" x14ac:dyDescent="0.15">
      <c r="A27" s="104">
        <v>39012426</v>
      </c>
      <c r="B27" s="47">
        <v>0</v>
      </c>
      <c r="C27" s="47">
        <v>97</v>
      </c>
      <c r="D27" s="47">
        <v>100</v>
      </c>
      <c r="E27" s="47" t="s">
        <v>53</v>
      </c>
      <c r="F27" s="47" t="s">
        <v>53</v>
      </c>
      <c r="G27" s="47" t="s">
        <v>53</v>
      </c>
      <c r="H27" s="47">
        <v>2</v>
      </c>
      <c r="I27" s="47" t="s">
        <v>53</v>
      </c>
      <c r="J27" s="48">
        <f t="shared" si="3"/>
        <v>100</v>
      </c>
    </row>
    <row r="28" spans="1:10" ht="21" customHeight="1" x14ac:dyDescent="0.15">
      <c r="A28" s="104">
        <v>39012427</v>
      </c>
      <c r="B28" s="47">
        <v>1</v>
      </c>
      <c r="C28" s="47">
        <v>100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 t="s">
        <v>53</v>
      </c>
      <c r="J28" s="48">
        <f t="shared" si="3"/>
        <v>100</v>
      </c>
    </row>
    <row r="29" spans="1:10" ht="21" customHeight="1" x14ac:dyDescent="0.15">
      <c r="A29" s="104">
        <v>39012428</v>
      </c>
      <c r="B29" s="47">
        <v>0</v>
      </c>
      <c r="C29" s="47">
        <v>96</v>
      </c>
      <c r="D29" s="47">
        <v>33</v>
      </c>
      <c r="E29" s="47" t="s">
        <v>53</v>
      </c>
      <c r="F29" s="47" t="s">
        <v>53</v>
      </c>
      <c r="G29" s="47">
        <v>3</v>
      </c>
      <c r="H29" s="47" t="s">
        <v>53</v>
      </c>
      <c r="I29" s="47" t="s">
        <v>53</v>
      </c>
      <c r="J29" s="48">
        <f t="shared" si="3"/>
        <v>33</v>
      </c>
    </row>
    <row r="30" spans="1:10" ht="21" customHeight="1" x14ac:dyDescent="0.15">
      <c r="A30" s="104">
        <v>39012429</v>
      </c>
      <c r="B30" s="47">
        <v>0</v>
      </c>
      <c r="C30" s="47">
        <v>95</v>
      </c>
      <c r="D30" s="47">
        <v>50</v>
      </c>
      <c r="E30" s="47" t="s">
        <v>53</v>
      </c>
      <c r="F30" s="47" t="s">
        <v>53</v>
      </c>
      <c r="G30" s="47">
        <v>3</v>
      </c>
      <c r="H30" s="47" t="s">
        <v>53</v>
      </c>
      <c r="I30" s="47" t="s">
        <v>53</v>
      </c>
      <c r="J30" s="48">
        <f t="shared" si="3"/>
        <v>50</v>
      </c>
    </row>
    <row r="31" spans="1:10" ht="21" customHeight="1" x14ac:dyDescent="0.15">
      <c r="A31" s="104">
        <v>39012430</v>
      </c>
      <c r="B31" s="47">
        <v>0</v>
      </c>
      <c r="C31" s="47">
        <v>94</v>
      </c>
      <c r="D31" s="47">
        <v>100</v>
      </c>
      <c r="E31" s="47" t="s">
        <v>53</v>
      </c>
      <c r="F31" s="47">
        <v>50</v>
      </c>
      <c r="G31" s="47">
        <v>3</v>
      </c>
      <c r="H31" s="47" t="s">
        <v>53</v>
      </c>
      <c r="I31" s="47" t="s">
        <v>53</v>
      </c>
      <c r="J31" s="48">
        <f t="shared" si="3"/>
        <v>100</v>
      </c>
    </row>
    <row r="32" spans="1:10" ht="21" customHeight="1" x14ac:dyDescent="0.15">
      <c r="A32" s="104">
        <v>39012431</v>
      </c>
      <c r="B32" s="47">
        <v>0</v>
      </c>
      <c r="C32" s="47">
        <v>93</v>
      </c>
      <c r="D32" s="47">
        <v>100</v>
      </c>
      <c r="E32" s="47">
        <v>50</v>
      </c>
      <c r="F32" s="47" t="s">
        <v>53</v>
      </c>
      <c r="G32" s="47">
        <v>3</v>
      </c>
      <c r="H32" s="47" t="s">
        <v>53</v>
      </c>
      <c r="I32" s="47" t="s">
        <v>53</v>
      </c>
      <c r="J32" s="48">
        <f t="shared" si="3"/>
        <v>100</v>
      </c>
    </row>
    <row r="33" spans="1:13" ht="21" customHeight="1" x14ac:dyDescent="0.15">
      <c r="A33" s="104">
        <v>39012432</v>
      </c>
      <c r="B33" s="47">
        <v>0</v>
      </c>
      <c r="C33" s="47">
        <v>92</v>
      </c>
      <c r="D33" s="47">
        <v>100</v>
      </c>
      <c r="E33" s="47" t="s">
        <v>53</v>
      </c>
      <c r="F33" s="47" t="s">
        <v>53</v>
      </c>
      <c r="G33" s="47">
        <v>0</v>
      </c>
      <c r="H33" s="47" t="s">
        <v>53</v>
      </c>
      <c r="I33" s="47">
        <v>0</v>
      </c>
      <c r="J33" s="48">
        <f t="shared" ref="J33" si="4">D33</f>
        <v>100</v>
      </c>
    </row>
    <row r="34" spans="1:13" ht="21" customHeight="1" x14ac:dyDescent="0.15">
      <c r="A34" s="104">
        <v>39012433</v>
      </c>
      <c r="B34" s="109">
        <v>0</v>
      </c>
      <c r="C34" s="109">
        <v>100</v>
      </c>
      <c r="D34" s="109">
        <v>100</v>
      </c>
      <c r="E34" s="109" t="s">
        <v>53</v>
      </c>
      <c r="F34" s="109" t="s">
        <v>53</v>
      </c>
      <c r="G34" s="109">
        <v>1</v>
      </c>
      <c r="H34" s="109" t="s">
        <v>53</v>
      </c>
      <c r="I34" s="109">
        <v>1505</v>
      </c>
      <c r="J34" s="48">
        <f t="shared" ref="J34" si="5">D34</f>
        <v>100</v>
      </c>
    </row>
    <row r="35" spans="1:13" ht="21" customHeight="1" x14ac:dyDescent="0.15">
      <c r="A35" s="104">
        <v>39012434</v>
      </c>
      <c r="B35" s="109">
        <v>1</v>
      </c>
      <c r="C35" s="109">
        <v>100</v>
      </c>
      <c r="D35" s="109">
        <v>100</v>
      </c>
      <c r="E35" s="109" t="s">
        <v>53</v>
      </c>
      <c r="F35" s="109" t="s">
        <v>53</v>
      </c>
      <c r="G35" s="109">
        <v>1</v>
      </c>
      <c r="H35" s="109" t="s">
        <v>53</v>
      </c>
      <c r="I35" s="109" t="s">
        <v>53</v>
      </c>
      <c r="J35" s="48">
        <f t="shared" ref="J35" si="6">D35</f>
        <v>100</v>
      </c>
    </row>
    <row r="36" spans="1:13" ht="21" customHeight="1" x14ac:dyDescent="0.15">
      <c r="A36" s="104">
        <v>39012435</v>
      </c>
      <c r="B36" s="109">
        <v>0</v>
      </c>
      <c r="C36" s="109">
        <v>99</v>
      </c>
      <c r="D36" s="109">
        <v>100</v>
      </c>
      <c r="E36" s="109" t="s">
        <v>53</v>
      </c>
      <c r="F36" s="109" t="s">
        <v>53</v>
      </c>
      <c r="G36" s="109">
        <v>1</v>
      </c>
      <c r="H36" s="109" t="s">
        <v>53</v>
      </c>
      <c r="I36" s="109" t="s">
        <v>53</v>
      </c>
      <c r="J36" s="48">
        <f t="shared" ref="J36:J37" si="7">D36</f>
        <v>100</v>
      </c>
    </row>
    <row r="37" spans="1:13" ht="21" customHeight="1" x14ac:dyDescent="0.15">
      <c r="A37" s="104">
        <v>39012436</v>
      </c>
      <c r="B37" s="47">
        <v>1</v>
      </c>
      <c r="C37" s="124">
        <v>107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47">
        <v>1537</v>
      </c>
      <c r="J37" s="48">
        <f t="shared" si="7"/>
        <v>100</v>
      </c>
      <c r="L37" s="147" t="s">
        <v>383</v>
      </c>
      <c r="M37" s="124">
        <v>104</v>
      </c>
    </row>
    <row r="38" spans="1:13" ht="21" customHeight="1" x14ac:dyDescent="0.15">
      <c r="A38" s="104">
        <v>39012437</v>
      </c>
      <c r="B38" s="47">
        <v>1</v>
      </c>
      <c r="C38" s="124">
        <v>108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>
        <v>1538</v>
      </c>
      <c r="J38" s="48">
        <f t="shared" ref="J38" si="8">D38</f>
        <v>100</v>
      </c>
      <c r="L38" s="147" t="s">
        <v>384</v>
      </c>
      <c r="M38" s="124">
        <v>104</v>
      </c>
    </row>
    <row r="39" spans="1:13" ht="21" customHeight="1" x14ac:dyDescent="0.15">
      <c r="A39" s="104">
        <v>39012438</v>
      </c>
      <c r="B39" s="47">
        <v>1</v>
      </c>
      <c r="C39" s="124">
        <v>103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47">
        <v>1541</v>
      </c>
      <c r="J39" s="48">
        <f t="shared" ref="J39:J52" si="9">D39</f>
        <v>100</v>
      </c>
      <c r="L39" s="147" t="s">
        <v>385</v>
      </c>
      <c r="M39" s="124">
        <v>102</v>
      </c>
    </row>
    <row r="40" spans="1:13" ht="21" customHeight="1" x14ac:dyDescent="0.15">
      <c r="A40" s="104">
        <v>39012439</v>
      </c>
      <c r="B40" s="47">
        <v>1</v>
      </c>
      <c r="C40" s="124">
        <v>104</v>
      </c>
      <c r="D40" s="47">
        <v>100</v>
      </c>
      <c r="E40" s="47" t="s">
        <v>53</v>
      </c>
      <c r="F40" s="47" t="s">
        <v>53</v>
      </c>
      <c r="G40" s="47">
        <v>1</v>
      </c>
      <c r="H40" s="47" t="s">
        <v>53</v>
      </c>
      <c r="I40" s="47">
        <v>1542</v>
      </c>
      <c r="J40" s="48">
        <f t="shared" ref="J40" si="10">D40</f>
        <v>100</v>
      </c>
      <c r="L40" s="147" t="s">
        <v>386</v>
      </c>
      <c r="M40" s="124">
        <v>102</v>
      </c>
    </row>
    <row r="41" spans="1:13" ht="21" customHeight="1" x14ac:dyDescent="0.15">
      <c r="A41" s="104">
        <v>39012440</v>
      </c>
      <c r="B41" s="47">
        <v>1</v>
      </c>
      <c r="C41" s="124">
        <v>114</v>
      </c>
      <c r="D41" s="47">
        <v>100</v>
      </c>
      <c r="E41" s="47" t="s">
        <v>53</v>
      </c>
      <c r="F41" s="47" t="s">
        <v>53</v>
      </c>
      <c r="G41" s="47">
        <v>1</v>
      </c>
      <c r="H41" s="47" t="s">
        <v>53</v>
      </c>
      <c r="I41" s="47">
        <v>1539</v>
      </c>
      <c r="J41" s="48">
        <f t="shared" si="9"/>
        <v>100</v>
      </c>
      <c r="L41" s="147" t="s">
        <v>387</v>
      </c>
      <c r="M41" s="124">
        <v>107</v>
      </c>
    </row>
    <row r="42" spans="1:13" ht="21" customHeight="1" x14ac:dyDescent="0.15">
      <c r="A42" s="104">
        <v>39012441</v>
      </c>
      <c r="B42" s="47">
        <v>1</v>
      </c>
      <c r="C42" s="124">
        <v>115</v>
      </c>
      <c r="D42" s="47">
        <v>100</v>
      </c>
      <c r="E42" s="47" t="s">
        <v>53</v>
      </c>
      <c r="F42" s="47" t="s">
        <v>53</v>
      </c>
      <c r="G42" s="47">
        <v>1</v>
      </c>
      <c r="H42" s="47" t="s">
        <v>53</v>
      </c>
      <c r="I42" s="47">
        <v>1540</v>
      </c>
      <c r="J42" s="48">
        <f t="shared" ref="J42" si="11">D42</f>
        <v>100</v>
      </c>
      <c r="L42" s="147" t="s">
        <v>388</v>
      </c>
      <c r="M42" s="124">
        <v>107</v>
      </c>
    </row>
    <row r="43" spans="1:13" ht="21" customHeight="1" x14ac:dyDescent="0.15">
      <c r="A43" s="104">
        <v>39012442</v>
      </c>
      <c r="B43" s="47">
        <v>1</v>
      </c>
      <c r="C43" s="124">
        <v>112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>
        <v>1533</v>
      </c>
      <c r="J43" s="48">
        <f t="shared" si="9"/>
        <v>100</v>
      </c>
      <c r="L43" s="147" t="s">
        <v>389</v>
      </c>
      <c r="M43" s="124">
        <v>106</v>
      </c>
    </row>
    <row r="44" spans="1:13" ht="21" customHeight="1" x14ac:dyDescent="0.15">
      <c r="A44" s="104">
        <v>39012443</v>
      </c>
      <c r="B44" s="47">
        <v>1</v>
      </c>
      <c r="C44" s="124">
        <v>113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>
        <v>1534</v>
      </c>
      <c r="J44" s="48">
        <f t="shared" ref="J44" si="12">D44</f>
        <v>100</v>
      </c>
      <c r="L44" s="147" t="s">
        <v>390</v>
      </c>
      <c r="M44" s="124">
        <v>106</v>
      </c>
    </row>
    <row r="45" spans="1:13" ht="21" customHeight="1" x14ac:dyDescent="0.15">
      <c r="A45" s="104">
        <v>39012444</v>
      </c>
      <c r="B45" s="47">
        <v>1</v>
      </c>
      <c r="C45" s="124">
        <v>109</v>
      </c>
      <c r="D45" s="47">
        <v>100</v>
      </c>
      <c r="E45" s="47" t="s">
        <v>53</v>
      </c>
      <c r="F45" s="47" t="s">
        <v>53</v>
      </c>
      <c r="G45" s="47">
        <v>1</v>
      </c>
      <c r="H45" s="47" t="s">
        <v>53</v>
      </c>
      <c r="I45" s="47">
        <v>1510</v>
      </c>
      <c r="J45" s="48">
        <f t="shared" si="9"/>
        <v>100</v>
      </c>
      <c r="L45" s="147" t="s">
        <v>391</v>
      </c>
      <c r="M45" s="124">
        <v>105</v>
      </c>
    </row>
    <row r="46" spans="1:13" ht="21" customHeight="1" x14ac:dyDescent="0.15">
      <c r="A46" s="104">
        <v>39012445</v>
      </c>
      <c r="B46" s="47">
        <v>1</v>
      </c>
      <c r="C46" s="124">
        <v>110</v>
      </c>
      <c r="D46" s="47">
        <v>100</v>
      </c>
      <c r="E46" s="47" t="s">
        <v>53</v>
      </c>
      <c r="F46" s="47" t="s">
        <v>53</v>
      </c>
      <c r="G46" s="47">
        <v>1</v>
      </c>
      <c r="H46" s="47" t="s">
        <v>53</v>
      </c>
      <c r="I46" s="47">
        <v>1511</v>
      </c>
      <c r="J46" s="48">
        <f t="shared" ref="J46" si="13">D46</f>
        <v>100</v>
      </c>
      <c r="L46" s="147" t="s">
        <v>392</v>
      </c>
      <c r="M46" s="124">
        <v>105</v>
      </c>
    </row>
    <row r="47" spans="1:13" ht="21" customHeight="1" x14ac:dyDescent="0.15">
      <c r="A47" s="104">
        <v>39012446</v>
      </c>
      <c r="B47" s="47">
        <v>1</v>
      </c>
      <c r="C47" s="124">
        <v>111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>
        <v>1512</v>
      </c>
      <c r="J47" s="48">
        <f t="shared" ref="J47" si="14">D47</f>
        <v>100</v>
      </c>
      <c r="L47" s="147" t="s">
        <v>393</v>
      </c>
      <c r="M47" s="124">
        <v>105</v>
      </c>
    </row>
    <row r="48" spans="1:13" ht="21" customHeight="1" x14ac:dyDescent="0.15">
      <c r="A48" s="104">
        <v>39012447</v>
      </c>
      <c r="B48" s="47">
        <v>1</v>
      </c>
      <c r="C48" s="124">
        <v>105</v>
      </c>
      <c r="D48" s="47">
        <v>100</v>
      </c>
      <c r="E48" s="47" t="s">
        <v>53</v>
      </c>
      <c r="F48" s="47" t="s">
        <v>53</v>
      </c>
      <c r="G48" s="47">
        <v>1</v>
      </c>
      <c r="H48" s="47" t="s">
        <v>53</v>
      </c>
      <c r="I48" s="47">
        <v>1523</v>
      </c>
      <c r="J48" s="48">
        <f t="shared" si="9"/>
        <v>100</v>
      </c>
      <c r="L48" s="147" t="s">
        <v>394</v>
      </c>
      <c r="M48" s="124">
        <v>103</v>
      </c>
    </row>
    <row r="49" spans="1:13" ht="21" customHeight="1" x14ac:dyDescent="0.15">
      <c r="A49" s="104">
        <v>39012448</v>
      </c>
      <c r="B49" s="47">
        <v>1</v>
      </c>
      <c r="C49" s="124">
        <v>106</v>
      </c>
      <c r="D49" s="47">
        <v>100</v>
      </c>
      <c r="E49" s="47" t="s">
        <v>53</v>
      </c>
      <c r="F49" s="47" t="s">
        <v>53</v>
      </c>
      <c r="G49" s="47">
        <v>1</v>
      </c>
      <c r="H49" s="47" t="s">
        <v>53</v>
      </c>
      <c r="I49" s="47">
        <v>1524</v>
      </c>
      <c r="J49" s="48">
        <f t="shared" ref="J49" si="15">D49</f>
        <v>100</v>
      </c>
      <c r="L49" s="147" t="s">
        <v>395</v>
      </c>
      <c r="M49" s="124">
        <v>103</v>
      </c>
    </row>
    <row r="50" spans="1:13" ht="21" customHeight="1" x14ac:dyDescent="0.15">
      <c r="A50" s="104">
        <v>39012449</v>
      </c>
      <c r="B50" s="47">
        <v>1</v>
      </c>
      <c r="C50" s="124">
        <v>101</v>
      </c>
      <c r="D50" s="47">
        <v>100</v>
      </c>
      <c r="E50" s="47" t="s">
        <v>53</v>
      </c>
      <c r="F50" s="47" t="s">
        <v>53</v>
      </c>
      <c r="G50" s="47">
        <v>1</v>
      </c>
      <c r="H50" s="47" t="s">
        <v>53</v>
      </c>
      <c r="I50" s="47">
        <v>1535</v>
      </c>
      <c r="J50" s="48">
        <f t="shared" si="9"/>
        <v>100</v>
      </c>
      <c r="L50" s="147" t="s">
        <v>396</v>
      </c>
      <c r="M50" s="124">
        <v>101</v>
      </c>
    </row>
    <row r="51" spans="1:13" ht="21" customHeight="1" x14ac:dyDescent="0.15">
      <c r="A51" s="104">
        <v>39012450</v>
      </c>
      <c r="B51" s="47">
        <v>1</v>
      </c>
      <c r="C51" s="124">
        <v>102</v>
      </c>
      <c r="D51" s="47">
        <v>100</v>
      </c>
      <c r="E51" s="47" t="s">
        <v>53</v>
      </c>
      <c r="F51" s="47" t="s">
        <v>53</v>
      </c>
      <c r="G51" s="47">
        <v>1</v>
      </c>
      <c r="H51" s="47" t="s">
        <v>53</v>
      </c>
      <c r="I51" s="47">
        <v>1536</v>
      </c>
      <c r="J51" s="48">
        <f t="shared" ref="J51" si="16">D51</f>
        <v>100</v>
      </c>
      <c r="L51" s="147" t="s">
        <v>397</v>
      </c>
      <c r="M51" s="124">
        <v>101</v>
      </c>
    </row>
    <row r="52" spans="1:13" ht="21" customHeight="1" x14ac:dyDescent="0.15">
      <c r="A52" s="106">
        <v>39012451</v>
      </c>
      <c r="B52" s="47">
        <v>0</v>
      </c>
      <c r="C52" s="146">
        <v>122</v>
      </c>
      <c r="D52" s="47">
        <v>100</v>
      </c>
      <c r="E52" s="47" t="s">
        <v>53</v>
      </c>
      <c r="F52" s="47" t="s">
        <v>53</v>
      </c>
      <c r="G52" s="47">
        <v>0</v>
      </c>
      <c r="H52" s="47" t="s">
        <v>53</v>
      </c>
      <c r="I52" s="106">
        <v>1537</v>
      </c>
      <c r="J52" s="48">
        <f t="shared" si="9"/>
        <v>100</v>
      </c>
      <c r="L52" s="144" t="s">
        <v>383</v>
      </c>
      <c r="M52" s="146">
        <v>114</v>
      </c>
    </row>
    <row r="53" spans="1:13" ht="21" customHeight="1" x14ac:dyDescent="0.15">
      <c r="A53" s="106">
        <v>39012452</v>
      </c>
      <c r="B53" s="47">
        <v>0</v>
      </c>
      <c r="C53" s="146">
        <v>123</v>
      </c>
      <c r="D53" s="47">
        <v>100</v>
      </c>
      <c r="E53" s="47" t="s">
        <v>53</v>
      </c>
      <c r="F53" s="47" t="s">
        <v>53</v>
      </c>
      <c r="G53" s="47">
        <v>0</v>
      </c>
      <c r="H53" s="47" t="s">
        <v>53</v>
      </c>
      <c r="I53" s="106">
        <v>1538</v>
      </c>
      <c r="J53" s="48">
        <f t="shared" ref="J53:J59" si="17">D53</f>
        <v>100</v>
      </c>
      <c r="L53" s="144" t="s">
        <v>384</v>
      </c>
      <c r="M53" s="146">
        <v>115</v>
      </c>
    </row>
    <row r="54" spans="1:13" ht="21" customHeight="1" x14ac:dyDescent="0.15">
      <c r="A54" s="106">
        <v>39012453</v>
      </c>
      <c r="B54" s="47">
        <v>0</v>
      </c>
      <c r="C54" s="146">
        <v>118</v>
      </c>
      <c r="D54" s="47">
        <v>100</v>
      </c>
      <c r="E54" s="47" t="s">
        <v>53</v>
      </c>
      <c r="F54" s="47" t="s">
        <v>53</v>
      </c>
      <c r="G54" s="47">
        <v>0</v>
      </c>
      <c r="H54" s="47" t="s">
        <v>53</v>
      </c>
      <c r="I54" s="106">
        <v>1541</v>
      </c>
      <c r="J54" s="48">
        <f t="shared" si="17"/>
        <v>100</v>
      </c>
      <c r="L54" s="144" t="s">
        <v>385</v>
      </c>
      <c r="M54" s="146">
        <v>110</v>
      </c>
    </row>
    <row r="55" spans="1:13" ht="21" customHeight="1" x14ac:dyDescent="0.15">
      <c r="A55" s="106">
        <v>39012454</v>
      </c>
      <c r="B55" s="47">
        <v>0</v>
      </c>
      <c r="C55" s="146">
        <v>119</v>
      </c>
      <c r="D55" s="47">
        <v>100</v>
      </c>
      <c r="E55" s="47" t="s">
        <v>53</v>
      </c>
      <c r="F55" s="47" t="s">
        <v>53</v>
      </c>
      <c r="G55" s="47">
        <v>0</v>
      </c>
      <c r="H55" s="47" t="s">
        <v>53</v>
      </c>
      <c r="I55" s="106">
        <v>1542</v>
      </c>
      <c r="J55" s="48">
        <f t="shared" si="17"/>
        <v>100</v>
      </c>
      <c r="L55" s="144" t="s">
        <v>386</v>
      </c>
      <c r="M55" s="146">
        <v>111</v>
      </c>
    </row>
    <row r="56" spans="1:13" ht="21" customHeight="1" x14ac:dyDescent="0.15">
      <c r="A56" s="106">
        <v>39012455</v>
      </c>
      <c r="B56" s="47">
        <v>0</v>
      </c>
      <c r="C56" s="146">
        <v>129</v>
      </c>
      <c r="D56" s="47">
        <v>100</v>
      </c>
      <c r="E56" s="47" t="s">
        <v>53</v>
      </c>
      <c r="F56" s="47" t="s">
        <v>53</v>
      </c>
      <c r="G56" s="47">
        <v>0</v>
      </c>
      <c r="H56" s="47" t="s">
        <v>53</v>
      </c>
      <c r="I56" s="106">
        <v>1539</v>
      </c>
      <c r="J56" s="48">
        <f t="shared" si="17"/>
        <v>100</v>
      </c>
      <c r="L56" s="144" t="s">
        <v>387</v>
      </c>
      <c r="M56" s="146">
        <v>121</v>
      </c>
    </row>
    <row r="57" spans="1:13" ht="21" customHeight="1" x14ac:dyDescent="0.15">
      <c r="A57" s="106">
        <v>39012456</v>
      </c>
      <c r="B57" s="47">
        <v>0</v>
      </c>
      <c r="C57" s="146">
        <v>130</v>
      </c>
      <c r="D57" s="47">
        <v>100</v>
      </c>
      <c r="E57" s="47" t="s">
        <v>53</v>
      </c>
      <c r="F57" s="47" t="s">
        <v>53</v>
      </c>
      <c r="G57" s="47">
        <v>0</v>
      </c>
      <c r="H57" s="47" t="s">
        <v>53</v>
      </c>
      <c r="I57" s="106">
        <v>1540</v>
      </c>
      <c r="J57" s="48">
        <f t="shared" si="17"/>
        <v>100</v>
      </c>
      <c r="L57" s="144" t="s">
        <v>388</v>
      </c>
      <c r="M57" s="146">
        <v>122</v>
      </c>
    </row>
    <row r="58" spans="1:13" ht="21" customHeight="1" x14ac:dyDescent="0.15">
      <c r="A58" s="106">
        <v>39012457</v>
      </c>
      <c r="B58" s="47">
        <v>0</v>
      </c>
      <c r="C58" s="146">
        <v>127</v>
      </c>
      <c r="D58" s="47">
        <v>100</v>
      </c>
      <c r="E58" s="47" t="s">
        <v>53</v>
      </c>
      <c r="F58" s="47" t="s">
        <v>53</v>
      </c>
      <c r="G58" s="47">
        <v>0</v>
      </c>
      <c r="H58" s="47" t="s">
        <v>53</v>
      </c>
      <c r="I58" s="106">
        <v>1533</v>
      </c>
      <c r="J58" s="48">
        <f t="shared" si="17"/>
        <v>100</v>
      </c>
      <c r="L58" s="144" t="s">
        <v>389</v>
      </c>
      <c r="M58" s="146">
        <v>119</v>
      </c>
    </row>
    <row r="59" spans="1:13" ht="21" customHeight="1" x14ac:dyDescent="0.15">
      <c r="A59" s="106">
        <v>39012458</v>
      </c>
      <c r="B59" s="47">
        <v>0</v>
      </c>
      <c r="C59" s="146">
        <v>128</v>
      </c>
      <c r="D59" s="47">
        <v>100</v>
      </c>
      <c r="E59" s="47" t="s">
        <v>53</v>
      </c>
      <c r="F59" s="47" t="s">
        <v>53</v>
      </c>
      <c r="G59" s="47">
        <v>0</v>
      </c>
      <c r="H59" s="47" t="s">
        <v>53</v>
      </c>
      <c r="I59" s="106">
        <v>1534</v>
      </c>
      <c r="J59" s="48">
        <f t="shared" si="17"/>
        <v>100</v>
      </c>
      <c r="L59" s="144" t="s">
        <v>390</v>
      </c>
      <c r="M59" s="146">
        <v>120</v>
      </c>
    </row>
    <row r="60" spans="1:13" ht="21" customHeight="1" x14ac:dyDescent="0.15">
      <c r="A60" s="106">
        <v>39012459</v>
      </c>
      <c r="B60" s="47">
        <v>0</v>
      </c>
      <c r="C60" s="146">
        <v>124</v>
      </c>
      <c r="D60" s="47">
        <v>100</v>
      </c>
      <c r="E60" s="47" t="s">
        <v>53</v>
      </c>
      <c r="F60" s="47" t="s">
        <v>53</v>
      </c>
      <c r="G60" s="47">
        <v>0</v>
      </c>
      <c r="H60" s="47" t="s">
        <v>53</v>
      </c>
      <c r="I60" s="106">
        <v>1510</v>
      </c>
      <c r="J60" s="48">
        <f t="shared" ref="J60:J66" si="18">D60</f>
        <v>100</v>
      </c>
      <c r="L60" s="144" t="s">
        <v>391</v>
      </c>
      <c r="M60" s="146">
        <v>116</v>
      </c>
    </row>
    <row r="61" spans="1:13" ht="21" customHeight="1" x14ac:dyDescent="0.15">
      <c r="A61" s="106">
        <v>39012460</v>
      </c>
      <c r="B61" s="47">
        <v>0</v>
      </c>
      <c r="C61" s="146">
        <v>125</v>
      </c>
      <c r="D61" s="47">
        <v>100</v>
      </c>
      <c r="E61" s="47" t="s">
        <v>53</v>
      </c>
      <c r="F61" s="47" t="s">
        <v>53</v>
      </c>
      <c r="G61" s="47">
        <v>0</v>
      </c>
      <c r="H61" s="47" t="s">
        <v>53</v>
      </c>
      <c r="I61" s="106">
        <v>1511</v>
      </c>
      <c r="J61" s="48">
        <f t="shared" si="18"/>
        <v>100</v>
      </c>
      <c r="L61" s="144" t="s">
        <v>392</v>
      </c>
      <c r="M61" s="146">
        <v>117</v>
      </c>
    </row>
    <row r="62" spans="1:13" ht="21" customHeight="1" x14ac:dyDescent="0.15">
      <c r="A62" s="106">
        <v>39012461</v>
      </c>
      <c r="B62" s="47">
        <v>0</v>
      </c>
      <c r="C62" s="146">
        <v>126</v>
      </c>
      <c r="D62" s="47">
        <v>100</v>
      </c>
      <c r="E62" s="47" t="s">
        <v>53</v>
      </c>
      <c r="F62" s="47" t="s">
        <v>53</v>
      </c>
      <c r="G62" s="47">
        <v>0</v>
      </c>
      <c r="H62" s="47" t="s">
        <v>53</v>
      </c>
      <c r="I62" s="106">
        <v>1512</v>
      </c>
      <c r="J62" s="48">
        <f t="shared" si="18"/>
        <v>100</v>
      </c>
      <c r="L62" s="144" t="s">
        <v>393</v>
      </c>
      <c r="M62" s="146">
        <v>118</v>
      </c>
    </row>
    <row r="63" spans="1:13" ht="21" customHeight="1" x14ac:dyDescent="0.15">
      <c r="A63" s="106">
        <v>39012462</v>
      </c>
      <c r="B63" s="47">
        <v>0</v>
      </c>
      <c r="C63" s="146">
        <v>120</v>
      </c>
      <c r="D63" s="47">
        <v>100</v>
      </c>
      <c r="E63" s="47" t="s">
        <v>53</v>
      </c>
      <c r="F63" s="47" t="s">
        <v>53</v>
      </c>
      <c r="G63" s="47">
        <v>0</v>
      </c>
      <c r="H63" s="47" t="s">
        <v>53</v>
      </c>
      <c r="I63" s="106">
        <v>1523</v>
      </c>
      <c r="J63" s="48">
        <f t="shared" si="18"/>
        <v>100</v>
      </c>
      <c r="L63" s="144" t="s">
        <v>394</v>
      </c>
      <c r="M63" s="146">
        <v>112</v>
      </c>
    </row>
    <row r="64" spans="1:13" ht="21" customHeight="1" x14ac:dyDescent="0.15">
      <c r="A64" s="106">
        <v>39012463</v>
      </c>
      <c r="B64" s="47">
        <v>0</v>
      </c>
      <c r="C64" s="146">
        <v>121</v>
      </c>
      <c r="D64" s="47">
        <v>100</v>
      </c>
      <c r="E64" s="47" t="s">
        <v>53</v>
      </c>
      <c r="F64" s="47" t="s">
        <v>53</v>
      </c>
      <c r="G64" s="47">
        <v>0</v>
      </c>
      <c r="H64" s="47" t="s">
        <v>53</v>
      </c>
      <c r="I64" s="106">
        <v>1524</v>
      </c>
      <c r="J64" s="48">
        <f t="shared" si="18"/>
        <v>100</v>
      </c>
      <c r="L64" s="144" t="s">
        <v>395</v>
      </c>
      <c r="M64" s="146">
        <v>113</v>
      </c>
    </row>
    <row r="65" spans="1:13" ht="21" customHeight="1" x14ac:dyDescent="0.15">
      <c r="A65" s="106">
        <v>39012464</v>
      </c>
      <c r="B65" s="47">
        <v>0</v>
      </c>
      <c r="C65" s="146">
        <v>116</v>
      </c>
      <c r="D65" s="47">
        <v>100</v>
      </c>
      <c r="E65" s="47" t="s">
        <v>53</v>
      </c>
      <c r="F65" s="47" t="s">
        <v>53</v>
      </c>
      <c r="G65" s="47">
        <v>0</v>
      </c>
      <c r="H65" s="47" t="s">
        <v>53</v>
      </c>
      <c r="I65" s="106">
        <v>1535</v>
      </c>
      <c r="J65" s="48">
        <f t="shared" si="18"/>
        <v>100</v>
      </c>
      <c r="L65" s="144" t="s">
        <v>396</v>
      </c>
      <c r="M65" s="146">
        <v>108</v>
      </c>
    </row>
    <row r="66" spans="1:13" ht="21" customHeight="1" x14ac:dyDescent="0.15">
      <c r="A66" s="106">
        <v>39012465</v>
      </c>
      <c r="B66" s="47">
        <v>0</v>
      </c>
      <c r="C66" s="146">
        <v>117</v>
      </c>
      <c r="D66" s="47">
        <v>100</v>
      </c>
      <c r="E66" s="47" t="s">
        <v>53</v>
      </c>
      <c r="F66" s="47" t="s">
        <v>53</v>
      </c>
      <c r="G66" s="47">
        <v>0</v>
      </c>
      <c r="H66" s="47" t="s">
        <v>53</v>
      </c>
      <c r="I66" s="106">
        <v>1536</v>
      </c>
      <c r="J66" s="48">
        <f t="shared" si="18"/>
        <v>100</v>
      </c>
      <c r="L66" s="144" t="s">
        <v>397</v>
      </c>
      <c r="M66" s="146">
        <v>109</v>
      </c>
    </row>
    <row r="67" spans="1:13" ht="21" customHeight="1" x14ac:dyDescent="0.15">
      <c r="C67" s="146"/>
    </row>
    <row r="68" spans="1:13" ht="21" customHeight="1" x14ac:dyDescent="0.15">
      <c r="C68" s="146"/>
    </row>
    <row r="69" spans="1:13" ht="21" customHeight="1" x14ac:dyDescent="0.15">
      <c r="C69" s="146"/>
    </row>
    <row r="70" spans="1:13" ht="21" customHeight="1" x14ac:dyDescent="0.15">
      <c r="C70" s="146"/>
    </row>
    <row r="71" spans="1:13" ht="21" customHeight="1" x14ac:dyDescent="0.15">
      <c r="C71" s="146"/>
    </row>
    <row r="72" spans="1:13" ht="21" customHeight="1" x14ac:dyDescent="0.15">
      <c r="C72" s="146"/>
    </row>
    <row r="73" spans="1:13" ht="21" customHeight="1" x14ac:dyDescent="0.15">
      <c r="C73" s="146"/>
    </row>
    <row r="74" spans="1:13" ht="21" customHeight="1" x14ac:dyDescent="0.15">
      <c r="C74" s="146"/>
    </row>
    <row r="75" spans="1:13" ht="21" customHeight="1" x14ac:dyDescent="0.15">
      <c r="C75" s="146"/>
    </row>
    <row r="76" spans="1:13" ht="21" customHeight="1" x14ac:dyDescent="0.15">
      <c r="C76" s="146"/>
    </row>
    <row r="77" spans="1:13" ht="21" customHeight="1" x14ac:dyDescent="0.15">
      <c r="C77" s="146"/>
    </row>
    <row r="78" spans="1:13" ht="21" customHeight="1" x14ac:dyDescent="0.15">
      <c r="C78" s="146"/>
    </row>
    <row r="79" spans="1:13" ht="21" customHeight="1" x14ac:dyDescent="0.15">
      <c r="C79" s="146"/>
    </row>
    <row r="80" spans="1:13" ht="21" customHeight="1" x14ac:dyDescent="0.15">
      <c r="C80" s="146"/>
    </row>
    <row r="81" spans="3:3" ht="21" customHeight="1" x14ac:dyDescent="0.15">
      <c r="C81" s="146"/>
    </row>
  </sheetData>
  <autoFilter ref="A1:G1"/>
  <phoneticPr fontId="5"/>
  <conditionalFormatting sqref="K67:K1048576 K1:K36 K39:K51">
    <cfRule type="duplicateValues" dxfId="2" priority="3"/>
  </conditionalFormatting>
  <conditionalFormatting sqref="K37:K38">
    <cfRule type="duplicateValues" dxfId="1" priority="2"/>
  </conditionalFormatting>
  <conditionalFormatting sqref="K52:K66">
    <cfRule type="duplicateValues" dxfId="0" priority="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7"/>
  <sheetViews>
    <sheetView workbookViewId="0">
      <selection activeCell="F12" sqref="F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6">
        <f>floors!C2</f>
        <v>39012</v>
      </c>
      <c r="B2" s="56">
        <v>4</v>
      </c>
      <c r="C2" s="71" t="str">
        <f>A2&amp; "_"&amp;B2</f>
        <v>39012_4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19</v>
      </c>
      <c r="F2" s="56" t="s">
        <v>321</v>
      </c>
      <c r="G2" s="56">
        <v>704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60</v>
      </c>
      <c r="Q2" s="56" t="s">
        <v>169</v>
      </c>
      <c r="R2" s="56" t="s">
        <v>170</v>
      </c>
    </row>
    <row r="3" spans="1:18" x14ac:dyDescent="0.15">
      <c r="A3" s="56">
        <f>floors!C3</f>
        <v>39012</v>
      </c>
      <c r="B3" s="56">
        <v>4</v>
      </c>
      <c r="C3" s="71" t="str">
        <f t="shared" ref="C3:C7" si="0">A3&amp; "_"&amp;B3</f>
        <v>39012_4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20</v>
      </c>
      <c r="F3" s="56" t="s">
        <v>322</v>
      </c>
      <c r="G3" s="56">
        <v>1509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470</v>
      </c>
      <c r="Q3" s="56" t="s">
        <v>169</v>
      </c>
      <c r="R3" s="56" t="s">
        <v>170</v>
      </c>
    </row>
    <row r="4" spans="1:18" x14ac:dyDescent="0.15">
      <c r="A4" s="56">
        <f>floors!C4</f>
        <v>39012</v>
      </c>
      <c r="B4" s="56">
        <v>4</v>
      </c>
      <c r="C4" s="71" t="str">
        <f t="shared" si="0"/>
        <v>39012_4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21</v>
      </c>
      <c r="F4" s="56" t="s">
        <v>322</v>
      </c>
      <c r="G4" s="56">
        <v>121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150</v>
      </c>
      <c r="Q4" s="56" t="s">
        <v>169</v>
      </c>
      <c r="R4" s="56" t="s">
        <v>170</v>
      </c>
    </row>
    <row r="5" spans="1:18" x14ac:dyDescent="0.15">
      <c r="A5" s="56">
        <f>floors!C5</f>
        <v>39012</v>
      </c>
      <c r="B5" s="56">
        <v>4</v>
      </c>
      <c r="C5" s="71" t="str">
        <f t="shared" si="0"/>
        <v>39012_4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22</v>
      </c>
      <c r="F5" s="56" t="s">
        <v>322</v>
      </c>
      <c r="G5" s="56">
        <v>122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150</v>
      </c>
      <c r="Q5" s="56" t="s">
        <v>169</v>
      </c>
      <c r="R5" s="56" t="s">
        <v>170</v>
      </c>
    </row>
    <row r="6" spans="1:18" x14ac:dyDescent="0.15">
      <c r="A6" s="56">
        <f>floors!C6</f>
        <v>39012</v>
      </c>
      <c r="B6" s="56">
        <v>4</v>
      </c>
      <c r="C6" s="71" t="str">
        <f t="shared" si="0"/>
        <v>39012_4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23</v>
      </c>
      <c r="F6" s="56" t="s">
        <v>322</v>
      </c>
      <c r="G6" s="56">
        <v>123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150</v>
      </c>
      <c r="Q6" s="56" t="s">
        <v>169</v>
      </c>
      <c r="R6" s="56" t="s">
        <v>170</v>
      </c>
    </row>
    <row r="7" spans="1:18" x14ac:dyDescent="0.15">
      <c r="A7" s="56">
        <f>floors!C7</f>
        <v>39012</v>
      </c>
      <c r="B7" s="56">
        <v>4</v>
      </c>
      <c r="C7" s="71" t="str">
        <f t="shared" si="0"/>
        <v>39012_4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24</v>
      </c>
      <c r="F7" s="56" t="s">
        <v>322</v>
      </c>
      <c r="G7" s="56">
        <v>125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20</v>
      </c>
      <c r="Q7" s="56" t="s">
        <v>169</v>
      </c>
      <c r="R7" s="56" t="s">
        <v>170</v>
      </c>
    </row>
  </sheetData>
  <phoneticPr fontId="5"/>
  <dataValidations count="1">
    <dataValidation type="list" allowBlank="1" showInputMessage="1" showErrorMessage="1" sqref="F2:F7">
      <formula1>"bit,link,polygon,unit,item"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3" sqref="L1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3" t="s">
        <v>189</v>
      </c>
      <c r="C1" s="77" t="s">
        <v>190</v>
      </c>
      <c r="D1" s="77" t="s">
        <v>33</v>
      </c>
      <c r="E1" s="73" t="s">
        <v>191</v>
      </c>
      <c r="F1" s="77" t="s">
        <v>192</v>
      </c>
      <c r="G1" s="77" t="s">
        <v>33</v>
      </c>
      <c r="H1" s="73" t="s">
        <v>193</v>
      </c>
      <c r="I1" s="90" t="s">
        <v>195</v>
      </c>
      <c r="J1" s="79" t="s">
        <v>127</v>
      </c>
      <c r="K1" s="78" t="s">
        <v>186</v>
      </c>
      <c r="L1" s="91" t="s">
        <v>185</v>
      </c>
      <c r="M1" s="80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0"/>
  <sheetViews>
    <sheetView showGridLines="0" workbookViewId="0">
      <pane ySplit="1" topLeftCell="A2" activePane="bottomLeft" state="frozen"/>
      <selection pane="bottomLeft" activeCell="M19" sqref="M19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115.1640625" style="117" customWidth="1"/>
  </cols>
  <sheetData>
    <row r="1" spans="1:15" x14ac:dyDescent="0.15">
      <c r="A1" s="76" t="s">
        <v>188</v>
      </c>
      <c r="B1" s="73" t="s">
        <v>151</v>
      </c>
      <c r="C1" s="77" t="s">
        <v>190</v>
      </c>
      <c r="D1" s="77" t="s">
        <v>33</v>
      </c>
      <c r="E1" s="73" t="s">
        <v>191</v>
      </c>
      <c r="F1" s="77" t="s">
        <v>18</v>
      </c>
      <c r="G1" s="77" t="s">
        <v>33</v>
      </c>
      <c r="H1" s="73" t="s">
        <v>193</v>
      </c>
      <c r="I1" s="88" t="s">
        <v>194</v>
      </c>
      <c r="J1" s="90" t="s">
        <v>195</v>
      </c>
      <c r="K1" s="79" t="s">
        <v>127</v>
      </c>
      <c r="L1" s="78" t="s">
        <v>186</v>
      </c>
      <c r="M1" s="116" t="s">
        <v>185</v>
      </c>
      <c r="N1" s="80" t="s">
        <v>196</v>
      </c>
    </row>
    <row r="2" spans="1:15" ht="45" x14ac:dyDescent="0.15">
      <c r="A2" s="81" t="s">
        <v>197</v>
      </c>
      <c r="B2" s="82">
        <f>floors!$C$2</f>
        <v>39012</v>
      </c>
      <c r="C2" s="83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4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>
        <v>1</v>
      </c>
      <c r="I2" s="89">
        <f>ROW()-1</f>
        <v>1</v>
      </c>
      <c r="J2" s="86">
        <v>39012401</v>
      </c>
      <c r="K2" s="84" t="s">
        <v>198</v>
      </c>
      <c r="L2" s="134" t="s">
        <v>282</v>
      </c>
      <c r="M2" s="137" t="s">
        <v>290</v>
      </c>
      <c r="N2" s="56" t="s">
        <v>199</v>
      </c>
      <c r="O2">
        <f>LEN(M2)</f>
        <v>50</v>
      </c>
    </row>
    <row r="3" spans="1:15" ht="45" x14ac:dyDescent="0.15">
      <c r="A3" s="81" t="s">
        <v>197</v>
      </c>
      <c r="B3" s="82">
        <f>floors!$C$2</f>
        <v>39012</v>
      </c>
      <c r="C3" s="83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4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>
        <v>1</v>
      </c>
      <c r="I3" s="89">
        <f t="shared" ref="I3:I19" si="0">ROW()-1</f>
        <v>2</v>
      </c>
      <c r="J3" s="86">
        <v>39012402</v>
      </c>
      <c r="K3" s="84" t="s">
        <v>128</v>
      </c>
      <c r="L3" s="134" t="s">
        <v>282</v>
      </c>
      <c r="M3" s="137" t="s">
        <v>291</v>
      </c>
      <c r="N3" s="56" t="s">
        <v>199</v>
      </c>
      <c r="O3">
        <f t="shared" ref="O3:O11" si="1">LEN(M3)</f>
        <v>44</v>
      </c>
    </row>
    <row r="4" spans="1:15" ht="45" x14ac:dyDescent="0.15">
      <c r="A4" s="81" t="s">
        <v>197</v>
      </c>
      <c r="B4" s="82">
        <f>floors!$C$2</f>
        <v>39012</v>
      </c>
      <c r="C4" s="83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4">
        <v>4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>
        <v>2</v>
      </c>
      <c r="I4" s="89">
        <f t="shared" si="0"/>
        <v>3</v>
      </c>
      <c r="J4" s="86">
        <v>39012403</v>
      </c>
      <c r="K4" s="84" t="s">
        <v>128</v>
      </c>
      <c r="L4" s="134" t="s">
        <v>282</v>
      </c>
      <c r="M4" s="137" t="s">
        <v>291</v>
      </c>
      <c r="N4" s="56" t="s">
        <v>199</v>
      </c>
      <c r="O4">
        <f t="shared" si="1"/>
        <v>44</v>
      </c>
    </row>
    <row r="5" spans="1:15" ht="60" x14ac:dyDescent="0.15">
      <c r="A5" s="81" t="s">
        <v>197</v>
      </c>
      <c r="B5" s="82">
        <f>floors!$C$2</f>
        <v>39012</v>
      </c>
      <c r="C5" s="83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4">
        <v>4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>
        <v>2</v>
      </c>
      <c r="I5" s="89">
        <f t="shared" si="0"/>
        <v>4</v>
      </c>
      <c r="J5" s="86">
        <v>39012404</v>
      </c>
      <c r="K5" s="84" t="s">
        <v>128</v>
      </c>
      <c r="L5" s="134" t="s">
        <v>282</v>
      </c>
      <c r="M5" s="137" t="s">
        <v>292</v>
      </c>
      <c r="N5" s="56" t="s">
        <v>199</v>
      </c>
      <c r="O5">
        <f t="shared" si="1"/>
        <v>60</v>
      </c>
    </row>
    <row r="6" spans="1:15" ht="60" x14ac:dyDescent="0.15">
      <c r="A6" s="81" t="s">
        <v>197</v>
      </c>
      <c r="B6" s="82">
        <f>floors!$C$2</f>
        <v>39012</v>
      </c>
      <c r="C6" s="83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4">
        <v>4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5">
        <v>3</v>
      </c>
      <c r="I6" s="89">
        <f t="shared" si="0"/>
        <v>5</v>
      </c>
      <c r="J6" s="86">
        <v>39012405</v>
      </c>
      <c r="K6" s="84" t="s">
        <v>128</v>
      </c>
      <c r="L6" s="134" t="s">
        <v>282</v>
      </c>
      <c r="M6" s="137" t="s">
        <v>293</v>
      </c>
      <c r="N6" s="56" t="s">
        <v>199</v>
      </c>
      <c r="O6">
        <f t="shared" si="1"/>
        <v>57</v>
      </c>
    </row>
    <row r="7" spans="1:15" ht="60" x14ac:dyDescent="0.15">
      <c r="A7" s="81" t="s">
        <v>197</v>
      </c>
      <c r="B7" s="82">
        <f>floors!$C$2</f>
        <v>39012</v>
      </c>
      <c r="C7" s="83" t="str">
        <f ca="1">VLOOKUP($B7,OFFSET([2]quests!$A$1,0,0,COUNTA([2]quests!$A:$A),MATCH(C$1,[2]quests!$1:$1,0)-MATCH($B$1,[2]quests!$1:$1,0)+1),MATCH(C$1,[2]quests!$1:$1,0)-MATCH($B$1,[2]quests!$1:$1,0)+1,FALSE)</f>
        <v>侵略！？にゃんこ軍団現る！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4">
        <v>4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5">
        <v>3</v>
      </c>
      <c r="I7" s="89">
        <f t="shared" si="0"/>
        <v>6</v>
      </c>
      <c r="J7" s="86">
        <v>39012406</v>
      </c>
      <c r="K7" s="84" t="s">
        <v>128</v>
      </c>
      <c r="L7" s="134" t="s">
        <v>282</v>
      </c>
      <c r="M7" s="137" t="s">
        <v>294</v>
      </c>
      <c r="N7" s="56" t="s">
        <v>199</v>
      </c>
      <c r="O7">
        <f t="shared" si="1"/>
        <v>58</v>
      </c>
    </row>
    <row r="8" spans="1:15" ht="60" x14ac:dyDescent="0.15">
      <c r="A8" s="81" t="s">
        <v>197</v>
      </c>
      <c r="B8" s="82">
        <f>floors!$C$2</f>
        <v>39012</v>
      </c>
      <c r="C8" s="83" t="str">
        <f ca="1">VLOOKUP($B8,OFFSET([2]quests!$A$1,0,0,COUNTA([2]quests!$A:$A),MATCH(C$1,[2]quests!$1:$1,0)-MATCH($B$1,[2]quests!$1:$1,0)+1),MATCH(C$1,[2]quests!$1:$1,0)-MATCH($B$1,[2]quests!$1:$1,0)+1,FALSE)</f>
        <v>侵略！？にゃんこ軍団現る！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4">
        <v>4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5">
        <v>4</v>
      </c>
      <c r="I8" s="89">
        <f t="shared" si="0"/>
        <v>7</v>
      </c>
      <c r="J8" s="86">
        <v>39012407</v>
      </c>
      <c r="K8" s="84" t="s">
        <v>128</v>
      </c>
      <c r="L8" s="134" t="s">
        <v>282</v>
      </c>
      <c r="M8" s="137" t="s">
        <v>295</v>
      </c>
      <c r="N8" s="56" t="s">
        <v>199</v>
      </c>
      <c r="O8">
        <f t="shared" si="1"/>
        <v>59</v>
      </c>
    </row>
    <row r="9" spans="1:15" ht="60" x14ac:dyDescent="0.15">
      <c r="A9" s="81" t="s">
        <v>197</v>
      </c>
      <c r="B9" s="82">
        <f>floors!$C$2</f>
        <v>39012</v>
      </c>
      <c r="C9" s="83" t="str">
        <f ca="1">VLOOKUP($B9,OFFSET([2]quests!$A$1,0,0,COUNTA([2]quests!$A:$A),MATCH(C$1,[2]quests!$1:$1,0)-MATCH($B$1,[2]quests!$1:$1,0)+1),MATCH(C$1,[2]quests!$1:$1,0)-MATCH($B$1,[2]quests!$1:$1,0)+1,FALSE)</f>
        <v>侵略！？にゃんこ軍団現る！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4">
        <v>4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5">
        <v>6</v>
      </c>
      <c r="I9" s="89">
        <f t="shared" si="0"/>
        <v>8</v>
      </c>
      <c r="J9" s="86">
        <v>39012408</v>
      </c>
      <c r="K9" s="84" t="s">
        <v>128</v>
      </c>
      <c r="L9" s="136" t="s">
        <v>282</v>
      </c>
      <c r="M9" s="137" t="s">
        <v>296</v>
      </c>
      <c r="N9" s="56" t="s">
        <v>199</v>
      </c>
      <c r="O9">
        <f t="shared" si="1"/>
        <v>60</v>
      </c>
    </row>
    <row r="10" spans="1:15" ht="45" x14ac:dyDescent="0.15">
      <c r="A10" s="81" t="s">
        <v>256</v>
      </c>
      <c r="B10" s="82">
        <f>floors!$C$2</f>
        <v>39012</v>
      </c>
      <c r="C10" s="83" t="str">
        <f ca="1">VLOOKUP($B10,OFFSET([2]quests!$A$1,0,0,COUNTA([2]quests!$A:$A),MATCH(C$1,[2]quests!$1:$1,0)-MATCH($B$1,[2]quests!$1:$1,0)+1),MATCH(C$1,[2]quests!$1:$1,0)-MATCH($B$1,[2]quests!$1:$1,0)+1,FALSE)</f>
        <v>侵略！？にゃんこ軍団現る！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4">
        <v>4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5">
        <v>0</v>
      </c>
      <c r="I10" s="89">
        <f t="shared" si="0"/>
        <v>9</v>
      </c>
      <c r="J10" s="86">
        <v>39012409</v>
      </c>
      <c r="K10" s="84" t="s">
        <v>128</v>
      </c>
      <c r="L10" s="134" t="s">
        <v>281</v>
      </c>
      <c r="M10" s="135" t="s">
        <v>337</v>
      </c>
      <c r="N10" s="56" t="s">
        <v>199</v>
      </c>
      <c r="O10">
        <f t="shared" si="1"/>
        <v>43</v>
      </c>
    </row>
    <row r="11" spans="1:15" ht="30" x14ac:dyDescent="0.15">
      <c r="A11" s="81" t="s">
        <v>256</v>
      </c>
      <c r="B11" s="82">
        <f>floors!$C$2</f>
        <v>39012</v>
      </c>
      <c r="C11" s="83" t="str">
        <f ca="1">VLOOKUP($B11,OFFSET([2]quests!$A$1,0,0,COUNTA([2]quests!$A:$A),MATCH(C$1,[2]quests!$1:$1,0)-MATCH($B$1,[2]quests!$1:$1,0)+1),MATCH(C$1,[2]quests!$1:$1,0)-MATCH($B$1,[2]quests!$1:$1,0)+1,FALSE)</f>
        <v>侵略！？にゃんこ軍団現る！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4">
        <v>4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5">
        <v>0</v>
      </c>
      <c r="I11" s="89">
        <f t="shared" si="0"/>
        <v>10</v>
      </c>
      <c r="J11" s="86">
        <v>39012410</v>
      </c>
      <c r="K11" s="84" t="s">
        <v>128</v>
      </c>
      <c r="L11" s="134" t="s">
        <v>281</v>
      </c>
      <c r="M11" s="135" t="s">
        <v>297</v>
      </c>
      <c r="N11" s="56" t="s">
        <v>199</v>
      </c>
      <c r="O11">
        <f t="shared" si="1"/>
        <v>26</v>
      </c>
    </row>
    <row r="12" spans="1:15" x14ac:dyDescent="0.15">
      <c r="A12" s="81" t="s">
        <v>256</v>
      </c>
      <c r="B12" s="82">
        <f>floors!$C$2</f>
        <v>39012</v>
      </c>
      <c r="C12" s="83" t="str">
        <f ca="1">VLOOKUP($B12,OFFSET([2]quests!$A$1,0,0,COUNTA([2]quests!$A:$A),MATCH(C$1,[2]quests!$1:$1,0)-MATCH($B$1,[2]quests!$1:$1,0)+1),MATCH(C$1,[2]quests!$1:$1,0)-MATCH($B$1,[2]quests!$1:$1,0)+1,FALSE)</f>
        <v>侵略！？にゃんこ軍団現る！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4">
        <v>4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5">
        <v>0</v>
      </c>
      <c r="I12" s="89">
        <f t="shared" si="0"/>
        <v>11</v>
      </c>
      <c r="J12" s="86">
        <v>39012411</v>
      </c>
      <c r="K12" s="84" t="s">
        <v>128</v>
      </c>
      <c r="L12" s="134" t="s">
        <v>281</v>
      </c>
      <c r="M12" s="134" t="s">
        <v>298</v>
      </c>
      <c r="N12" s="56" t="s">
        <v>199</v>
      </c>
      <c r="O12">
        <f t="shared" ref="O12:O17" si="2">LEN(M12)</f>
        <v>15</v>
      </c>
    </row>
    <row r="13" spans="1:15" ht="45" x14ac:dyDescent="0.15">
      <c r="A13" s="81" t="s">
        <v>256</v>
      </c>
      <c r="B13" s="82">
        <f>floors!$C$2</f>
        <v>39012</v>
      </c>
      <c r="C13" s="83" t="str">
        <f ca="1">VLOOKUP($B13,OFFSET([2]quests!$A$1,0,0,COUNTA([2]quests!$A:$A),MATCH(C$1,[2]quests!$1:$1,0)-MATCH($B$1,[2]quests!$1:$1,0)+1),MATCH(C$1,[2]quests!$1:$1,0)-MATCH($B$1,[2]quests!$1:$1,0)+1,FALSE)</f>
        <v>侵略！？にゃんこ軍団現る！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4">
        <v>4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5">
        <v>0</v>
      </c>
      <c r="I13" s="89">
        <f t="shared" si="0"/>
        <v>12</v>
      </c>
      <c r="J13" s="86">
        <v>39012412</v>
      </c>
      <c r="K13" s="84" t="s">
        <v>128</v>
      </c>
      <c r="L13" s="134" t="s">
        <v>281</v>
      </c>
      <c r="M13" s="137" t="s">
        <v>299</v>
      </c>
      <c r="N13" s="56" t="s">
        <v>199</v>
      </c>
      <c r="O13">
        <f t="shared" si="2"/>
        <v>47</v>
      </c>
    </row>
    <row r="14" spans="1:15" x14ac:dyDescent="0.15">
      <c r="A14" s="81" t="s">
        <v>256</v>
      </c>
      <c r="B14" s="82">
        <f>floors!$C$2</f>
        <v>39012</v>
      </c>
      <c r="C14" s="83" t="str">
        <f ca="1">VLOOKUP($B14,OFFSET([2]quests!$A$1,0,0,COUNTA([2]quests!$A:$A),MATCH(C$1,[2]quests!$1:$1,0)-MATCH($B$1,[2]quests!$1:$1,0)+1),MATCH(C$1,[2]quests!$1:$1,0)-MATCH($B$1,[2]quests!$1:$1,0)+1,FALSE)</f>
        <v>侵略！？にゃんこ軍団現る！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4">
        <v>4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5">
        <v>0</v>
      </c>
      <c r="I14" s="89">
        <f t="shared" si="0"/>
        <v>13</v>
      </c>
      <c r="J14" s="86">
        <v>39012413</v>
      </c>
      <c r="K14" s="84" t="s">
        <v>128</v>
      </c>
      <c r="L14" s="134" t="s">
        <v>281</v>
      </c>
      <c r="M14" s="136" t="s">
        <v>300</v>
      </c>
      <c r="N14" s="56" t="s">
        <v>199</v>
      </c>
      <c r="O14">
        <f t="shared" si="2"/>
        <v>15</v>
      </c>
    </row>
    <row r="15" spans="1:15" ht="30" x14ac:dyDescent="0.15">
      <c r="A15" s="81" t="s">
        <v>256</v>
      </c>
      <c r="B15" s="82">
        <f>floors!$C$2</f>
        <v>39012</v>
      </c>
      <c r="C15" s="83" t="str">
        <f ca="1">VLOOKUP($B15,OFFSET([2]quests!$A$1,0,0,COUNTA([2]quests!$A:$A),MATCH(C$1,[2]quests!$1:$1,0)-MATCH($B$1,[2]quests!$1:$1,0)+1),MATCH(C$1,[2]quests!$1:$1,0)-MATCH($B$1,[2]quests!$1:$1,0)+1,FALSE)</f>
        <v>侵略！？にゃんこ軍団現る！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4">
        <v>4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5">
        <v>0</v>
      </c>
      <c r="I15" s="89">
        <f t="shared" si="0"/>
        <v>14</v>
      </c>
      <c r="J15" s="86">
        <v>39012414</v>
      </c>
      <c r="K15" s="84" t="s">
        <v>128</v>
      </c>
      <c r="L15" s="134" t="s">
        <v>281</v>
      </c>
      <c r="M15" s="137" t="s">
        <v>336</v>
      </c>
      <c r="N15" s="56" t="s">
        <v>199</v>
      </c>
      <c r="O15">
        <f t="shared" si="2"/>
        <v>22</v>
      </c>
    </row>
    <row r="16" spans="1:15" ht="30" x14ac:dyDescent="0.15">
      <c r="A16" s="81" t="s">
        <v>256</v>
      </c>
      <c r="B16" s="82">
        <f>floors!$C$2</f>
        <v>39012</v>
      </c>
      <c r="C16" s="83" t="str">
        <f ca="1">VLOOKUP($B16,OFFSET([2]quests!$A$1,0,0,COUNTA([2]quests!$A:$A),MATCH(C$1,[2]quests!$1:$1,0)-MATCH($B$1,[2]quests!$1:$1,0)+1),MATCH(C$1,[2]quests!$1:$1,0)-MATCH($B$1,[2]quests!$1:$1,0)+1,FALSE)</f>
        <v>侵略！？にゃんこ軍団現る！</v>
      </c>
      <c r="D16" s="83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4">
        <v>4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5">
        <v>0</v>
      </c>
      <c r="I16" s="89">
        <f t="shared" si="0"/>
        <v>15</v>
      </c>
      <c r="J16" s="86">
        <v>39012415</v>
      </c>
      <c r="K16" s="84" t="s">
        <v>128</v>
      </c>
      <c r="L16" s="134" t="s">
        <v>281</v>
      </c>
      <c r="M16" s="137" t="s">
        <v>301</v>
      </c>
      <c r="N16" s="56" t="s">
        <v>199</v>
      </c>
      <c r="O16">
        <f t="shared" si="2"/>
        <v>37</v>
      </c>
    </row>
    <row r="17" spans="1:15" ht="30" x14ac:dyDescent="0.15">
      <c r="A17" s="81" t="s">
        <v>256</v>
      </c>
      <c r="B17" s="82">
        <f>floors!$C$2</f>
        <v>39012</v>
      </c>
      <c r="C17" s="83" t="str">
        <f ca="1">VLOOKUP($B17,OFFSET([2]quests!$A$1,0,0,COUNTA([2]quests!$A:$A),MATCH(C$1,[2]quests!$1:$1,0)-MATCH($B$1,[2]quests!$1:$1,0)+1),MATCH(C$1,[2]quests!$1:$1,0)-MATCH($B$1,[2]quests!$1:$1,0)+1,FALSE)</f>
        <v>侵略！？にゃんこ軍団現る！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4">
        <v>4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5">
        <v>0</v>
      </c>
      <c r="I17" s="89">
        <f t="shared" si="0"/>
        <v>16</v>
      </c>
      <c r="J17" s="86">
        <v>39012416</v>
      </c>
      <c r="K17" s="84" t="s">
        <v>128</v>
      </c>
      <c r="L17" s="134" t="s">
        <v>281</v>
      </c>
      <c r="M17" s="137" t="s">
        <v>302</v>
      </c>
      <c r="N17" s="56" t="s">
        <v>199</v>
      </c>
      <c r="O17">
        <f t="shared" si="2"/>
        <v>34</v>
      </c>
    </row>
    <row r="18" spans="1:15" ht="45" x14ac:dyDescent="0.15">
      <c r="A18" s="81" t="s">
        <v>256</v>
      </c>
      <c r="B18" s="82">
        <f>floors!$C$2</f>
        <v>39012</v>
      </c>
      <c r="C18" s="83" t="str">
        <f ca="1">VLOOKUP($B18,OFFSET([2]quests!$A$1,0,0,COUNTA([2]quests!$A:$A),MATCH(C$1,[2]quests!$1:$1,0)-MATCH($B$1,[2]quests!$1:$1,0)+1),MATCH(C$1,[2]quests!$1:$1,0)-MATCH($B$1,[2]quests!$1:$1,0)+1,FALSE)</f>
        <v>侵略！？にゃんこ軍団現る！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4">
        <v>4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5">
        <v>0</v>
      </c>
      <c r="I18" s="89">
        <f t="shared" si="0"/>
        <v>17</v>
      </c>
      <c r="J18" s="86">
        <v>39012417</v>
      </c>
      <c r="K18" s="84" t="s">
        <v>128</v>
      </c>
      <c r="L18" s="136" t="s">
        <v>283</v>
      </c>
      <c r="M18" s="137" t="s">
        <v>284</v>
      </c>
      <c r="N18" s="56" t="s">
        <v>199</v>
      </c>
      <c r="O18">
        <f t="shared" ref="O18" si="3">LEN(M18)</f>
        <v>53</v>
      </c>
    </row>
    <row r="19" spans="1:15" ht="45" x14ac:dyDescent="0.15">
      <c r="A19" s="81" t="s">
        <v>256</v>
      </c>
      <c r="B19" s="82">
        <f>floors!$C$2</f>
        <v>39012</v>
      </c>
      <c r="C19" s="83" t="str">
        <f ca="1">VLOOKUP($B19,OFFSET([2]quests!$A$1,0,0,COUNTA([2]quests!$A:$A),MATCH(C$1,[2]quests!$1:$1,0)-MATCH($B$1,[2]quests!$1:$1,0)+1),MATCH(C$1,[2]quests!$1:$1,0)-MATCH($B$1,[2]quests!$1:$1,0)+1,FALSE)</f>
        <v>侵略！？にゃんこ軍団現る！</v>
      </c>
      <c r="D19" s="83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4">
        <v>4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5">
        <v>0</v>
      </c>
      <c r="I19" s="89">
        <f t="shared" si="0"/>
        <v>18</v>
      </c>
      <c r="J19" s="86">
        <v>39012418</v>
      </c>
      <c r="K19" s="84" t="s">
        <v>128</v>
      </c>
      <c r="L19" s="136" t="s">
        <v>285</v>
      </c>
      <c r="M19" s="138" t="s">
        <v>286</v>
      </c>
      <c r="N19" s="56" t="s">
        <v>199</v>
      </c>
      <c r="O19">
        <f t="shared" ref="O19" si="4">LEN(M19)</f>
        <v>57</v>
      </c>
    </row>
    <row r="20" spans="1:15" ht="18" x14ac:dyDescent="0.2">
      <c r="M20" s="122"/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6"/>
  <sheetViews>
    <sheetView showGridLines="0" workbookViewId="0">
      <pane ySplit="1" topLeftCell="A2" activePane="bottomLeft" state="frozen"/>
      <selection pane="bottomLeft" activeCell="D27" sqref="D2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211</v>
      </c>
      <c r="B1" s="94" t="s">
        <v>212</v>
      </c>
      <c r="C1" s="77" t="s">
        <v>213</v>
      </c>
      <c r="D1" s="77" t="s">
        <v>33</v>
      </c>
      <c r="E1" s="94" t="s">
        <v>214</v>
      </c>
      <c r="F1" s="77" t="s">
        <v>215</v>
      </c>
      <c r="G1" s="77" t="s">
        <v>33</v>
      </c>
      <c r="H1" s="94" t="s">
        <v>216</v>
      </c>
      <c r="I1" s="94" t="s">
        <v>217</v>
      </c>
      <c r="J1" s="94" t="s">
        <v>218</v>
      </c>
      <c r="K1" s="73" t="s">
        <v>219</v>
      </c>
      <c r="L1" s="73" t="s">
        <v>220</v>
      </c>
      <c r="M1" s="73" t="s">
        <v>157</v>
      </c>
      <c r="N1" s="77" t="s">
        <v>16</v>
      </c>
      <c r="O1" s="73" t="s">
        <v>221</v>
      </c>
      <c r="P1" s="73" t="s">
        <v>57</v>
      </c>
      <c r="Q1" s="73" t="s">
        <v>222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223</v>
      </c>
      <c r="X1" s="73" t="s">
        <v>224</v>
      </c>
    </row>
    <row r="2" spans="1:24" x14ac:dyDescent="0.15">
      <c r="A2" s="95" t="str">
        <f>B2&amp;"_"&amp;E2&amp;"_"&amp;H2&amp;"_"&amp;I2&amp;"_"&amp;J2</f>
        <v>39012_4_everyone_clear_14</v>
      </c>
      <c r="B2" s="82">
        <v>39012</v>
      </c>
      <c r="C2" s="83" t="str">
        <f ca="1">VLOOKUP($B2,OFFSET([2]quests!$A$1,0,0,COUNTA([2]quests!$A:$A),MATCH(C$1,[2]quests!$1:$1,0)-MATCH($B$1,[2]quests!$1:$1,0)+1),MATCH(C$1,[2]quests!$1:$1,0)-MATCH($B$1,[2]quests!$1:$1,0)+1,FALSE)</f>
        <v>侵略！？にゃんこ軍団現る！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4">
        <v>4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5" t="s">
        <v>225</v>
      </c>
      <c r="I2" s="84" t="s">
        <v>323</v>
      </c>
      <c r="J2" s="84">
        <v>14</v>
      </c>
      <c r="K2" s="84">
        <v>200</v>
      </c>
      <c r="L2" s="84" t="s">
        <v>324</v>
      </c>
      <c r="M2" s="84">
        <v>704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4">
        <v>2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7" t="s">
        <v>226</v>
      </c>
      <c r="X2" s="98" t="s">
        <v>227</v>
      </c>
    </row>
    <row r="3" spans="1:24" x14ac:dyDescent="0.15">
      <c r="A3" s="95" t="str">
        <f>B3&amp;"_"&amp;E3&amp;"_"&amp;H3&amp;"_"&amp;I3&amp;"_"&amp;J3</f>
        <v>39012_4_everyone_clear_15</v>
      </c>
      <c r="B3" s="82">
        <v>39012</v>
      </c>
      <c r="C3" s="83" t="str">
        <f ca="1">VLOOKUP($B3,OFFSET([2]quests!$A$1,0,0,COUNTA([2]quests!$A:$A),MATCH(C$1,[2]quests!$1:$1,0)-MATCH($B$1,[2]quests!$1:$1,0)+1),MATCH(C$1,[2]quests!$1:$1,0)-MATCH($B$1,[2]quests!$1:$1,0)+1,FALSE)</f>
        <v>侵略！？にゃんこ軍団現る！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4">
        <v>4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5" t="s">
        <v>325</v>
      </c>
      <c r="I3" s="84" t="s">
        <v>326</v>
      </c>
      <c r="J3" s="84">
        <v>15</v>
      </c>
      <c r="K3" s="84">
        <v>800</v>
      </c>
      <c r="L3" s="84" t="s">
        <v>327</v>
      </c>
      <c r="M3" s="84">
        <v>704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4">
        <v>3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7" t="s">
        <v>226</v>
      </c>
      <c r="X3" s="98" t="s">
        <v>227</v>
      </c>
    </row>
    <row r="4" spans="1:24" x14ac:dyDescent="0.15">
      <c r="A4" s="95" t="str">
        <f t="shared" ref="A4:A6" si="0">B4&amp;"_"&amp;E4&amp;"_"&amp;H4&amp;"_"&amp;I4&amp;"_"&amp;J4</f>
        <v>39012_4_everyone_full_member_16</v>
      </c>
      <c r="B4" s="82">
        <v>39012</v>
      </c>
      <c r="C4" s="83" t="str">
        <f ca="1">VLOOKUP($B4,OFFSET([2]quests!$A$1,0,0,COUNTA([2]quests!$A:$A),MATCH(C$1,[2]quests!$1:$1,0)-MATCH($B$1,[2]quests!$1:$1,0)+1),MATCH(C$1,[2]quests!$1:$1,0)-MATCH($B$1,[2]quests!$1:$1,0)+1,FALSE)</f>
        <v>侵略！？にゃんこ軍団現る！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4">
        <v>4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5" t="s">
        <v>225</v>
      </c>
      <c r="I4" s="84" t="s">
        <v>328</v>
      </c>
      <c r="J4" s="84">
        <v>16</v>
      </c>
      <c r="K4" s="84">
        <v>200</v>
      </c>
      <c r="L4" s="84" t="s">
        <v>324</v>
      </c>
      <c r="M4" s="84">
        <v>704</v>
      </c>
      <c r="N4" s="96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4">
        <v>1</v>
      </c>
      <c r="P4" s="84">
        <v>1</v>
      </c>
      <c r="Q4" s="84">
        <v>1</v>
      </c>
      <c r="R4" s="84">
        <v>0</v>
      </c>
      <c r="S4" s="84">
        <v>0</v>
      </c>
      <c r="T4" s="84">
        <v>0</v>
      </c>
      <c r="U4" s="84">
        <v>0</v>
      </c>
      <c r="V4" s="84">
        <v>1</v>
      </c>
      <c r="W4" s="97" t="s">
        <v>226</v>
      </c>
      <c r="X4" s="98" t="s">
        <v>227</v>
      </c>
    </row>
    <row r="5" spans="1:24" x14ac:dyDescent="0.15">
      <c r="A5" s="95" t="str">
        <f t="shared" si="0"/>
        <v>39012_4_everyone_full_member_17</v>
      </c>
      <c r="B5" s="82">
        <v>39012</v>
      </c>
      <c r="C5" s="83" t="str">
        <f ca="1">VLOOKUP($B5,OFFSET([2]quests!$A$1,0,0,COUNTA([2]quests!$A:$A),MATCH(C$1,[2]quests!$1:$1,0)-MATCH($B$1,[2]quests!$1:$1,0)+1),MATCH(C$1,[2]quests!$1:$1,0)-MATCH($B$1,[2]quests!$1:$1,0)+1,FALSE)</f>
        <v>侵略！？にゃんこ軍団現る！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4">
        <v>4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5" t="s">
        <v>325</v>
      </c>
      <c r="I5" s="84" t="s">
        <v>329</v>
      </c>
      <c r="J5" s="84">
        <v>17</v>
      </c>
      <c r="K5" s="84">
        <v>300</v>
      </c>
      <c r="L5" s="84" t="s">
        <v>327</v>
      </c>
      <c r="M5" s="84">
        <v>704</v>
      </c>
      <c r="N5" s="96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/>
      </c>
      <c r="O5" s="84">
        <v>2</v>
      </c>
      <c r="P5" s="84">
        <v>1</v>
      </c>
      <c r="Q5" s="84">
        <v>1</v>
      </c>
      <c r="R5" s="84">
        <v>0</v>
      </c>
      <c r="S5" s="84">
        <v>0</v>
      </c>
      <c r="T5" s="84">
        <v>0</v>
      </c>
      <c r="U5" s="84">
        <v>0</v>
      </c>
      <c r="V5" s="84">
        <v>1</v>
      </c>
      <c r="W5" s="97" t="s">
        <v>226</v>
      </c>
      <c r="X5" s="98" t="s">
        <v>227</v>
      </c>
    </row>
    <row r="6" spans="1:24" x14ac:dyDescent="0.15">
      <c r="A6" s="95" t="str">
        <f t="shared" si="0"/>
        <v>39012_4_everyone_full_member_18</v>
      </c>
      <c r="B6" s="82">
        <v>39012</v>
      </c>
      <c r="C6" s="83" t="str">
        <f ca="1">VLOOKUP($B6,OFFSET([2]quests!$A$1,0,0,COUNTA([2]quests!$A:$A),MATCH(C$1,[2]quests!$1:$1,0)-MATCH($B$1,[2]quests!$1:$1,0)+1),MATCH(C$1,[2]quests!$1:$1,0)-MATCH($B$1,[2]quests!$1:$1,0)+1,FALSE)</f>
        <v>侵略！？にゃんこ軍団現る！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4">
        <v>4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【超上級】侵略！？にゃんこ軍団現る！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5" t="s">
        <v>325</v>
      </c>
      <c r="I6" s="84" t="s">
        <v>329</v>
      </c>
      <c r="J6" s="84">
        <v>18</v>
      </c>
      <c r="K6" s="84">
        <v>500</v>
      </c>
      <c r="L6" s="84" t="s">
        <v>330</v>
      </c>
      <c r="M6" s="84">
        <v>1509</v>
      </c>
      <c r="N6" s="96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巨神ネコ</v>
      </c>
      <c r="O6" s="84">
        <v>1</v>
      </c>
      <c r="P6" s="84">
        <v>1</v>
      </c>
      <c r="Q6" s="84">
        <v>1</v>
      </c>
      <c r="R6" s="84">
        <v>0</v>
      </c>
      <c r="S6" s="84">
        <v>0</v>
      </c>
      <c r="T6" s="84">
        <v>0</v>
      </c>
      <c r="U6" s="84">
        <v>0</v>
      </c>
      <c r="V6" s="84">
        <v>1</v>
      </c>
      <c r="W6" s="97" t="s">
        <v>226</v>
      </c>
      <c r="X6" s="98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2017-03-17T13:13:58Z</dcterms:modified>
</cp:coreProperties>
</file>