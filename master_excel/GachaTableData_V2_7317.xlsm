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1520" yWindow="460" windowWidth="27280" windowHeight="15940" tabRatio="943" activeTab="2"/>
  </bookViews>
  <sheets>
    <sheet name="Sheet1" sheetId="107" r:id="rId1"/>
    <sheet name="output" sheetId="103" r:id="rId2"/>
    <sheet name="tables_7317" sheetId="114" r:id="rId3"/>
    <sheet name="tables_7318" sheetId="115" r:id="rId4"/>
    <sheet name="tables_settle_7318" sheetId="116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2" hidden="1">tables_7317!$A$1:$V$4</definedName>
    <definedName name="_xlnm._FilterDatabase" localSheetId="3" hidden="1">tables_7318!$A$1:$V$4</definedName>
    <definedName name="_xlnm._FilterDatabase" localSheetId="4" hidden="1">tables_settle_7318!$A$1:$V$2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2" i="115" l="1"/>
  <c r="N32" i="115"/>
  <c r="M32" i="115"/>
  <c r="L32" i="115"/>
  <c r="K32" i="115"/>
  <c r="J32" i="115"/>
  <c r="I32" i="115"/>
  <c r="H32" i="115"/>
  <c r="F32" i="115"/>
  <c r="E32" i="115"/>
  <c r="D32" i="115"/>
  <c r="C32" i="115"/>
  <c r="P31" i="115"/>
  <c r="N31" i="115"/>
  <c r="M31" i="115"/>
  <c r="L31" i="115"/>
  <c r="K31" i="115"/>
  <c r="J31" i="115"/>
  <c r="I31" i="115"/>
  <c r="H31" i="115"/>
  <c r="F31" i="115"/>
  <c r="E31" i="115"/>
  <c r="D31" i="115"/>
  <c r="C31" i="115"/>
  <c r="P30" i="115"/>
  <c r="N30" i="115"/>
  <c r="M30" i="115"/>
  <c r="L30" i="115"/>
  <c r="K30" i="115"/>
  <c r="J30" i="115"/>
  <c r="I30" i="115"/>
  <c r="H30" i="115"/>
  <c r="F30" i="115"/>
  <c r="E30" i="115"/>
  <c r="D30" i="115"/>
  <c r="C30" i="115"/>
  <c r="P29" i="115"/>
  <c r="N29" i="115"/>
  <c r="M29" i="115"/>
  <c r="L29" i="115"/>
  <c r="K29" i="115"/>
  <c r="J29" i="115"/>
  <c r="I29" i="115"/>
  <c r="H29" i="115"/>
  <c r="F29" i="115"/>
  <c r="E29" i="115"/>
  <c r="D29" i="115"/>
  <c r="C29" i="115"/>
  <c r="P28" i="115"/>
  <c r="N28" i="115"/>
  <c r="M28" i="115"/>
  <c r="L28" i="115"/>
  <c r="K28" i="115"/>
  <c r="J28" i="115"/>
  <c r="I28" i="115"/>
  <c r="H28" i="115"/>
  <c r="F28" i="115"/>
  <c r="E28" i="115"/>
  <c r="D28" i="115"/>
  <c r="C28" i="115"/>
  <c r="P27" i="115"/>
  <c r="N27" i="115"/>
  <c r="M27" i="115"/>
  <c r="L27" i="115"/>
  <c r="K27" i="115"/>
  <c r="J27" i="115"/>
  <c r="I27" i="115"/>
  <c r="H27" i="115"/>
  <c r="F27" i="115"/>
  <c r="E27" i="115"/>
  <c r="D27" i="115"/>
  <c r="C27" i="115"/>
  <c r="P26" i="115"/>
  <c r="N26" i="115"/>
  <c r="M26" i="115"/>
  <c r="L26" i="115"/>
  <c r="K26" i="115"/>
  <c r="J26" i="115"/>
  <c r="I26" i="115"/>
  <c r="H26" i="115"/>
  <c r="F26" i="115"/>
  <c r="E26" i="115"/>
  <c r="D26" i="115"/>
  <c r="C26" i="115"/>
  <c r="P25" i="115"/>
  <c r="N25" i="115"/>
  <c r="M25" i="115"/>
  <c r="L25" i="115"/>
  <c r="K25" i="115"/>
  <c r="J25" i="115"/>
  <c r="I25" i="115"/>
  <c r="H25" i="115"/>
  <c r="F25" i="115"/>
  <c r="E25" i="115"/>
  <c r="D25" i="115"/>
  <c r="C25" i="115"/>
  <c r="P24" i="115"/>
  <c r="N24" i="115"/>
  <c r="M24" i="115"/>
  <c r="L24" i="115"/>
  <c r="K24" i="115"/>
  <c r="J24" i="115"/>
  <c r="I24" i="115"/>
  <c r="H24" i="115"/>
  <c r="F24" i="115"/>
  <c r="E24" i="115"/>
  <c r="D24" i="115"/>
  <c r="C24" i="115"/>
  <c r="P23" i="115"/>
  <c r="N23" i="115"/>
  <c r="M23" i="115"/>
  <c r="L23" i="115"/>
  <c r="K23" i="115"/>
  <c r="J23" i="115"/>
  <c r="I23" i="115"/>
  <c r="H23" i="115"/>
  <c r="F23" i="115"/>
  <c r="E23" i="115"/>
  <c r="D23" i="115"/>
  <c r="C23" i="115"/>
  <c r="P22" i="115"/>
  <c r="N22" i="115"/>
  <c r="M22" i="115"/>
  <c r="L22" i="115"/>
  <c r="K22" i="115"/>
  <c r="J22" i="115"/>
  <c r="I22" i="115"/>
  <c r="H22" i="115"/>
  <c r="F22" i="115"/>
  <c r="E22" i="115"/>
  <c r="D22" i="115"/>
  <c r="C22" i="115"/>
  <c r="P21" i="115"/>
  <c r="N21" i="115"/>
  <c r="M21" i="115"/>
  <c r="L21" i="115"/>
  <c r="K21" i="115"/>
  <c r="J21" i="115"/>
  <c r="I21" i="115"/>
  <c r="H21" i="115"/>
  <c r="F21" i="115"/>
  <c r="E21" i="115"/>
  <c r="D21" i="115"/>
  <c r="C21" i="115"/>
  <c r="P20" i="115"/>
  <c r="N20" i="115"/>
  <c r="M20" i="115"/>
  <c r="L20" i="115"/>
  <c r="K20" i="115"/>
  <c r="J20" i="115"/>
  <c r="I20" i="115"/>
  <c r="H20" i="115"/>
  <c r="F20" i="115"/>
  <c r="E20" i="115"/>
  <c r="D20" i="115"/>
  <c r="C20" i="115"/>
  <c r="P19" i="115"/>
  <c r="N19" i="115"/>
  <c r="M19" i="115"/>
  <c r="L19" i="115"/>
  <c r="K19" i="115"/>
  <c r="J19" i="115"/>
  <c r="I19" i="115"/>
  <c r="H19" i="115"/>
  <c r="F19" i="115"/>
  <c r="E19" i="115"/>
  <c r="D19" i="115"/>
  <c r="C19" i="115"/>
  <c r="P18" i="115"/>
  <c r="N18" i="115"/>
  <c r="M18" i="115"/>
  <c r="L18" i="115"/>
  <c r="K18" i="115"/>
  <c r="J18" i="115"/>
  <c r="I18" i="115"/>
  <c r="H18" i="115"/>
  <c r="F18" i="115"/>
  <c r="E18" i="115"/>
  <c r="D18" i="115"/>
  <c r="C18" i="115"/>
  <c r="P17" i="115"/>
  <c r="N17" i="115"/>
  <c r="M17" i="115"/>
  <c r="L17" i="115"/>
  <c r="K17" i="115"/>
  <c r="J17" i="115"/>
  <c r="I17" i="115"/>
  <c r="H17" i="115"/>
  <c r="F17" i="115"/>
  <c r="E17" i="115"/>
  <c r="D17" i="115"/>
  <c r="C17" i="115"/>
  <c r="P16" i="115"/>
  <c r="N16" i="115"/>
  <c r="M16" i="115"/>
  <c r="L16" i="115"/>
  <c r="K16" i="115"/>
  <c r="J16" i="115"/>
  <c r="I16" i="115"/>
  <c r="H16" i="115"/>
  <c r="F16" i="115"/>
  <c r="E16" i="115"/>
  <c r="D16" i="115"/>
  <c r="C16" i="115"/>
  <c r="P15" i="115"/>
  <c r="N15" i="115"/>
  <c r="M15" i="115"/>
  <c r="L15" i="115"/>
  <c r="K15" i="115"/>
  <c r="J15" i="115"/>
  <c r="I15" i="115"/>
  <c r="H15" i="115"/>
  <c r="F15" i="115"/>
  <c r="E15" i="115"/>
  <c r="D15" i="115"/>
  <c r="C15" i="115"/>
  <c r="P14" i="115"/>
  <c r="N14" i="115"/>
  <c r="M14" i="115"/>
  <c r="L14" i="115"/>
  <c r="K14" i="115"/>
  <c r="J14" i="115"/>
  <c r="I14" i="115"/>
  <c r="H14" i="115"/>
  <c r="F14" i="115"/>
  <c r="E14" i="115"/>
  <c r="D14" i="115"/>
  <c r="C14" i="115"/>
  <c r="P13" i="115"/>
  <c r="N13" i="115"/>
  <c r="M13" i="115"/>
  <c r="L13" i="115"/>
  <c r="K13" i="115"/>
  <c r="J13" i="115"/>
  <c r="I13" i="115"/>
  <c r="H13" i="115"/>
  <c r="F13" i="115"/>
  <c r="E13" i="115"/>
  <c r="D13" i="115"/>
  <c r="C13" i="115"/>
  <c r="P12" i="115"/>
  <c r="N12" i="115"/>
  <c r="M12" i="115"/>
  <c r="L12" i="115"/>
  <c r="K12" i="115"/>
  <c r="J12" i="115"/>
  <c r="I12" i="115"/>
  <c r="H12" i="115"/>
  <c r="F12" i="115"/>
  <c r="E12" i="115"/>
  <c r="D12" i="115"/>
  <c r="C12" i="115"/>
  <c r="P11" i="115"/>
  <c r="N11" i="115"/>
  <c r="M11" i="115"/>
  <c r="L11" i="115"/>
  <c r="K11" i="115"/>
  <c r="J11" i="115"/>
  <c r="I11" i="115"/>
  <c r="H11" i="115"/>
  <c r="F11" i="115"/>
  <c r="E11" i="115"/>
  <c r="D11" i="115"/>
  <c r="C11" i="115"/>
  <c r="P10" i="115"/>
  <c r="N10" i="115"/>
  <c r="M10" i="115"/>
  <c r="L10" i="115"/>
  <c r="K10" i="115"/>
  <c r="J10" i="115"/>
  <c r="I10" i="115"/>
  <c r="H10" i="115"/>
  <c r="F10" i="115"/>
  <c r="E10" i="115"/>
  <c r="D10" i="115"/>
  <c r="C10" i="115"/>
  <c r="P9" i="115"/>
  <c r="N9" i="115"/>
  <c r="M9" i="115"/>
  <c r="L9" i="115"/>
  <c r="K9" i="115"/>
  <c r="J9" i="115"/>
  <c r="I9" i="115"/>
  <c r="H9" i="115"/>
  <c r="F9" i="115"/>
  <c r="E9" i="115"/>
  <c r="D9" i="115"/>
  <c r="C9" i="115"/>
  <c r="P8" i="115"/>
  <c r="N8" i="115"/>
  <c r="M8" i="115"/>
  <c r="L8" i="115"/>
  <c r="K8" i="115"/>
  <c r="J8" i="115"/>
  <c r="I8" i="115"/>
  <c r="H8" i="115"/>
  <c r="F8" i="115"/>
  <c r="E8" i="115"/>
  <c r="D8" i="115"/>
  <c r="C8" i="115"/>
  <c r="P7" i="115"/>
  <c r="N7" i="115"/>
  <c r="M7" i="115"/>
  <c r="L7" i="115"/>
  <c r="K7" i="115"/>
  <c r="J7" i="115"/>
  <c r="I7" i="115"/>
  <c r="H7" i="115"/>
  <c r="F7" i="115"/>
  <c r="E7" i="115"/>
  <c r="D7" i="115"/>
  <c r="C7" i="115"/>
  <c r="P6" i="115"/>
  <c r="N6" i="115"/>
  <c r="M6" i="115"/>
  <c r="L6" i="115"/>
  <c r="K6" i="115"/>
  <c r="J6" i="115"/>
  <c r="I6" i="115"/>
  <c r="H6" i="115"/>
  <c r="F6" i="115"/>
  <c r="E6" i="115"/>
  <c r="D6" i="115"/>
  <c r="C6" i="115"/>
  <c r="P5" i="115"/>
  <c r="N5" i="115"/>
  <c r="M5" i="115"/>
  <c r="L5" i="115"/>
  <c r="K5" i="115"/>
  <c r="J5" i="115"/>
  <c r="I5" i="115"/>
  <c r="H5" i="115"/>
  <c r="F5" i="115"/>
  <c r="E5" i="115"/>
  <c r="D5" i="115"/>
  <c r="C5" i="115"/>
  <c r="P4" i="115"/>
  <c r="N4" i="115"/>
  <c r="M4" i="115"/>
  <c r="L4" i="115"/>
  <c r="K4" i="115"/>
  <c r="J4" i="115"/>
  <c r="I4" i="115"/>
  <c r="H4" i="115"/>
  <c r="F4" i="115"/>
  <c r="E4" i="115"/>
  <c r="D4" i="115"/>
  <c r="C4" i="115"/>
  <c r="P3" i="115"/>
  <c r="N3" i="115"/>
  <c r="M3" i="115"/>
  <c r="L3" i="115"/>
  <c r="K3" i="115"/>
  <c r="J3" i="115"/>
  <c r="I3" i="115"/>
  <c r="H3" i="115"/>
  <c r="F3" i="115"/>
  <c r="E3" i="115"/>
  <c r="D3" i="115"/>
  <c r="C3" i="115"/>
  <c r="P2" i="115"/>
  <c r="N2" i="115"/>
  <c r="M2" i="115"/>
  <c r="L2" i="115"/>
  <c r="K2" i="115"/>
  <c r="J2" i="115"/>
  <c r="I2" i="115"/>
  <c r="H2" i="115"/>
  <c r="F2" i="115"/>
  <c r="E2" i="115"/>
  <c r="D2" i="115"/>
  <c r="C2" i="115"/>
  <c r="P32" i="114"/>
  <c r="N32" i="114"/>
  <c r="M32" i="114"/>
  <c r="L32" i="114"/>
  <c r="K32" i="114"/>
  <c r="J32" i="114"/>
  <c r="I32" i="114"/>
  <c r="H32" i="114"/>
  <c r="F32" i="114"/>
  <c r="E32" i="114"/>
  <c r="D32" i="114"/>
  <c r="C32" i="114"/>
  <c r="P31" i="114"/>
  <c r="N31" i="114"/>
  <c r="M31" i="114"/>
  <c r="L31" i="114"/>
  <c r="K31" i="114"/>
  <c r="J31" i="114"/>
  <c r="I31" i="114"/>
  <c r="H31" i="114"/>
  <c r="F31" i="114"/>
  <c r="E31" i="114"/>
  <c r="D31" i="114"/>
  <c r="C31" i="114"/>
  <c r="P30" i="114"/>
  <c r="N30" i="114"/>
  <c r="M30" i="114"/>
  <c r="L30" i="114"/>
  <c r="K30" i="114"/>
  <c r="J30" i="114"/>
  <c r="I30" i="114"/>
  <c r="H30" i="114"/>
  <c r="F30" i="114"/>
  <c r="E30" i="114"/>
  <c r="D30" i="114"/>
  <c r="C30" i="114"/>
  <c r="P29" i="114"/>
  <c r="N29" i="114"/>
  <c r="M29" i="114"/>
  <c r="L29" i="114"/>
  <c r="K29" i="114"/>
  <c r="J29" i="114"/>
  <c r="I29" i="114"/>
  <c r="H29" i="114"/>
  <c r="F29" i="114"/>
  <c r="E29" i="114"/>
  <c r="D29" i="114"/>
  <c r="C29" i="114"/>
  <c r="P28" i="114"/>
  <c r="N28" i="114"/>
  <c r="M28" i="114"/>
  <c r="L28" i="114"/>
  <c r="K28" i="114"/>
  <c r="J28" i="114"/>
  <c r="I28" i="114"/>
  <c r="H28" i="114"/>
  <c r="F28" i="114"/>
  <c r="E28" i="114"/>
  <c r="D28" i="114"/>
  <c r="C28" i="114"/>
  <c r="P27" i="114"/>
  <c r="N27" i="114"/>
  <c r="M27" i="114"/>
  <c r="L27" i="114"/>
  <c r="K27" i="114"/>
  <c r="J27" i="114"/>
  <c r="I27" i="114"/>
  <c r="H27" i="114"/>
  <c r="F27" i="114"/>
  <c r="E27" i="114"/>
  <c r="D27" i="114"/>
  <c r="C27" i="114"/>
  <c r="P26" i="114"/>
  <c r="N26" i="114"/>
  <c r="M26" i="114"/>
  <c r="L26" i="114"/>
  <c r="K26" i="114"/>
  <c r="J26" i="114"/>
  <c r="I26" i="114"/>
  <c r="H26" i="114"/>
  <c r="F26" i="114"/>
  <c r="E26" i="114"/>
  <c r="D26" i="114"/>
  <c r="C26" i="114"/>
  <c r="P25" i="114"/>
  <c r="N25" i="114"/>
  <c r="M25" i="114"/>
  <c r="L25" i="114"/>
  <c r="K25" i="114"/>
  <c r="J25" i="114"/>
  <c r="I25" i="114"/>
  <c r="H25" i="114"/>
  <c r="F25" i="114"/>
  <c r="E25" i="114"/>
  <c r="D25" i="114"/>
  <c r="C25" i="114"/>
  <c r="P2" i="116"/>
  <c r="N2" i="116"/>
  <c r="M2" i="116"/>
  <c r="L2" i="116"/>
  <c r="K2" i="116"/>
  <c r="J2" i="116"/>
  <c r="I2" i="116"/>
  <c r="H2" i="116"/>
  <c r="F2" i="116"/>
  <c r="E2" i="116"/>
  <c r="D2" i="116"/>
  <c r="C2" i="116"/>
  <c r="P24" i="114"/>
  <c r="N24" i="114"/>
  <c r="M24" i="114"/>
  <c r="L24" i="114"/>
  <c r="K24" i="114"/>
  <c r="J24" i="114"/>
  <c r="I24" i="114"/>
  <c r="H24" i="114"/>
  <c r="F24" i="114"/>
  <c r="E24" i="114"/>
  <c r="D24" i="114"/>
  <c r="C24" i="114"/>
  <c r="P23" i="114"/>
  <c r="N23" i="114"/>
  <c r="M23" i="114"/>
  <c r="L23" i="114"/>
  <c r="K23" i="114"/>
  <c r="J23" i="114"/>
  <c r="I23" i="114"/>
  <c r="H23" i="114"/>
  <c r="F23" i="114"/>
  <c r="E23" i="114"/>
  <c r="D23" i="114"/>
  <c r="C23" i="114"/>
  <c r="P22" i="114"/>
  <c r="N22" i="114"/>
  <c r="M22" i="114"/>
  <c r="L22" i="114"/>
  <c r="K22" i="114"/>
  <c r="J22" i="114"/>
  <c r="I22" i="114"/>
  <c r="H22" i="114"/>
  <c r="F22" i="114"/>
  <c r="E22" i="114"/>
  <c r="D22" i="114"/>
  <c r="C22" i="114"/>
  <c r="P21" i="114"/>
  <c r="N21" i="114"/>
  <c r="M21" i="114"/>
  <c r="L21" i="114"/>
  <c r="K21" i="114"/>
  <c r="J21" i="114"/>
  <c r="I21" i="114"/>
  <c r="H21" i="114"/>
  <c r="F21" i="114"/>
  <c r="E21" i="114"/>
  <c r="D21" i="114"/>
  <c r="C21" i="114"/>
  <c r="P20" i="114"/>
  <c r="N20" i="114"/>
  <c r="M20" i="114"/>
  <c r="L20" i="114"/>
  <c r="K20" i="114"/>
  <c r="J20" i="114"/>
  <c r="I20" i="114"/>
  <c r="H20" i="114"/>
  <c r="F20" i="114"/>
  <c r="E20" i="114"/>
  <c r="D20" i="114"/>
  <c r="C20" i="114"/>
  <c r="P19" i="114"/>
  <c r="N19" i="114"/>
  <c r="M19" i="114"/>
  <c r="L19" i="114"/>
  <c r="K19" i="114"/>
  <c r="J19" i="114"/>
  <c r="I19" i="114"/>
  <c r="H19" i="114"/>
  <c r="F19" i="114"/>
  <c r="E19" i="114"/>
  <c r="D19" i="114"/>
  <c r="C19" i="114"/>
  <c r="I16" i="114"/>
  <c r="D16" i="114"/>
  <c r="J16" i="114"/>
  <c r="E16" i="114"/>
  <c r="F16" i="114"/>
  <c r="C16" i="114"/>
  <c r="H16" i="114"/>
  <c r="K16" i="114"/>
  <c r="L16" i="114"/>
  <c r="M16" i="114"/>
  <c r="N16" i="114"/>
  <c r="P16" i="114"/>
  <c r="I17" i="114"/>
  <c r="D17" i="114"/>
  <c r="J17" i="114"/>
  <c r="E17" i="114"/>
  <c r="F17" i="114"/>
  <c r="C17" i="114"/>
  <c r="H17" i="114"/>
  <c r="K17" i="114"/>
  <c r="L17" i="114"/>
  <c r="M17" i="114"/>
  <c r="N17" i="114"/>
  <c r="P17" i="114"/>
  <c r="I18" i="114"/>
  <c r="D18" i="114"/>
  <c r="J18" i="114"/>
  <c r="E18" i="114"/>
  <c r="F18" i="114"/>
  <c r="C18" i="114"/>
  <c r="H18" i="114"/>
  <c r="K18" i="114"/>
  <c r="L18" i="114"/>
  <c r="M18" i="114"/>
  <c r="N18" i="114"/>
  <c r="P18" i="114"/>
  <c r="P15" i="114"/>
  <c r="N15" i="114"/>
  <c r="M15" i="114"/>
  <c r="L15" i="114"/>
  <c r="K15" i="114"/>
  <c r="J15" i="114"/>
  <c r="I15" i="114"/>
  <c r="H15" i="114"/>
  <c r="F15" i="114"/>
  <c r="E15" i="114"/>
  <c r="D15" i="114"/>
  <c r="C15" i="114"/>
  <c r="P14" i="114"/>
  <c r="N14" i="114"/>
  <c r="M14" i="114"/>
  <c r="L14" i="114"/>
  <c r="K14" i="114"/>
  <c r="J14" i="114"/>
  <c r="I14" i="114"/>
  <c r="H14" i="114"/>
  <c r="F14" i="114"/>
  <c r="E14" i="114"/>
  <c r="D14" i="114"/>
  <c r="C14" i="114"/>
  <c r="P13" i="114"/>
  <c r="N13" i="114"/>
  <c r="M13" i="114"/>
  <c r="L13" i="114"/>
  <c r="K13" i="114"/>
  <c r="J13" i="114"/>
  <c r="I13" i="114"/>
  <c r="H13" i="114"/>
  <c r="F13" i="114"/>
  <c r="E13" i="114"/>
  <c r="D13" i="114"/>
  <c r="C13" i="114"/>
  <c r="P12" i="114"/>
  <c r="N12" i="114"/>
  <c r="M12" i="114"/>
  <c r="L12" i="114"/>
  <c r="K12" i="114"/>
  <c r="J12" i="114"/>
  <c r="I12" i="114"/>
  <c r="H12" i="114"/>
  <c r="F12" i="114"/>
  <c r="E12" i="114"/>
  <c r="D12" i="114"/>
  <c r="C12" i="114"/>
  <c r="P11" i="114"/>
  <c r="N11" i="114"/>
  <c r="M11" i="114"/>
  <c r="L11" i="114"/>
  <c r="K11" i="114"/>
  <c r="J11" i="114"/>
  <c r="I11" i="114"/>
  <c r="H11" i="114"/>
  <c r="F11" i="114"/>
  <c r="E11" i="114"/>
  <c r="D11" i="114"/>
  <c r="C11" i="114"/>
  <c r="P10" i="114"/>
  <c r="N10" i="114"/>
  <c r="M10" i="114"/>
  <c r="L10" i="114"/>
  <c r="K10" i="114"/>
  <c r="J10" i="114"/>
  <c r="I10" i="114"/>
  <c r="H10" i="114"/>
  <c r="F10" i="114"/>
  <c r="E10" i="114"/>
  <c r="D10" i="114"/>
  <c r="C10" i="114"/>
  <c r="P9" i="114"/>
  <c r="N9" i="114"/>
  <c r="M9" i="114"/>
  <c r="L9" i="114"/>
  <c r="K9" i="114"/>
  <c r="J9" i="114"/>
  <c r="I9" i="114"/>
  <c r="H9" i="114"/>
  <c r="F9" i="114"/>
  <c r="E9" i="114"/>
  <c r="D9" i="114"/>
  <c r="C9" i="114"/>
  <c r="P8" i="114"/>
  <c r="N8" i="114"/>
  <c r="M8" i="114"/>
  <c r="L8" i="114"/>
  <c r="K8" i="114"/>
  <c r="J8" i="114"/>
  <c r="I8" i="114"/>
  <c r="H8" i="114"/>
  <c r="F8" i="114"/>
  <c r="E8" i="114"/>
  <c r="D8" i="114"/>
  <c r="C8" i="114"/>
  <c r="I5" i="114"/>
  <c r="D5" i="114"/>
  <c r="J5" i="114"/>
  <c r="E5" i="114"/>
  <c r="F5" i="114"/>
  <c r="C5" i="114"/>
  <c r="H5" i="114"/>
  <c r="K5" i="114"/>
  <c r="L5" i="114"/>
  <c r="M5" i="114"/>
  <c r="N5" i="114"/>
  <c r="P5" i="114"/>
  <c r="I6" i="114"/>
  <c r="D6" i="114"/>
  <c r="J6" i="114"/>
  <c r="E6" i="114"/>
  <c r="F6" i="114"/>
  <c r="C6" i="114"/>
  <c r="H6" i="114"/>
  <c r="K6" i="114"/>
  <c r="L6" i="114"/>
  <c r="M6" i="114"/>
  <c r="N6" i="114"/>
  <c r="P6" i="114"/>
  <c r="I7" i="114"/>
  <c r="D7" i="114"/>
  <c r="J7" i="114"/>
  <c r="E7" i="114"/>
  <c r="F7" i="114"/>
  <c r="C7" i="114"/>
  <c r="H7" i="114"/>
  <c r="K7" i="114"/>
  <c r="L7" i="114"/>
  <c r="M7" i="114"/>
  <c r="N7" i="114"/>
  <c r="P7" i="114"/>
  <c r="E4" i="103"/>
  <c r="E3" i="103"/>
  <c r="J4" i="114"/>
  <c r="I2" i="114"/>
  <c r="D2" i="114"/>
  <c r="J2" i="114"/>
  <c r="E2" i="114"/>
  <c r="F2" i="114"/>
  <c r="C2" i="114"/>
  <c r="I3" i="114"/>
  <c r="D3" i="114"/>
  <c r="J3" i="114"/>
  <c r="E3" i="114"/>
  <c r="F3" i="114"/>
  <c r="C3" i="114"/>
  <c r="I4" i="114"/>
  <c r="D4" i="114"/>
  <c r="E4" i="114"/>
  <c r="F4" i="114"/>
  <c r="C4" i="114"/>
  <c r="P4" i="114"/>
  <c r="N4" i="114"/>
  <c r="M4" i="114"/>
  <c r="L4" i="114"/>
  <c r="K4" i="114"/>
  <c r="H4" i="114"/>
  <c r="P3" i="114"/>
  <c r="N3" i="114"/>
  <c r="M3" i="114"/>
  <c r="L3" i="114"/>
  <c r="K3" i="114"/>
  <c r="H3" i="114"/>
  <c r="P2" i="114"/>
  <c r="N2" i="114"/>
  <c r="M2" i="114"/>
  <c r="L2" i="114"/>
  <c r="K2" i="114"/>
  <c r="H2" i="114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<sst xmlns="http://schemas.openxmlformats.org/spreadsheetml/2006/main" count="177" uniqueCount="86">
  <si>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</si>
  <si>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</si>
  <si>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</si>
  <si>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</si>
  <si>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</si>
  <si>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</si>
  <si>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</si>
  <si>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</si>
  <si>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</si>
  <si>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</si>
  <si>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</si>
  <si>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</si>
  <si>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</si>
  <si>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</si>
  <si>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</si>
  <si>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gift_type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</si>
  <si>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</si>
  <si>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</si>
  <si>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</si>
  <si>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</si>
  <si>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</si>
  <si>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</si>
  <si>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</si>
  <si>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</si>
  <si>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</si>
  <si>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</si>
  <si>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</si>
  <si>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</si>
  <si>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</si>
  <si>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</si>
  <si>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</si>
  <si>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</si>
  <si>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</si>
  <si>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</si>
  <si>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drop_label</t>
    <phoneticPr fontId="18"/>
  </si>
  <si>
    <t>rare</t>
    <phoneticPr fontId="18"/>
  </si>
  <si>
    <t>character_type_id</t>
    <phoneticPr fontId="18"/>
  </si>
  <si>
    <t>character_tribe_id</t>
    <phoneticPr fontId="18"/>
  </si>
  <si>
    <t>unit_level</t>
    <phoneticPr fontId="18"/>
  </si>
  <si>
    <t>weight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</si>
  <si>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</si>
  <si>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</si>
  <si>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</si>
  <si>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</si>
  <si>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</si>
  <si>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</si>
  <si>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</si>
  <si>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</si>
  <si>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</si>
  <si>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</si>
  <si>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</si>
  <si>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</si>
  <si>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</si>
  <si>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color</t>
    <phoneticPr fontId="18"/>
  </si>
  <si>
    <t>skip</t>
    <phoneticPr fontId="18"/>
  </si>
  <si>
    <t>hogehoge</t>
    <phoneticPr fontId="18"/>
  </si>
  <si>
    <t>性別</t>
    <rPh sb="0" eb="2">
      <t>セイベツ</t>
    </rPh>
    <phoneticPr fontId="18"/>
  </si>
  <si>
    <t>ピックアップ確率</t>
    <rPh sb="6" eb="8">
      <t>カクリツ</t>
    </rPh>
    <phoneticPr fontId="18"/>
  </si>
  <si>
    <t>確率</t>
    <rPh sb="0" eb="2">
      <t>カクリツ</t>
    </rPh>
    <phoneticPr fontId="18"/>
  </si>
  <si>
    <t>名前</t>
    <rPh sb="0" eb="2">
      <t>ナマエ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</si>
  <si>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</si>
  <si>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</si>
  <si>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</si>
  <si>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</si>
  <si>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table_no</t>
    <phoneticPr fontId="18"/>
  </si>
  <si>
    <t>table_no</t>
    <phoneticPr fontId="18"/>
  </si>
  <si>
    <t>skill_level</t>
  </si>
  <si>
    <t>level</t>
  </si>
  <si>
    <t>hp_plus</t>
    <phoneticPr fontId="51"/>
  </si>
  <si>
    <t>attack_plus</t>
    <phoneticPr fontId="51"/>
  </si>
  <si>
    <t>heal_plus</t>
    <phoneticPr fontId="51"/>
  </si>
  <si>
    <t>defense_plus</t>
    <phoneticPr fontId="51"/>
  </si>
  <si>
    <t>level</t>
    <phoneticPr fontId="51"/>
  </si>
  <si>
    <t>skill_level</t>
    <phoneticPr fontId="51"/>
  </si>
  <si>
    <t>bug</t>
    <phoneticPr fontId="51"/>
  </si>
  <si>
    <t>ja</t>
    <phoneticPr fontId="18"/>
  </si>
  <si>
    <t>drop_label2</t>
    <phoneticPr fontId="18"/>
  </si>
  <si>
    <t>color2</t>
    <phoneticPr fontId="18"/>
  </si>
  <si>
    <t>gacha_select_tables_</t>
    <phoneticPr fontId="18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</si>
  <si>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</si>
  <si>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</si>
  <si>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old</t>
    <phoneticPr fontId="18"/>
  </si>
  <si>
    <t>gacha_settle_tables_</t>
    <phoneticPr fontId="18"/>
  </si>
  <si>
    <t>tables_7317</t>
    <phoneticPr fontId="18"/>
  </si>
  <si>
    <t>tables_7318</t>
    <phoneticPr fontId="18"/>
  </si>
  <si>
    <t>tables_settle_7318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</si>
</sst>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" fillId="0" borderId="0"/>
  </cellStyleXfs>
  <cellXfs count="46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3" xfId="0" applyFont="1" applyFill="1" applyBorder="1" applyAlignment="1">
      <alignment horizontal="right" vertical="center"/>
    </xf>
    <xf numFmtId="0" fontId="23" fillId="2" borderId="1" xfId="2" applyFont="1" applyFill="1" applyBorder="1" applyAlignment="1">
      <alignment horizontal="left" vertical="center"/>
    </xf>
    <xf numFmtId="0" fontId="50" fillId="21" borderId="1" xfId="0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2" borderId="1" xfId="2978" applyFont="1" applyFill="1" applyBorder="1"/>
    <xf numFmtId="0" fontId="11" fillId="22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2" borderId="1" xfId="0" applyFont="1" applyFill="1" applyBorder="1"/>
    <xf numFmtId="0" fontId="50" fillId="23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8" fillId="0" borderId="1" xfId="3036" applyFont="1" applyBorder="1"/>
    <xf numFmtId="0" fontId="7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5" borderId="0" xfId="0" applyFill="1"/>
    <xf numFmtId="0" fontId="0" fillId="26" borderId="1" xfId="0" applyFill="1" applyBorder="1"/>
    <xf numFmtId="176" fontId="0" fillId="26" borderId="1" xfId="3575" applyNumberFormat="1" applyFont="1" applyFill="1" applyBorder="1"/>
    <xf numFmtId="0" fontId="6" fillId="2" borderId="1" xfId="19" applyFont="1" applyFill="1" applyBorder="1"/>
    <xf numFmtId="0" fontId="6" fillId="4" borderId="1" xfId="2978" applyFont="1" applyFill="1" applyBorder="1"/>
    <xf numFmtId="0" fontId="0" fillId="2" borderId="0" xfId="0" applyFill="1"/>
    <xf numFmtId="0" fontId="50" fillId="27" borderId="1" xfId="0" applyFont="1" applyFill="1" applyBorder="1" applyAlignment="1">
      <alignment horizontal="left" vertical="center"/>
    </xf>
    <xf numFmtId="0" fontId="23" fillId="24" borderId="1" xfId="2" applyFont="1" applyFill="1" applyBorder="1" applyAlignment="1">
      <alignment horizontal="left" vertical="center"/>
    </xf>
    <xf numFmtId="0" fontId="22" fillId="24" borderId="1" xfId="0" applyFont="1" applyFill="1" applyBorder="1" applyAlignment="1">
      <alignment horizontal="right" vertical="center"/>
    </xf>
    <xf numFmtId="0" fontId="5" fillId="0" borderId="1" xfId="2978" applyFont="1" applyBorder="1"/>
    <xf numFmtId="0" fontId="4" fillId="0" borderId="1" xfId="3036" applyFont="1" applyBorder="1"/>
    <xf numFmtId="0" fontId="3" fillId="0" borderId="1" xfId="2978" applyFont="1" applyBorder="1"/>
    <xf numFmtId="0" fontId="2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1433</v>
          </cell>
          <cell r="B1400" t="str">
            <v>ja</v>
          </cell>
          <cell r="C1400" t="str">
            <v>超越の果実</v>
          </cell>
          <cell r="D1400" t="str">
            <v>スキル進化素材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yellow</v>
          </cell>
          <cell r="I1400">
            <v>3</v>
          </cell>
          <cell r="J1400" t="str">
            <v>Material</v>
          </cell>
          <cell r="K1400" t="str">
            <v>limitbreak</v>
          </cell>
          <cell r="L1400" t="str">
            <v>限界突破素材</v>
          </cell>
          <cell r="M1400" t="str">
            <v>unknown</v>
          </cell>
        </row>
        <row r="1401">
          <cell r="A1401">
            <v>1434</v>
          </cell>
          <cell r="B1401" t="str">
            <v>ja</v>
          </cell>
          <cell r="C1401" t="str">
            <v>メガ超越の果実</v>
          </cell>
          <cell r="D1401" t="str">
            <v>スキル進化素材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yellow</v>
          </cell>
          <cell r="I1401">
            <v>4</v>
          </cell>
          <cell r="J1401" t="str">
            <v>Material</v>
          </cell>
          <cell r="K1401" t="str">
            <v>limitbreak</v>
          </cell>
          <cell r="L1401" t="str">
            <v>限界突破素材</v>
          </cell>
          <cell r="M1401" t="str">
            <v>unknown</v>
          </cell>
        </row>
        <row r="1402">
          <cell r="A1402">
            <v>1435</v>
          </cell>
          <cell r="B1402" t="str">
            <v>ja</v>
          </cell>
          <cell r="C1402" t="str">
            <v>ギガ超越の果実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5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1458</v>
          </cell>
          <cell r="B1403" t="str">
            <v>ja</v>
          </cell>
          <cell r="C1403" t="str">
            <v>diamond01</v>
          </cell>
          <cell r="H1403" t="str">
            <v>red</v>
          </cell>
          <cell r="I1403">
            <v>5</v>
          </cell>
          <cell r="J1403" t="str">
            <v>PremiumSS</v>
          </cell>
          <cell r="K1403" t="str">
            <v>attack</v>
          </cell>
          <cell r="L1403" t="str">
            <v>攻撃タイプ</v>
          </cell>
          <cell r="M1403" t="str">
            <v>human</v>
          </cell>
        </row>
        <row r="1404">
          <cell r="A1404">
            <v>1459</v>
          </cell>
          <cell r="B1404" t="str">
            <v>ja</v>
          </cell>
          <cell r="C1404" t="str">
            <v>diamond02</v>
          </cell>
          <cell r="H1404" t="str">
            <v>red</v>
          </cell>
          <cell r="I1404">
            <v>6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human</v>
          </cell>
        </row>
        <row r="1405">
          <cell r="A1405">
            <v>1460</v>
          </cell>
          <cell r="B1405" t="str">
            <v>ja</v>
          </cell>
          <cell r="C1405" t="str">
            <v>opal01</v>
          </cell>
          <cell r="H1405" t="str">
            <v>blue</v>
          </cell>
          <cell r="I1405">
            <v>4</v>
          </cell>
          <cell r="J1405" t="str">
            <v>PremiumS</v>
          </cell>
          <cell r="K1405" t="str">
            <v>technical</v>
          </cell>
          <cell r="L1405" t="str">
            <v>テクニカルタイプ</v>
          </cell>
          <cell r="M1405" t="str">
            <v>human</v>
          </cell>
        </row>
        <row r="1406">
          <cell r="A1406">
            <v>1461</v>
          </cell>
          <cell r="B1406" t="str">
            <v>ja</v>
          </cell>
          <cell r="C1406" t="str">
            <v>opal02</v>
          </cell>
          <cell r="H1406" t="str">
            <v>blue</v>
          </cell>
          <cell r="I1406">
            <v>5</v>
          </cell>
          <cell r="J1406" t="str">
            <v>PremiumS</v>
          </cell>
          <cell r="K1406" t="str">
            <v>technical</v>
          </cell>
          <cell r="L1406" t="str">
            <v>テクニカルタイプ</v>
          </cell>
          <cell r="M1406" t="str">
            <v>human</v>
          </cell>
        </row>
        <row r="1407">
          <cell r="A1407">
            <v>1462</v>
          </cell>
          <cell r="B1407" t="str">
            <v>ja</v>
          </cell>
          <cell r="C1407" t="str">
            <v>ruby01</v>
          </cell>
          <cell r="H1407" t="str">
            <v>yellow</v>
          </cell>
          <cell r="I1407">
            <v>5</v>
          </cell>
          <cell r="J1407" t="str">
            <v>PremiumSS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1463</v>
          </cell>
          <cell r="B1408" t="str">
            <v>ja</v>
          </cell>
          <cell r="C1408" t="str">
            <v>ruby02</v>
          </cell>
          <cell r="H1408" t="str">
            <v>yellow</v>
          </cell>
          <cell r="I1408">
            <v>6</v>
          </cell>
          <cell r="J1408" t="str">
            <v>PremiumSS</v>
          </cell>
          <cell r="K1408" t="str">
            <v>technical</v>
          </cell>
          <cell r="L1408" t="str">
            <v>テクニカルタイプ</v>
          </cell>
          <cell r="M1408" t="str">
            <v>human</v>
          </cell>
        </row>
        <row r="1409">
          <cell r="A1409">
            <v>1464</v>
          </cell>
          <cell r="B1409" t="str">
            <v>ja</v>
          </cell>
          <cell r="C1409" t="str">
            <v>garnet01</v>
          </cell>
          <cell r="H1409" t="str">
            <v>yellow</v>
          </cell>
          <cell r="I1409">
            <v>5</v>
          </cell>
          <cell r="J1409" t="str">
            <v>PremiumSS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1465</v>
          </cell>
          <cell r="B1410" t="str">
            <v>ja</v>
          </cell>
          <cell r="C1410" t="str">
            <v>garnet02</v>
          </cell>
          <cell r="H1410" t="str">
            <v>yellow</v>
          </cell>
          <cell r="I1410">
            <v>6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unknown</v>
          </cell>
        </row>
        <row r="1411">
          <cell r="A1411">
            <v>1466</v>
          </cell>
          <cell r="B1411" t="str">
            <v>ja</v>
          </cell>
          <cell r="C1411" t="str">
            <v>sapphire01</v>
          </cell>
          <cell r="H1411" t="str">
            <v>blue</v>
          </cell>
          <cell r="I1411">
            <v>5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1467</v>
          </cell>
          <cell r="B1412" t="str">
            <v>ja</v>
          </cell>
          <cell r="C1412" t="str">
            <v>sapphire02</v>
          </cell>
          <cell r="H1412" t="str">
            <v>blue</v>
          </cell>
          <cell r="I1412">
            <v>6</v>
          </cell>
          <cell r="J1412" t="str">
            <v>material</v>
          </cell>
          <cell r="K1412" t="str">
            <v>exp</v>
          </cell>
          <cell r="L1412" t="str">
            <v>強化素材タイプ</v>
          </cell>
          <cell r="M1412" t="str">
            <v>unknown</v>
          </cell>
        </row>
        <row r="1413">
          <cell r="A1413">
            <v>1468</v>
          </cell>
          <cell r="B1413" t="str">
            <v>ja</v>
          </cell>
          <cell r="C1413" t="str">
            <v>emerald01</v>
          </cell>
          <cell r="H1413" t="str">
            <v>green</v>
          </cell>
          <cell r="I1413">
            <v>5</v>
          </cell>
          <cell r="J1413" t="str">
            <v>material</v>
          </cell>
          <cell r="K1413" t="str">
            <v>exp</v>
          </cell>
          <cell r="L1413" t="str">
            <v>強化素材タイプ</v>
          </cell>
          <cell r="M1413" t="str">
            <v>unknown</v>
          </cell>
        </row>
        <row r="1414">
          <cell r="A1414">
            <v>1469</v>
          </cell>
          <cell r="B1414" t="str">
            <v>ja</v>
          </cell>
          <cell r="C1414" t="str">
            <v>aquamarine01</v>
          </cell>
          <cell r="H1414" t="str">
            <v>yellow</v>
          </cell>
          <cell r="I1414">
            <v>5</v>
          </cell>
          <cell r="J1414" t="str">
            <v>material</v>
          </cell>
          <cell r="K1414" t="str">
            <v>exp</v>
          </cell>
          <cell r="L1414" t="str">
            <v>強化素材タイプ</v>
          </cell>
          <cell r="M1414" t="str">
            <v>unknown</v>
          </cell>
        </row>
        <row r="1415">
          <cell r="A1415">
            <v>1470</v>
          </cell>
          <cell r="B1415" t="str">
            <v>ja</v>
          </cell>
          <cell r="C1415" t="str">
            <v>amethyst01</v>
          </cell>
          <cell r="H1415" t="str">
            <v>red</v>
          </cell>
          <cell r="I1415">
            <v>5</v>
          </cell>
          <cell r="J1415" t="str">
            <v>material</v>
          </cell>
          <cell r="K1415" t="str">
            <v>exp</v>
          </cell>
          <cell r="L1415" t="str">
            <v>強化素材タイプ</v>
          </cell>
          <cell r="M1415" t="str">
            <v>unknown</v>
          </cell>
        </row>
        <row r="1416">
          <cell r="A1416">
            <v>1504</v>
          </cell>
          <cell r="B1416" t="str">
            <v>ja</v>
          </cell>
          <cell r="C1416" t="str">
            <v>magenta01</v>
          </cell>
          <cell r="H1416" t="str">
            <v>red</v>
          </cell>
          <cell r="I1416">
            <v>1</v>
          </cell>
          <cell r="J1416" t="str">
            <v>Drop1T</v>
          </cell>
          <cell r="K1416" t="str">
            <v>balance</v>
          </cell>
          <cell r="L1416" t="str">
            <v>バランスタイプ</v>
          </cell>
          <cell r="M1416" t="str">
            <v>unknown</v>
          </cell>
        </row>
        <row r="1417">
          <cell r="A1417">
            <v>1505</v>
          </cell>
          <cell r="B1417" t="str">
            <v>ja</v>
          </cell>
          <cell r="C1417" t="str">
            <v>amber01</v>
          </cell>
          <cell r="H1417" t="str">
            <v>green</v>
          </cell>
          <cell r="I1417">
            <v>1</v>
          </cell>
          <cell r="J1417" t="str">
            <v>Drop1T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1506</v>
          </cell>
          <cell r="B1418" t="str">
            <v>ja</v>
          </cell>
          <cell r="C1418" t="str">
            <v>pumpkin01</v>
          </cell>
          <cell r="H1418" t="str">
            <v>yellow</v>
          </cell>
          <cell r="I1418">
            <v>2</v>
          </cell>
          <cell r="J1418" t="str">
            <v>Drop1S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1507</v>
          </cell>
          <cell r="B1419" t="str">
            <v>ja</v>
          </cell>
          <cell r="C1419" t="str">
            <v>rose01</v>
          </cell>
          <cell r="H1419" t="str">
            <v>blue</v>
          </cell>
          <cell r="I1419">
            <v>3</v>
          </cell>
          <cell r="J1419" t="str">
            <v>Drop2N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1508</v>
          </cell>
          <cell r="B1420" t="str">
            <v>ja</v>
          </cell>
          <cell r="C1420" t="str">
            <v>burgundy01</v>
          </cell>
          <cell r="H1420" t="str">
            <v>red</v>
          </cell>
          <cell r="I1420">
            <v>4</v>
          </cell>
          <cell r="J1420" t="str">
            <v>Drop2N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1509</v>
          </cell>
          <cell r="B1421" t="str">
            <v>ja</v>
          </cell>
          <cell r="C1421" t="str">
            <v>cyan01</v>
          </cell>
          <cell r="H1421" t="str">
            <v>green</v>
          </cell>
          <cell r="I1421">
            <v>5</v>
          </cell>
          <cell r="J1421" t="str">
            <v>Drop2N</v>
          </cell>
          <cell r="K1421" t="str">
            <v>hp</v>
          </cell>
          <cell r="L1421" t="str">
            <v>体力タイプ</v>
          </cell>
          <cell r="M1421" t="str">
            <v>god</v>
          </cell>
        </row>
        <row r="1422">
          <cell r="A1422">
            <v>1510</v>
          </cell>
          <cell r="B1422" t="str">
            <v>ja</v>
          </cell>
          <cell r="C1422" t="str">
            <v>scarlet01</v>
          </cell>
          <cell r="H1422" t="str">
            <v>yellow</v>
          </cell>
          <cell r="I1422">
            <v>4</v>
          </cell>
          <cell r="J1422" t="str">
            <v>DropWizS</v>
          </cell>
          <cell r="K1422" t="str">
            <v>balance</v>
          </cell>
          <cell r="L1422" t="str">
            <v>バランスタイプ</v>
          </cell>
          <cell r="M1422" t="str">
            <v>god</v>
          </cell>
        </row>
        <row r="1423">
          <cell r="A1423">
            <v>1511</v>
          </cell>
          <cell r="B1423" t="str">
            <v>ja</v>
          </cell>
          <cell r="C1423" t="str">
            <v>scarlet02</v>
          </cell>
          <cell r="H1423" t="str">
            <v>yellow</v>
          </cell>
          <cell r="I1423">
            <v>5</v>
          </cell>
          <cell r="J1423" t="str">
            <v>DropWizS</v>
          </cell>
          <cell r="K1423" t="str">
            <v>balance</v>
          </cell>
          <cell r="L1423" t="str">
            <v>バランスタイプ</v>
          </cell>
          <cell r="M1423" t="str">
            <v>god</v>
          </cell>
        </row>
        <row r="1424">
          <cell r="A1424">
            <v>1512</v>
          </cell>
          <cell r="B1424" t="str">
            <v>ja</v>
          </cell>
          <cell r="C1424" t="str">
            <v>scarlet03</v>
          </cell>
          <cell r="H1424" t="str">
            <v>yellow</v>
          </cell>
          <cell r="I1424">
            <v>6</v>
          </cell>
          <cell r="J1424" t="str">
            <v>DropWizS</v>
          </cell>
          <cell r="K1424" t="str">
            <v>balance</v>
          </cell>
          <cell r="L1424" t="str">
            <v>バランスタイプ</v>
          </cell>
          <cell r="M1424" t="str">
            <v>god</v>
          </cell>
        </row>
        <row r="1425">
          <cell r="A1425">
            <v>1513</v>
          </cell>
          <cell r="B1425" t="str">
            <v>ja</v>
          </cell>
          <cell r="C1425" t="str">
            <v>gold01</v>
          </cell>
          <cell r="H1425" t="str">
            <v>yellow</v>
          </cell>
          <cell r="I1425">
            <v>4</v>
          </cell>
          <cell r="J1425" t="str">
            <v>Material</v>
          </cell>
          <cell r="K1425" t="str">
            <v>coin</v>
          </cell>
          <cell r="L1425" t="str">
            <v>コインタイプ</v>
          </cell>
          <cell r="M1425" t="str">
            <v>unknown</v>
          </cell>
        </row>
        <row r="1426">
          <cell r="A1426">
            <v>1514</v>
          </cell>
          <cell r="B1426" t="str">
            <v>ja</v>
          </cell>
          <cell r="C1426" t="str">
            <v>gold02</v>
          </cell>
          <cell r="H1426" t="str">
            <v>yellow</v>
          </cell>
          <cell r="I1426">
            <v>5</v>
          </cell>
          <cell r="J1426" t="str">
            <v>Material</v>
          </cell>
          <cell r="K1426" t="str">
            <v>coin</v>
          </cell>
          <cell r="L1426" t="str">
            <v>コインタイプ</v>
          </cell>
          <cell r="M1426" t="str">
            <v>unknown</v>
          </cell>
        </row>
        <row r="1427">
          <cell r="A1427">
            <v>1515</v>
          </cell>
          <cell r="B1427" t="str">
            <v>ja</v>
          </cell>
          <cell r="C1427" t="str">
            <v>red01</v>
          </cell>
          <cell r="H1427" t="str">
            <v>red</v>
          </cell>
          <cell r="I1427">
            <v>4</v>
          </cell>
          <cell r="J1427" t="str">
            <v>Material</v>
          </cell>
          <cell r="K1427" t="str">
            <v>exp</v>
          </cell>
          <cell r="L1427" t="str">
            <v>強化素材タイプ</v>
          </cell>
          <cell r="M1427" t="str">
            <v>unknown</v>
          </cell>
        </row>
        <row r="1428">
          <cell r="A1428">
            <v>1516</v>
          </cell>
          <cell r="B1428" t="str">
            <v>ja</v>
          </cell>
          <cell r="C1428" t="str">
            <v>red02</v>
          </cell>
          <cell r="H1428" t="str">
            <v>red</v>
          </cell>
          <cell r="I1428">
            <v>5</v>
          </cell>
          <cell r="J1428" t="str">
            <v>Material</v>
          </cell>
          <cell r="K1428" t="str">
            <v>exp</v>
          </cell>
          <cell r="L1428" t="str">
            <v>強化素材タイプ</v>
          </cell>
          <cell r="M1428" t="str">
            <v>unknown</v>
          </cell>
        </row>
        <row r="1429">
          <cell r="A1429">
            <v>1517</v>
          </cell>
          <cell r="B1429" t="str">
            <v>ja</v>
          </cell>
          <cell r="C1429" t="str">
            <v>blue01</v>
          </cell>
          <cell r="H1429" t="str">
            <v>blue</v>
          </cell>
          <cell r="I1429">
            <v>4</v>
          </cell>
          <cell r="J1429" t="str">
            <v>Material</v>
          </cell>
          <cell r="K1429" t="str">
            <v>exp</v>
          </cell>
          <cell r="L1429" t="str">
            <v>強化素材タイプ</v>
          </cell>
          <cell r="M1429" t="str">
            <v>unknown</v>
          </cell>
        </row>
        <row r="1430">
          <cell r="A1430">
            <v>1518</v>
          </cell>
          <cell r="B1430" t="str">
            <v>ja</v>
          </cell>
          <cell r="C1430" t="str">
            <v>blue02</v>
          </cell>
          <cell r="H1430" t="str">
            <v>blue</v>
          </cell>
          <cell r="I1430">
            <v>5</v>
          </cell>
          <cell r="J1430" t="str">
            <v>Material</v>
          </cell>
          <cell r="K1430" t="str">
            <v>exp</v>
          </cell>
          <cell r="L1430" t="str">
            <v>強化素材タイプ</v>
          </cell>
          <cell r="M1430" t="str">
            <v>unknown</v>
          </cell>
        </row>
        <row r="1431">
          <cell r="A1431">
            <v>1519</v>
          </cell>
          <cell r="B1431" t="str">
            <v>ja</v>
          </cell>
          <cell r="C1431" t="str">
            <v>green01</v>
          </cell>
          <cell r="H1431" t="str">
            <v>green</v>
          </cell>
          <cell r="I1431">
            <v>4</v>
          </cell>
          <cell r="J1431" t="str">
            <v>Material</v>
          </cell>
          <cell r="K1431" t="str">
            <v>exp</v>
          </cell>
          <cell r="L1431" t="str">
            <v>強化素材タイプ</v>
          </cell>
          <cell r="M1431" t="str">
            <v>unknown</v>
          </cell>
        </row>
        <row r="1432">
          <cell r="A1432">
            <v>1520</v>
          </cell>
          <cell r="B1432" t="str">
            <v>ja</v>
          </cell>
          <cell r="C1432" t="str">
            <v>green02</v>
          </cell>
          <cell r="H1432" t="str">
            <v>green</v>
          </cell>
          <cell r="I1432">
            <v>5</v>
          </cell>
          <cell r="J1432" t="str">
            <v>Material</v>
          </cell>
          <cell r="K1432" t="str">
            <v>exp</v>
          </cell>
          <cell r="L1432" t="str">
            <v>強化素材タイプ</v>
          </cell>
          <cell r="M1432" t="str">
            <v>unknown</v>
          </cell>
        </row>
        <row r="1433">
          <cell r="A1433">
            <v>1521</v>
          </cell>
          <cell r="B1433" t="str">
            <v>ja</v>
          </cell>
          <cell r="C1433" t="str">
            <v>yellow01</v>
          </cell>
          <cell r="H1433" t="str">
            <v>yellow</v>
          </cell>
          <cell r="I1433">
            <v>4</v>
          </cell>
          <cell r="J1433" t="str">
            <v>Material</v>
          </cell>
          <cell r="K1433" t="str">
            <v>exp</v>
          </cell>
          <cell r="L1433" t="str">
            <v>強化素材タイプ</v>
          </cell>
          <cell r="M1433" t="str">
            <v>unknown</v>
          </cell>
        </row>
        <row r="1434">
          <cell r="A1434">
            <v>1522</v>
          </cell>
          <cell r="B1434" t="str">
            <v>ja</v>
          </cell>
          <cell r="C1434" t="str">
            <v>yellow02</v>
          </cell>
          <cell r="H1434" t="str">
            <v>yellow</v>
          </cell>
          <cell r="I1434">
            <v>5</v>
          </cell>
          <cell r="J1434" t="str">
            <v>Material</v>
          </cell>
          <cell r="K1434" t="str">
            <v>exp</v>
          </cell>
          <cell r="L1434" t="str">
            <v>強化素材タイプ</v>
          </cell>
          <cell r="M1434" t="str">
            <v>unknown</v>
          </cell>
        </row>
        <row r="1435">
          <cell r="A1435">
            <v>1523</v>
          </cell>
          <cell r="B1435" t="str">
            <v>ja</v>
          </cell>
          <cell r="C1435" t="str">
            <v>olive01</v>
          </cell>
          <cell r="H1435" t="str">
            <v>blue</v>
          </cell>
          <cell r="I1435">
            <v>5</v>
          </cell>
          <cell r="J1435" t="str">
            <v>DropWizS</v>
          </cell>
          <cell r="K1435" t="str">
            <v>balance</v>
          </cell>
          <cell r="L1435" t="str">
            <v>バランスタイプ</v>
          </cell>
          <cell r="M1435" t="str">
            <v>animal</v>
          </cell>
        </row>
        <row r="1436">
          <cell r="A1436">
            <v>1524</v>
          </cell>
          <cell r="B1436" t="str">
            <v>ja</v>
          </cell>
          <cell r="C1436" t="str">
            <v>olive02</v>
          </cell>
          <cell r="H1436" t="str">
            <v>blue</v>
          </cell>
          <cell r="I1436">
            <v>6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animal</v>
          </cell>
        </row>
        <row r="1437">
          <cell r="A1437">
            <v>1525</v>
          </cell>
          <cell r="B1437" t="str">
            <v>ja</v>
          </cell>
          <cell r="C1437" t="str">
            <v>white01</v>
          </cell>
          <cell r="H1437" t="str">
            <v>red</v>
          </cell>
          <cell r="I1437">
            <v>5</v>
          </cell>
          <cell r="J1437" t="str">
            <v>DropWizSS</v>
          </cell>
          <cell r="K1437" t="str">
            <v>balance</v>
          </cell>
          <cell r="L1437" t="str">
            <v>バランスタイプ</v>
          </cell>
          <cell r="M1437" t="str">
            <v>animal</v>
          </cell>
        </row>
        <row r="1438">
          <cell r="A1438">
            <v>1526</v>
          </cell>
          <cell r="B1438" t="str">
            <v>ja</v>
          </cell>
          <cell r="C1438" t="str">
            <v>white02</v>
          </cell>
          <cell r="H1438" t="str">
            <v>red</v>
          </cell>
          <cell r="I1438">
            <v>6</v>
          </cell>
          <cell r="J1438" t="str">
            <v>DropWizSS</v>
          </cell>
          <cell r="K1438" t="str">
            <v>balance</v>
          </cell>
          <cell r="L1438" t="str">
            <v>バランスタイプ</v>
          </cell>
          <cell r="M1438" t="str">
            <v>animal</v>
          </cell>
        </row>
        <row r="1439">
          <cell r="A1439">
            <v>1527</v>
          </cell>
          <cell r="B1439" t="str">
            <v>ja</v>
          </cell>
          <cell r="C1439" t="str">
            <v>violet01</v>
          </cell>
          <cell r="H1439" t="str">
            <v>red</v>
          </cell>
          <cell r="I1439">
            <v>4</v>
          </cell>
          <cell r="J1439" t="str">
            <v>PremiumS</v>
          </cell>
          <cell r="K1439" t="str">
            <v>attack</v>
          </cell>
          <cell r="L1439" t="str">
            <v>攻撃タイプ</v>
          </cell>
          <cell r="M1439" t="str">
            <v>animal</v>
          </cell>
        </row>
        <row r="1440">
          <cell r="A1440">
            <v>1528</v>
          </cell>
          <cell r="B1440" t="str">
            <v>ja</v>
          </cell>
          <cell r="C1440" t="str">
            <v>violet02</v>
          </cell>
          <cell r="H1440" t="str">
            <v>red</v>
          </cell>
          <cell r="I1440">
            <v>5</v>
          </cell>
          <cell r="J1440" t="str">
            <v>PremiumS</v>
          </cell>
          <cell r="K1440" t="str">
            <v>attack</v>
          </cell>
          <cell r="L1440" t="str">
            <v>攻撃タイプ</v>
          </cell>
          <cell r="M1440" t="str">
            <v>animal</v>
          </cell>
        </row>
        <row r="1441">
          <cell r="A1441">
            <v>1529</v>
          </cell>
          <cell r="B1441" t="str">
            <v>ja</v>
          </cell>
          <cell r="C1441" t="str">
            <v>mint01</v>
          </cell>
          <cell r="H1441" t="str">
            <v>blue</v>
          </cell>
          <cell r="I1441">
            <v>4</v>
          </cell>
          <cell r="J1441" t="str">
            <v>PremiumS</v>
          </cell>
          <cell r="K1441" t="str">
            <v>balance</v>
          </cell>
          <cell r="L1441" t="str">
            <v>バランスタイプ</v>
          </cell>
          <cell r="M1441" t="str">
            <v>unknown</v>
          </cell>
        </row>
        <row r="1442">
          <cell r="A1442">
            <v>1530</v>
          </cell>
          <cell r="B1442" t="str">
            <v>ja</v>
          </cell>
          <cell r="C1442" t="str">
            <v>mint02</v>
          </cell>
          <cell r="H1442" t="str">
            <v>blue</v>
          </cell>
          <cell r="I1442">
            <v>5</v>
          </cell>
          <cell r="J1442" t="str">
            <v>PremiumS</v>
          </cell>
          <cell r="K1442" t="str">
            <v>balance</v>
          </cell>
          <cell r="L1442" t="str">
            <v>バランスタイプ</v>
          </cell>
          <cell r="M1442" t="str">
            <v>unknown</v>
          </cell>
        </row>
        <row r="1443">
          <cell r="A1443">
            <v>1531</v>
          </cell>
          <cell r="B1443" t="str">
            <v>ja</v>
          </cell>
          <cell r="C1443" t="str">
            <v>gray01</v>
          </cell>
          <cell r="H1443" t="str">
            <v>green</v>
          </cell>
          <cell r="I1443">
            <v>4</v>
          </cell>
          <cell r="J1443" t="str">
            <v>PremiumS</v>
          </cell>
          <cell r="K1443" t="str">
            <v>technical</v>
          </cell>
          <cell r="L1443" t="str">
            <v>テクニカルタイプ</v>
          </cell>
          <cell r="M1443" t="str">
            <v>animal</v>
          </cell>
        </row>
        <row r="1444">
          <cell r="A1444">
            <v>1532</v>
          </cell>
          <cell r="B1444" t="str">
            <v>ja</v>
          </cell>
          <cell r="C1444" t="str">
            <v>gray02</v>
          </cell>
          <cell r="H1444" t="str">
            <v>green</v>
          </cell>
          <cell r="I1444">
            <v>5</v>
          </cell>
          <cell r="J1444" t="str">
            <v>PremiumS</v>
          </cell>
          <cell r="K1444" t="str">
            <v>technical</v>
          </cell>
          <cell r="L1444" t="str">
            <v>テクニカルタイプ</v>
          </cell>
          <cell r="M1444" t="str">
            <v>animal</v>
          </cell>
        </row>
        <row r="1445">
          <cell r="A1445">
            <v>1533</v>
          </cell>
          <cell r="B1445" t="str">
            <v>ja</v>
          </cell>
          <cell r="C1445" t="str">
            <v>maroon01</v>
          </cell>
          <cell r="H1445" t="str">
            <v>yellow</v>
          </cell>
          <cell r="I1445">
            <v>4</v>
          </cell>
          <cell r="J1445" t="str">
            <v>PremiumS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1534</v>
          </cell>
          <cell r="B1446" t="str">
            <v>ja</v>
          </cell>
          <cell r="C1446" t="str">
            <v>maroon02</v>
          </cell>
          <cell r="H1446" t="str">
            <v>yellow</v>
          </cell>
          <cell r="I1446">
            <v>5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1535</v>
          </cell>
          <cell r="B1447" t="str">
            <v>ja</v>
          </cell>
          <cell r="C1447" t="str">
            <v>pink01</v>
          </cell>
          <cell r="H1447" t="str">
            <v>red</v>
          </cell>
          <cell r="I1447">
            <v>5</v>
          </cell>
          <cell r="J1447" t="str">
            <v>PremiumSS</v>
          </cell>
          <cell r="K1447" t="str">
            <v>technical</v>
          </cell>
          <cell r="L1447" t="str">
            <v>テクニカルタイプ</v>
          </cell>
          <cell r="M1447" t="str">
            <v>god</v>
          </cell>
        </row>
        <row r="1448">
          <cell r="A1448">
            <v>1536</v>
          </cell>
          <cell r="B1448" t="str">
            <v>ja</v>
          </cell>
          <cell r="C1448" t="str">
            <v>pink02</v>
          </cell>
          <cell r="H1448" t="str">
            <v>red</v>
          </cell>
          <cell r="I1448">
            <v>6</v>
          </cell>
          <cell r="J1448" t="str">
            <v>PremiumSS</v>
          </cell>
          <cell r="K1448" t="str">
            <v>technical</v>
          </cell>
          <cell r="L1448" t="str">
            <v>テクニカルタイプ</v>
          </cell>
          <cell r="M1448" t="str">
            <v>god</v>
          </cell>
        </row>
        <row r="1449">
          <cell r="A1449">
            <v>1537</v>
          </cell>
          <cell r="B1449" t="str">
            <v>ja</v>
          </cell>
          <cell r="C1449" t="str">
            <v>black01</v>
          </cell>
          <cell r="H1449" t="str">
            <v>blue</v>
          </cell>
          <cell r="I1449">
            <v>5</v>
          </cell>
          <cell r="J1449" t="str">
            <v>PremiumSSS</v>
          </cell>
          <cell r="K1449" t="str">
            <v>attack</v>
          </cell>
          <cell r="L1449" t="str">
            <v>攻撃タイプ</v>
          </cell>
          <cell r="M1449" t="str">
            <v>unknown</v>
          </cell>
        </row>
        <row r="1450">
          <cell r="A1450">
            <v>1538</v>
          </cell>
          <cell r="B1450" t="str">
            <v>ja</v>
          </cell>
          <cell r="C1450" t="str">
            <v>black02</v>
          </cell>
          <cell r="H1450" t="str">
            <v>blue</v>
          </cell>
          <cell r="I1450">
            <v>6</v>
          </cell>
          <cell r="J1450" t="str">
            <v>PremiumSSS</v>
          </cell>
          <cell r="K1450" t="str">
            <v>attack</v>
          </cell>
          <cell r="L1450" t="str">
            <v>攻撃タイプ</v>
          </cell>
          <cell r="M1450" t="str">
            <v>unknown</v>
          </cell>
        </row>
        <row r="1451">
          <cell r="A1451">
            <v>1539</v>
          </cell>
          <cell r="B1451" t="str">
            <v>ja</v>
          </cell>
          <cell r="C1451" t="str">
            <v>brown01</v>
          </cell>
          <cell r="H1451" t="str">
            <v>yellow</v>
          </cell>
          <cell r="I1451">
            <v>5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god</v>
          </cell>
        </row>
        <row r="1452">
          <cell r="A1452">
            <v>1540</v>
          </cell>
          <cell r="B1452" t="str">
            <v>ja</v>
          </cell>
          <cell r="C1452" t="str">
            <v>brown02</v>
          </cell>
          <cell r="H1452" t="str">
            <v>yellow</v>
          </cell>
          <cell r="I1452">
            <v>6</v>
          </cell>
          <cell r="J1452" t="str">
            <v>PremiumSS</v>
          </cell>
          <cell r="K1452" t="str">
            <v>attack</v>
          </cell>
          <cell r="L1452" t="str">
            <v>攻撃タイプ</v>
          </cell>
          <cell r="M1452" t="str">
            <v>god</v>
          </cell>
        </row>
        <row r="1453">
          <cell r="A1453">
            <v>1541</v>
          </cell>
          <cell r="B1453" t="str">
            <v>ja</v>
          </cell>
          <cell r="C1453" t="str">
            <v>purple01</v>
          </cell>
          <cell r="H1453" t="str">
            <v>red</v>
          </cell>
          <cell r="I1453">
            <v>5</v>
          </cell>
          <cell r="J1453" t="str">
            <v>PremiumSSS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1542</v>
          </cell>
          <cell r="B1454" t="str">
            <v>ja</v>
          </cell>
          <cell r="C1454" t="str">
            <v>purple02</v>
          </cell>
          <cell r="H1454" t="str">
            <v>red</v>
          </cell>
          <cell r="I1454">
            <v>6</v>
          </cell>
          <cell r="J1454" t="str">
            <v>PremiumSSS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1543</v>
          </cell>
          <cell r="B1455" t="str">
            <v>ja</v>
          </cell>
          <cell r="C1455" t="str">
            <v>vanilla01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balance</v>
          </cell>
          <cell r="L1455" t="str">
            <v>バランスタイプ</v>
          </cell>
          <cell r="M1455" t="str">
            <v>hero</v>
          </cell>
        </row>
        <row r="1456">
          <cell r="A1456">
            <v>1544</v>
          </cell>
          <cell r="B1456" t="str">
            <v>ja</v>
          </cell>
          <cell r="C1456" t="str">
            <v>vanilla02</v>
          </cell>
          <cell r="H1456" t="str">
            <v>blue</v>
          </cell>
          <cell r="I1456">
            <v>6</v>
          </cell>
          <cell r="J1456" t="str">
            <v>PremiumSS</v>
          </cell>
          <cell r="K1456" t="str">
            <v>balance</v>
          </cell>
          <cell r="L1456" t="str">
            <v>バランスタイプ</v>
          </cell>
          <cell r="M1456" t="str">
            <v>hero</v>
          </cell>
        </row>
        <row r="1457">
          <cell r="A1457">
            <v>1545</v>
          </cell>
          <cell r="B1457" t="str">
            <v>ja</v>
          </cell>
          <cell r="C1457" t="str">
            <v>silver01</v>
          </cell>
          <cell r="H1457" t="str">
            <v>green</v>
          </cell>
          <cell r="I1457">
            <v>5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unknown</v>
          </cell>
        </row>
        <row r="1458">
          <cell r="A1458">
            <v>1546</v>
          </cell>
          <cell r="B1458" t="str">
            <v>ja</v>
          </cell>
          <cell r="C1458" t="str">
            <v>silver02</v>
          </cell>
          <cell r="H1458" t="str">
            <v>green</v>
          </cell>
          <cell r="I1458">
            <v>6</v>
          </cell>
          <cell r="J1458" t="str">
            <v>PremiumSS</v>
          </cell>
          <cell r="K1458" t="str">
            <v>hp</v>
          </cell>
          <cell r="L1458" t="str">
            <v>体力タイプ</v>
          </cell>
          <cell r="M1458" t="str">
            <v>unknown</v>
          </cell>
        </row>
        <row r="1459">
          <cell r="A1459">
            <v>1547</v>
          </cell>
          <cell r="B1459" t="str">
            <v>ja</v>
          </cell>
          <cell r="C1459" t="str">
            <v>mauve01</v>
          </cell>
          <cell r="H1459" t="str">
            <v>green</v>
          </cell>
          <cell r="I1459">
            <v>4</v>
          </cell>
          <cell r="J1459" t="str">
            <v>Drop2N</v>
          </cell>
          <cell r="K1459" t="str">
            <v>hp</v>
          </cell>
          <cell r="L1459" t="str">
            <v>体力タイプ</v>
          </cell>
          <cell r="M1459" t="str">
            <v>animal</v>
          </cell>
        </row>
        <row r="1460">
          <cell r="A1460">
            <v>1548</v>
          </cell>
          <cell r="B1460" t="str">
            <v>ja</v>
          </cell>
          <cell r="C1460" t="str">
            <v>mauve02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hp</v>
          </cell>
          <cell r="L1460" t="str">
            <v>体力タイプ</v>
          </cell>
          <cell r="M1460" t="str">
            <v>animal</v>
          </cell>
        </row>
        <row r="1461">
          <cell r="A1461">
            <v>1549</v>
          </cell>
          <cell r="B1461" t="str">
            <v>ja</v>
          </cell>
          <cell r="C1461" t="str">
            <v>ochre01</v>
          </cell>
          <cell r="H1461" t="str">
            <v>green</v>
          </cell>
          <cell r="I1461">
            <v>5</v>
          </cell>
          <cell r="J1461" t="str">
            <v>DropWizS</v>
          </cell>
          <cell r="K1461" t="str">
            <v>balance</v>
          </cell>
          <cell r="L1461" t="str">
            <v>バランスタイプ</v>
          </cell>
          <cell r="M1461" t="str">
            <v>unknown</v>
          </cell>
        </row>
        <row r="1462">
          <cell r="A1462">
            <v>1550</v>
          </cell>
          <cell r="B1462" t="str">
            <v>ja</v>
          </cell>
          <cell r="C1462" t="str">
            <v>ochre02</v>
          </cell>
          <cell r="H1462" t="str">
            <v>green</v>
          </cell>
          <cell r="I1462">
            <v>6</v>
          </cell>
          <cell r="J1462" t="str">
            <v>DropWizS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5001</v>
          </cell>
          <cell r="B1463" t="str">
            <v>ja</v>
          </cell>
          <cell r="C1463" t="str">
            <v>ガルーダ</v>
          </cell>
          <cell r="D1463" t="str">
            <v>ノーマルクエスト</v>
          </cell>
          <cell r="E1463" t="str">
            <v>QoH</v>
          </cell>
          <cell r="F1463" t="str">
            <v>世界観</v>
          </cell>
          <cell r="G1463" t="str">
            <v>不明</v>
          </cell>
          <cell r="H1463" t="str">
            <v>red</v>
          </cell>
          <cell r="I1463">
            <v>5</v>
          </cell>
          <cell r="J1463" t="str">
            <v>PremiumSSw</v>
          </cell>
          <cell r="K1463" t="str">
            <v>attack</v>
          </cell>
          <cell r="L1463" t="str">
            <v>攻撃タイプ</v>
          </cell>
          <cell r="M1463" t="str">
            <v>god</v>
          </cell>
        </row>
        <row r="1464">
          <cell r="A1464">
            <v>5002</v>
          </cell>
          <cell r="B1464" t="str">
            <v>ja</v>
          </cell>
          <cell r="C1464" t="str">
            <v>ガルーダ★６</v>
          </cell>
          <cell r="D1464" t="str">
            <v>ノーマルクエスト</v>
          </cell>
          <cell r="E1464" t="str">
            <v>アバター</v>
          </cell>
          <cell r="F1464" t="str">
            <v>世界観</v>
          </cell>
          <cell r="G1464" t="str">
            <v>男性</v>
          </cell>
          <cell r="H1464" t="str">
            <v>red</v>
          </cell>
          <cell r="I1464">
            <v>6</v>
          </cell>
          <cell r="J1464" t="str">
            <v>PremiumSSw</v>
          </cell>
          <cell r="K1464" t="str">
            <v>attack</v>
          </cell>
          <cell r="L1464" t="str">
            <v>攻撃タイプ</v>
          </cell>
          <cell r="M1464" t="str">
            <v>god</v>
          </cell>
        </row>
        <row r="1465">
          <cell r="A1465">
            <v>5003</v>
          </cell>
          <cell r="B1465" t="str">
            <v>ja</v>
          </cell>
          <cell r="C1465" t="str">
            <v>ナーガ</v>
          </cell>
          <cell r="D1465" t="str">
            <v>リンクガチャ:4神</v>
          </cell>
          <cell r="E1465" t="str">
            <v>守護神</v>
          </cell>
          <cell r="F1465" t="str">
            <v>格好いい</v>
          </cell>
          <cell r="G1465" t="str">
            <v>不明</v>
          </cell>
          <cell r="H1465" t="str">
            <v>green</v>
          </cell>
          <cell r="I1465">
            <v>5</v>
          </cell>
          <cell r="J1465" t="str">
            <v>DropWizS</v>
          </cell>
          <cell r="K1465" t="str">
            <v>technical</v>
          </cell>
          <cell r="L1465" t="str">
            <v>テクニカルタイプ</v>
          </cell>
          <cell r="M1465" t="str">
            <v>animal</v>
          </cell>
        </row>
        <row r="1466">
          <cell r="A1466">
            <v>5004</v>
          </cell>
          <cell r="B1466" t="str">
            <v>ja</v>
          </cell>
          <cell r="C1466" t="str">
            <v>ナーガ★６</v>
          </cell>
          <cell r="D1466" t="str">
            <v>ノーマルクエスト</v>
          </cell>
          <cell r="E1466" t="str">
            <v>アバター</v>
          </cell>
          <cell r="F1466" t="str">
            <v>世界観</v>
          </cell>
          <cell r="G1466" t="str">
            <v>不明</v>
          </cell>
          <cell r="H1466" t="str">
            <v>green</v>
          </cell>
          <cell r="I1466">
            <v>6</v>
          </cell>
          <cell r="J1466" t="str">
            <v>DropWizS</v>
          </cell>
          <cell r="K1466" t="str">
            <v>technical</v>
          </cell>
          <cell r="L1466" t="str">
            <v>テクニカルタイプ</v>
          </cell>
          <cell r="M1466" t="str">
            <v>animal</v>
          </cell>
        </row>
        <row r="1467">
          <cell r="A1467">
            <v>5005</v>
          </cell>
          <cell r="B1467" t="str">
            <v>ja</v>
          </cell>
          <cell r="C1467" t="str">
            <v>カーミラ</v>
          </cell>
          <cell r="D1467" t="str">
            <v>ノーマルクエスト</v>
          </cell>
          <cell r="E1467" t="str">
            <v>QoH</v>
          </cell>
          <cell r="F1467" t="str">
            <v>世界観</v>
          </cell>
          <cell r="G1467" t="str">
            <v>不明</v>
          </cell>
          <cell r="H1467" t="str">
            <v>green</v>
          </cell>
          <cell r="I1467">
            <v>5</v>
          </cell>
          <cell r="J1467" t="str">
            <v>PremiumSSw</v>
          </cell>
          <cell r="K1467" t="str">
            <v>balance</v>
          </cell>
          <cell r="L1467" t="str">
            <v>バランスタイプ</v>
          </cell>
          <cell r="M1467" t="str">
            <v>demon</v>
          </cell>
        </row>
        <row r="1468">
          <cell r="A1468">
            <v>5006</v>
          </cell>
          <cell r="B1468" t="str">
            <v>ja</v>
          </cell>
          <cell r="C1468" t="str">
            <v>カーミラ★６</v>
          </cell>
          <cell r="D1468" t="str">
            <v>ノーマルクエスト</v>
          </cell>
          <cell r="E1468" t="str">
            <v>アバター</v>
          </cell>
          <cell r="F1468" t="str">
            <v>世界観</v>
          </cell>
          <cell r="G1468" t="str">
            <v>男性</v>
          </cell>
          <cell r="H1468" t="str">
            <v>green</v>
          </cell>
          <cell r="I1468">
            <v>6</v>
          </cell>
          <cell r="J1468" t="str">
            <v>PremiumSSw</v>
          </cell>
          <cell r="K1468" t="str">
            <v>balance</v>
          </cell>
          <cell r="L1468" t="str">
            <v>バランスタイプ</v>
          </cell>
          <cell r="M1468" t="str">
            <v>demon</v>
          </cell>
        </row>
        <row r="1469">
          <cell r="A1469">
            <v>5007</v>
          </cell>
          <cell r="B1469" t="str">
            <v>ja</v>
          </cell>
          <cell r="C1469" t="str">
            <v>ヘルシング</v>
          </cell>
          <cell r="D1469" t="str">
            <v>リンクガチャ:4神</v>
          </cell>
          <cell r="E1469" t="str">
            <v>守護神</v>
          </cell>
          <cell r="F1469" t="str">
            <v>格好いい</v>
          </cell>
          <cell r="G1469" t="str">
            <v>不明</v>
          </cell>
          <cell r="H1469" t="str">
            <v>yellow</v>
          </cell>
          <cell r="I1469">
            <v>5</v>
          </cell>
          <cell r="J1469" t="str">
            <v>DropWizS</v>
          </cell>
          <cell r="K1469" t="str">
            <v>technical</v>
          </cell>
          <cell r="L1469" t="str">
            <v>テクニカルタイプ</v>
          </cell>
          <cell r="M1469" t="str">
            <v>human</v>
          </cell>
        </row>
        <row r="1470">
          <cell r="A1470">
            <v>5008</v>
          </cell>
          <cell r="B1470" t="str">
            <v>ja</v>
          </cell>
          <cell r="C1470" t="str">
            <v>ヘルシング★６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不明</v>
          </cell>
          <cell r="H1470" t="str">
            <v>yellow</v>
          </cell>
          <cell r="I1470">
            <v>6</v>
          </cell>
          <cell r="J1470" t="str">
            <v>DropWizS</v>
          </cell>
          <cell r="K1470" t="str">
            <v>technical</v>
          </cell>
          <cell r="L1470" t="str">
            <v>テクニカルタイプ</v>
          </cell>
          <cell r="M1470" t="str">
            <v>human</v>
          </cell>
        </row>
        <row r="1471">
          <cell r="A1471">
            <v>6001</v>
          </cell>
          <cell r="B1471" t="str">
            <v>ja</v>
          </cell>
          <cell r="C1471" t="str">
            <v>ジェリー</v>
          </cell>
          <cell r="D1471" t="str">
            <v>ノーマルクエスト</v>
          </cell>
          <cell r="E1471" t="str">
            <v>QoH</v>
          </cell>
          <cell r="F1471" t="str">
            <v>世界観</v>
          </cell>
          <cell r="G1471" t="str">
            <v>不明</v>
          </cell>
          <cell r="H1471" t="str">
            <v>red</v>
          </cell>
          <cell r="I1471">
            <v>1</v>
          </cell>
          <cell r="J1471" t="str">
            <v>Drop1T</v>
          </cell>
          <cell r="K1471" t="str">
            <v>ra</v>
          </cell>
          <cell r="L1471" t="str">
            <v>ラグランジュチャレンジ</v>
          </cell>
          <cell r="M1471" t="str">
            <v>unknown</v>
          </cell>
        </row>
        <row r="1472">
          <cell r="A1472">
            <v>6002</v>
          </cell>
          <cell r="B1472" t="str">
            <v>ja</v>
          </cell>
          <cell r="C1472" t="str">
            <v>ヨシタカ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男性</v>
          </cell>
          <cell r="H1472" t="str">
            <v>red</v>
          </cell>
          <cell r="I1472">
            <v>2</v>
          </cell>
          <cell r="J1472" t="str">
            <v>Drop1N</v>
          </cell>
          <cell r="K1472" t="str">
            <v>ra</v>
          </cell>
          <cell r="L1472" t="str">
            <v>ラグランジュチャレンジ</v>
          </cell>
          <cell r="M1472" t="str">
            <v>human</v>
          </cell>
        </row>
        <row r="1473">
          <cell r="A1473">
            <v>6003</v>
          </cell>
          <cell r="B1473" t="str">
            <v>ja</v>
          </cell>
          <cell r="C1473" t="str">
            <v>朱雀</v>
          </cell>
          <cell r="D1473" t="str">
            <v>リンクガチャ:4神</v>
          </cell>
          <cell r="E1473" t="str">
            <v>守護神</v>
          </cell>
          <cell r="F1473" t="str">
            <v>格好いい</v>
          </cell>
          <cell r="G1473" t="str">
            <v>不明</v>
          </cell>
          <cell r="H1473" t="str">
            <v>red</v>
          </cell>
          <cell r="I1473">
            <v>3</v>
          </cell>
          <cell r="J1473" t="str">
            <v>Drop2N</v>
          </cell>
          <cell r="K1473" t="str">
            <v>ra</v>
          </cell>
          <cell r="L1473" t="str">
            <v>ラグランジュチャレンジ</v>
          </cell>
          <cell r="M1473" t="str">
            <v>animal</v>
          </cell>
        </row>
        <row r="1474">
          <cell r="A1474">
            <v>6004</v>
          </cell>
          <cell r="B1474" t="str">
            <v>ja</v>
          </cell>
          <cell r="C1474" t="str">
            <v>ブレット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不明</v>
          </cell>
          <cell r="H1474" t="str">
            <v>red</v>
          </cell>
          <cell r="I1474">
            <v>1</v>
          </cell>
          <cell r="J1474" t="str">
            <v>Drop1W</v>
          </cell>
          <cell r="K1474" t="str">
            <v>ra</v>
          </cell>
          <cell r="L1474" t="str">
            <v>ラグランジュチャレンジ</v>
          </cell>
          <cell r="M1474" t="str">
            <v>animal</v>
          </cell>
        </row>
        <row r="1475">
          <cell r="A1475">
            <v>6005</v>
          </cell>
          <cell r="B1475" t="str">
            <v>ja</v>
          </cell>
          <cell r="C1475" t="str">
            <v>孤神 テティス</v>
          </cell>
          <cell r="D1475" t="str">
            <v>初期ガチャ</v>
          </cell>
          <cell r="E1475" t="str">
            <v>管理者</v>
          </cell>
          <cell r="F1475" t="str">
            <v>美しい</v>
          </cell>
          <cell r="G1475" t="str">
            <v>女性</v>
          </cell>
          <cell r="H1475" t="str">
            <v>blue</v>
          </cell>
          <cell r="I1475">
            <v>4</v>
          </cell>
          <cell r="J1475" t="str">
            <v>PremiumN</v>
          </cell>
          <cell r="K1475" t="str">
            <v>ra</v>
          </cell>
          <cell r="L1475" t="str">
            <v>ラグランジュチャレンジ</v>
          </cell>
          <cell r="M1475" t="str">
            <v>god</v>
          </cell>
        </row>
        <row r="1476">
          <cell r="A1476">
            <v>6006</v>
          </cell>
          <cell r="B1476" t="str">
            <v>ja</v>
          </cell>
          <cell r="C1476" t="str">
            <v>海底の孤高神 テティス</v>
          </cell>
          <cell r="D1476" t="str">
            <v>初期ガチャ</v>
          </cell>
          <cell r="E1476" t="str">
            <v>管理者</v>
          </cell>
          <cell r="F1476" t="str">
            <v>美しい</v>
          </cell>
          <cell r="G1476" t="str">
            <v>女性</v>
          </cell>
          <cell r="H1476" t="str">
            <v>blue</v>
          </cell>
          <cell r="I1476">
            <v>5</v>
          </cell>
          <cell r="J1476" t="str">
            <v>PremiumN</v>
          </cell>
          <cell r="K1476" t="str">
            <v>ra</v>
          </cell>
          <cell r="L1476" t="str">
            <v>ラグランジュチャレンジ</v>
          </cell>
          <cell r="M1476" t="str">
            <v>god</v>
          </cell>
        </row>
        <row r="1477">
          <cell r="A1477">
            <v>6007</v>
          </cell>
          <cell r="B1477" t="str">
            <v>ja</v>
          </cell>
          <cell r="C1477" t="str">
            <v>番犬 ケルベロス</v>
          </cell>
          <cell r="D1477" t="str">
            <v>初期ガチャ</v>
          </cell>
          <cell r="E1477" t="str">
            <v>破界者</v>
          </cell>
          <cell r="F1477" t="str">
            <v>可愛い</v>
          </cell>
          <cell r="G1477" t="str">
            <v>女性</v>
          </cell>
          <cell r="H1477" t="str">
            <v>red</v>
          </cell>
          <cell r="I1477">
            <v>4</v>
          </cell>
          <cell r="J1477" t="str">
            <v>PremiumN</v>
          </cell>
          <cell r="K1477" t="str">
            <v>ra</v>
          </cell>
          <cell r="L1477" t="str">
            <v>ラグランジュチャレンジ</v>
          </cell>
          <cell r="M1477" t="str">
            <v>animal</v>
          </cell>
        </row>
        <row r="1478">
          <cell r="A1478">
            <v>6008</v>
          </cell>
          <cell r="B1478" t="str">
            <v>ja</v>
          </cell>
          <cell r="C1478" t="str">
            <v>焔神 プロメテウス</v>
          </cell>
          <cell r="D1478" t="str">
            <v>初期ガチャ</v>
          </cell>
          <cell r="E1478" t="str">
            <v>管理者</v>
          </cell>
          <cell r="F1478" t="str">
            <v>格好いい</v>
          </cell>
          <cell r="G1478" t="str">
            <v>男性</v>
          </cell>
          <cell r="H1478" t="str">
            <v>red</v>
          </cell>
          <cell r="I1478">
            <v>4</v>
          </cell>
          <cell r="J1478" t="str">
            <v>PremiumN</v>
          </cell>
          <cell r="K1478" t="str">
            <v>ra</v>
          </cell>
          <cell r="L1478" t="str">
            <v>ラグランジュチャレンジ</v>
          </cell>
          <cell r="M1478" t="str">
            <v>god</v>
          </cell>
        </row>
        <row r="1479">
          <cell r="A1479">
            <v>6009</v>
          </cell>
          <cell r="B1479" t="str">
            <v>ja</v>
          </cell>
          <cell r="C1479" t="str">
            <v>超越自我 ラグランジュ</v>
          </cell>
          <cell r="D1479" t="str">
            <v>ガチャ:フィーバーフェス02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PremiumSSS</v>
          </cell>
          <cell r="K1479" t="str">
            <v>ra</v>
          </cell>
          <cell r="L1479" t="str">
            <v>ラグランジュチャレンジ</v>
          </cell>
          <cell r="M1479" t="str">
            <v>human</v>
          </cell>
        </row>
        <row r="1480">
          <cell r="A1480">
            <v>6010</v>
          </cell>
          <cell r="B1480" t="str">
            <v>ja</v>
          </cell>
          <cell r="C1480" t="str">
            <v>超越凌駕 ラグランジュ</v>
          </cell>
          <cell r="D1480" t="str">
            <v>ガチャ:フィーバーフェス02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PremiumSSS</v>
          </cell>
          <cell r="K1480" t="str">
            <v>ra</v>
          </cell>
          <cell r="L1480" t="str">
            <v>ラグランジュチャレンジ</v>
          </cell>
          <cell r="M1480" t="str">
            <v>human</v>
          </cell>
        </row>
        <row r="1481">
          <cell r="A1481">
            <v>6011</v>
          </cell>
          <cell r="B1481" t="str">
            <v>ja</v>
          </cell>
          <cell r="C1481" t="str">
            <v>パトドッグリーダー ポチ</v>
          </cell>
          <cell r="D1481" t="str">
            <v>ガチャ:フィーバーフェス02</v>
          </cell>
          <cell r="E1481" t="str">
            <v>執行者</v>
          </cell>
          <cell r="F1481" t="str">
            <v>格好いい</v>
          </cell>
          <cell r="G1481" t="str">
            <v>男性</v>
          </cell>
          <cell r="H1481" t="str">
            <v>blue</v>
          </cell>
          <cell r="I1481">
            <v>2</v>
          </cell>
          <cell r="J1481" t="str">
            <v>Drop1T</v>
          </cell>
          <cell r="K1481" t="str">
            <v>ra002</v>
          </cell>
          <cell r="L1481" t="str">
            <v>ユークリッドチャレンジ</v>
          </cell>
          <cell r="M1481" t="str">
            <v>unknown</v>
          </cell>
        </row>
        <row r="1482">
          <cell r="A1482">
            <v>6012</v>
          </cell>
          <cell r="B1482" t="str">
            <v>ja</v>
          </cell>
          <cell r="C1482" t="str">
            <v>ミミ</v>
          </cell>
          <cell r="D1482" t="str">
            <v>ガチャ:フィーバーフェス02</v>
          </cell>
          <cell r="E1482" t="str">
            <v>執行者</v>
          </cell>
          <cell r="F1482" t="str">
            <v>格好いい</v>
          </cell>
          <cell r="G1482" t="str">
            <v>男性</v>
          </cell>
          <cell r="H1482" t="str">
            <v>yellow</v>
          </cell>
          <cell r="I1482">
            <v>1</v>
          </cell>
          <cell r="J1482" t="str">
            <v>Drop1W</v>
          </cell>
          <cell r="K1482" t="str">
            <v>ra002</v>
          </cell>
          <cell r="L1482" t="str">
            <v>ユークリッドチャレンジ</v>
          </cell>
          <cell r="M1482" t="str">
            <v>animal</v>
          </cell>
        </row>
        <row r="1483">
          <cell r="A1483">
            <v>6013</v>
          </cell>
          <cell r="B1483" t="str">
            <v>ja</v>
          </cell>
          <cell r="C1483" t="str">
            <v>護衛機人 スケアクロウ</v>
          </cell>
          <cell r="D1483" t="str">
            <v>ガチャ:フィーバーフェス02</v>
          </cell>
          <cell r="E1483" t="str">
            <v>執行者</v>
          </cell>
          <cell r="F1483" t="str">
            <v>格好いい</v>
          </cell>
          <cell r="G1483" t="str">
            <v>男性</v>
          </cell>
          <cell r="H1483" t="str">
            <v>blue</v>
          </cell>
          <cell r="I1483">
            <v>2</v>
          </cell>
          <cell r="J1483" t="str">
            <v>Drop1N</v>
          </cell>
          <cell r="K1483" t="str">
            <v>ra002</v>
          </cell>
          <cell r="L1483" t="str">
            <v>ユークリッドチャレンジ</v>
          </cell>
          <cell r="M1483" t="str">
            <v>machine</v>
          </cell>
        </row>
        <row r="1484">
          <cell r="A1484">
            <v>6014</v>
          </cell>
          <cell r="B1484" t="str">
            <v>ja</v>
          </cell>
          <cell r="C1484" t="str">
            <v>月下の人狼 ローレンス</v>
          </cell>
          <cell r="D1484" t="str">
            <v>ガチャ:フィーバーフェス02</v>
          </cell>
          <cell r="E1484" t="str">
            <v>執行者</v>
          </cell>
          <cell r="F1484" t="str">
            <v>格好いい</v>
          </cell>
          <cell r="G1484" t="str">
            <v>男性</v>
          </cell>
          <cell r="H1484" t="str">
            <v>blue</v>
          </cell>
          <cell r="I1484">
            <v>4</v>
          </cell>
          <cell r="J1484" t="str">
            <v>PremiumW</v>
          </cell>
          <cell r="K1484" t="str">
            <v>ra002</v>
          </cell>
          <cell r="L1484" t="str">
            <v>ユークリッドチャレンジ</v>
          </cell>
          <cell r="M1484" t="str">
            <v>animal</v>
          </cell>
        </row>
        <row r="1485">
          <cell r="A1485">
            <v>6015</v>
          </cell>
          <cell r="B1485" t="str">
            <v>ja</v>
          </cell>
          <cell r="C1485" t="str">
            <v>フレイヤ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男性</v>
          </cell>
          <cell r="H1485" t="str">
            <v>blue</v>
          </cell>
          <cell r="I1485">
            <v>4</v>
          </cell>
          <cell r="J1485" t="str">
            <v>PremiumSS</v>
          </cell>
          <cell r="K1485" t="str">
            <v>ra002</v>
          </cell>
          <cell r="L1485" t="str">
            <v>ユークリッドチャレンジ</v>
          </cell>
          <cell r="M1485" t="str">
            <v>animal</v>
          </cell>
        </row>
        <row r="1486">
          <cell r="A1486">
            <v>6016</v>
          </cell>
          <cell r="B1486" t="str">
            <v>ja</v>
          </cell>
          <cell r="C1486" t="str">
            <v>根原論理 ユークリッド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blue</v>
          </cell>
          <cell r="I1486">
            <v>5</v>
          </cell>
          <cell r="J1486" t="str">
            <v>PremiumSSS</v>
          </cell>
          <cell r="K1486" t="str">
            <v>ra002</v>
          </cell>
          <cell r="L1486" t="str">
            <v>ユークリッドチャレンジ</v>
          </cell>
          <cell r="M1486" t="str">
            <v>human</v>
          </cell>
        </row>
        <row r="1487">
          <cell r="A1487">
            <v>6017</v>
          </cell>
          <cell r="B1487" t="str">
            <v>ja</v>
          </cell>
          <cell r="C1487" t="str">
            <v>不朽の極論 ユークリッド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6</v>
          </cell>
          <cell r="J1487" t="str">
            <v>PremiumSSS</v>
          </cell>
          <cell r="K1487" t="str">
            <v>ra002</v>
          </cell>
          <cell r="L1487" t="str">
            <v>ユークリッドチャレンジ</v>
          </cell>
          <cell r="M1487" t="str">
            <v>human</v>
          </cell>
        </row>
        <row r="1488">
          <cell r="A1488">
            <v>6018</v>
          </cell>
          <cell r="B1488" t="str">
            <v>ja</v>
          </cell>
          <cell r="C1488" t="str">
            <v>ハヅル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red</v>
          </cell>
          <cell r="I1488">
            <v>4</v>
          </cell>
          <cell r="J1488" t="str">
            <v>PremiumSS</v>
          </cell>
          <cell r="K1488" t="str">
            <v>ra002</v>
          </cell>
          <cell r="L1488" t="str">
            <v>ユークリッドチャレンジ</v>
          </cell>
          <cell r="M1488" t="str">
            <v>animal</v>
          </cell>
        </row>
        <row r="1489">
          <cell r="A1489">
            <v>6019</v>
          </cell>
          <cell r="B1489" t="str">
            <v>ja</v>
          </cell>
          <cell r="C1489" t="str">
            <v>天織羽鶴 ハヅル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red</v>
          </cell>
          <cell r="I1489">
            <v>5</v>
          </cell>
          <cell r="J1489" t="str">
            <v>PremiumSS</v>
          </cell>
          <cell r="K1489" t="str">
            <v>ra002</v>
          </cell>
          <cell r="L1489" t="str">
            <v>ユークリッドチャレンジ</v>
          </cell>
          <cell r="M1489" t="str">
            <v>animal</v>
          </cell>
        </row>
        <row r="1490">
          <cell r="A1490">
            <v>6020</v>
          </cell>
          <cell r="B1490" t="str">
            <v>ja</v>
          </cell>
          <cell r="C1490" t="str">
            <v>ミズチ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PremiumS</v>
          </cell>
          <cell r="K1490" t="str">
            <v>ra002</v>
          </cell>
          <cell r="L1490" t="str">
            <v>ユークリッドチャレンジ</v>
          </cell>
          <cell r="M1490" t="str">
            <v>dragon</v>
          </cell>
        </row>
        <row r="1491">
          <cell r="A1491">
            <v>8001</v>
          </cell>
          <cell r="B1491" t="str">
            <v>ja</v>
          </cell>
          <cell r="C1491" t="str">
            <v>媽祖</v>
          </cell>
          <cell r="D1491" t="str">
            <v>イベント:ミクコラボ01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yellow</v>
          </cell>
          <cell r="I1491">
            <v>5</v>
          </cell>
          <cell r="J1491" t="str">
            <v>PremiumSS</v>
          </cell>
          <cell r="K1491" t="str">
            <v>attack</v>
          </cell>
          <cell r="L1491" t="str">
            <v>攻撃タイプ</v>
          </cell>
          <cell r="M1491" t="str">
            <v>god</v>
          </cell>
        </row>
        <row r="1492">
          <cell r="A1492">
            <v>8002</v>
          </cell>
          <cell r="B1492" t="str">
            <v>ja</v>
          </cell>
          <cell r="C1492" t="str">
            <v>宣導する天海妃 媽祖</v>
          </cell>
          <cell r="D1492" t="str">
            <v>イベント:ミクコラボ01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yellow</v>
          </cell>
          <cell r="I1492">
            <v>6</v>
          </cell>
          <cell r="J1492" t="str">
            <v>PremiumSS</v>
          </cell>
          <cell r="K1492" t="str">
            <v>attack</v>
          </cell>
          <cell r="L1492" t="str">
            <v>攻撃タイプ</v>
          </cell>
          <cell r="M1492" t="str">
            <v>god</v>
          </cell>
        </row>
        <row r="1493">
          <cell r="A1493">
            <v>8003</v>
          </cell>
          <cell r="B1493" t="str">
            <v>ja</v>
          </cell>
          <cell r="C1493" t="str">
            <v>蛟龍</v>
          </cell>
          <cell r="D1493" t="str">
            <v>イベント:ミクコラボ01</v>
          </cell>
          <cell r="E1493" t="str">
            <v>執行者</v>
          </cell>
          <cell r="F1493" t="str">
            <v>格好いい</v>
          </cell>
          <cell r="G1493" t="str">
            <v>不明</v>
          </cell>
          <cell r="H1493" t="str">
            <v>blue</v>
          </cell>
          <cell r="I1493">
            <v>5</v>
          </cell>
          <cell r="J1493" t="str">
            <v>DropWizS</v>
          </cell>
          <cell r="K1493" t="str">
            <v>hp</v>
          </cell>
          <cell r="L1493" t="str">
            <v>体力タイプ</v>
          </cell>
          <cell r="M1493" t="str">
            <v>dragon</v>
          </cell>
        </row>
        <row r="1494">
          <cell r="A1494">
            <v>8004</v>
          </cell>
          <cell r="B1494" t="str">
            <v>ja</v>
          </cell>
          <cell r="C1494" t="str">
            <v>呼嵐の蒼棲龍 蛟龍</v>
          </cell>
          <cell r="D1494" t="str">
            <v>イベント:ミクコラボ01</v>
          </cell>
          <cell r="E1494" t="str">
            <v>執行者</v>
          </cell>
          <cell r="F1494" t="str">
            <v>格好いい</v>
          </cell>
          <cell r="G1494" t="str">
            <v>不明</v>
          </cell>
          <cell r="H1494" t="str">
            <v>blue</v>
          </cell>
          <cell r="I1494">
            <v>6</v>
          </cell>
          <cell r="J1494" t="str">
            <v>DropWizS</v>
          </cell>
          <cell r="K1494" t="str">
            <v>hp</v>
          </cell>
          <cell r="L1494" t="str">
            <v>体力タイプ</v>
          </cell>
          <cell r="M1494" t="str">
            <v>dragon</v>
          </cell>
        </row>
        <row r="1495">
          <cell r="A1495">
            <v>8005</v>
          </cell>
          <cell r="B1495" t="str">
            <v>ja</v>
          </cell>
          <cell r="C1495" t="str">
            <v>三蔵法師</v>
          </cell>
          <cell r="D1495" t="str">
            <v>イベント:ミクコラボ01</v>
          </cell>
          <cell r="E1495" t="str">
            <v>執行者</v>
          </cell>
          <cell r="F1495" t="str">
            <v>格好いい</v>
          </cell>
          <cell r="G1495" t="str">
            <v>不明</v>
          </cell>
          <cell r="H1495" t="str">
            <v>blue</v>
          </cell>
          <cell r="I1495">
            <v>5</v>
          </cell>
          <cell r="J1495" t="str">
            <v>PremiumSS</v>
          </cell>
          <cell r="K1495" t="str">
            <v>balance</v>
          </cell>
          <cell r="L1495" t="str">
            <v>バランスタイプ</v>
          </cell>
          <cell r="M1495" t="str">
            <v>human</v>
          </cell>
        </row>
        <row r="1496">
          <cell r="A1496">
            <v>8006</v>
          </cell>
          <cell r="B1496" t="str">
            <v>ja</v>
          </cell>
          <cell r="C1496" t="str">
            <v>慈戒の呪封使 三蔵法師</v>
          </cell>
          <cell r="D1496" t="str">
            <v>イベント:ミクコラボ01</v>
          </cell>
          <cell r="E1496" t="str">
            <v>執行者</v>
          </cell>
          <cell r="F1496" t="str">
            <v>格好いい</v>
          </cell>
          <cell r="G1496" t="str">
            <v>不明</v>
          </cell>
          <cell r="H1496" t="str">
            <v>blue</v>
          </cell>
          <cell r="I1496">
            <v>6</v>
          </cell>
          <cell r="J1496" t="str">
            <v>PremiumSS</v>
          </cell>
          <cell r="K1496" t="str">
            <v>balance</v>
          </cell>
          <cell r="L1496" t="str">
            <v>バランスタイプ</v>
          </cell>
          <cell r="M1496" t="str">
            <v>human</v>
          </cell>
        </row>
        <row r="1497">
          <cell r="A1497">
            <v>8007</v>
          </cell>
          <cell r="B1497" t="str">
            <v>ja</v>
          </cell>
          <cell r="C1497" t="str">
            <v>孫悟空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不明</v>
          </cell>
          <cell r="H1497" t="str">
            <v>red</v>
          </cell>
          <cell r="I1497">
            <v>5</v>
          </cell>
          <cell r="J1497" t="str">
            <v>DropWizS</v>
          </cell>
          <cell r="K1497" t="str">
            <v>attack</v>
          </cell>
          <cell r="L1497" t="str">
            <v>攻撃タイプ</v>
          </cell>
          <cell r="M1497" t="str">
            <v>animal</v>
          </cell>
        </row>
        <row r="1498">
          <cell r="A1498">
            <v>8008</v>
          </cell>
          <cell r="B1498" t="str">
            <v>ja</v>
          </cell>
          <cell r="C1498" t="str">
            <v>花果の天猿仙人 孫悟空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不明</v>
          </cell>
          <cell r="H1498" t="str">
            <v>red</v>
          </cell>
          <cell r="I1498">
            <v>6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8009</v>
          </cell>
          <cell r="B1499" t="str">
            <v>ja</v>
          </cell>
          <cell r="C1499" t="str">
            <v>西王娘娘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green</v>
          </cell>
          <cell r="I1499">
            <v>5</v>
          </cell>
          <cell r="J1499" t="str">
            <v>PremiumSS</v>
          </cell>
          <cell r="K1499" t="str">
            <v>attack</v>
          </cell>
          <cell r="L1499" t="str">
            <v>攻撃タイプ</v>
          </cell>
          <cell r="M1499" t="str">
            <v>god</v>
          </cell>
        </row>
        <row r="1500">
          <cell r="A1500">
            <v>8010</v>
          </cell>
          <cell r="B1500" t="str">
            <v>ja</v>
          </cell>
          <cell r="C1500" t="str">
            <v>極楽瑶池の聖母 西王娘娘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green</v>
          </cell>
          <cell r="I1500">
            <v>6</v>
          </cell>
          <cell r="J1500" t="str">
            <v>PremiumSS</v>
          </cell>
          <cell r="K1500" t="str">
            <v>attack</v>
          </cell>
          <cell r="L1500" t="str">
            <v>攻撃タイプ</v>
          </cell>
          <cell r="M1500" t="str">
            <v>god</v>
          </cell>
        </row>
        <row r="1501">
          <cell r="A1501">
            <v>8011</v>
          </cell>
          <cell r="B1501" t="str">
            <v>ja</v>
          </cell>
          <cell r="C1501" t="str">
            <v>月下老人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5</v>
          </cell>
          <cell r="J1501" t="str">
            <v>DropWizS</v>
          </cell>
          <cell r="K1501" t="str">
            <v>balance</v>
          </cell>
          <cell r="L1501" t="str">
            <v>バランスタイプ</v>
          </cell>
          <cell r="M1501" t="str">
            <v>god</v>
          </cell>
        </row>
        <row r="1502">
          <cell r="A1502">
            <v>8012</v>
          </cell>
          <cell r="B1502" t="str">
            <v>ja</v>
          </cell>
          <cell r="C1502" t="str">
            <v>破戀斬る縁剣 月下老人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yellow</v>
          </cell>
          <cell r="I1502">
            <v>6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8013</v>
          </cell>
          <cell r="B1503" t="str">
            <v>ja</v>
          </cell>
          <cell r="C1503" t="str">
            <v>初音ミクV3</v>
          </cell>
          <cell r="D1503" t="str">
            <v>初音ミクV3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yellow</v>
          </cell>
          <cell r="I1503">
            <v>4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8014</v>
          </cell>
          <cell r="B1504" t="str">
            <v>ja</v>
          </cell>
          <cell r="C1504" t="str">
            <v>初音ミクV3</v>
          </cell>
          <cell r="D1504" t="str">
            <v>初音ミクV3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yellow</v>
          </cell>
          <cell r="I1504">
            <v>5</v>
          </cell>
          <cell r="J1504" t="str">
            <v>DropWizS</v>
          </cell>
          <cell r="K1504" t="str">
            <v>balance</v>
          </cell>
          <cell r="L1504" t="str">
            <v>バランスタイプ</v>
          </cell>
          <cell r="M1504" t="str">
            <v>unknown</v>
          </cell>
        </row>
        <row r="1505">
          <cell r="A1505">
            <v>8015</v>
          </cell>
          <cell r="B1505" t="str">
            <v>ja</v>
          </cell>
          <cell r="C1505" t="str">
            <v>初音ミク・アペンド</v>
          </cell>
          <cell r="D1505" t="str">
            <v>初音ミク・アペンド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green</v>
          </cell>
          <cell r="I1505">
            <v>4</v>
          </cell>
          <cell r="J1505" t="str">
            <v>PremiumSSS</v>
          </cell>
          <cell r="K1505" t="str">
            <v>technical</v>
          </cell>
          <cell r="L1505" t="str">
            <v>テクニカルタイプ</v>
          </cell>
          <cell r="M1505" t="str">
            <v>unknown</v>
          </cell>
        </row>
        <row r="1506">
          <cell r="A1506">
            <v>8016</v>
          </cell>
          <cell r="B1506" t="str">
            <v>ja</v>
          </cell>
          <cell r="C1506" t="str">
            <v>初音ミク・アペンド</v>
          </cell>
          <cell r="D1506" t="str">
            <v>初音ミク・アペンド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green</v>
          </cell>
          <cell r="I1506">
            <v>5</v>
          </cell>
          <cell r="J1506" t="str">
            <v>PremiumSSS</v>
          </cell>
          <cell r="K1506" t="str">
            <v>technical</v>
          </cell>
          <cell r="L1506" t="str">
            <v>テクニカルタイプ</v>
          </cell>
          <cell r="M1506" t="str">
            <v>unknown</v>
          </cell>
        </row>
        <row r="1507">
          <cell r="A1507">
            <v>8017</v>
          </cell>
          <cell r="B1507" t="str">
            <v>ja</v>
          </cell>
          <cell r="C1507" t="str">
            <v>初音ミク</v>
          </cell>
          <cell r="D1507" t="str">
            <v>初音ミク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green</v>
          </cell>
          <cell r="I1507">
            <v>4</v>
          </cell>
          <cell r="J1507" t="str">
            <v>PremiumSSS</v>
          </cell>
          <cell r="K1507" t="str">
            <v>balance</v>
          </cell>
          <cell r="L1507" t="str">
            <v>バランスタイプ</v>
          </cell>
          <cell r="M1507" t="str">
            <v>unknown</v>
          </cell>
        </row>
        <row r="1508">
          <cell r="A1508">
            <v>8018</v>
          </cell>
          <cell r="B1508" t="str">
            <v>ja</v>
          </cell>
          <cell r="C1508" t="str">
            <v>初音ミク</v>
          </cell>
          <cell r="D1508" t="str">
            <v>初音ミク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green</v>
          </cell>
          <cell r="I1508">
            <v>5</v>
          </cell>
          <cell r="J1508" t="str">
            <v>PremiumSSS</v>
          </cell>
          <cell r="K1508" t="str">
            <v>balance</v>
          </cell>
          <cell r="L1508" t="str">
            <v>バランスタイプ</v>
          </cell>
          <cell r="M1508" t="str">
            <v>unknown</v>
          </cell>
        </row>
        <row r="1509">
          <cell r="A1509">
            <v>8019</v>
          </cell>
          <cell r="B1509" t="str">
            <v>ja</v>
          </cell>
          <cell r="C1509" t="str">
            <v>鏡音リン</v>
          </cell>
          <cell r="D1509" t="str">
            <v>鏡音リン</v>
          </cell>
          <cell r="E1509" t="str">
            <v>執行者</v>
          </cell>
          <cell r="F1509" t="str">
            <v>格好いい</v>
          </cell>
          <cell r="G1509" t="str">
            <v>男性</v>
          </cell>
          <cell r="H1509" t="str">
            <v>yellow</v>
          </cell>
          <cell r="I1509">
            <v>4</v>
          </cell>
          <cell r="J1509" t="str">
            <v>PremiumSS</v>
          </cell>
          <cell r="K1509" t="str">
            <v>balance</v>
          </cell>
          <cell r="L1509" t="str">
            <v>バランスタイプ</v>
          </cell>
          <cell r="M1509" t="str">
            <v>unknown</v>
          </cell>
        </row>
        <row r="1510">
          <cell r="A1510">
            <v>8020</v>
          </cell>
          <cell r="B1510" t="str">
            <v>ja</v>
          </cell>
          <cell r="C1510" t="str">
            <v>鏡音リン</v>
          </cell>
          <cell r="D1510" t="str">
            <v>鏡音リン</v>
          </cell>
          <cell r="E1510" t="str">
            <v>執行者</v>
          </cell>
          <cell r="F1510" t="str">
            <v>格好いい</v>
          </cell>
          <cell r="G1510" t="str">
            <v>男性</v>
          </cell>
          <cell r="H1510" t="str">
            <v>yellow</v>
          </cell>
          <cell r="I1510">
            <v>5</v>
          </cell>
          <cell r="J1510" t="str">
            <v>PremiumSS</v>
          </cell>
          <cell r="K1510" t="str">
            <v>balance</v>
          </cell>
          <cell r="L1510" t="str">
            <v>バランスタイプ</v>
          </cell>
          <cell r="M1510" t="str">
            <v>unknown</v>
          </cell>
        </row>
        <row r="1511">
          <cell r="A1511">
            <v>8021</v>
          </cell>
          <cell r="B1511" t="str">
            <v>ja</v>
          </cell>
          <cell r="C1511" t="str">
            <v>鏡音レン</v>
          </cell>
          <cell r="D1511" t="str">
            <v>鏡音レン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yellow</v>
          </cell>
          <cell r="I1511">
            <v>4</v>
          </cell>
          <cell r="J1511" t="str">
            <v>PremiumSS</v>
          </cell>
          <cell r="K1511" t="str">
            <v>heal</v>
          </cell>
          <cell r="L1511" t="str">
            <v>回復タイプ</v>
          </cell>
          <cell r="M1511" t="str">
            <v>unknown</v>
          </cell>
        </row>
        <row r="1512">
          <cell r="A1512">
            <v>8022</v>
          </cell>
          <cell r="B1512" t="str">
            <v>ja</v>
          </cell>
          <cell r="C1512" t="str">
            <v>鏡音レン</v>
          </cell>
          <cell r="D1512" t="str">
            <v>鏡音レン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heal</v>
          </cell>
          <cell r="L1512" t="str">
            <v>回復タイプ</v>
          </cell>
          <cell r="M1512" t="str">
            <v>unknown</v>
          </cell>
        </row>
        <row r="1513">
          <cell r="A1513">
            <v>8023</v>
          </cell>
          <cell r="B1513" t="str">
            <v>ja</v>
          </cell>
          <cell r="C1513" t="str">
            <v>巡音ルカ</v>
          </cell>
          <cell r="D1513" t="str">
            <v>巡音ルカ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3</v>
          </cell>
          <cell r="J1513" t="str">
            <v>PremiumS</v>
          </cell>
          <cell r="K1513" t="str">
            <v>attack</v>
          </cell>
          <cell r="L1513" t="str">
            <v>攻撃タイプ</v>
          </cell>
          <cell r="M1513" t="str">
            <v>unknown</v>
          </cell>
        </row>
        <row r="1514">
          <cell r="A1514">
            <v>8024</v>
          </cell>
          <cell r="B1514" t="str">
            <v>ja</v>
          </cell>
          <cell r="C1514" t="str">
            <v>巡音ルカ</v>
          </cell>
          <cell r="D1514" t="str">
            <v>巡音ルカ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4</v>
          </cell>
          <cell r="J1514" t="str">
            <v>PremiumS</v>
          </cell>
          <cell r="K1514" t="str">
            <v>attack</v>
          </cell>
          <cell r="L1514" t="str">
            <v>攻撃タイプ</v>
          </cell>
          <cell r="M1514" t="str">
            <v>unknown</v>
          </cell>
        </row>
        <row r="1515">
          <cell r="A1515">
            <v>8025</v>
          </cell>
          <cell r="B1515" t="str">
            <v>ja</v>
          </cell>
          <cell r="C1515" t="str">
            <v>MEIKO</v>
          </cell>
          <cell r="D1515" t="str">
            <v>MEIKO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red</v>
          </cell>
          <cell r="I1515">
            <v>3</v>
          </cell>
          <cell r="J1515" t="str">
            <v>PremiumS</v>
          </cell>
          <cell r="K1515" t="str">
            <v>hp</v>
          </cell>
          <cell r="L1515" t="str">
            <v>体力タイプ</v>
          </cell>
          <cell r="M1515" t="str">
            <v>unknown</v>
          </cell>
        </row>
        <row r="1516">
          <cell r="A1516">
            <v>8026</v>
          </cell>
          <cell r="B1516" t="str">
            <v>ja</v>
          </cell>
          <cell r="C1516" t="str">
            <v>MEIKO</v>
          </cell>
          <cell r="D1516" t="str">
            <v>MEIKO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red</v>
          </cell>
          <cell r="I1516">
            <v>4</v>
          </cell>
          <cell r="J1516" t="str">
            <v>PremiumS</v>
          </cell>
          <cell r="K1516" t="str">
            <v>hp</v>
          </cell>
          <cell r="L1516" t="str">
            <v>体力タイプ</v>
          </cell>
          <cell r="M1516" t="str">
            <v>unknown</v>
          </cell>
        </row>
        <row r="1517">
          <cell r="A1517">
            <v>8027</v>
          </cell>
          <cell r="B1517" t="str">
            <v>ja</v>
          </cell>
          <cell r="C1517" t="str">
            <v>KAITO</v>
          </cell>
          <cell r="D1517" t="str">
            <v>KAITO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blue</v>
          </cell>
          <cell r="I1517">
            <v>3</v>
          </cell>
          <cell r="J1517" t="str">
            <v>PremiumS</v>
          </cell>
          <cell r="K1517" t="str">
            <v>technical</v>
          </cell>
          <cell r="L1517" t="str">
            <v>テクニカルタイプ</v>
          </cell>
          <cell r="M1517" t="str">
            <v>unknown</v>
          </cell>
        </row>
        <row r="1518">
          <cell r="A1518">
            <v>8028</v>
          </cell>
          <cell r="B1518" t="str">
            <v>ja</v>
          </cell>
          <cell r="C1518" t="str">
            <v>KAITO</v>
          </cell>
          <cell r="D1518" t="str">
            <v>KAITO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blue</v>
          </cell>
          <cell r="I1518">
            <v>4</v>
          </cell>
          <cell r="J1518" t="str">
            <v>PremiumS</v>
          </cell>
          <cell r="K1518" t="str">
            <v>technical</v>
          </cell>
          <cell r="L1518" t="str">
            <v>テクニカルタイプ</v>
          </cell>
          <cell r="M1518" t="str">
            <v>unknown</v>
          </cell>
        </row>
        <row r="1519">
          <cell r="A1519">
            <v>8029</v>
          </cell>
          <cell r="B1519" t="str">
            <v>ja</v>
          </cell>
          <cell r="C1519" t="str">
            <v>Expoミク</v>
          </cell>
          <cell r="D1519" t="str">
            <v>Expoミク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blue</v>
          </cell>
          <cell r="I1519">
            <v>4</v>
          </cell>
          <cell r="J1519" t="str">
            <v>Drop2N</v>
          </cell>
          <cell r="K1519" t="str">
            <v>heal</v>
          </cell>
          <cell r="L1519" t="str">
            <v>回復タイプ</v>
          </cell>
          <cell r="M1519" t="str">
            <v>unknown</v>
          </cell>
        </row>
        <row r="1520">
          <cell r="A1520">
            <v>8030</v>
          </cell>
          <cell r="B1520" t="str">
            <v>ja</v>
          </cell>
          <cell r="C1520" t="str">
            <v>Expoミク</v>
          </cell>
          <cell r="D1520" t="str">
            <v>Expoミク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blue</v>
          </cell>
          <cell r="I1520">
            <v>5</v>
          </cell>
          <cell r="J1520" t="str">
            <v>Drop2N</v>
          </cell>
          <cell r="K1520" t="str">
            <v>heal</v>
          </cell>
          <cell r="L1520" t="str">
            <v>回復タイプ</v>
          </cell>
          <cell r="M1520" t="str">
            <v>unknown</v>
          </cell>
        </row>
        <row r="1521">
          <cell r="A1521">
            <v>8031</v>
          </cell>
          <cell r="B1521" t="str">
            <v>ja</v>
          </cell>
          <cell r="C1521" t="str">
            <v>閻羅王</v>
          </cell>
          <cell r="D1521" t="str">
            <v>Expoミク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red</v>
          </cell>
          <cell r="I1521">
            <v>5</v>
          </cell>
          <cell r="J1521" t="str">
            <v>PremiumSS</v>
          </cell>
          <cell r="K1521" t="str">
            <v>balance</v>
          </cell>
          <cell r="L1521" t="str">
            <v>バランスタイプ</v>
          </cell>
          <cell r="M1521" t="str">
            <v>god</v>
          </cell>
        </row>
        <row r="1522">
          <cell r="A1522">
            <v>8032</v>
          </cell>
          <cell r="B1522" t="str">
            <v>ja</v>
          </cell>
          <cell r="C1522" t="str">
            <v>六道輪廻の絶獄 閻羅王</v>
          </cell>
          <cell r="D1522" t="str">
            <v>Expoミク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red</v>
          </cell>
          <cell r="I1522">
            <v>6</v>
          </cell>
          <cell r="J1522" t="str">
            <v>PremiumSS</v>
          </cell>
          <cell r="K1522" t="str">
            <v>balance</v>
          </cell>
          <cell r="L1522" t="str">
            <v>バランスタイプ</v>
          </cell>
          <cell r="M1522" t="str">
            <v>god</v>
          </cell>
        </row>
        <row r="1523">
          <cell r="A1523">
            <v>8033</v>
          </cell>
          <cell r="B1523" t="str">
            <v>ja</v>
          </cell>
          <cell r="C1523" t="str">
            <v>牛頭馬面</v>
          </cell>
          <cell r="D1523" t="str">
            <v>Expoミク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5</v>
          </cell>
          <cell r="J1523" t="str">
            <v>DropWizS</v>
          </cell>
          <cell r="K1523" t="str">
            <v>attack</v>
          </cell>
          <cell r="L1523" t="str">
            <v>攻撃タイプ</v>
          </cell>
          <cell r="M1523" t="str">
            <v>god</v>
          </cell>
        </row>
        <row r="1524">
          <cell r="A1524">
            <v>8034</v>
          </cell>
          <cell r="B1524" t="str">
            <v>ja</v>
          </cell>
          <cell r="C1524" t="str">
            <v>冥府狩る魂使 牛頭馬面</v>
          </cell>
          <cell r="D1524" t="str">
            <v>Expoミク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green</v>
          </cell>
          <cell r="I1524">
            <v>6</v>
          </cell>
          <cell r="J1524" t="str">
            <v>DropWizS</v>
          </cell>
          <cell r="K1524" t="str">
            <v>attack</v>
          </cell>
          <cell r="L1524" t="str">
            <v>攻撃タイプ</v>
          </cell>
          <cell r="M1524" t="str">
            <v>god</v>
          </cell>
        </row>
        <row r="1525">
          <cell r="A1525">
            <v>8035</v>
          </cell>
          <cell r="B1525" t="str">
            <v>ja</v>
          </cell>
          <cell r="C1525" t="str">
            <v>飛衛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5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human</v>
          </cell>
        </row>
        <row r="1526">
          <cell r="A1526">
            <v>8036</v>
          </cell>
          <cell r="B1526" t="str">
            <v>ja</v>
          </cell>
          <cell r="C1526" t="str">
            <v>レア６飛衛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6</v>
          </cell>
          <cell r="J1526" t="str">
            <v>PremiumSS</v>
          </cell>
          <cell r="K1526" t="str">
            <v>heal</v>
          </cell>
          <cell r="L1526" t="str">
            <v>回復タイプ</v>
          </cell>
          <cell r="M1526" t="str">
            <v>human</v>
          </cell>
        </row>
        <row r="1527">
          <cell r="A1527">
            <v>8037</v>
          </cell>
          <cell r="B1527" t="str">
            <v>ja</v>
          </cell>
          <cell r="C1527" t="str">
            <v>紀昌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DropWizS</v>
          </cell>
          <cell r="K1527" t="str">
            <v>attack</v>
          </cell>
          <cell r="L1527" t="str">
            <v>攻撃タイプ</v>
          </cell>
          <cell r="M1527" t="str">
            <v>human</v>
          </cell>
        </row>
        <row r="1528">
          <cell r="A1528">
            <v>8038</v>
          </cell>
          <cell r="B1528" t="str">
            <v>ja</v>
          </cell>
          <cell r="C1528" t="str">
            <v>レア６紀昌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DropWizS</v>
          </cell>
          <cell r="K1528" t="str">
            <v>attack</v>
          </cell>
          <cell r="L1528" t="str">
            <v>攻撃タイプ</v>
          </cell>
          <cell r="M1528" t="str">
            <v>human</v>
          </cell>
        </row>
        <row r="1529">
          <cell r="A1529">
            <v>8039</v>
          </cell>
          <cell r="B1529" t="str">
            <v>ja</v>
          </cell>
          <cell r="C1529" t="str">
            <v>何仙姑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yellow</v>
          </cell>
          <cell r="I1529">
            <v>5</v>
          </cell>
          <cell r="J1529" t="str">
            <v>PremiumSSw</v>
          </cell>
          <cell r="K1529" t="str">
            <v>hp</v>
          </cell>
          <cell r="L1529" t="str">
            <v>体力タイプ</v>
          </cell>
          <cell r="M1529" t="str">
            <v>god</v>
          </cell>
        </row>
        <row r="1530">
          <cell r="A1530">
            <v>8040</v>
          </cell>
          <cell r="B1530" t="str">
            <v>ja</v>
          </cell>
          <cell r="C1530" t="str">
            <v>レア６何仙姑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6</v>
          </cell>
          <cell r="J1530" t="str">
            <v>PremiumSSw</v>
          </cell>
          <cell r="K1530" t="str">
            <v>hp</v>
          </cell>
          <cell r="L1530" t="str">
            <v>体力タイプ</v>
          </cell>
          <cell r="M1530" t="str">
            <v>god</v>
          </cell>
        </row>
        <row r="1531">
          <cell r="A1531">
            <v>8041</v>
          </cell>
          <cell r="B1531" t="str">
            <v>ja</v>
          </cell>
          <cell r="C1531" t="str">
            <v>藍采和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DropWizS</v>
          </cell>
          <cell r="K1531" t="str">
            <v>balance</v>
          </cell>
          <cell r="L1531" t="str">
            <v>バランスタイプ</v>
          </cell>
          <cell r="M1531" t="str">
            <v>god</v>
          </cell>
        </row>
        <row r="1532">
          <cell r="A1532">
            <v>8042</v>
          </cell>
          <cell r="B1532" t="str">
            <v>ja</v>
          </cell>
          <cell r="C1532" t="str">
            <v>レア６藍采和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DropWizS</v>
          </cell>
          <cell r="K1532" t="str">
            <v>balance</v>
          </cell>
          <cell r="L1532" t="str">
            <v>バランスタイプ</v>
          </cell>
          <cell r="M1532" t="str">
            <v>god</v>
          </cell>
        </row>
        <row r="1533">
          <cell r="A1533">
            <v>8043</v>
          </cell>
          <cell r="B1533" t="str">
            <v>ja</v>
          </cell>
          <cell r="C1533" t="str">
            <v>サンリオキャラ大集合+アザゼル</v>
          </cell>
          <cell r="D1533" t="str">
            <v>サンリオキャラ大集合+アザゼル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green</v>
          </cell>
          <cell r="I1533">
            <v>5</v>
          </cell>
          <cell r="J1533" t="str">
            <v>DropWizS</v>
          </cell>
          <cell r="K1533" t="str">
            <v>technical</v>
          </cell>
          <cell r="L1533" t="str">
            <v>テクニカルタイプ</v>
          </cell>
          <cell r="M1533" t="str">
            <v>ss</v>
          </cell>
        </row>
        <row r="1534">
          <cell r="A1534">
            <v>8044</v>
          </cell>
          <cell r="B1534" t="str">
            <v>ja</v>
          </cell>
          <cell r="C1534" t="str">
            <v>サンリオキャラ大集合+アザゼル</v>
          </cell>
          <cell r="D1534" t="str">
            <v>サンリオキャラ大集合+アザゼル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green</v>
          </cell>
          <cell r="I1534">
            <v>6</v>
          </cell>
          <cell r="J1534" t="str">
            <v>DropWizS</v>
          </cell>
          <cell r="K1534" t="str">
            <v>technical</v>
          </cell>
          <cell r="L1534" t="str">
            <v>テクニカルタイプ</v>
          </cell>
          <cell r="M1534" t="str">
            <v>ss</v>
          </cell>
        </row>
        <row r="1535">
          <cell r="A1535">
            <v>8045</v>
          </cell>
          <cell r="B1535" t="str">
            <v>ja</v>
          </cell>
          <cell r="C1535" t="str">
            <v>ニムダ_サンリオキャラ混じり</v>
          </cell>
          <cell r="D1535" t="str">
            <v>ニムダ_サンリオキャラ混じり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4</v>
          </cell>
          <cell r="J1535" t="str">
            <v>Drop2N</v>
          </cell>
          <cell r="K1535" t="str">
            <v>technical</v>
          </cell>
          <cell r="L1535" t="str">
            <v>テクニカルタイプ</v>
          </cell>
          <cell r="M1535" t="str">
            <v>ss</v>
          </cell>
        </row>
        <row r="1536">
          <cell r="A1536">
            <v>8046</v>
          </cell>
          <cell r="B1536" t="str">
            <v>ja</v>
          </cell>
          <cell r="C1536" t="str">
            <v>ニムダ_サンリオキャラ混じり</v>
          </cell>
          <cell r="D1536" t="str">
            <v>ニムダ_サンリオキャラ混じり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5</v>
          </cell>
          <cell r="J1536" t="str">
            <v>Drop2N</v>
          </cell>
          <cell r="K1536" t="str">
            <v>technical</v>
          </cell>
          <cell r="L1536" t="str">
            <v>テクニカルタイプ</v>
          </cell>
          <cell r="M1536" t="str">
            <v>ss</v>
          </cell>
        </row>
        <row r="1537">
          <cell r="A1537">
            <v>8047</v>
          </cell>
          <cell r="B1537" t="str">
            <v>ja</v>
          </cell>
          <cell r="C1537" t="str">
            <v>ハローキティ</v>
          </cell>
          <cell r="D1537" t="str">
            <v>ハローキティ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4</v>
          </cell>
          <cell r="J1537" t="str">
            <v>Drop2N</v>
          </cell>
          <cell r="K1537" t="str">
            <v>balance</v>
          </cell>
          <cell r="L1537" t="str">
            <v>バランスタイプ</v>
          </cell>
          <cell r="M1537" t="str">
            <v>ss</v>
          </cell>
        </row>
        <row r="1538">
          <cell r="A1538">
            <v>8048</v>
          </cell>
          <cell r="B1538" t="str">
            <v>ja</v>
          </cell>
          <cell r="C1538" t="str">
            <v>ハローキティ</v>
          </cell>
          <cell r="D1538" t="str">
            <v>ハローキティ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red</v>
          </cell>
          <cell r="I1538">
            <v>5</v>
          </cell>
          <cell r="J1538" t="str">
            <v>Drop2N</v>
          </cell>
          <cell r="K1538" t="str">
            <v>balance</v>
          </cell>
          <cell r="L1538" t="str">
            <v>バランスタイプ</v>
          </cell>
          <cell r="M1538" t="str">
            <v>ss</v>
          </cell>
        </row>
        <row r="1539">
          <cell r="A1539">
            <v>8049</v>
          </cell>
          <cell r="B1539" t="str">
            <v>ja</v>
          </cell>
          <cell r="C1539" t="str">
            <v>KIRIMIちゃん</v>
          </cell>
          <cell r="D1539" t="str">
            <v>KIRIMIちゃん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red</v>
          </cell>
          <cell r="I1539">
            <v>4</v>
          </cell>
          <cell r="J1539" t="str">
            <v>Drop2N</v>
          </cell>
          <cell r="K1539" t="str">
            <v>hp</v>
          </cell>
          <cell r="L1539" t="str">
            <v>体力タイプ</v>
          </cell>
          <cell r="M1539" t="str">
            <v>ss</v>
          </cell>
        </row>
        <row r="1540">
          <cell r="A1540">
            <v>8050</v>
          </cell>
          <cell r="B1540" t="str">
            <v>ja</v>
          </cell>
          <cell r="C1540" t="str">
            <v>KIRIMIちゃん</v>
          </cell>
          <cell r="D1540" t="str">
            <v>KIRIMIちゃん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5</v>
          </cell>
          <cell r="J1540" t="str">
            <v>Drop2N</v>
          </cell>
          <cell r="K1540" t="str">
            <v>hp</v>
          </cell>
          <cell r="L1540" t="str">
            <v>体力タイプ</v>
          </cell>
          <cell r="M1540" t="str">
            <v>ss</v>
          </cell>
        </row>
        <row r="1541">
          <cell r="A1541">
            <v>8051</v>
          </cell>
          <cell r="B1541" t="str">
            <v>ja</v>
          </cell>
          <cell r="C1541" t="str">
            <v>ハローキティのリボン</v>
          </cell>
          <cell r="D1541" t="str">
            <v>ハローキティのリボン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5</v>
          </cell>
          <cell r="J1541" t="str">
            <v>Drop2N</v>
          </cell>
          <cell r="K1541" t="str">
            <v>evolution</v>
          </cell>
          <cell r="L1541" t="str">
            <v>覚醒素材タイプ</v>
          </cell>
          <cell r="M1541" t="str">
            <v>ss</v>
          </cell>
        </row>
        <row r="1542">
          <cell r="A1542">
            <v>8052</v>
          </cell>
          <cell r="B1542" t="str">
            <v>ja</v>
          </cell>
          <cell r="C1542" t="str">
            <v>ママの作ったアップルパイ</v>
          </cell>
          <cell r="D1542" t="str">
            <v>ママの作ったアップルパイ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red</v>
          </cell>
          <cell r="I1542">
            <v>4</v>
          </cell>
          <cell r="J1542" t="str">
            <v>Drop2N</v>
          </cell>
          <cell r="K1542" t="str">
            <v>evolution</v>
          </cell>
          <cell r="L1542" t="str">
            <v>覚醒素材タイプ</v>
          </cell>
          <cell r="M1542" t="str">
            <v>ss</v>
          </cell>
        </row>
        <row r="1543">
          <cell r="A1543">
            <v>8053</v>
          </cell>
          <cell r="B1543" t="str">
            <v>ja</v>
          </cell>
          <cell r="C1543" t="str">
            <v>D.R.T.H__キティコスプレ</v>
          </cell>
          <cell r="D1543" t="str">
            <v>D.R.T.H__キティコスプレ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5</v>
          </cell>
          <cell r="J1543" t="str">
            <v>PremiumSS</v>
          </cell>
          <cell r="K1543" t="str">
            <v>balance</v>
          </cell>
          <cell r="L1543" t="str">
            <v>バランスタイプ</v>
          </cell>
          <cell r="M1543" t="str">
            <v>ss</v>
          </cell>
        </row>
        <row r="1544">
          <cell r="A1544">
            <v>8054</v>
          </cell>
          <cell r="B1544" t="str">
            <v>ja</v>
          </cell>
          <cell r="C1544" t="str">
            <v>D.R.T.H__キティコスプレ</v>
          </cell>
          <cell r="D1544" t="str">
            <v>D.R.T.H__キティコスプレ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6</v>
          </cell>
          <cell r="J1544" t="str">
            <v>PremiumSS</v>
          </cell>
          <cell r="K1544" t="str">
            <v>balance</v>
          </cell>
          <cell r="L1544" t="str">
            <v>バランスタイプ</v>
          </cell>
          <cell r="M1544" t="str">
            <v>ss</v>
          </cell>
        </row>
        <row r="1545">
          <cell r="A1545">
            <v>8055</v>
          </cell>
          <cell r="B1545" t="str">
            <v>ja</v>
          </cell>
          <cell r="C1545" t="str">
            <v>マイメロディ</v>
          </cell>
          <cell r="D1545" t="str">
            <v>マイメロディ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PremiumS</v>
          </cell>
          <cell r="K1545" t="str">
            <v>attack</v>
          </cell>
          <cell r="L1545" t="str">
            <v>攻撃タイプ</v>
          </cell>
          <cell r="M1545" t="str">
            <v>ss</v>
          </cell>
        </row>
        <row r="1546">
          <cell r="A1546">
            <v>8056</v>
          </cell>
          <cell r="B1546" t="str">
            <v>ja</v>
          </cell>
          <cell r="C1546" t="str">
            <v>マイメロディ</v>
          </cell>
          <cell r="D1546" t="str">
            <v>マイメロディ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PremiumS</v>
          </cell>
          <cell r="K1546" t="str">
            <v>attack</v>
          </cell>
          <cell r="L1546" t="str">
            <v>攻撃タイプ</v>
          </cell>
          <cell r="M1546" t="str">
            <v>ss</v>
          </cell>
        </row>
        <row r="1547">
          <cell r="A1547">
            <v>8057</v>
          </cell>
          <cell r="B1547" t="str">
            <v>ja</v>
          </cell>
          <cell r="C1547" t="str">
            <v>ニーベルゲン_シナモロールコスプレ</v>
          </cell>
          <cell r="D1547" t="str">
            <v>ニーベルゲン_シナモロールコスプレ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green</v>
          </cell>
          <cell r="I1547">
            <v>4</v>
          </cell>
          <cell r="J1547" t="str">
            <v>PremiumS</v>
          </cell>
          <cell r="K1547" t="str">
            <v>balance</v>
          </cell>
          <cell r="L1547" t="str">
            <v>バランスタイプ</v>
          </cell>
          <cell r="M1547" t="str">
            <v>ss</v>
          </cell>
        </row>
        <row r="1548">
          <cell r="A1548">
            <v>8058</v>
          </cell>
          <cell r="B1548" t="str">
            <v>ja</v>
          </cell>
          <cell r="C1548" t="str">
            <v>ニーベルゲン_シナモロールコスプレ</v>
          </cell>
          <cell r="D1548" t="str">
            <v>ニーベルゲン_シナモロールコスプレ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green</v>
          </cell>
          <cell r="I1548">
            <v>5</v>
          </cell>
          <cell r="J1548" t="str">
            <v>PremiumS</v>
          </cell>
          <cell r="K1548" t="str">
            <v>balance</v>
          </cell>
          <cell r="L1548" t="str">
            <v>バランスタイプ</v>
          </cell>
          <cell r="M1548" t="str">
            <v>ss</v>
          </cell>
        </row>
        <row r="1549">
          <cell r="A1549">
            <v>8059</v>
          </cell>
          <cell r="B1549" t="str">
            <v>ja</v>
          </cell>
          <cell r="C1549" t="str">
            <v>カカシ_マイメロディコスプレ</v>
          </cell>
          <cell r="D1549" t="str">
            <v>カカシ_マイメロディコスプレ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green</v>
          </cell>
          <cell r="I1549">
            <v>4</v>
          </cell>
          <cell r="J1549" t="str">
            <v>PremiumS</v>
          </cell>
          <cell r="K1549" t="str">
            <v>technical</v>
          </cell>
          <cell r="L1549" t="str">
            <v>テクニカルタイプ</v>
          </cell>
          <cell r="M1549" t="str">
            <v>ss</v>
          </cell>
        </row>
        <row r="1550">
          <cell r="A1550">
            <v>8060</v>
          </cell>
          <cell r="B1550" t="str">
            <v>ja</v>
          </cell>
          <cell r="C1550" t="str">
            <v>カカシ_マイメロディコスプレ</v>
          </cell>
          <cell r="D1550" t="str">
            <v>カカシ_マイメロディコスプレ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green</v>
          </cell>
          <cell r="I1550">
            <v>5</v>
          </cell>
          <cell r="J1550" t="str">
            <v>PremiumS</v>
          </cell>
          <cell r="K1550" t="str">
            <v>technical</v>
          </cell>
          <cell r="L1550" t="str">
            <v>テクニカルタイプ</v>
          </cell>
          <cell r="M1550" t="str">
            <v>ss</v>
          </cell>
        </row>
        <row r="1551">
          <cell r="A1551">
            <v>8061</v>
          </cell>
          <cell r="B1551" t="str">
            <v>ja</v>
          </cell>
          <cell r="C1551" t="str">
            <v>ケロケロけろっぴ</v>
          </cell>
          <cell r="D1551" t="str">
            <v>ケロケロけろっぴ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green</v>
          </cell>
          <cell r="I1551">
            <v>3</v>
          </cell>
          <cell r="J1551" t="str">
            <v>PremiumS</v>
          </cell>
          <cell r="K1551" t="str">
            <v>balance</v>
          </cell>
          <cell r="L1551" t="str">
            <v>バランスタイプ</v>
          </cell>
          <cell r="M1551" t="str">
            <v>ss</v>
          </cell>
        </row>
        <row r="1552">
          <cell r="A1552">
            <v>8062</v>
          </cell>
          <cell r="B1552" t="str">
            <v>ja</v>
          </cell>
          <cell r="C1552" t="str">
            <v>ケロケロけろっぴ</v>
          </cell>
          <cell r="D1552" t="str">
            <v>ケロケロけろっぴ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green</v>
          </cell>
          <cell r="I1552">
            <v>4</v>
          </cell>
          <cell r="J1552" t="str">
            <v>PremiumS</v>
          </cell>
          <cell r="K1552" t="str">
            <v>balance</v>
          </cell>
          <cell r="L1552" t="str">
            <v>バランスタイプ</v>
          </cell>
          <cell r="M1552" t="str">
            <v>ss</v>
          </cell>
        </row>
        <row r="1553">
          <cell r="A1553">
            <v>8063</v>
          </cell>
          <cell r="B1553" t="str">
            <v>ja</v>
          </cell>
          <cell r="C1553" t="str">
            <v>モルドレッド_ポムポムプリンコスプレ</v>
          </cell>
          <cell r="D1553" t="str">
            <v>モルドレッド_ポムポムプリンコスプレ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blue</v>
          </cell>
          <cell r="I1553">
            <v>5</v>
          </cell>
          <cell r="J1553" t="str">
            <v>PremiumSS</v>
          </cell>
          <cell r="K1553" t="str">
            <v>heal</v>
          </cell>
          <cell r="L1553" t="str">
            <v>回復タイプ</v>
          </cell>
          <cell r="M1553" t="str">
            <v>ss</v>
          </cell>
        </row>
        <row r="1554">
          <cell r="A1554">
            <v>8064</v>
          </cell>
          <cell r="B1554" t="str">
            <v>ja</v>
          </cell>
          <cell r="C1554" t="str">
            <v>モルドレッド_ポムポムプリンコスプレ</v>
          </cell>
          <cell r="D1554" t="str">
            <v>モルドレッド_ポムポムプリンコスプレ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blue</v>
          </cell>
          <cell r="I1554">
            <v>6</v>
          </cell>
          <cell r="J1554" t="str">
            <v>PremiumSS</v>
          </cell>
          <cell r="K1554" t="str">
            <v>heal</v>
          </cell>
          <cell r="L1554" t="str">
            <v>回復タイプ</v>
          </cell>
          <cell r="M1554" t="str">
            <v>ss</v>
          </cell>
        </row>
        <row r="1555">
          <cell r="A1555">
            <v>8065</v>
          </cell>
          <cell r="B1555" t="str">
            <v>ja</v>
          </cell>
          <cell r="C1555" t="str">
            <v>クロミ</v>
          </cell>
          <cell r="D1555" t="str">
            <v>クロミ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blue</v>
          </cell>
          <cell r="I1555">
            <v>3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8066</v>
          </cell>
          <cell r="B1556" t="str">
            <v>ja</v>
          </cell>
          <cell r="C1556" t="str">
            <v>クロミ</v>
          </cell>
          <cell r="D1556" t="str">
            <v>クロミ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blue</v>
          </cell>
          <cell r="I1556">
            <v>4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8067</v>
          </cell>
          <cell r="B1557" t="str">
            <v>ja</v>
          </cell>
          <cell r="C1557" t="str">
            <v>バッドばつ丸</v>
          </cell>
          <cell r="D1557" t="str">
            <v>バッドばつ丸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blue</v>
          </cell>
          <cell r="I1557">
            <v>3</v>
          </cell>
          <cell r="J1557" t="str">
            <v>PremiumS</v>
          </cell>
          <cell r="K1557" t="str">
            <v>attack</v>
          </cell>
          <cell r="L1557" t="str">
            <v>攻撃タイプ</v>
          </cell>
          <cell r="M1557" t="str">
            <v>ss</v>
          </cell>
        </row>
        <row r="1558">
          <cell r="A1558">
            <v>8068</v>
          </cell>
          <cell r="B1558" t="str">
            <v>ja</v>
          </cell>
          <cell r="C1558" t="str">
            <v>バッドばつ丸</v>
          </cell>
          <cell r="D1558" t="str">
            <v>バッドばつ丸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blue</v>
          </cell>
          <cell r="I1558">
            <v>4</v>
          </cell>
          <cell r="J1558" t="str">
            <v>PremiumS</v>
          </cell>
          <cell r="K1558" t="str">
            <v>attack</v>
          </cell>
          <cell r="L1558" t="str">
            <v>攻撃タイプ</v>
          </cell>
          <cell r="M1558" t="str">
            <v>ss</v>
          </cell>
        </row>
        <row r="1559">
          <cell r="A1559">
            <v>8069</v>
          </cell>
          <cell r="B1559" t="str">
            <v>ja</v>
          </cell>
          <cell r="C1559" t="str">
            <v>シナモロール</v>
          </cell>
          <cell r="D1559" t="str">
            <v>シナモロール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yellow</v>
          </cell>
          <cell r="I1559">
            <v>4</v>
          </cell>
          <cell r="J1559" t="str">
            <v>PremiumS</v>
          </cell>
          <cell r="K1559" t="str">
            <v>heal</v>
          </cell>
          <cell r="L1559" t="str">
            <v>回復タイプ</v>
          </cell>
          <cell r="M1559" t="str">
            <v>ss</v>
          </cell>
        </row>
        <row r="1560">
          <cell r="A1560">
            <v>8070</v>
          </cell>
          <cell r="B1560" t="str">
            <v>ja</v>
          </cell>
          <cell r="C1560" t="str">
            <v>シナモロール</v>
          </cell>
          <cell r="D1560" t="str">
            <v>シナモロール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yellow</v>
          </cell>
          <cell r="I1560">
            <v>5</v>
          </cell>
          <cell r="J1560" t="str">
            <v>PremiumS</v>
          </cell>
          <cell r="K1560" t="str">
            <v>heal</v>
          </cell>
          <cell r="L1560" t="str">
            <v>回復タイプ</v>
          </cell>
          <cell r="M1560" t="str">
            <v>ss</v>
          </cell>
        </row>
        <row r="1561">
          <cell r="A1561">
            <v>8071</v>
          </cell>
          <cell r="B1561" t="str">
            <v>ja</v>
          </cell>
          <cell r="C1561" t="str">
            <v>ポムポムプリン</v>
          </cell>
          <cell r="D1561" t="str">
            <v>ポムポムプリン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yellow</v>
          </cell>
          <cell r="I1561">
            <v>3</v>
          </cell>
          <cell r="J1561" t="str">
            <v>PremiumS</v>
          </cell>
          <cell r="K1561" t="str">
            <v>hp</v>
          </cell>
          <cell r="L1561" t="str">
            <v>体力タイプ</v>
          </cell>
          <cell r="M1561" t="str">
            <v>ss</v>
          </cell>
        </row>
        <row r="1562">
          <cell r="A1562">
            <v>8072</v>
          </cell>
          <cell r="B1562" t="str">
            <v>ja</v>
          </cell>
          <cell r="C1562" t="str">
            <v>ポムポムプリン</v>
          </cell>
          <cell r="D1562" t="str">
            <v>ポムポムプリン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yellow</v>
          </cell>
          <cell r="I1562">
            <v>4</v>
          </cell>
          <cell r="J1562" t="str">
            <v>PremiumS</v>
          </cell>
          <cell r="K1562" t="str">
            <v>hp</v>
          </cell>
          <cell r="L1562" t="str">
            <v>体力タイプ</v>
          </cell>
          <cell r="M1562" t="str">
            <v>ss</v>
          </cell>
        </row>
        <row r="1563">
          <cell r="A1563">
            <v>8073</v>
          </cell>
          <cell r="B1563" t="str">
            <v>ja</v>
          </cell>
          <cell r="C1563" t="str">
            <v>星海祈る天光妃 媽祖</v>
          </cell>
          <cell r="D1563" t="str">
            <v>Expoミク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yellow</v>
          </cell>
          <cell r="I1563">
            <v>6</v>
          </cell>
          <cell r="J1563" t="str">
            <v>PremiumSS</v>
          </cell>
          <cell r="K1563" t="str">
            <v>attack</v>
          </cell>
          <cell r="L1563" t="str">
            <v>攻撃タイプ</v>
          </cell>
          <cell r="M1563" t="str">
            <v>human</v>
          </cell>
        </row>
        <row r="1564">
          <cell r="A1564">
            <v>8074</v>
          </cell>
          <cell r="B1564" t="str">
            <v>ja</v>
          </cell>
          <cell r="C1564" t="str">
            <v>海戀の絶龍姫 蛟龍</v>
          </cell>
          <cell r="D1564" t="str">
            <v>Expoミク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6</v>
          </cell>
          <cell r="J1564" t="str">
            <v>DropWizS</v>
          </cell>
          <cell r="K1564" t="str">
            <v>hp</v>
          </cell>
          <cell r="L1564" t="str">
            <v>体力タイプ</v>
          </cell>
          <cell r="M1564" t="str">
            <v>dragon</v>
          </cell>
        </row>
        <row r="1565">
          <cell r="A1565">
            <v>8075</v>
          </cell>
          <cell r="B1565" t="str">
            <v>ja</v>
          </cell>
          <cell r="C1565" t="str">
            <v>三蔵法師_超覚醒</v>
          </cell>
          <cell r="D1565" t="str">
            <v>Expoミク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blue</v>
          </cell>
          <cell r="I1565">
            <v>6</v>
          </cell>
          <cell r="J1565" t="str">
            <v>PremiumSS</v>
          </cell>
          <cell r="K1565" t="str">
            <v>balance</v>
          </cell>
          <cell r="L1565" t="str">
            <v>バランスタイプ</v>
          </cell>
          <cell r="M1565" t="str">
            <v>god</v>
          </cell>
        </row>
        <row r="1566">
          <cell r="A1566">
            <v>8076</v>
          </cell>
          <cell r="B1566" t="str">
            <v>ja</v>
          </cell>
          <cell r="C1566" t="str">
            <v>孫悟空_超覚醒</v>
          </cell>
          <cell r="D1566" t="str">
            <v>Expoミク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unknown</v>
          </cell>
        </row>
        <row r="1567">
          <cell r="A1567">
            <v>8077</v>
          </cell>
          <cell r="B1567" t="str">
            <v>ja</v>
          </cell>
          <cell r="C1567" t="str">
            <v>鄭成功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blue</v>
          </cell>
          <cell r="I1567">
            <v>5</v>
          </cell>
          <cell r="J1567" t="str">
            <v>PremiumSS</v>
          </cell>
          <cell r="K1567" t="str">
            <v>attack</v>
          </cell>
          <cell r="L1567" t="str">
            <v>攻撃タイプ</v>
          </cell>
          <cell r="M1567" t="str">
            <v>human</v>
          </cell>
        </row>
        <row r="1568">
          <cell r="A1568">
            <v>8078</v>
          </cell>
          <cell r="B1568" t="str">
            <v>ja</v>
          </cell>
          <cell r="C1568" t="str">
            <v>レア６鄭成功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attack</v>
          </cell>
          <cell r="L1568" t="str">
            <v>攻撃タイプ</v>
          </cell>
          <cell r="M1568" t="str">
            <v>human</v>
          </cell>
        </row>
        <row r="1569">
          <cell r="A1569">
            <v>8079</v>
          </cell>
          <cell r="B1569" t="str">
            <v>ja</v>
          </cell>
          <cell r="C1569" t="str">
            <v>赤鬼</v>
          </cell>
          <cell r="D1569" t="str">
            <v>ポムポムプリン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red</v>
          </cell>
          <cell r="I1569">
            <v>5</v>
          </cell>
          <cell r="J1569" t="str">
            <v>DropWizS</v>
          </cell>
          <cell r="K1569" t="str">
            <v>hp</v>
          </cell>
          <cell r="L1569" t="str">
            <v>体力タイプ</v>
          </cell>
          <cell r="M1569" t="str">
            <v>dragon</v>
          </cell>
        </row>
        <row r="1570">
          <cell r="A1570">
            <v>8080</v>
          </cell>
          <cell r="B1570" t="str">
            <v>ja</v>
          </cell>
          <cell r="C1570" t="str">
            <v>レア６赤鬼</v>
          </cell>
          <cell r="D1570" t="str">
            <v>ポムポムプリン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red</v>
          </cell>
          <cell r="I1570">
            <v>6</v>
          </cell>
          <cell r="J1570" t="str">
            <v>DropWizS</v>
          </cell>
          <cell r="K1570" t="str">
            <v>hp</v>
          </cell>
          <cell r="L1570" t="str">
            <v>体力タイプ</v>
          </cell>
          <cell r="M1570" t="str">
            <v>dragon</v>
          </cell>
        </row>
        <row r="1571">
          <cell r="A1571">
            <v>8081</v>
          </cell>
          <cell r="B1571" t="str">
            <v>ja</v>
          </cell>
          <cell r="C1571" t="str">
            <v>関羽</v>
          </cell>
          <cell r="H1571" t="str">
            <v>green</v>
          </cell>
          <cell r="I1571">
            <v>5</v>
          </cell>
          <cell r="J1571" t="str">
            <v>PremiumSSS</v>
          </cell>
          <cell r="K1571" t="str">
            <v>balance</v>
          </cell>
          <cell r="L1571" t="str">
            <v>バランスタイプ</v>
          </cell>
          <cell r="M1571" t="str">
            <v>samurai</v>
          </cell>
        </row>
        <row r="1572">
          <cell r="A1572">
            <v>8082</v>
          </cell>
          <cell r="B1572" t="str">
            <v>ja</v>
          </cell>
          <cell r="C1572" t="str">
            <v>★６関羽</v>
          </cell>
          <cell r="H1572" t="str">
            <v>green</v>
          </cell>
          <cell r="I1572">
            <v>6</v>
          </cell>
          <cell r="J1572" t="str">
            <v>PremiumSSS</v>
          </cell>
          <cell r="K1572" t="str">
            <v>balance</v>
          </cell>
          <cell r="L1572" t="str">
            <v>バランスタイプ</v>
          </cell>
          <cell r="M1572" t="str">
            <v>samurai</v>
          </cell>
        </row>
        <row r="1573">
          <cell r="A1573">
            <v>8083</v>
          </cell>
          <cell r="B1573" t="str">
            <v>ja</v>
          </cell>
          <cell r="C1573" t="str">
            <v>曹操</v>
          </cell>
          <cell r="H1573" t="str">
            <v>yellow</v>
          </cell>
          <cell r="I1573">
            <v>5</v>
          </cell>
          <cell r="J1573" t="str">
            <v>DropWizSS</v>
          </cell>
          <cell r="K1573" t="str">
            <v>technical</v>
          </cell>
          <cell r="L1573" t="str">
            <v>テクニカルタイプ</v>
          </cell>
          <cell r="M1573" t="str">
            <v>samurai</v>
          </cell>
        </row>
        <row r="1574">
          <cell r="A1574">
            <v>8084</v>
          </cell>
          <cell r="B1574" t="str">
            <v>ja</v>
          </cell>
          <cell r="C1574" t="str">
            <v>★６曹操</v>
          </cell>
          <cell r="H1574" t="str">
            <v>yellow</v>
          </cell>
          <cell r="I1574">
            <v>6</v>
          </cell>
          <cell r="J1574" t="str">
            <v>DropWizSS</v>
          </cell>
          <cell r="K1574" t="str">
            <v>technical</v>
          </cell>
          <cell r="L1574" t="str">
            <v>テクニカルタイプ</v>
          </cell>
          <cell r="M1574" t="str">
            <v>samurai</v>
          </cell>
        </row>
        <row r="1575">
          <cell r="A1575">
            <v>8087</v>
          </cell>
          <cell r="B1575" t="str">
            <v>ja</v>
          </cell>
          <cell r="C1575" t="str">
            <v>財神</v>
          </cell>
          <cell r="H1575" t="str">
            <v>red</v>
          </cell>
          <cell r="I1575">
            <v>5</v>
          </cell>
          <cell r="J1575" t="str">
            <v>PremiumSSS</v>
          </cell>
          <cell r="K1575" t="str">
            <v>technical</v>
          </cell>
          <cell r="L1575" t="str">
            <v>テクニカルタイプ</v>
          </cell>
          <cell r="M1575" t="str">
            <v>god</v>
          </cell>
        </row>
        <row r="1576">
          <cell r="A1576">
            <v>8088</v>
          </cell>
          <cell r="B1576" t="str">
            <v>ja</v>
          </cell>
          <cell r="C1576" t="str">
            <v>★６財神</v>
          </cell>
          <cell r="H1576" t="str">
            <v>red</v>
          </cell>
          <cell r="I1576">
            <v>6</v>
          </cell>
          <cell r="J1576" t="str">
            <v>PremiumSSS</v>
          </cell>
          <cell r="K1576" t="str">
            <v>technical</v>
          </cell>
          <cell r="L1576" t="str">
            <v>テクニカルタイプ</v>
          </cell>
          <cell r="M1576" t="str">
            <v>god</v>
          </cell>
        </row>
        <row r="1577">
          <cell r="A1577">
            <v>8089</v>
          </cell>
          <cell r="B1577" t="str">
            <v>ja</v>
          </cell>
          <cell r="C1577" t="str">
            <v>年獣</v>
          </cell>
          <cell r="H1577" t="str">
            <v>green</v>
          </cell>
          <cell r="I1577">
            <v>5</v>
          </cell>
          <cell r="J1577" t="str">
            <v>DropWizS</v>
          </cell>
          <cell r="K1577" t="str">
            <v>attack</v>
          </cell>
          <cell r="L1577" t="str">
            <v>攻撃タイプ</v>
          </cell>
          <cell r="M1577" t="str">
            <v>animal</v>
          </cell>
        </row>
        <row r="1578">
          <cell r="A1578">
            <v>8090</v>
          </cell>
          <cell r="B1578" t="str">
            <v>ja</v>
          </cell>
          <cell r="C1578" t="str">
            <v>★６年獣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attack</v>
          </cell>
          <cell r="L1578" t="str">
            <v>攻撃タイプ</v>
          </cell>
          <cell r="M1578" t="str">
            <v>animal</v>
          </cell>
        </row>
        <row r="1579">
          <cell r="A1579">
            <v>8095</v>
          </cell>
          <cell r="B1579" t="str">
            <v>ja</v>
          </cell>
          <cell r="C1579" t="str">
            <v>バハムートダック赤</v>
          </cell>
          <cell r="D1579" t="str">
            <v>ポムポムプリン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red</v>
          </cell>
          <cell r="I1579">
            <v>6</v>
          </cell>
          <cell r="J1579" t="str">
            <v>Material</v>
          </cell>
          <cell r="K1579" t="str">
            <v>exp</v>
          </cell>
          <cell r="L1579" t="str">
            <v>強化素材タイプ</v>
          </cell>
          <cell r="M1579" t="str">
            <v>unknown</v>
          </cell>
        </row>
        <row r="1580">
          <cell r="A1580">
            <v>8096</v>
          </cell>
          <cell r="B1580" t="str">
            <v>ja</v>
          </cell>
          <cell r="C1580" t="str">
            <v>バハムートダック緑</v>
          </cell>
          <cell r="D1580" t="str">
            <v>ポムポムプリン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green</v>
          </cell>
          <cell r="I1580">
            <v>6</v>
          </cell>
          <cell r="J1580" t="str">
            <v>Material</v>
          </cell>
          <cell r="K1580" t="str">
            <v>exp</v>
          </cell>
          <cell r="L1580" t="str">
            <v>強化素材タイプ</v>
          </cell>
          <cell r="M1580" t="str">
            <v>unknown</v>
          </cell>
        </row>
        <row r="1581">
          <cell r="A1581">
            <v>8097</v>
          </cell>
          <cell r="B1581" t="str">
            <v>ja</v>
          </cell>
          <cell r="C1581" t="str">
            <v>バハムートダック青</v>
          </cell>
          <cell r="D1581" t="str">
            <v>ポムポムプリン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blue</v>
          </cell>
          <cell r="I1581">
            <v>6</v>
          </cell>
          <cell r="J1581" t="str">
            <v>Material</v>
          </cell>
          <cell r="K1581" t="str">
            <v>exp</v>
          </cell>
          <cell r="L1581" t="str">
            <v>強化素材タイプ</v>
          </cell>
          <cell r="M1581" t="str">
            <v>unknown</v>
          </cell>
        </row>
        <row r="1582">
          <cell r="A1582">
            <v>8098</v>
          </cell>
          <cell r="B1582" t="str">
            <v>ja</v>
          </cell>
          <cell r="C1582" t="str">
            <v>バハムートダック黄</v>
          </cell>
          <cell r="D1582" t="str">
            <v>ポムポムプリン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yellow</v>
          </cell>
          <cell r="I1582">
            <v>6</v>
          </cell>
          <cell r="J1582" t="str">
            <v>Material</v>
          </cell>
          <cell r="K1582" t="str">
            <v>exp</v>
          </cell>
          <cell r="L1582" t="str">
            <v>強化素材タイプ</v>
          </cell>
          <cell r="M1582" t="str">
            <v>unknown</v>
          </cell>
        </row>
        <row r="1583">
          <cell r="A1583">
            <v>8099</v>
          </cell>
          <cell r="B1583" t="str">
            <v>ja</v>
          </cell>
          <cell r="C1583" t="str">
            <v>リトルハンプティ</v>
          </cell>
          <cell r="D1583" t="str">
            <v>各属性相性良3・黄・R455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green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10001</v>
          </cell>
          <cell r="B1584" t="str">
            <v>ja</v>
          </cell>
          <cell r="C1584" t="str">
            <v>テストユニット01</v>
          </cell>
          <cell r="H1584" t="str">
            <v>yellow</v>
          </cell>
          <cell r="I1584">
            <v>6</v>
          </cell>
          <cell r="J1584" t="str">
            <v>PremiumSS</v>
          </cell>
          <cell r="K1584" t="str">
            <v>balance</v>
          </cell>
          <cell r="L1584" t="str">
            <v>バランスタイプ</v>
          </cell>
          <cell r="M1584" t="str">
            <v>god</v>
          </cell>
        </row>
        <row r="1585">
          <cell r="A1585">
            <v>10002</v>
          </cell>
          <cell r="B1585" t="str">
            <v>ja</v>
          </cell>
          <cell r="C1585" t="str">
            <v>テストユニット02</v>
          </cell>
          <cell r="H1585" t="str">
            <v>blue</v>
          </cell>
          <cell r="I1585">
            <v>6</v>
          </cell>
          <cell r="J1585" t="str">
            <v>PremiumSS</v>
          </cell>
          <cell r="K1585" t="str">
            <v>technical</v>
          </cell>
          <cell r="L1585" t="str">
            <v>テクニカルタイプ</v>
          </cell>
          <cell r="M1585" t="str">
            <v>demon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60</v>
      </c>
    </row>
    <row r="2" spans="1:1" x14ac:dyDescent="0.15">
      <c r="A2" t="s">
        <v>61</v>
      </c>
    </row>
    <row r="3" spans="1:1" x14ac:dyDescent="0.15">
      <c r="A3" t="s">
        <v>62</v>
      </c>
    </row>
    <row r="4" spans="1:1" x14ac:dyDescent="0.15">
      <c r="A4" t="s">
        <v>63</v>
      </c>
    </row>
  </sheetData>
  <phoneticPr fontId="1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A2" sqref="A2"/>
    </sheetView>
  </sheetViews>
  <sheetFormatPr baseColWidth="12" defaultRowHeight="15" x14ac:dyDescent="0.15"/>
  <cols>
    <col min="1" max="1" width="13" style="16"/>
    <col min="2" max="2" width="14.796875" style="16" bestFit="1" customWidth="1"/>
    <col min="3" max="4" width="13" style="16"/>
    <col min="5" max="5" width="17.59765625" style="16" bestFit="1" customWidth="1"/>
    <col min="6" max="6" width="22.19921875" style="16" bestFit="1" customWidth="1"/>
    <col min="7" max="16384" width="13" style="16"/>
  </cols>
  <sheetData>
    <row r="1" spans="1:21" x14ac:dyDescent="0.15">
      <c r="A1" s="26" t="s">
        <v>52</v>
      </c>
      <c r="B1" s="14" t="s">
        <v>40</v>
      </c>
      <c r="C1" s="14" t="s">
        <v>41</v>
      </c>
      <c r="D1" s="14" t="s">
        <v>42</v>
      </c>
      <c r="E1" s="14" t="s">
        <v>43</v>
      </c>
      <c r="F1" s="14" t="s">
        <v>44</v>
      </c>
      <c r="G1" s="14" t="s">
        <v>45</v>
      </c>
      <c r="H1" s="14"/>
      <c r="I1" s="14"/>
      <c r="J1" s="14"/>
      <c r="K1" s="14"/>
      <c r="L1" s="15"/>
      <c r="M1" s="15"/>
      <c r="N1" s="15"/>
      <c r="O1" s="15"/>
    </row>
    <row r="2" spans="1:21" x14ac:dyDescent="0.15">
      <c r="A2" s="43" t="s">
        <v>81</v>
      </c>
      <c r="B2" s="42" t="s">
        <v>78</v>
      </c>
      <c r="C2" s="37">
        <v>7317</v>
      </c>
      <c r="D2" s="17" t="s">
        <v>46</v>
      </c>
      <c r="E2" s="15" t="str">
        <f t="shared" ref="E2:E7" si="0">B2&amp;C2&amp;D2</f>
        <v>gacha_select_tables_7317.tmp</v>
      </c>
      <c r="F2" s="45" t="s">
        <v>83</v>
      </c>
      <c r="G2" s="36" t="s">
        <v>65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43" t="s">
        <v>81</v>
      </c>
      <c r="B3" s="42" t="s">
        <v>78</v>
      </c>
      <c r="C3" s="37">
        <v>7318</v>
      </c>
      <c r="D3" s="17" t="s">
        <v>46</v>
      </c>
      <c r="E3" s="15" t="str">
        <f t="shared" ref="E3" si="1">B3&amp;C3&amp;D3</f>
        <v>gacha_select_tables_7318.tmp</v>
      </c>
      <c r="F3" s="45" t="s">
        <v>84</v>
      </c>
      <c r="G3" s="36" t="s">
        <v>65</v>
      </c>
      <c r="H3" s="20" t="s">
        <v>0</v>
      </c>
      <c r="I3" s="20" t="s">
        <v>3</v>
      </c>
      <c r="J3" s="20" t="s">
        <v>4</v>
      </c>
      <c r="K3" s="20" t="s">
        <v>5</v>
      </c>
      <c r="L3" s="20" t="s">
        <v>6</v>
      </c>
      <c r="M3" s="20" t="s">
        <v>7</v>
      </c>
      <c r="N3" s="20" t="s">
        <v>8</v>
      </c>
      <c r="O3" s="20" t="s">
        <v>9</v>
      </c>
    </row>
    <row r="4" spans="1:21" x14ac:dyDescent="0.15">
      <c r="A4" s="43" t="s">
        <v>81</v>
      </c>
      <c r="B4" s="44" t="s">
        <v>82</v>
      </c>
      <c r="C4" s="37">
        <v>7318</v>
      </c>
      <c r="D4" s="17" t="s">
        <v>46</v>
      </c>
      <c r="E4" s="15" t="str">
        <f>B4&amp;C4&amp;D4</f>
        <v>gacha_settle_tables_7318.tmp</v>
      </c>
      <c r="F4" s="45" t="s">
        <v>85</v>
      </c>
      <c r="G4" s="36" t="s">
        <v>65</v>
      </c>
      <c r="H4" s="20" t="s">
        <v>0</v>
      </c>
      <c r="I4" s="20" t="s">
        <v>3</v>
      </c>
      <c r="J4" s="20" t="s">
        <v>4</v>
      </c>
      <c r="K4" s="20" t="s">
        <v>5</v>
      </c>
      <c r="L4" s="20" t="s">
        <v>6</v>
      </c>
      <c r="M4" s="20" t="s">
        <v>7</v>
      </c>
      <c r="N4" s="20" t="s">
        <v>8</v>
      </c>
      <c r="O4" s="20" t="s">
        <v>9</v>
      </c>
    </row>
    <row r="5" spans="1:21" x14ac:dyDescent="0.15">
      <c r="A5" s="29" t="s">
        <v>54</v>
      </c>
      <c r="B5" s="25" t="s">
        <v>51</v>
      </c>
      <c r="C5" s="30" t="s">
        <v>55</v>
      </c>
      <c r="D5" s="17" t="s">
        <v>47</v>
      </c>
      <c r="E5" s="15" t="str">
        <f t="shared" si="0"/>
        <v>gacha_bonus_tables_hogehoge.tmp</v>
      </c>
      <c r="F5" s="17" t="s">
        <v>48</v>
      </c>
      <c r="G5" s="19" t="s">
        <v>11</v>
      </c>
      <c r="H5" s="21" t="s">
        <v>14</v>
      </c>
      <c r="I5" s="19" t="s">
        <v>12</v>
      </c>
      <c r="J5" s="18"/>
      <c r="K5" s="18"/>
      <c r="L5" s="18"/>
      <c r="M5" s="18"/>
      <c r="N5" s="18"/>
      <c r="O5" s="18"/>
    </row>
    <row r="6" spans="1:21" x14ac:dyDescent="0.15">
      <c r="A6" s="29" t="s">
        <v>54</v>
      </c>
      <c r="B6" s="17" t="s">
        <v>49</v>
      </c>
      <c r="C6" s="30" t="s">
        <v>55</v>
      </c>
      <c r="D6" s="17" t="s">
        <v>47</v>
      </c>
      <c r="E6" s="15" t="str">
        <f t="shared" si="0"/>
        <v>gifts_tmp_hogehoge.tmp</v>
      </c>
      <c r="F6" s="17" t="s">
        <v>48</v>
      </c>
      <c r="G6" s="21" t="s">
        <v>22</v>
      </c>
      <c r="H6" s="22" t="s">
        <v>30</v>
      </c>
      <c r="I6" s="21" t="s">
        <v>23</v>
      </c>
      <c r="J6" s="21" t="s">
        <v>24</v>
      </c>
      <c r="K6" s="21" t="s">
        <v>24</v>
      </c>
      <c r="L6" s="21" t="s">
        <v>25</v>
      </c>
      <c r="M6" s="21" t="s">
        <v>25</v>
      </c>
      <c r="N6" s="21" t="s">
        <v>25</v>
      </c>
      <c r="O6" s="38" t="s">
        <v>7</v>
      </c>
      <c r="P6" s="38" t="s">
        <v>9</v>
      </c>
      <c r="Q6" s="38" t="s">
        <v>6</v>
      </c>
      <c r="R6" s="38" t="s">
        <v>66</v>
      </c>
      <c r="S6" s="38" t="s">
        <v>8</v>
      </c>
      <c r="T6" s="38" t="s">
        <v>67</v>
      </c>
      <c r="U6" s="38" t="s">
        <v>5</v>
      </c>
    </row>
    <row r="7" spans="1:21" x14ac:dyDescent="0.15">
      <c r="A7" s="29" t="s">
        <v>54</v>
      </c>
      <c r="B7" s="17" t="s">
        <v>50</v>
      </c>
      <c r="C7" s="30" t="s">
        <v>55</v>
      </c>
      <c r="D7" s="17" t="s">
        <v>47</v>
      </c>
      <c r="E7" s="15" t="str">
        <f t="shared" si="0"/>
        <v>gifts_i18n_hogehoge.tmp</v>
      </c>
      <c r="F7" s="17" t="s">
        <v>48</v>
      </c>
      <c r="G7" s="21" t="s">
        <v>13</v>
      </c>
      <c r="H7" s="23" t="s">
        <v>26</v>
      </c>
      <c r="I7" s="23" t="s">
        <v>27</v>
      </c>
      <c r="J7" s="23" t="s">
        <v>28</v>
      </c>
      <c r="K7" s="23" t="s">
        <v>29</v>
      </c>
      <c r="L7" s="24"/>
      <c r="M7" s="21"/>
      <c r="N7" s="21"/>
      <c r="O7" s="17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32"/>
  <sheetViews>
    <sheetView showGridLines="0" tabSelected="1" zoomScale="75" zoomScaleNormal="75" zoomScalePageLayoutView="75" workbookViewId="0">
      <pane ySplit="1" topLeftCell="A2" activePane="bottomLeft" state="frozen"/>
      <selection activeCell="A266" sqref="A266:XFD266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64</v>
      </c>
      <c r="B1" s="13" t="s">
        <v>32</v>
      </c>
      <c r="C1" s="3" t="s">
        <v>31</v>
      </c>
      <c r="D1" s="3" t="s">
        <v>76</v>
      </c>
      <c r="E1" s="3" t="s">
        <v>79</v>
      </c>
      <c r="F1" s="3" t="s">
        <v>80</v>
      </c>
      <c r="G1" s="3" t="s">
        <v>77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56</v>
      </c>
      <c r="O1" s="13" t="s">
        <v>39</v>
      </c>
      <c r="P1" s="3" t="s">
        <v>58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7317010</v>
      </c>
      <c r="B2" s="6">
        <v>119</v>
      </c>
      <c r="C2" s="7" t="str">
        <f t="shared" ref="C2:C4" si="0">D2&amp;J2&amp;E2&amp;F2&amp;G2</f>
        <v>Premium5R3less</v>
      </c>
      <c r="D2" s="7" t="str">
        <f t="shared" ref="D2:D4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ゴールドダック</v>
      </c>
      <c r="I2" s="7" t="str">
        <f>VLOOKUP(B2,[1]characters!$A:$J,10,FALSE)</f>
        <v>Material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coin</v>
      </c>
      <c r="M2" s="7" t="str">
        <f>VLOOKUP(B2,[1]characters!$A:$M,13,FALSE)</f>
        <v>unknown</v>
      </c>
      <c r="N2" s="7" t="str">
        <f>VLOOKUP(B2,[1]characters!$A:$G,7,FALSE)</f>
        <v>不明</v>
      </c>
      <c r="O2" s="34">
        <v>20000</v>
      </c>
      <c r="P2" s="35">
        <f>O2/SUM(O:O)</f>
        <v>0.2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>
        <v>7317010</v>
      </c>
      <c r="B3" s="6">
        <v>120</v>
      </c>
      <c r="C3" s="7" t="str">
        <f t="shared" si="0"/>
        <v>Premium6R3less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ゴールドキング</v>
      </c>
      <c r="I3" s="7" t="str">
        <f>VLOOKUP(B3,[1]characters!$A:$J,10,FALSE)</f>
        <v>Material</v>
      </c>
      <c r="J3" s="7">
        <f>VLOOKUP(B3,[1]characters!$A:$I,9,FALSE)</f>
        <v>6</v>
      </c>
      <c r="K3" s="7" t="str">
        <f>VLOOKUP(B3,[1]characters!$A:$H,8,FALSE)</f>
        <v>yellow</v>
      </c>
      <c r="L3" s="7" t="str">
        <f>VLOOKUP(B3,[1]characters!$A:$K,11,FALSE)</f>
        <v>coin</v>
      </c>
      <c r="M3" s="7" t="str">
        <f>VLOOKUP(B3,[1]characters!$A:$M,13,FALSE)</f>
        <v>unknown</v>
      </c>
      <c r="N3" s="7" t="str">
        <f>VLOOKUP(B3,[1]characters!$A:$G,7,FALSE)</f>
        <v>不明</v>
      </c>
      <c r="O3" s="34">
        <v>6200</v>
      </c>
      <c r="P3" s="35">
        <f>O3/SUM(O:O)</f>
        <v>6.2E-2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>
        <v>7317010</v>
      </c>
      <c r="B4" s="6">
        <v>121</v>
      </c>
      <c r="C4" s="7" t="str">
        <f t="shared" si="0"/>
        <v>Premium3R3less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攻めの果実</v>
      </c>
      <c r="I4" s="7" t="str">
        <f>VLOOKUP(B4,[1]characters!$A:$J,10,FALSE)</f>
        <v>Material</v>
      </c>
      <c r="J4" s="7">
        <f>VLOOKUP(B4,[1]characters!$A:$I,9,FALSE)</f>
        <v>3</v>
      </c>
      <c r="K4" s="7" t="str">
        <f>VLOOKUP(B4,[1]characters!$A:$H,8,FALSE)</f>
        <v>red</v>
      </c>
      <c r="L4" s="7" t="str">
        <f>VLOOKUP(B4,[1]characters!$A:$K,11,FALSE)</f>
        <v>limitbreak</v>
      </c>
      <c r="M4" s="7" t="str">
        <f>VLOOKUP(B4,[1]characters!$A:$M,13,FALSE)</f>
        <v>unknown</v>
      </c>
      <c r="N4" s="7" t="str">
        <f>VLOOKUP(B4,[1]characters!$A:$G,7,FALSE)</f>
        <v>不明</v>
      </c>
      <c r="O4" s="34">
        <v>4000</v>
      </c>
      <c r="P4" s="35">
        <f>O4/SUM(O:O)</f>
        <v>0.04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>
        <v>7317010</v>
      </c>
      <c r="B5" s="6">
        <v>122</v>
      </c>
      <c r="C5" s="7" t="str">
        <f t="shared" ref="C5:C8" si="2">D5&amp;J5&amp;E5&amp;F5&amp;G5</f>
        <v>Premium3R3less</v>
      </c>
      <c r="D5" s="7" t="str">
        <f t="shared" ref="D5:D8" si="3">IF(I5="PremiumSS",I5,IF(I5="PremiumSSS",I5,IF(I5="PremiumW",I5,"Premium")))</f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生命の果実</v>
      </c>
      <c r="I5" s="7" t="str">
        <f>VLOOKUP(B5,[1]characters!$A:$J,10,FALSE)</f>
        <v>Material</v>
      </c>
      <c r="J5" s="7">
        <f>VLOOKUP(B5,[1]characters!$A:$I,9,FALSE)</f>
        <v>3</v>
      </c>
      <c r="K5" s="7" t="str">
        <f>VLOOKUP(B5,[1]characters!$A:$H,8,FALSE)</f>
        <v>green</v>
      </c>
      <c r="L5" s="7" t="str">
        <f>VLOOKUP(B5,[1]characters!$A:$K,11,FALSE)</f>
        <v>limitbreak</v>
      </c>
      <c r="M5" s="7" t="str">
        <f>VLOOKUP(B5,[1]characters!$A:$M,13,FALSE)</f>
        <v>unknown</v>
      </c>
      <c r="N5" s="7" t="str">
        <f>VLOOKUP(B5,[1]characters!$A:$G,7,FALSE)</f>
        <v>不明</v>
      </c>
      <c r="O5" s="34">
        <v>4000</v>
      </c>
      <c r="P5" s="35">
        <f t="shared" ref="P5:P24" si="4">O5/SUM(O:O)</f>
        <v>0.04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>
        <v>7317010</v>
      </c>
      <c r="B6" s="6">
        <v>123</v>
      </c>
      <c r="C6" s="7" t="str">
        <f t="shared" si="2"/>
        <v>Premium3R3less</v>
      </c>
      <c r="D6" s="7" t="str">
        <f t="shared" si="3"/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癒しの果実</v>
      </c>
      <c r="I6" s="7" t="str">
        <f>VLOOKUP(B6,[1]characters!$A:$J,10,FALSE)</f>
        <v>Material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limitbreak</v>
      </c>
      <c r="M6" s="7" t="str">
        <f>VLOOKUP(B6,[1]characters!$A:$M,13,FALSE)</f>
        <v>unknown</v>
      </c>
      <c r="N6" s="7" t="str">
        <f>VLOOKUP(B6,[1]characters!$A:$G,7,FALSE)</f>
        <v>不明</v>
      </c>
      <c r="O6" s="34">
        <v>4000</v>
      </c>
      <c r="P6" s="35">
        <f t="shared" si="4"/>
        <v>0.04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>
        <v>7317010</v>
      </c>
      <c r="B7" s="6">
        <v>125</v>
      </c>
      <c r="C7" s="7" t="str">
        <f t="shared" si="2"/>
        <v>Premium3R3less</v>
      </c>
      <c r="D7" s="7" t="str">
        <f t="shared" si="3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秘術の果実</v>
      </c>
      <c r="I7" s="7" t="str">
        <f>VLOOKUP(B7,[1]characters!$A:$J,10,FALSE)</f>
        <v>Material</v>
      </c>
      <c r="J7" s="7">
        <f>VLOOKUP(B7,[1]characters!$A:$I,9,FALSE)</f>
        <v>3</v>
      </c>
      <c r="K7" s="7" t="str">
        <f>VLOOKUP(B7,[1]characters!$A:$H,8,FALSE)</f>
        <v>blue</v>
      </c>
      <c r="L7" s="7" t="str">
        <f>VLOOKUP(B7,[1]characters!$A:$K,11,FALSE)</f>
        <v>skilllevel</v>
      </c>
      <c r="M7" s="7" t="str">
        <f>VLOOKUP(B7,[1]characters!$A:$M,13,FALSE)</f>
        <v>unknown</v>
      </c>
      <c r="N7" s="7" t="str">
        <f>VLOOKUP(B7,[1]characters!$A:$G,7,FALSE)</f>
        <v>不明</v>
      </c>
      <c r="O7" s="34">
        <v>3000</v>
      </c>
      <c r="P7" s="35">
        <f t="shared" si="4"/>
        <v>0.03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>
        <v>7317010</v>
      </c>
      <c r="B8" s="6">
        <v>334</v>
      </c>
      <c r="C8" s="7" t="str">
        <f t="shared" si="2"/>
        <v>Premium5R3less</v>
      </c>
      <c r="D8" s="7" t="str">
        <f t="shared" si="3"/>
        <v>Premium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炎のメタルダック</v>
      </c>
      <c r="I8" s="7" t="str">
        <f>VLOOKUP(B8,[1]characters!$A:$J,10,FALSE)</f>
        <v>Material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exp</v>
      </c>
      <c r="M8" s="7" t="str">
        <f>VLOOKUP(B8,[1]characters!$A:$M,13,FALSE)</f>
        <v>unknown</v>
      </c>
      <c r="N8" s="7" t="str">
        <f>VLOOKUP(B8,[1]characters!$A:$G,7,FALSE)</f>
        <v>不明</v>
      </c>
      <c r="O8" s="34">
        <v>5000</v>
      </c>
      <c r="P8" s="35">
        <f>O8/SUM(O:O)</f>
        <v>0.05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>
        <v>7317010</v>
      </c>
      <c r="B9" s="6">
        <v>335</v>
      </c>
      <c r="C9" s="7" t="str">
        <f t="shared" ref="C9:C11" si="5">D9&amp;J9&amp;E9&amp;F9&amp;G9</f>
        <v>Premium6R3less</v>
      </c>
      <c r="D9" s="7" t="str">
        <f t="shared" ref="D9:D11" si="6">IF(I9="PremiumSS",I9,IF(I9="PremiumSSS",I9,IF(I9="PremiumW",I9,"Premium")))</f>
        <v>Premium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炎のメタルジェントル</v>
      </c>
      <c r="I9" s="7" t="str">
        <f>VLOOKUP(B9,[1]characters!$A:$J,10,FALSE)</f>
        <v>Material</v>
      </c>
      <c r="J9" s="7">
        <f>VLOOKUP(B9,[1]characters!$A:$I,9,FALSE)</f>
        <v>6</v>
      </c>
      <c r="K9" s="7" t="str">
        <f>VLOOKUP(B9,[1]characters!$A:$H,8,FALSE)</f>
        <v>red</v>
      </c>
      <c r="L9" s="7" t="str">
        <f>VLOOKUP(B9,[1]characters!$A:$K,11,FALSE)</f>
        <v>exp</v>
      </c>
      <c r="M9" s="7" t="str">
        <f>VLOOKUP(B9,[1]characters!$A:$M,13,FALSE)</f>
        <v>unknown</v>
      </c>
      <c r="N9" s="7" t="str">
        <f>VLOOKUP(B9,[1]characters!$A:$G,7,FALSE)</f>
        <v>不明</v>
      </c>
      <c r="O9" s="34">
        <v>1000</v>
      </c>
      <c r="P9" s="35">
        <f t="shared" si="4"/>
        <v>0.01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>
        <v>7317010</v>
      </c>
      <c r="B10" s="6">
        <v>349</v>
      </c>
      <c r="C10" s="7" t="str">
        <f t="shared" si="5"/>
        <v>Premium6R3less</v>
      </c>
      <c r="D10" s="7" t="str">
        <f t="shared" si="6"/>
        <v>Premium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炎のメタルフロッグ</v>
      </c>
      <c r="I10" s="7" t="str">
        <f>VLOOKUP(B10,[1]characters!$A:$J,10,FALSE)</f>
        <v>Material</v>
      </c>
      <c r="J10" s="7">
        <f>VLOOKUP(B10,[1]characters!$A:$I,9,FALSE)</f>
        <v>6</v>
      </c>
      <c r="K10" s="7" t="str">
        <f>VLOOKUP(B10,[1]characters!$A:$H,8,FALSE)</f>
        <v>red</v>
      </c>
      <c r="L10" s="7" t="str">
        <f>VLOOKUP(B10,[1]characters!$A:$K,11,FALSE)</f>
        <v>exp</v>
      </c>
      <c r="M10" s="7" t="str">
        <f>VLOOKUP(B10,[1]characters!$A:$M,13,FALSE)</f>
        <v>unknown</v>
      </c>
      <c r="N10" s="7" t="str">
        <f>VLOOKUP(B10,[1]characters!$A:$G,7,FALSE)</f>
        <v>不明</v>
      </c>
      <c r="O10" s="34">
        <v>2000</v>
      </c>
      <c r="P10" s="35">
        <f t="shared" si="4"/>
        <v>0.02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>
        <v>7317010</v>
      </c>
      <c r="B11" s="6">
        <v>681</v>
      </c>
      <c r="C11" s="7" t="str">
        <f t="shared" si="5"/>
        <v>Premium6R3less</v>
      </c>
      <c r="D11" s="7" t="str">
        <f t="shared" si="6"/>
        <v>Premium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炎のプレゼントフロッグ</v>
      </c>
      <c r="I11" s="7" t="str">
        <f>VLOOKUP(B11,[1]characters!$A:$J,10,FALSE)</f>
        <v>Material</v>
      </c>
      <c r="J11" s="7">
        <f>VLOOKUP(B11,[1]characters!$A:$I,9,FALSE)</f>
        <v>6</v>
      </c>
      <c r="K11" s="7" t="str">
        <f>VLOOKUP(B11,[1]characters!$A:$H,8,FALSE)</f>
        <v>red</v>
      </c>
      <c r="L11" s="7" t="str">
        <f>VLOOKUP(B11,[1]characters!$A:$K,11,FALSE)</f>
        <v>exp</v>
      </c>
      <c r="M11" s="7" t="str">
        <f>VLOOKUP(B11,[1]characters!$A:$M,13,FALSE)</f>
        <v>unknown</v>
      </c>
      <c r="N11" s="7" t="str">
        <f>VLOOKUP(B11,[1]characters!$A:$G,7,FALSE)</f>
        <v>不明</v>
      </c>
      <c r="O11" s="34">
        <v>200</v>
      </c>
      <c r="P11" s="35">
        <f t="shared" si="4"/>
        <v>2E-3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>
        <v>7317010</v>
      </c>
      <c r="B12" s="6">
        <v>338</v>
      </c>
      <c r="C12" s="7" t="str">
        <f t="shared" ref="C12:C13" si="7">D12&amp;J12&amp;E12&amp;F12&amp;G12</f>
        <v>Premium5R3less</v>
      </c>
      <c r="D12" s="7" t="str">
        <f t="shared" ref="D12:D13" si="8">IF(I12="PremiumSS",I12,IF(I12="PremiumSSS",I12,IF(I12="PremiumW",I12,"Premium")))</f>
        <v>Premium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森のメタルダック</v>
      </c>
      <c r="I12" s="7" t="str">
        <f>VLOOKUP(B12,[1]characters!$A:$J,10,FALSE)</f>
        <v>Material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exp</v>
      </c>
      <c r="M12" s="7" t="str">
        <f>VLOOKUP(B12,[1]characters!$A:$M,13,FALSE)</f>
        <v>unknown</v>
      </c>
      <c r="N12" s="7" t="str">
        <f>VLOOKUP(B12,[1]characters!$A:$G,7,FALSE)</f>
        <v>不明</v>
      </c>
      <c r="O12" s="34">
        <v>5000</v>
      </c>
      <c r="P12" s="35">
        <f t="shared" si="4"/>
        <v>0.05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>
        <v>7317010</v>
      </c>
      <c r="B13" s="6">
        <v>339</v>
      </c>
      <c r="C13" s="7" t="str">
        <f t="shared" si="7"/>
        <v>Premium6R3less</v>
      </c>
      <c r="D13" s="7" t="str">
        <f t="shared" si="8"/>
        <v>Premium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森のメタルジェントル</v>
      </c>
      <c r="I13" s="7" t="str">
        <f>VLOOKUP(B13,[1]characters!$A:$J,10,FALSE)</f>
        <v>Material</v>
      </c>
      <c r="J13" s="7">
        <f>VLOOKUP(B13,[1]characters!$A:$I,9,FALSE)</f>
        <v>6</v>
      </c>
      <c r="K13" s="7" t="str">
        <f>VLOOKUP(B13,[1]characters!$A:$H,8,FALSE)</f>
        <v>green</v>
      </c>
      <c r="L13" s="7" t="str">
        <f>VLOOKUP(B13,[1]characters!$A:$K,11,FALSE)</f>
        <v>exp</v>
      </c>
      <c r="M13" s="7" t="str">
        <f>VLOOKUP(B13,[1]characters!$A:$M,13,FALSE)</f>
        <v>unknown</v>
      </c>
      <c r="N13" s="7" t="str">
        <f>VLOOKUP(B13,[1]characters!$A:$G,7,FALSE)</f>
        <v>不明</v>
      </c>
      <c r="O13" s="34">
        <v>1000</v>
      </c>
      <c r="P13" s="35">
        <f t="shared" si="4"/>
        <v>0.01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>
        <v>7317010</v>
      </c>
      <c r="B14" s="6">
        <v>351</v>
      </c>
      <c r="C14" s="7" t="str">
        <f t="shared" ref="C14:C15" si="9">D14&amp;J14&amp;E14&amp;F14&amp;G14</f>
        <v>Premium6R3less</v>
      </c>
      <c r="D14" s="7" t="str">
        <f t="shared" ref="D14:D15" si="10">IF(I14="PremiumSS",I14,IF(I14="PremiumSSS",I14,IF(I14="PremiumW",I14,"Premium")))</f>
        <v>Premium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森のメタルフロッグ</v>
      </c>
      <c r="I14" s="7" t="str">
        <f>VLOOKUP(B14,[1]characters!$A:$J,10,FALSE)</f>
        <v>Material</v>
      </c>
      <c r="J14" s="7">
        <f>VLOOKUP(B14,[1]characters!$A:$I,9,FALSE)</f>
        <v>6</v>
      </c>
      <c r="K14" s="7" t="str">
        <f>VLOOKUP(B14,[1]characters!$A:$H,8,FALSE)</f>
        <v>green</v>
      </c>
      <c r="L14" s="7" t="str">
        <f>VLOOKUP(B14,[1]characters!$A:$K,11,FALSE)</f>
        <v>exp</v>
      </c>
      <c r="M14" s="7" t="str">
        <f>VLOOKUP(B14,[1]characters!$A:$M,13,FALSE)</f>
        <v>unknown</v>
      </c>
      <c r="N14" s="7" t="str">
        <f>VLOOKUP(B14,[1]characters!$A:$G,7,FALSE)</f>
        <v>不明</v>
      </c>
      <c r="O14" s="34">
        <v>2000</v>
      </c>
      <c r="P14" s="35">
        <f t="shared" si="4"/>
        <v>0.02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>
        <v>7317010</v>
      </c>
      <c r="B15" s="6">
        <v>683</v>
      </c>
      <c r="C15" s="7" t="str">
        <f t="shared" si="9"/>
        <v>Premium6R3less</v>
      </c>
      <c r="D15" s="7" t="str">
        <f t="shared" si="10"/>
        <v>Premium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森のプレゼントフロッグ</v>
      </c>
      <c r="I15" s="7" t="str">
        <f>VLOOKUP(B15,[1]characters!$A:$J,10,FALSE)</f>
        <v>Material</v>
      </c>
      <c r="J15" s="7">
        <f>VLOOKUP(B15,[1]characters!$A:$I,9,FALSE)</f>
        <v>6</v>
      </c>
      <c r="K15" s="7" t="str">
        <f>VLOOKUP(B15,[1]characters!$A:$H,8,FALSE)</f>
        <v>green</v>
      </c>
      <c r="L15" s="7" t="str">
        <f>VLOOKUP(B15,[1]characters!$A:$K,11,FALSE)</f>
        <v>exp</v>
      </c>
      <c r="M15" s="7" t="str">
        <f>VLOOKUP(B15,[1]characters!$A:$M,13,FALSE)</f>
        <v>unknown</v>
      </c>
      <c r="N15" s="7" t="str">
        <f>VLOOKUP(B15,[1]characters!$A:$G,7,FALSE)</f>
        <v>不明</v>
      </c>
      <c r="O15" s="34">
        <v>200</v>
      </c>
      <c r="P15" s="35">
        <f t="shared" si="4"/>
        <v>2E-3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>
        <v>7317010</v>
      </c>
      <c r="B16" s="6">
        <v>342</v>
      </c>
      <c r="C16" s="7" t="str">
        <f t="shared" ref="C16:C18" si="11">D16&amp;J16&amp;E16&amp;F16&amp;G16</f>
        <v>Premium5R3less</v>
      </c>
      <c r="D16" s="7" t="str">
        <f t="shared" ref="D16:D18" si="12">IF(I16="PremiumSS",I16,IF(I16="PremiumSSS",I16,IF(I16="PremiumW",I16,"Premium")))</f>
        <v>Premium</v>
      </c>
      <c r="E16" s="7" t="str">
        <f>IF(COUNTIF('R6追加前'!A:A,B16)=0,IF(I16="PremiumSS","R5only","R3less"),"")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水のメタルダック</v>
      </c>
      <c r="I16" s="7" t="str">
        <f>VLOOKUP(B16,[1]characters!$A:$J,10,FALSE)</f>
        <v>Material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exp</v>
      </c>
      <c r="M16" s="7" t="str">
        <f>VLOOKUP(B16,[1]characters!$A:$M,13,FALSE)</f>
        <v>unknown</v>
      </c>
      <c r="N16" s="7" t="str">
        <f>VLOOKUP(B16,[1]characters!$A:$G,7,FALSE)</f>
        <v>不明</v>
      </c>
      <c r="O16" s="34">
        <v>5000</v>
      </c>
      <c r="P16" s="35">
        <f t="shared" si="4"/>
        <v>0.05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>
        <v>7317010</v>
      </c>
      <c r="B17" s="6">
        <v>343</v>
      </c>
      <c r="C17" s="7" t="str">
        <f t="shared" si="11"/>
        <v>Premium6R3less</v>
      </c>
      <c r="D17" s="7" t="str">
        <f t="shared" si="12"/>
        <v>Premium</v>
      </c>
      <c r="E17" s="7" t="str">
        <f>IF(COUNTIF('R6追加前'!A:A,B17)=0,IF(I17="PremiumSS","R5only","R3less"),"")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水のメタルジェントル</v>
      </c>
      <c r="I17" s="7" t="str">
        <f>VLOOKUP(B17,[1]characters!$A:$J,10,FALSE)</f>
        <v>Material</v>
      </c>
      <c r="J17" s="7">
        <f>VLOOKUP(B17,[1]characters!$A:$I,9,FALSE)</f>
        <v>6</v>
      </c>
      <c r="K17" s="7" t="str">
        <f>VLOOKUP(B17,[1]characters!$A:$H,8,FALSE)</f>
        <v>blue</v>
      </c>
      <c r="L17" s="7" t="str">
        <f>VLOOKUP(B17,[1]characters!$A:$K,11,FALSE)</f>
        <v>exp</v>
      </c>
      <c r="M17" s="7" t="str">
        <f>VLOOKUP(B17,[1]characters!$A:$M,13,FALSE)</f>
        <v>unknown</v>
      </c>
      <c r="N17" s="7" t="str">
        <f>VLOOKUP(B17,[1]characters!$A:$G,7,FALSE)</f>
        <v>不明</v>
      </c>
      <c r="O17" s="34">
        <v>1000</v>
      </c>
      <c r="P17" s="35">
        <f t="shared" si="4"/>
        <v>0.01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>
        <v>7317010</v>
      </c>
      <c r="B18" s="6">
        <v>353</v>
      </c>
      <c r="C18" s="7" t="str">
        <f t="shared" si="11"/>
        <v>Premium6R3less</v>
      </c>
      <c r="D18" s="7" t="str">
        <f t="shared" si="12"/>
        <v>Premium</v>
      </c>
      <c r="E18" s="7" t="str">
        <f>IF(COUNTIF('R6追加前'!A:A,B18)=0,IF(I18="PremiumSS","R5only","R3less"),"")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水のメタルフロッグ</v>
      </c>
      <c r="I18" s="7" t="str">
        <f>VLOOKUP(B18,[1]characters!$A:$J,10,FALSE)</f>
        <v>Material</v>
      </c>
      <c r="J18" s="7">
        <f>VLOOKUP(B18,[1]characters!$A:$I,9,FALSE)</f>
        <v>6</v>
      </c>
      <c r="K18" s="7" t="str">
        <f>VLOOKUP(B18,[1]characters!$A:$H,8,FALSE)</f>
        <v>blue</v>
      </c>
      <c r="L18" s="7" t="str">
        <f>VLOOKUP(B18,[1]characters!$A:$K,11,FALSE)</f>
        <v>exp</v>
      </c>
      <c r="M18" s="7" t="str">
        <f>VLOOKUP(B18,[1]characters!$A:$M,13,FALSE)</f>
        <v>unknown</v>
      </c>
      <c r="N18" s="7" t="str">
        <f>VLOOKUP(B18,[1]characters!$A:$G,7,FALSE)</f>
        <v>不明</v>
      </c>
      <c r="O18" s="34">
        <v>2000</v>
      </c>
      <c r="P18" s="35">
        <f t="shared" si="4"/>
        <v>0.02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ht="21" customHeight="1" x14ac:dyDescent="0.15">
      <c r="A19" s="2">
        <v>7317010</v>
      </c>
      <c r="B19" s="6">
        <v>685</v>
      </c>
      <c r="C19" s="7" t="str">
        <f t="shared" ref="C19:C21" si="13">D19&amp;J19&amp;E19&amp;F19&amp;G19</f>
        <v>Premium6R3less</v>
      </c>
      <c r="D19" s="7" t="str">
        <f t="shared" ref="D19:D21" si="14">IF(I19="PremiumSS",I19,IF(I19="PremiumSSS",I19,IF(I19="PremiumW",I19,"Premium")))</f>
        <v>Premium</v>
      </c>
      <c r="E19" s="7" t="str">
        <f>IF(COUNTIF('R6追加前'!A:A,B19)=0,IF(I19="PremiumSS","R5only","R3less"),"")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水のプレゼントフロッグ</v>
      </c>
      <c r="I19" s="7" t="str">
        <f>VLOOKUP(B19,[1]characters!$A:$J,10,FALSE)</f>
        <v>Material</v>
      </c>
      <c r="J19" s="7">
        <f>VLOOKUP(B19,[1]characters!$A:$I,9,FALSE)</f>
        <v>6</v>
      </c>
      <c r="K19" s="7" t="str">
        <f>VLOOKUP(B19,[1]characters!$A:$H,8,FALSE)</f>
        <v>blue</v>
      </c>
      <c r="L19" s="7" t="str">
        <f>VLOOKUP(B19,[1]characters!$A:$K,11,FALSE)</f>
        <v>exp</v>
      </c>
      <c r="M19" s="7" t="str">
        <f>VLOOKUP(B19,[1]characters!$A:$M,13,FALSE)</f>
        <v>unknown</v>
      </c>
      <c r="N19" s="7" t="str">
        <f>VLOOKUP(B19,[1]characters!$A:$G,7,FALSE)</f>
        <v>不明</v>
      </c>
      <c r="O19" s="34">
        <v>200</v>
      </c>
      <c r="P19" s="35">
        <f t="shared" si="4"/>
        <v>2E-3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  <row r="20" spans="1:22" ht="21" customHeight="1" x14ac:dyDescent="0.15">
      <c r="A20" s="2">
        <v>7317010</v>
      </c>
      <c r="B20" s="6">
        <v>346</v>
      </c>
      <c r="C20" s="7" t="str">
        <f t="shared" si="13"/>
        <v>Premium5R3less</v>
      </c>
      <c r="D20" s="7" t="str">
        <f t="shared" si="14"/>
        <v>Premium</v>
      </c>
      <c r="E20" s="7" t="str">
        <f>IF(COUNTIF('R6追加前'!A:A,B20)=0,IF(I20="PremiumSS","R5only","R3less"),"")</f>
        <v>R3less</v>
      </c>
      <c r="F20" s="7" t="str">
        <f>IF(COUNTIF('R6開放'!A:A,B20)&gt;0,"R6release","")</f>
        <v/>
      </c>
      <c r="G20" s="7"/>
      <c r="H20" s="7" t="str">
        <f>VLOOKUP(B20,[1]characters!$A:$C,3,FALSE)</f>
        <v>雷のメタルダック</v>
      </c>
      <c r="I20" s="7" t="str">
        <f>VLOOKUP(B20,[1]characters!$A:$J,10,FALSE)</f>
        <v>Material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exp</v>
      </c>
      <c r="M20" s="7" t="str">
        <f>VLOOKUP(B20,[1]characters!$A:$M,13,FALSE)</f>
        <v>unknown</v>
      </c>
      <c r="N20" s="7" t="str">
        <f>VLOOKUP(B20,[1]characters!$A:$G,7,FALSE)</f>
        <v>不明</v>
      </c>
      <c r="O20" s="34">
        <v>5000</v>
      </c>
      <c r="P20" s="35">
        <f t="shared" si="4"/>
        <v>0.05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</row>
    <row r="21" spans="1:22" ht="21" customHeight="1" x14ac:dyDescent="0.15">
      <c r="A21" s="2">
        <v>7317010</v>
      </c>
      <c r="B21" s="6">
        <v>347</v>
      </c>
      <c r="C21" s="7" t="str">
        <f t="shared" si="13"/>
        <v>Premium6R3less</v>
      </c>
      <c r="D21" s="7" t="str">
        <f t="shared" si="14"/>
        <v>Premium</v>
      </c>
      <c r="E21" s="7" t="str">
        <f>IF(COUNTIF('R6追加前'!A:A,B21)=0,IF(I21="PremiumSS","R5only","R3less"),"")</f>
        <v>R3less</v>
      </c>
      <c r="F21" s="7" t="str">
        <f>IF(COUNTIF('R6開放'!A:A,B21)&gt;0,"R6release","")</f>
        <v/>
      </c>
      <c r="G21" s="7"/>
      <c r="H21" s="7" t="str">
        <f>VLOOKUP(B21,[1]characters!$A:$C,3,FALSE)</f>
        <v>雷のメタルジェントル</v>
      </c>
      <c r="I21" s="7" t="str">
        <f>VLOOKUP(B21,[1]characters!$A:$J,10,FALSE)</f>
        <v>Material</v>
      </c>
      <c r="J21" s="7">
        <f>VLOOKUP(B21,[1]characters!$A:$I,9,FALSE)</f>
        <v>6</v>
      </c>
      <c r="K21" s="7" t="str">
        <f>VLOOKUP(B21,[1]characters!$A:$H,8,FALSE)</f>
        <v>yellow</v>
      </c>
      <c r="L21" s="7" t="str">
        <f>VLOOKUP(B21,[1]characters!$A:$K,11,FALSE)</f>
        <v>exp</v>
      </c>
      <c r="M21" s="7" t="str">
        <f>VLOOKUP(B21,[1]characters!$A:$M,13,FALSE)</f>
        <v>unknown</v>
      </c>
      <c r="N21" s="7" t="str">
        <f>VLOOKUP(B21,[1]characters!$A:$G,7,FALSE)</f>
        <v>不明</v>
      </c>
      <c r="O21" s="34">
        <v>1000</v>
      </c>
      <c r="P21" s="35">
        <f t="shared" si="4"/>
        <v>0.01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</row>
    <row r="22" spans="1:22" ht="21" customHeight="1" x14ac:dyDescent="0.15">
      <c r="A22" s="2">
        <v>7317010</v>
      </c>
      <c r="B22" s="6">
        <v>355</v>
      </c>
      <c r="C22" s="7" t="str">
        <f t="shared" ref="C22:C24" si="15">D22&amp;J22&amp;E22&amp;F22&amp;G22</f>
        <v>Premium6R3less</v>
      </c>
      <c r="D22" s="7" t="str">
        <f t="shared" ref="D22:D24" si="16">IF(I22="PremiumSS",I22,IF(I22="PremiumSSS",I22,IF(I22="PremiumW",I22,"Premium")))</f>
        <v>Premium</v>
      </c>
      <c r="E22" s="7" t="str">
        <f>IF(COUNTIF('R6追加前'!A:A,B22)=0,IF(I22="PremiumSS","R5only","R3less"),"")</f>
        <v>R3less</v>
      </c>
      <c r="F22" s="7" t="str">
        <f>IF(COUNTIF('R6開放'!A:A,B22)&gt;0,"R6release","")</f>
        <v/>
      </c>
      <c r="G22" s="7"/>
      <c r="H22" s="7" t="str">
        <f>VLOOKUP(B22,[1]characters!$A:$C,3,FALSE)</f>
        <v>雷のメタルフロッグ</v>
      </c>
      <c r="I22" s="7" t="str">
        <f>VLOOKUP(B22,[1]characters!$A:$J,10,FALSE)</f>
        <v>Material</v>
      </c>
      <c r="J22" s="7">
        <f>VLOOKUP(B22,[1]characters!$A:$I,9,FALSE)</f>
        <v>6</v>
      </c>
      <c r="K22" s="7" t="str">
        <f>VLOOKUP(B22,[1]characters!$A:$H,8,FALSE)</f>
        <v>yellow</v>
      </c>
      <c r="L22" s="7" t="str">
        <f>VLOOKUP(B22,[1]characters!$A:$K,11,FALSE)</f>
        <v>exp</v>
      </c>
      <c r="M22" s="7" t="str">
        <f>VLOOKUP(B22,[1]characters!$A:$M,13,FALSE)</f>
        <v>unknown</v>
      </c>
      <c r="N22" s="7" t="str">
        <f>VLOOKUP(B22,[1]characters!$A:$G,7,FALSE)</f>
        <v>不明</v>
      </c>
      <c r="O22" s="34">
        <v>2000</v>
      </c>
      <c r="P22" s="35">
        <f t="shared" si="4"/>
        <v>0.02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</row>
    <row r="23" spans="1:22" ht="21" customHeight="1" x14ac:dyDescent="0.15">
      <c r="A23" s="2">
        <v>7317010</v>
      </c>
      <c r="B23" s="6">
        <v>687</v>
      </c>
      <c r="C23" s="7" t="str">
        <f t="shared" si="15"/>
        <v>Premium6R3less</v>
      </c>
      <c r="D23" s="7" t="str">
        <f t="shared" si="16"/>
        <v>Premium</v>
      </c>
      <c r="E23" s="7" t="str">
        <f>IF(COUNTIF('R6追加前'!A:A,B23)=0,IF(I23="PremiumSS","R5only","R3less"),"")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雷のプレゼントフロッグ</v>
      </c>
      <c r="I23" s="7" t="str">
        <f>VLOOKUP(B23,[1]characters!$A:$J,10,FALSE)</f>
        <v>Material</v>
      </c>
      <c r="J23" s="7">
        <f>VLOOKUP(B23,[1]characters!$A:$I,9,FALSE)</f>
        <v>6</v>
      </c>
      <c r="K23" s="7" t="str">
        <f>VLOOKUP(B23,[1]characters!$A:$H,8,FALSE)</f>
        <v>yellow</v>
      </c>
      <c r="L23" s="7" t="str">
        <f>VLOOKUP(B23,[1]characters!$A:$K,11,FALSE)</f>
        <v>exp</v>
      </c>
      <c r="M23" s="7" t="str">
        <f>VLOOKUP(B23,[1]characters!$A:$M,13,FALSE)</f>
        <v>unknown</v>
      </c>
      <c r="N23" s="7" t="str">
        <f>VLOOKUP(B23,[1]characters!$A:$G,7,FALSE)</f>
        <v>不明</v>
      </c>
      <c r="O23" s="34">
        <v>200</v>
      </c>
      <c r="P23" s="35">
        <f t="shared" si="4"/>
        <v>2E-3</v>
      </c>
      <c r="Q23" s="28">
        <v>1</v>
      </c>
      <c r="R23" s="28">
        <v>0</v>
      </c>
      <c r="S23" s="28">
        <v>0</v>
      </c>
      <c r="T23" s="28">
        <v>0</v>
      </c>
      <c r="U23" s="28">
        <v>0</v>
      </c>
      <c r="V23" s="28">
        <v>1</v>
      </c>
    </row>
    <row r="24" spans="1:22" ht="21" customHeight="1" x14ac:dyDescent="0.15">
      <c r="A24" s="2">
        <v>7317010</v>
      </c>
      <c r="B24" s="6">
        <v>607</v>
      </c>
      <c r="C24" s="7" t="str">
        <f t="shared" si="15"/>
        <v>Premium4R3less</v>
      </c>
      <c r="D24" s="7" t="str">
        <f t="shared" si="16"/>
        <v>Premium</v>
      </c>
      <c r="E24" s="7" t="str">
        <f>IF(COUNTIF('R6追加前'!A:A,B24)=0,IF(I24="PremiumSS","R5only","R3less"),"")</f>
        <v>R3less</v>
      </c>
      <c r="F24" s="7" t="str">
        <f>IF(COUNTIF('R6開放'!A:A,B24)&gt;0,"R6release","")</f>
        <v/>
      </c>
      <c r="G24" s="7"/>
      <c r="H24" s="7" t="str">
        <f>VLOOKUP(B24,[1]characters!$A:$C,3,FALSE)</f>
        <v>メガ攻めの果実</v>
      </c>
      <c r="I24" s="7" t="str">
        <f>VLOOKUP(B24,[1]characters!$A:$J,10,FALSE)</f>
        <v>Material</v>
      </c>
      <c r="J24" s="7">
        <f>VLOOKUP(B24,[1]characters!$A:$I,9,FALSE)</f>
        <v>4</v>
      </c>
      <c r="K24" s="7" t="str">
        <f>VLOOKUP(B24,[1]characters!$A:$H,8,FALSE)</f>
        <v>red</v>
      </c>
      <c r="L24" s="7" t="str">
        <f>VLOOKUP(B24,[1]characters!$A:$K,11,FALSE)</f>
        <v>limitbreak</v>
      </c>
      <c r="M24" s="7" t="str">
        <f>VLOOKUP(B24,[1]characters!$A:$M,13,FALSE)</f>
        <v>unknown</v>
      </c>
      <c r="N24" s="7" t="str">
        <f>VLOOKUP(B24,[1]characters!$A:$G,7,FALSE)</f>
        <v>不明</v>
      </c>
      <c r="O24" s="34">
        <v>3000</v>
      </c>
      <c r="P24" s="35">
        <f t="shared" si="4"/>
        <v>0.03</v>
      </c>
      <c r="Q24" s="28">
        <v>1</v>
      </c>
      <c r="R24" s="28">
        <v>0</v>
      </c>
      <c r="S24" s="28">
        <v>0</v>
      </c>
      <c r="T24" s="28">
        <v>0</v>
      </c>
      <c r="U24" s="28">
        <v>0</v>
      </c>
      <c r="V24" s="28">
        <v>1</v>
      </c>
    </row>
    <row r="25" spans="1:22" ht="21" customHeight="1" x14ac:dyDescent="0.15">
      <c r="A25" s="2">
        <v>7317010</v>
      </c>
      <c r="B25" s="6">
        <v>608</v>
      </c>
      <c r="C25" s="7" t="str">
        <f t="shared" ref="C25:C31" si="17">D25&amp;J25&amp;E25&amp;F25&amp;G25</f>
        <v>Premium4R3less</v>
      </c>
      <c r="D25" s="7" t="str">
        <f t="shared" ref="D25:D31" si="18">IF(I25="PremiumSS",I25,IF(I25="PremiumSSS",I25,IF(I25="PremiumW",I25,"Premium")))</f>
        <v>Premium</v>
      </c>
      <c r="E25" s="7" t="str">
        <f>IF(COUNTIF('R6追加前'!A:A,B25)=0,IF(I25="PremiumSS","R5only","R3less"),"")</f>
        <v>R3less</v>
      </c>
      <c r="F25" s="7" t="str">
        <f>IF(COUNTIF('R6開放'!A:A,B25)&gt;0,"R6release","")</f>
        <v/>
      </c>
      <c r="G25" s="7"/>
      <c r="H25" s="7" t="str">
        <f>VLOOKUP(B25,[1]characters!$A:$C,3,FALSE)</f>
        <v>メガ生命の果実</v>
      </c>
      <c r="I25" s="7" t="str">
        <f>VLOOKUP(B25,[1]characters!$A:$J,10,FALSE)</f>
        <v>Material</v>
      </c>
      <c r="J25" s="7">
        <f>VLOOKUP(B25,[1]characters!$A:$I,9,FALSE)</f>
        <v>4</v>
      </c>
      <c r="K25" s="7" t="str">
        <f>VLOOKUP(B25,[1]characters!$A:$H,8,FALSE)</f>
        <v>green</v>
      </c>
      <c r="L25" s="7" t="str">
        <f>VLOOKUP(B25,[1]characters!$A:$K,11,FALSE)</f>
        <v>limitbreak</v>
      </c>
      <c r="M25" s="7" t="str">
        <f>VLOOKUP(B25,[1]characters!$A:$M,13,FALSE)</f>
        <v>unknown</v>
      </c>
      <c r="N25" s="7" t="str">
        <f>VLOOKUP(B25,[1]characters!$A:$G,7,FALSE)</f>
        <v>不明</v>
      </c>
      <c r="O25" s="34">
        <v>3000</v>
      </c>
      <c r="P25" s="35">
        <f t="shared" ref="P25:P31" si="19">O25/SUM(O:O)</f>
        <v>0.03</v>
      </c>
      <c r="Q25" s="28">
        <v>1</v>
      </c>
      <c r="R25" s="28">
        <v>0</v>
      </c>
      <c r="S25" s="28">
        <v>0</v>
      </c>
      <c r="T25" s="28">
        <v>0</v>
      </c>
      <c r="U25" s="28">
        <v>0</v>
      </c>
      <c r="V25" s="28">
        <v>1</v>
      </c>
    </row>
    <row r="26" spans="1:22" ht="21" customHeight="1" x14ac:dyDescent="0.15">
      <c r="A26" s="2">
        <v>7317010</v>
      </c>
      <c r="B26" s="6">
        <v>609</v>
      </c>
      <c r="C26" s="7" t="str">
        <f t="shared" si="17"/>
        <v>Premium4R3less</v>
      </c>
      <c r="D26" s="7" t="str">
        <f t="shared" si="18"/>
        <v>Premium</v>
      </c>
      <c r="E26" s="7" t="str">
        <f>IF(COUNTIF('R6追加前'!A:A,B26)=0,IF(I26="PremiumSS","R5only","R3less"),"")</f>
        <v>R3less</v>
      </c>
      <c r="F26" s="7" t="str">
        <f>IF(COUNTIF('R6開放'!A:A,B26)&gt;0,"R6release","")</f>
        <v/>
      </c>
      <c r="G26" s="7"/>
      <c r="H26" s="7" t="str">
        <f>VLOOKUP(B26,[1]characters!$A:$C,3,FALSE)</f>
        <v>メガ癒しの果実</v>
      </c>
      <c r="I26" s="7" t="str">
        <f>VLOOKUP(B26,[1]characters!$A:$J,10,FALSE)</f>
        <v>Material</v>
      </c>
      <c r="J26" s="7">
        <f>VLOOKUP(B26,[1]characters!$A:$I,9,FALSE)</f>
        <v>4</v>
      </c>
      <c r="K26" s="7" t="str">
        <f>VLOOKUP(B26,[1]characters!$A:$H,8,FALSE)</f>
        <v>blue</v>
      </c>
      <c r="L26" s="7" t="str">
        <f>VLOOKUP(B26,[1]characters!$A:$K,11,FALSE)</f>
        <v>limitbreak</v>
      </c>
      <c r="M26" s="7" t="str">
        <f>VLOOKUP(B26,[1]characters!$A:$M,13,FALSE)</f>
        <v>unknown</v>
      </c>
      <c r="N26" s="7" t="str">
        <f>VLOOKUP(B26,[1]characters!$A:$G,7,FALSE)</f>
        <v>不明</v>
      </c>
      <c r="O26" s="34">
        <v>3000</v>
      </c>
      <c r="P26" s="35">
        <f t="shared" si="19"/>
        <v>0.03</v>
      </c>
      <c r="Q26" s="28">
        <v>1</v>
      </c>
      <c r="R26" s="28">
        <v>0</v>
      </c>
      <c r="S26" s="28">
        <v>0</v>
      </c>
      <c r="T26" s="28">
        <v>0</v>
      </c>
      <c r="U26" s="28">
        <v>0</v>
      </c>
      <c r="V26" s="28">
        <v>1</v>
      </c>
    </row>
    <row r="27" spans="1:22" ht="21" customHeight="1" x14ac:dyDescent="0.15">
      <c r="A27" s="2">
        <v>7317010</v>
      </c>
      <c r="B27" s="6">
        <v>610</v>
      </c>
      <c r="C27" s="7" t="str">
        <f t="shared" si="17"/>
        <v>Premium4R3less</v>
      </c>
      <c r="D27" s="7" t="str">
        <f t="shared" si="18"/>
        <v>Premium</v>
      </c>
      <c r="E27" s="7" t="str">
        <f>IF(COUNTIF('R6追加前'!A:A,B27)=0,IF(I27="PremiumSS","R5only","R3less"),"")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メガ秘術の果実</v>
      </c>
      <c r="I27" s="7" t="str">
        <f>VLOOKUP(B27,[1]characters!$A:$J,10,FALSE)</f>
        <v>Material</v>
      </c>
      <c r="J27" s="7">
        <f>VLOOKUP(B27,[1]characters!$A:$I,9,FALSE)</f>
        <v>4</v>
      </c>
      <c r="K27" s="7" t="str">
        <f>VLOOKUP(B27,[1]characters!$A:$H,8,FALSE)</f>
        <v>blue</v>
      </c>
      <c r="L27" s="7" t="str">
        <f>VLOOKUP(B27,[1]characters!$A:$K,11,FALSE)</f>
        <v>skilllevel</v>
      </c>
      <c r="M27" s="7" t="str">
        <f>VLOOKUP(B27,[1]characters!$A:$M,13,FALSE)</f>
        <v>unknown</v>
      </c>
      <c r="N27" s="7" t="str">
        <f>VLOOKUP(B27,[1]characters!$A:$G,7,FALSE)</f>
        <v>不明</v>
      </c>
      <c r="O27" s="34">
        <v>2000</v>
      </c>
      <c r="P27" s="35">
        <f t="shared" si="19"/>
        <v>0.02</v>
      </c>
      <c r="Q27" s="28">
        <v>1</v>
      </c>
      <c r="R27" s="28">
        <v>0</v>
      </c>
      <c r="S27" s="28">
        <v>0</v>
      </c>
      <c r="T27" s="28">
        <v>0</v>
      </c>
      <c r="U27" s="28">
        <v>0</v>
      </c>
      <c r="V27" s="28">
        <v>1</v>
      </c>
    </row>
    <row r="28" spans="1:22" ht="21" customHeight="1" x14ac:dyDescent="0.15">
      <c r="A28" s="2">
        <v>7317010</v>
      </c>
      <c r="B28" s="6">
        <v>611</v>
      </c>
      <c r="C28" s="7" t="str">
        <f t="shared" si="17"/>
        <v>Premium5R3less</v>
      </c>
      <c r="D28" s="7" t="str">
        <f t="shared" si="18"/>
        <v>Premium</v>
      </c>
      <c r="E28" s="7" t="str">
        <f>IF(COUNTIF('R6追加前'!A:A,B28)=0,IF(I28="PremiumSS","R5only","R3less"),"")</f>
        <v>R3less</v>
      </c>
      <c r="F28" s="7" t="str">
        <f>IF(COUNTIF('R6開放'!A:A,B28)&gt;0,"R6release","")</f>
        <v/>
      </c>
      <c r="G28" s="7"/>
      <c r="H28" s="7" t="str">
        <f>VLOOKUP(B28,[1]characters!$A:$C,3,FALSE)</f>
        <v>ギガ攻めの果実</v>
      </c>
      <c r="I28" s="7" t="str">
        <f>VLOOKUP(B28,[1]characters!$A:$J,10,FALSE)</f>
        <v>Material</v>
      </c>
      <c r="J28" s="7">
        <f>VLOOKUP(B28,[1]characters!$A:$I,9,FALSE)</f>
        <v>5</v>
      </c>
      <c r="K28" s="7" t="str">
        <f>VLOOKUP(B28,[1]characters!$A:$H,8,FALSE)</f>
        <v>red</v>
      </c>
      <c r="L28" s="7" t="str">
        <f>VLOOKUP(B28,[1]characters!$A:$K,11,FALSE)</f>
        <v>limitbreak</v>
      </c>
      <c r="M28" s="7" t="str">
        <f>VLOOKUP(B28,[1]characters!$A:$M,13,FALSE)</f>
        <v>unknown</v>
      </c>
      <c r="N28" s="7" t="str">
        <f>VLOOKUP(B28,[1]characters!$A:$G,7,FALSE)</f>
        <v>不明</v>
      </c>
      <c r="O28" s="34">
        <v>1000</v>
      </c>
      <c r="P28" s="35">
        <f t="shared" si="19"/>
        <v>0.01</v>
      </c>
      <c r="Q28" s="28">
        <v>1</v>
      </c>
      <c r="R28" s="28">
        <v>0</v>
      </c>
      <c r="S28" s="28">
        <v>0</v>
      </c>
      <c r="T28" s="28">
        <v>0</v>
      </c>
      <c r="U28" s="28">
        <v>0</v>
      </c>
      <c r="V28" s="28">
        <v>1</v>
      </c>
    </row>
    <row r="29" spans="1:22" ht="21" customHeight="1" x14ac:dyDescent="0.15">
      <c r="A29" s="2">
        <v>7317010</v>
      </c>
      <c r="B29" s="6">
        <v>612</v>
      </c>
      <c r="C29" s="7" t="str">
        <f t="shared" si="17"/>
        <v>Premium5R3less</v>
      </c>
      <c r="D29" s="7" t="str">
        <f t="shared" si="18"/>
        <v>Premium</v>
      </c>
      <c r="E29" s="7" t="str">
        <f>IF(COUNTIF('R6追加前'!A:A,B29)=0,IF(I29="PremiumSS","R5only","R3less"),"")</f>
        <v>R3less</v>
      </c>
      <c r="F29" s="7" t="str">
        <f>IF(COUNTIF('R6開放'!A:A,B29)&gt;0,"R6release","")</f>
        <v/>
      </c>
      <c r="G29" s="7"/>
      <c r="H29" s="7" t="str">
        <f>VLOOKUP(B29,[1]characters!$A:$C,3,FALSE)</f>
        <v>ギガ生命の果実</v>
      </c>
      <c r="I29" s="7" t="str">
        <f>VLOOKUP(B29,[1]characters!$A:$J,10,FALSE)</f>
        <v>Material</v>
      </c>
      <c r="J29" s="7">
        <f>VLOOKUP(B29,[1]characters!$A:$I,9,FALSE)</f>
        <v>5</v>
      </c>
      <c r="K29" s="7" t="str">
        <f>VLOOKUP(B29,[1]characters!$A:$H,8,FALSE)</f>
        <v>green</v>
      </c>
      <c r="L29" s="7" t="str">
        <f>VLOOKUP(B29,[1]characters!$A:$K,11,FALSE)</f>
        <v>limitbreak</v>
      </c>
      <c r="M29" s="7" t="str">
        <f>VLOOKUP(B29,[1]characters!$A:$M,13,FALSE)</f>
        <v>unknown</v>
      </c>
      <c r="N29" s="7" t="str">
        <f>VLOOKUP(B29,[1]characters!$A:$G,7,FALSE)</f>
        <v>不明</v>
      </c>
      <c r="O29" s="34">
        <v>1000</v>
      </c>
      <c r="P29" s="35">
        <f t="shared" si="19"/>
        <v>0.01</v>
      </c>
      <c r="Q29" s="28">
        <v>1</v>
      </c>
      <c r="R29" s="28">
        <v>0</v>
      </c>
      <c r="S29" s="28">
        <v>0</v>
      </c>
      <c r="T29" s="28">
        <v>0</v>
      </c>
      <c r="U29" s="28">
        <v>0</v>
      </c>
      <c r="V29" s="28">
        <v>1</v>
      </c>
    </row>
    <row r="30" spans="1:22" ht="21" customHeight="1" x14ac:dyDescent="0.15">
      <c r="A30" s="2">
        <v>7317010</v>
      </c>
      <c r="B30" s="6">
        <v>613</v>
      </c>
      <c r="C30" s="7" t="str">
        <f t="shared" si="17"/>
        <v>Premium5R3less</v>
      </c>
      <c r="D30" s="7" t="str">
        <f t="shared" si="18"/>
        <v>Premium</v>
      </c>
      <c r="E30" s="7" t="str">
        <f>IF(COUNTIF('R6追加前'!A:A,B30)=0,IF(I30="PremiumSS","R5only","R3less"),"")</f>
        <v>R3less</v>
      </c>
      <c r="F30" s="7" t="str">
        <f>IF(COUNTIF('R6開放'!A:A,B30)&gt;0,"R6release","")</f>
        <v/>
      </c>
      <c r="G30" s="7"/>
      <c r="H30" s="7" t="str">
        <f>VLOOKUP(B30,[1]characters!$A:$C,3,FALSE)</f>
        <v>ギガ癒しの果実</v>
      </c>
      <c r="I30" s="7" t="str">
        <f>VLOOKUP(B30,[1]characters!$A:$J,10,FALSE)</f>
        <v>Material</v>
      </c>
      <c r="J30" s="7">
        <f>VLOOKUP(B30,[1]characters!$A:$I,9,FALSE)</f>
        <v>5</v>
      </c>
      <c r="K30" s="7" t="str">
        <f>VLOOKUP(B30,[1]characters!$A:$H,8,FALSE)</f>
        <v>blue</v>
      </c>
      <c r="L30" s="7" t="str">
        <f>VLOOKUP(B30,[1]characters!$A:$K,11,FALSE)</f>
        <v>limitbreak</v>
      </c>
      <c r="M30" s="7" t="str">
        <f>VLOOKUP(B30,[1]characters!$A:$M,13,FALSE)</f>
        <v>unknown</v>
      </c>
      <c r="N30" s="7" t="str">
        <f>VLOOKUP(B30,[1]characters!$A:$G,7,FALSE)</f>
        <v>不明</v>
      </c>
      <c r="O30" s="34">
        <v>1000</v>
      </c>
      <c r="P30" s="35">
        <f t="shared" si="19"/>
        <v>0.01</v>
      </c>
      <c r="Q30" s="28">
        <v>1</v>
      </c>
      <c r="R30" s="28">
        <v>0</v>
      </c>
      <c r="S30" s="28">
        <v>0</v>
      </c>
      <c r="T30" s="28">
        <v>0</v>
      </c>
      <c r="U30" s="28">
        <v>0</v>
      </c>
      <c r="V30" s="28">
        <v>1</v>
      </c>
    </row>
    <row r="31" spans="1:22" ht="21" customHeight="1" x14ac:dyDescent="0.15">
      <c r="A31" s="2">
        <v>7317010</v>
      </c>
      <c r="B31" s="6">
        <v>837</v>
      </c>
      <c r="C31" s="7" t="str">
        <f t="shared" si="17"/>
        <v>Premium6R3less</v>
      </c>
      <c r="D31" s="7" t="str">
        <f t="shared" si="18"/>
        <v>Premium</v>
      </c>
      <c r="E31" s="7" t="str">
        <f>IF(COUNTIF('R6追加前'!A:A,B31)=0,IF(I31="PremiumSS","R5only","R3less"),"")</f>
        <v>R3less</v>
      </c>
      <c r="F31" s="7" t="str">
        <f>IF(COUNTIF('R6開放'!A:A,B31)&gt;0,"R6release","")</f>
        <v/>
      </c>
      <c r="G31" s="7"/>
      <c r="H31" s="7" t="str">
        <f>VLOOKUP(B31,[1]characters!$A:$C,3,FALSE)</f>
        <v>リトルハンプティ</v>
      </c>
      <c r="I31" s="7" t="str">
        <f>VLOOKUP(B31,[1]characters!$A:$J,10,FALSE)</f>
        <v>Material</v>
      </c>
      <c r="J31" s="7">
        <f>VLOOKUP(B31,[1]characters!$A:$I,9,FALSE)</f>
        <v>6</v>
      </c>
      <c r="K31" s="7" t="str">
        <f>VLOOKUP(B31,[1]characters!$A:$H,8,FALSE)</f>
        <v>yellow</v>
      </c>
      <c r="L31" s="7" t="str">
        <f>VLOOKUP(B31,[1]characters!$A:$K,11,FALSE)</f>
        <v>evolution</v>
      </c>
      <c r="M31" s="7" t="str">
        <f>VLOOKUP(B31,[1]characters!$A:$M,13,FALSE)</f>
        <v>unknown</v>
      </c>
      <c r="N31" s="7" t="str">
        <f>VLOOKUP(B31,[1]characters!$A:$G,7,FALSE)</f>
        <v>男性</v>
      </c>
      <c r="O31" s="34">
        <v>2000</v>
      </c>
      <c r="P31" s="35">
        <f t="shared" si="19"/>
        <v>0.02</v>
      </c>
      <c r="Q31" s="28">
        <v>1</v>
      </c>
      <c r="R31" s="28">
        <v>0</v>
      </c>
      <c r="S31" s="28">
        <v>0</v>
      </c>
      <c r="T31" s="28">
        <v>0</v>
      </c>
      <c r="U31" s="28">
        <v>0</v>
      </c>
      <c r="V31" s="28">
        <v>1</v>
      </c>
    </row>
    <row r="32" spans="1:22" ht="21" customHeight="1" x14ac:dyDescent="0.15">
      <c r="A32" s="2">
        <v>7317010</v>
      </c>
      <c r="B32" s="6">
        <v>1407</v>
      </c>
      <c r="C32" s="7" t="str">
        <f t="shared" ref="C32" si="20">D32&amp;J32&amp;E32&amp;F32&amp;G32</f>
        <v>Premium5R3less</v>
      </c>
      <c r="D32" s="7" t="str">
        <f t="shared" ref="D32" si="21">IF(I32="PremiumSS",I32,IF(I32="PremiumSSS",I32,IF(I32="PremiumW",I32,"Premium")))</f>
        <v>Premium</v>
      </c>
      <c r="E32" s="7" t="str">
        <f>IF(COUNTIF('R6追加前'!A:A,B32)=0,IF(I32="PremiumSS","R5only","R3less"),"")</f>
        <v>R3less</v>
      </c>
      <c r="F32" s="7" t="str">
        <f>IF(COUNTIF('R6開放'!A:A,B32)&gt;0,"R6release","")</f>
        <v/>
      </c>
      <c r="G32" s="7"/>
      <c r="H32" s="7" t="str">
        <f>VLOOKUP(B32,[1]characters!$A:$C,3,FALSE)</f>
        <v>グリム・ザ・ダンディ</v>
      </c>
      <c r="I32" s="7" t="str">
        <f>VLOOKUP(B32,[1]characters!$A:$J,10,FALSE)</f>
        <v>DropWizS</v>
      </c>
      <c r="J32" s="7">
        <f>VLOOKUP(B32,[1]characters!$A:$I,9,FALSE)</f>
        <v>5</v>
      </c>
      <c r="K32" s="7" t="str">
        <f>VLOOKUP(B32,[1]characters!$A:$H,8,FALSE)</f>
        <v>yellow</v>
      </c>
      <c r="L32" s="7" t="str">
        <f>VLOOKUP(B32,[1]characters!$A:$K,11,FALSE)</f>
        <v>balance</v>
      </c>
      <c r="M32" s="7" t="str">
        <f>VLOOKUP(B32,[1]characters!$A:$M,13,FALSE)</f>
        <v>human</v>
      </c>
      <c r="N32" s="7">
        <f>VLOOKUP(B32,[1]characters!$A:$G,7,FALSE)</f>
        <v>0</v>
      </c>
      <c r="O32" s="34">
        <v>10000</v>
      </c>
      <c r="P32" s="35">
        <f t="shared" ref="P32" si="22">O32/SUM(O:O)</f>
        <v>0.1</v>
      </c>
      <c r="Q32" s="28">
        <v>1</v>
      </c>
      <c r="R32" s="28">
        <v>0</v>
      </c>
      <c r="S32" s="28">
        <v>0</v>
      </c>
      <c r="T32" s="28">
        <v>0</v>
      </c>
      <c r="U32" s="28">
        <v>0</v>
      </c>
      <c r="V32" s="28">
        <v>1</v>
      </c>
    </row>
  </sheetData>
  <autoFilter ref="A1:V4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32"/>
  <sheetViews>
    <sheetView showGridLines="0" zoomScale="75" zoomScaleNormal="75" zoomScalePageLayoutView="75" workbookViewId="0">
      <pane ySplit="1" topLeftCell="A2" activePane="bottomLeft" state="frozen"/>
      <selection activeCell="A266" sqref="A266:XFD266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64</v>
      </c>
      <c r="B1" s="13" t="s">
        <v>1</v>
      </c>
      <c r="C1" s="3" t="s">
        <v>31</v>
      </c>
      <c r="D1" s="3" t="s">
        <v>76</v>
      </c>
      <c r="E1" s="3" t="s">
        <v>79</v>
      </c>
      <c r="F1" s="3" t="s">
        <v>80</v>
      </c>
      <c r="G1" s="3" t="s">
        <v>77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56</v>
      </c>
      <c r="O1" s="13" t="s">
        <v>2</v>
      </c>
      <c r="P1" s="3" t="s">
        <v>58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7318010</v>
      </c>
      <c r="B2" s="6">
        <v>119</v>
      </c>
      <c r="C2" s="7" t="str">
        <f t="shared" ref="C2:C32" si="0">D2&amp;J2&amp;E2&amp;F2&amp;G2</f>
        <v>Premium5R3less</v>
      </c>
      <c r="D2" s="7" t="str">
        <f t="shared" ref="D2:D32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ゴールドダック</v>
      </c>
      <c r="I2" s="7" t="str">
        <f>VLOOKUP(B2,[1]characters!$A:$J,10,FALSE)</f>
        <v>Material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coin</v>
      </c>
      <c r="M2" s="7" t="str">
        <f>VLOOKUP(B2,[1]characters!$A:$M,13,FALSE)</f>
        <v>unknown</v>
      </c>
      <c r="N2" s="7" t="str">
        <f>VLOOKUP(B2,[1]characters!$A:$G,7,FALSE)</f>
        <v>不明</v>
      </c>
      <c r="O2" s="34">
        <v>20000</v>
      </c>
      <c r="P2" s="35">
        <f>O2/SUM(O:O)</f>
        <v>0.2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>
        <v>7318010</v>
      </c>
      <c r="B3" s="6">
        <v>120</v>
      </c>
      <c r="C3" s="7" t="str">
        <f t="shared" si="0"/>
        <v>Premium6R3less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ゴールドキング</v>
      </c>
      <c r="I3" s="7" t="str">
        <f>VLOOKUP(B3,[1]characters!$A:$J,10,FALSE)</f>
        <v>Material</v>
      </c>
      <c r="J3" s="7">
        <f>VLOOKUP(B3,[1]characters!$A:$I,9,FALSE)</f>
        <v>6</v>
      </c>
      <c r="K3" s="7" t="str">
        <f>VLOOKUP(B3,[1]characters!$A:$H,8,FALSE)</f>
        <v>yellow</v>
      </c>
      <c r="L3" s="7" t="str">
        <f>VLOOKUP(B3,[1]characters!$A:$K,11,FALSE)</f>
        <v>coin</v>
      </c>
      <c r="M3" s="7" t="str">
        <f>VLOOKUP(B3,[1]characters!$A:$M,13,FALSE)</f>
        <v>unknown</v>
      </c>
      <c r="N3" s="7" t="str">
        <f>VLOOKUP(B3,[1]characters!$A:$G,7,FALSE)</f>
        <v>不明</v>
      </c>
      <c r="O3" s="34">
        <v>6200</v>
      </c>
      <c r="P3" s="35">
        <f>O3/SUM(O:O)</f>
        <v>6.2E-2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>
        <v>7318010</v>
      </c>
      <c r="B4" s="6">
        <v>121</v>
      </c>
      <c r="C4" s="7" t="str">
        <f t="shared" si="0"/>
        <v>Premium3R3less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攻めの果実</v>
      </c>
      <c r="I4" s="7" t="str">
        <f>VLOOKUP(B4,[1]characters!$A:$J,10,FALSE)</f>
        <v>Material</v>
      </c>
      <c r="J4" s="7">
        <f>VLOOKUP(B4,[1]characters!$A:$I,9,FALSE)</f>
        <v>3</v>
      </c>
      <c r="K4" s="7" t="str">
        <f>VLOOKUP(B4,[1]characters!$A:$H,8,FALSE)</f>
        <v>red</v>
      </c>
      <c r="L4" s="7" t="str">
        <f>VLOOKUP(B4,[1]characters!$A:$K,11,FALSE)</f>
        <v>limitbreak</v>
      </c>
      <c r="M4" s="7" t="str">
        <f>VLOOKUP(B4,[1]characters!$A:$M,13,FALSE)</f>
        <v>unknown</v>
      </c>
      <c r="N4" s="7" t="str">
        <f>VLOOKUP(B4,[1]characters!$A:$G,7,FALSE)</f>
        <v>不明</v>
      </c>
      <c r="O4" s="34">
        <v>4000</v>
      </c>
      <c r="P4" s="35">
        <f>O4/SUM(O:O)</f>
        <v>0.04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>
        <v>7318010</v>
      </c>
      <c r="B5" s="6">
        <v>122</v>
      </c>
      <c r="C5" s="7" t="str">
        <f t="shared" si="0"/>
        <v>Premium3R3less</v>
      </c>
      <c r="D5" s="7" t="str">
        <f t="shared" si="1"/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生命の果実</v>
      </c>
      <c r="I5" s="7" t="str">
        <f>VLOOKUP(B5,[1]characters!$A:$J,10,FALSE)</f>
        <v>Material</v>
      </c>
      <c r="J5" s="7">
        <f>VLOOKUP(B5,[1]characters!$A:$I,9,FALSE)</f>
        <v>3</v>
      </c>
      <c r="K5" s="7" t="str">
        <f>VLOOKUP(B5,[1]characters!$A:$H,8,FALSE)</f>
        <v>green</v>
      </c>
      <c r="L5" s="7" t="str">
        <f>VLOOKUP(B5,[1]characters!$A:$K,11,FALSE)</f>
        <v>limitbreak</v>
      </c>
      <c r="M5" s="7" t="str">
        <f>VLOOKUP(B5,[1]characters!$A:$M,13,FALSE)</f>
        <v>unknown</v>
      </c>
      <c r="N5" s="7" t="str">
        <f>VLOOKUP(B5,[1]characters!$A:$G,7,FALSE)</f>
        <v>不明</v>
      </c>
      <c r="O5" s="34">
        <v>4000</v>
      </c>
      <c r="P5" s="35">
        <f t="shared" ref="P5:P32" si="2">O5/SUM(O:O)</f>
        <v>0.04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>
        <v>7318010</v>
      </c>
      <c r="B6" s="6">
        <v>123</v>
      </c>
      <c r="C6" s="7" t="str">
        <f t="shared" si="0"/>
        <v>Premium3R3less</v>
      </c>
      <c r="D6" s="7" t="str">
        <f t="shared" si="1"/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癒しの果実</v>
      </c>
      <c r="I6" s="7" t="str">
        <f>VLOOKUP(B6,[1]characters!$A:$J,10,FALSE)</f>
        <v>Material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limitbreak</v>
      </c>
      <c r="M6" s="7" t="str">
        <f>VLOOKUP(B6,[1]characters!$A:$M,13,FALSE)</f>
        <v>unknown</v>
      </c>
      <c r="N6" s="7" t="str">
        <f>VLOOKUP(B6,[1]characters!$A:$G,7,FALSE)</f>
        <v>不明</v>
      </c>
      <c r="O6" s="34">
        <v>4000</v>
      </c>
      <c r="P6" s="35">
        <f t="shared" si="2"/>
        <v>0.04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>
        <v>7318010</v>
      </c>
      <c r="B7" s="6">
        <v>125</v>
      </c>
      <c r="C7" s="7" t="str">
        <f t="shared" si="0"/>
        <v>Premium3R3less</v>
      </c>
      <c r="D7" s="7" t="str">
        <f t="shared" si="1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秘術の果実</v>
      </c>
      <c r="I7" s="7" t="str">
        <f>VLOOKUP(B7,[1]characters!$A:$J,10,FALSE)</f>
        <v>Material</v>
      </c>
      <c r="J7" s="7">
        <f>VLOOKUP(B7,[1]characters!$A:$I,9,FALSE)</f>
        <v>3</v>
      </c>
      <c r="K7" s="7" t="str">
        <f>VLOOKUP(B7,[1]characters!$A:$H,8,FALSE)</f>
        <v>blue</v>
      </c>
      <c r="L7" s="7" t="str">
        <f>VLOOKUP(B7,[1]characters!$A:$K,11,FALSE)</f>
        <v>skilllevel</v>
      </c>
      <c r="M7" s="7" t="str">
        <f>VLOOKUP(B7,[1]characters!$A:$M,13,FALSE)</f>
        <v>unknown</v>
      </c>
      <c r="N7" s="7" t="str">
        <f>VLOOKUP(B7,[1]characters!$A:$G,7,FALSE)</f>
        <v>不明</v>
      </c>
      <c r="O7" s="34">
        <v>3000</v>
      </c>
      <c r="P7" s="35">
        <f t="shared" si="2"/>
        <v>0.03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>
        <v>7318010</v>
      </c>
      <c r="B8" s="6">
        <v>334</v>
      </c>
      <c r="C8" s="7" t="str">
        <f t="shared" si="0"/>
        <v>Premium5R3less</v>
      </c>
      <c r="D8" s="7" t="str">
        <f t="shared" si="1"/>
        <v>Premium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炎のメタルダック</v>
      </c>
      <c r="I8" s="7" t="str">
        <f>VLOOKUP(B8,[1]characters!$A:$J,10,FALSE)</f>
        <v>Material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exp</v>
      </c>
      <c r="M8" s="7" t="str">
        <f>VLOOKUP(B8,[1]characters!$A:$M,13,FALSE)</f>
        <v>unknown</v>
      </c>
      <c r="N8" s="7" t="str">
        <f>VLOOKUP(B8,[1]characters!$A:$G,7,FALSE)</f>
        <v>不明</v>
      </c>
      <c r="O8" s="34">
        <v>5000</v>
      </c>
      <c r="P8" s="35">
        <f>O8/SUM(O:O)</f>
        <v>0.05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>
        <v>7318010</v>
      </c>
      <c r="B9" s="6">
        <v>335</v>
      </c>
      <c r="C9" s="7" t="str">
        <f t="shared" si="0"/>
        <v>Premium6R3less</v>
      </c>
      <c r="D9" s="7" t="str">
        <f t="shared" si="1"/>
        <v>Premium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炎のメタルジェントル</v>
      </c>
      <c r="I9" s="7" t="str">
        <f>VLOOKUP(B9,[1]characters!$A:$J,10,FALSE)</f>
        <v>Material</v>
      </c>
      <c r="J9" s="7">
        <f>VLOOKUP(B9,[1]characters!$A:$I,9,FALSE)</f>
        <v>6</v>
      </c>
      <c r="K9" s="7" t="str">
        <f>VLOOKUP(B9,[1]characters!$A:$H,8,FALSE)</f>
        <v>red</v>
      </c>
      <c r="L9" s="7" t="str">
        <f>VLOOKUP(B9,[1]characters!$A:$K,11,FALSE)</f>
        <v>exp</v>
      </c>
      <c r="M9" s="7" t="str">
        <f>VLOOKUP(B9,[1]characters!$A:$M,13,FALSE)</f>
        <v>unknown</v>
      </c>
      <c r="N9" s="7" t="str">
        <f>VLOOKUP(B9,[1]characters!$A:$G,7,FALSE)</f>
        <v>不明</v>
      </c>
      <c r="O9" s="34">
        <v>1000</v>
      </c>
      <c r="P9" s="35">
        <f t="shared" si="2"/>
        <v>0.01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>
        <v>7318010</v>
      </c>
      <c r="B10" s="6">
        <v>349</v>
      </c>
      <c r="C10" s="7" t="str">
        <f t="shared" si="0"/>
        <v>Premium6R3less</v>
      </c>
      <c r="D10" s="7" t="str">
        <f t="shared" si="1"/>
        <v>Premium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炎のメタルフロッグ</v>
      </c>
      <c r="I10" s="7" t="str">
        <f>VLOOKUP(B10,[1]characters!$A:$J,10,FALSE)</f>
        <v>Material</v>
      </c>
      <c r="J10" s="7">
        <f>VLOOKUP(B10,[1]characters!$A:$I,9,FALSE)</f>
        <v>6</v>
      </c>
      <c r="K10" s="7" t="str">
        <f>VLOOKUP(B10,[1]characters!$A:$H,8,FALSE)</f>
        <v>red</v>
      </c>
      <c r="L10" s="7" t="str">
        <f>VLOOKUP(B10,[1]characters!$A:$K,11,FALSE)</f>
        <v>exp</v>
      </c>
      <c r="M10" s="7" t="str">
        <f>VLOOKUP(B10,[1]characters!$A:$M,13,FALSE)</f>
        <v>unknown</v>
      </c>
      <c r="N10" s="7" t="str">
        <f>VLOOKUP(B10,[1]characters!$A:$G,7,FALSE)</f>
        <v>不明</v>
      </c>
      <c r="O10" s="34">
        <v>2000</v>
      </c>
      <c r="P10" s="35">
        <f t="shared" si="2"/>
        <v>0.02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>
        <v>7318010</v>
      </c>
      <c r="B11" s="6">
        <v>681</v>
      </c>
      <c r="C11" s="7" t="str">
        <f t="shared" si="0"/>
        <v>Premium6R3less</v>
      </c>
      <c r="D11" s="7" t="str">
        <f t="shared" si="1"/>
        <v>Premium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炎のプレゼントフロッグ</v>
      </c>
      <c r="I11" s="7" t="str">
        <f>VLOOKUP(B11,[1]characters!$A:$J,10,FALSE)</f>
        <v>Material</v>
      </c>
      <c r="J11" s="7">
        <f>VLOOKUP(B11,[1]characters!$A:$I,9,FALSE)</f>
        <v>6</v>
      </c>
      <c r="K11" s="7" t="str">
        <f>VLOOKUP(B11,[1]characters!$A:$H,8,FALSE)</f>
        <v>red</v>
      </c>
      <c r="L11" s="7" t="str">
        <f>VLOOKUP(B11,[1]characters!$A:$K,11,FALSE)</f>
        <v>exp</v>
      </c>
      <c r="M11" s="7" t="str">
        <f>VLOOKUP(B11,[1]characters!$A:$M,13,FALSE)</f>
        <v>unknown</v>
      </c>
      <c r="N11" s="7" t="str">
        <f>VLOOKUP(B11,[1]characters!$A:$G,7,FALSE)</f>
        <v>不明</v>
      </c>
      <c r="O11" s="34">
        <v>200</v>
      </c>
      <c r="P11" s="35">
        <f t="shared" si="2"/>
        <v>2E-3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>
        <v>7318010</v>
      </c>
      <c r="B12" s="6">
        <v>338</v>
      </c>
      <c r="C12" s="7" t="str">
        <f t="shared" si="0"/>
        <v>Premium5R3less</v>
      </c>
      <c r="D12" s="7" t="str">
        <f t="shared" si="1"/>
        <v>Premium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森のメタルダック</v>
      </c>
      <c r="I12" s="7" t="str">
        <f>VLOOKUP(B12,[1]characters!$A:$J,10,FALSE)</f>
        <v>Material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exp</v>
      </c>
      <c r="M12" s="7" t="str">
        <f>VLOOKUP(B12,[1]characters!$A:$M,13,FALSE)</f>
        <v>unknown</v>
      </c>
      <c r="N12" s="7" t="str">
        <f>VLOOKUP(B12,[1]characters!$A:$G,7,FALSE)</f>
        <v>不明</v>
      </c>
      <c r="O12" s="34">
        <v>5000</v>
      </c>
      <c r="P12" s="35">
        <f t="shared" si="2"/>
        <v>0.05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>
        <v>7318010</v>
      </c>
      <c r="B13" s="6">
        <v>339</v>
      </c>
      <c r="C13" s="7" t="str">
        <f t="shared" si="0"/>
        <v>Premium6R3less</v>
      </c>
      <c r="D13" s="7" t="str">
        <f t="shared" si="1"/>
        <v>Premium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森のメタルジェントル</v>
      </c>
      <c r="I13" s="7" t="str">
        <f>VLOOKUP(B13,[1]characters!$A:$J,10,FALSE)</f>
        <v>Material</v>
      </c>
      <c r="J13" s="7">
        <f>VLOOKUP(B13,[1]characters!$A:$I,9,FALSE)</f>
        <v>6</v>
      </c>
      <c r="K13" s="7" t="str">
        <f>VLOOKUP(B13,[1]characters!$A:$H,8,FALSE)</f>
        <v>green</v>
      </c>
      <c r="L13" s="7" t="str">
        <f>VLOOKUP(B13,[1]characters!$A:$K,11,FALSE)</f>
        <v>exp</v>
      </c>
      <c r="M13" s="7" t="str">
        <f>VLOOKUP(B13,[1]characters!$A:$M,13,FALSE)</f>
        <v>unknown</v>
      </c>
      <c r="N13" s="7" t="str">
        <f>VLOOKUP(B13,[1]characters!$A:$G,7,FALSE)</f>
        <v>不明</v>
      </c>
      <c r="O13" s="34">
        <v>1000</v>
      </c>
      <c r="P13" s="35">
        <f t="shared" si="2"/>
        <v>0.01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>
        <v>7318010</v>
      </c>
      <c r="B14" s="6">
        <v>351</v>
      </c>
      <c r="C14" s="7" t="str">
        <f t="shared" si="0"/>
        <v>Premium6R3less</v>
      </c>
      <c r="D14" s="7" t="str">
        <f t="shared" si="1"/>
        <v>Premium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森のメタルフロッグ</v>
      </c>
      <c r="I14" s="7" t="str">
        <f>VLOOKUP(B14,[1]characters!$A:$J,10,FALSE)</f>
        <v>Material</v>
      </c>
      <c r="J14" s="7">
        <f>VLOOKUP(B14,[1]characters!$A:$I,9,FALSE)</f>
        <v>6</v>
      </c>
      <c r="K14" s="7" t="str">
        <f>VLOOKUP(B14,[1]characters!$A:$H,8,FALSE)</f>
        <v>green</v>
      </c>
      <c r="L14" s="7" t="str">
        <f>VLOOKUP(B14,[1]characters!$A:$K,11,FALSE)</f>
        <v>exp</v>
      </c>
      <c r="M14" s="7" t="str">
        <f>VLOOKUP(B14,[1]characters!$A:$M,13,FALSE)</f>
        <v>unknown</v>
      </c>
      <c r="N14" s="7" t="str">
        <f>VLOOKUP(B14,[1]characters!$A:$G,7,FALSE)</f>
        <v>不明</v>
      </c>
      <c r="O14" s="34">
        <v>2000</v>
      </c>
      <c r="P14" s="35">
        <f t="shared" si="2"/>
        <v>0.02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>
        <v>7318010</v>
      </c>
      <c r="B15" s="6">
        <v>683</v>
      </c>
      <c r="C15" s="7" t="str">
        <f t="shared" si="0"/>
        <v>Premium6R3less</v>
      </c>
      <c r="D15" s="7" t="str">
        <f t="shared" si="1"/>
        <v>Premium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森のプレゼントフロッグ</v>
      </c>
      <c r="I15" s="7" t="str">
        <f>VLOOKUP(B15,[1]characters!$A:$J,10,FALSE)</f>
        <v>Material</v>
      </c>
      <c r="J15" s="7">
        <f>VLOOKUP(B15,[1]characters!$A:$I,9,FALSE)</f>
        <v>6</v>
      </c>
      <c r="K15" s="7" t="str">
        <f>VLOOKUP(B15,[1]characters!$A:$H,8,FALSE)</f>
        <v>green</v>
      </c>
      <c r="L15" s="7" t="str">
        <f>VLOOKUP(B15,[1]characters!$A:$K,11,FALSE)</f>
        <v>exp</v>
      </c>
      <c r="M15" s="7" t="str">
        <f>VLOOKUP(B15,[1]characters!$A:$M,13,FALSE)</f>
        <v>unknown</v>
      </c>
      <c r="N15" s="7" t="str">
        <f>VLOOKUP(B15,[1]characters!$A:$G,7,FALSE)</f>
        <v>不明</v>
      </c>
      <c r="O15" s="34">
        <v>200</v>
      </c>
      <c r="P15" s="35">
        <f t="shared" si="2"/>
        <v>2E-3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>
        <v>7318010</v>
      </c>
      <c r="B16" s="6">
        <v>342</v>
      </c>
      <c r="C16" s="7" t="str">
        <f t="shared" si="0"/>
        <v>Premium5R3less</v>
      </c>
      <c r="D16" s="7" t="str">
        <f t="shared" si="1"/>
        <v>Premium</v>
      </c>
      <c r="E16" s="7" t="str">
        <f>IF(COUNTIF('R6追加前'!A:A,B16)=0,IF(I16="PremiumSS","R5only","R3less"),"")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水のメタルダック</v>
      </c>
      <c r="I16" s="7" t="str">
        <f>VLOOKUP(B16,[1]characters!$A:$J,10,FALSE)</f>
        <v>Material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exp</v>
      </c>
      <c r="M16" s="7" t="str">
        <f>VLOOKUP(B16,[1]characters!$A:$M,13,FALSE)</f>
        <v>unknown</v>
      </c>
      <c r="N16" s="7" t="str">
        <f>VLOOKUP(B16,[1]characters!$A:$G,7,FALSE)</f>
        <v>不明</v>
      </c>
      <c r="O16" s="34">
        <v>5000</v>
      </c>
      <c r="P16" s="35">
        <f t="shared" si="2"/>
        <v>0.05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>
        <v>7318010</v>
      </c>
      <c r="B17" s="6">
        <v>343</v>
      </c>
      <c r="C17" s="7" t="str">
        <f t="shared" si="0"/>
        <v>Premium6R3less</v>
      </c>
      <c r="D17" s="7" t="str">
        <f t="shared" si="1"/>
        <v>Premium</v>
      </c>
      <c r="E17" s="7" t="str">
        <f>IF(COUNTIF('R6追加前'!A:A,B17)=0,IF(I17="PremiumSS","R5only","R3less"),"")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水のメタルジェントル</v>
      </c>
      <c r="I17" s="7" t="str">
        <f>VLOOKUP(B17,[1]characters!$A:$J,10,FALSE)</f>
        <v>Material</v>
      </c>
      <c r="J17" s="7">
        <f>VLOOKUP(B17,[1]characters!$A:$I,9,FALSE)</f>
        <v>6</v>
      </c>
      <c r="K17" s="7" t="str">
        <f>VLOOKUP(B17,[1]characters!$A:$H,8,FALSE)</f>
        <v>blue</v>
      </c>
      <c r="L17" s="7" t="str">
        <f>VLOOKUP(B17,[1]characters!$A:$K,11,FALSE)</f>
        <v>exp</v>
      </c>
      <c r="M17" s="7" t="str">
        <f>VLOOKUP(B17,[1]characters!$A:$M,13,FALSE)</f>
        <v>unknown</v>
      </c>
      <c r="N17" s="7" t="str">
        <f>VLOOKUP(B17,[1]characters!$A:$G,7,FALSE)</f>
        <v>不明</v>
      </c>
      <c r="O17" s="34">
        <v>1000</v>
      </c>
      <c r="P17" s="35">
        <f t="shared" si="2"/>
        <v>0.01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>
        <v>7318010</v>
      </c>
      <c r="B18" s="6">
        <v>353</v>
      </c>
      <c r="C18" s="7" t="str">
        <f t="shared" si="0"/>
        <v>Premium6R3less</v>
      </c>
      <c r="D18" s="7" t="str">
        <f t="shared" si="1"/>
        <v>Premium</v>
      </c>
      <c r="E18" s="7" t="str">
        <f>IF(COUNTIF('R6追加前'!A:A,B18)=0,IF(I18="PremiumSS","R5only","R3less"),"")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水のメタルフロッグ</v>
      </c>
      <c r="I18" s="7" t="str">
        <f>VLOOKUP(B18,[1]characters!$A:$J,10,FALSE)</f>
        <v>Material</v>
      </c>
      <c r="J18" s="7">
        <f>VLOOKUP(B18,[1]characters!$A:$I,9,FALSE)</f>
        <v>6</v>
      </c>
      <c r="K18" s="7" t="str">
        <f>VLOOKUP(B18,[1]characters!$A:$H,8,FALSE)</f>
        <v>blue</v>
      </c>
      <c r="L18" s="7" t="str">
        <f>VLOOKUP(B18,[1]characters!$A:$K,11,FALSE)</f>
        <v>exp</v>
      </c>
      <c r="M18" s="7" t="str">
        <f>VLOOKUP(B18,[1]characters!$A:$M,13,FALSE)</f>
        <v>unknown</v>
      </c>
      <c r="N18" s="7" t="str">
        <f>VLOOKUP(B18,[1]characters!$A:$G,7,FALSE)</f>
        <v>不明</v>
      </c>
      <c r="O18" s="34">
        <v>2000</v>
      </c>
      <c r="P18" s="35">
        <f t="shared" si="2"/>
        <v>0.02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ht="21" customHeight="1" x14ac:dyDescent="0.15">
      <c r="A19" s="2">
        <v>7318010</v>
      </c>
      <c r="B19" s="6">
        <v>685</v>
      </c>
      <c r="C19" s="7" t="str">
        <f t="shared" si="0"/>
        <v>Premium6R3less</v>
      </c>
      <c r="D19" s="7" t="str">
        <f t="shared" si="1"/>
        <v>Premium</v>
      </c>
      <c r="E19" s="7" t="str">
        <f>IF(COUNTIF('R6追加前'!A:A,B19)=0,IF(I19="PremiumSS","R5only","R3less"),"")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水のプレゼントフロッグ</v>
      </c>
      <c r="I19" s="7" t="str">
        <f>VLOOKUP(B19,[1]characters!$A:$J,10,FALSE)</f>
        <v>Material</v>
      </c>
      <c r="J19" s="7">
        <f>VLOOKUP(B19,[1]characters!$A:$I,9,FALSE)</f>
        <v>6</v>
      </c>
      <c r="K19" s="7" t="str">
        <f>VLOOKUP(B19,[1]characters!$A:$H,8,FALSE)</f>
        <v>blue</v>
      </c>
      <c r="L19" s="7" t="str">
        <f>VLOOKUP(B19,[1]characters!$A:$K,11,FALSE)</f>
        <v>exp</v>
      </c>
      <c r="M19" s="7" t="str">
        <f>VLOOKUP(B19,[1]characters!$A:$M,13,FALSE)</f>
        <v>unknown</v>
      </c>
      <c r="N19" s="7" t="str">
        <f>VLOOKUP(B19,[1]characters!$A:$G,7,FALSE)</f>
        <v>不明</v>
      </c>
      <c r="O19" s="34">
        <v>200</v>
      </c>
      <c r="P19" s="35">
        <f t="shared" si="2"/>
        <v>2E-3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  <row r="20" spans="1:22" ht="21" customHeight="1" x14ac:dyDescent="0.15">
      <c r="A20" s="2">
        <v>7318010</v>
      </c>
      <c r="B20" s="6">
        <v>346</v>
      </c>
      <c r="C20" s="7" t="str">
        <f t="shared" si="0"/>
        <v>Premium5R3less</v>
      </c>
      <c r="D20" s="7" t="str">
        <f t="shared" si="1"/>
        <v>Premium</v>
      </c>
      <c r="E20" s="7" t="str">
        <f>IF(COUNTIF('R6追加前'!A:A,B20)=0,IF(I20="PremiumSS","R5only","R3less"),"")</f>
        <v>R3less</v>
      </c>
      <c r="F20" s="7" t="str">
        <f>IF(COUNTIF('R6開放'!A:A,B20)&gt;0,"R6release","")</f>
        <v/>
      </c>
      <c r="G20" s="7"/>
      <c r="H20" s="7" t="str">
        <f>VLOOKUP(B20,[1]characters!$A:$C,3,FALSE)</f>
        <v>雷のメタルダック</v>
      </c>
      <c r="I20" s="7" t="str">
        <f>VLOOKUP(B20,[1]characters!$A:$J,10,FALSE)</f>
        <v>Material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exp</v>
      </c>
      <c r="M20" s="7" t="str">
        <f>VLOOKUP(B20,[1]characters!$A:$M,13,FALSE)</f>
        <v>unknown</v>
      </c>
      <c r="N20" s="7" t="str">
        <f>VLOOKUP(B20,[1]characters!$A:$G,7,FALSE)</f>
        <v>不明</v>
      </c>
      <c r="O20" s="34">
        <v>5000</v>
      </c>
      <c r="P20" s="35">
        <f t="shared" si="2"/>
        <v>0.05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</row>
    <row r="21" spans="1:22" ht="21" customHeight="1" x14ac:dyDescent="0.15">
      <c r="A21" s="2">
        <v>7318010</v>
      </c>
      <c r="B21" s="6">
        <v>347</v>
      </c>
      <c r="C21" s="7" t="str">
        <f t="shared" si="0"/>
        <v>Premium6R3less</v>
      </c>
      <c r="D21" s="7" t="str">
        <f t="shared" si="1"/>
        <v>Premium</v>
      </c>
      <c r="E21" s="7" t="str">
        <f>IF(COUNTIF('R6追加前'!A:A,B21)=0,IF(I21="PremiumSS","R5only","R3less"),"")</f>
        <v>R3less</v>
      </c>
      <c r="F21" s="7" t="str">
        <f>IF(COUNTIF('R6開放'!A:A,B21)&gt;0,"R6release","")</f>
        <v/>
      </c>
      <c r="G21" s="7"/>
      <c r="H21" s="7" t="str">
        <f>VLOOKUP(B21,[1]characters!$A:$C,3,FALSE)</f>
        <v>雷のメタルジェントル</v>
      </c>
      <c r="I21" s="7" t="str">
        <f>VLOOKUP(B21,[1]characters!$A:$J,10,FALSE)</f>
        <v>Material</v>
      </c>
      <c r="J21" s="7">
        <f>VLOOKUP(B21,[1]characters!$A:$I,9,FALSE)</f>
        <v>6</v>
      </c>
      <c r="K21" s="7" t="str">
        <f>VLOOKUP(B21,[1]characters!$A:$H,8,FALSE)</f>
        <v>yellow</v>
      </c>
      <c r="L21" s="7" t="str">
        <f>VLOOKUP(B21,[1]characters!$A:$K,11,FALSE)</f>
        <v>exp</v>
      </c>
      <c r="M21" s="7" t="str">
        <f>VLOOKUP(B21,[1]characters!$A:$M,13,FALSE)</f>
        <v>unknown</v>
      </c>
      <c r="N21" s="7" t="str">
        <f>VLOOKUP(B21,[1]characters!$A:$G,7,FALSE)</f>
        <v>不明</v>
      </c>
      <c r="O21" s="34">
        <v>1000</v>
      </c>
      <c r="P21" s="35">
        <f t="shared" si="2"/>
        <v>0.01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</row>
    <row r="22" spans="1:22" ht="21" customHeight="1" x14ac:dyDescent="0.15">
      <c r="A22" s="2">
        <v>7318010</v>
      </c>
      <c r="B22" s="6">
        <v>355</v>
      </c>
      <c r="C22" s="7" t="str">
        <f t="shared" si="0"/>
        <v>Premium6R3less</v>
      </c>
      <c r="D22" s="7" t="str">
        <f t="shared" si="1"/>
        <v>Premium</v>
      </c>
      <c r="E22" s="7" t="str">
        <f>IF(COUNTIF('R6追加前'!A:A,B22)=0,IF(I22="PremiumSS","R5only","R3less"),"")</f>
        <v>R3less</v>
      </c>
      <c r="F22" s="7" t="str">
        <f>IF(COUNTIF('R6開放'!A:A,B22)&gt;0,"R6release","")</f>
        <v/>
      </c>
      <c r="G22" s="7"/>
      <c r="H22" s="7" t="str">
        <f>VLOOKUP(B22,[1]characters!$A:$C,3,FALSE)</f>
        <v>雷のメタルフロッグ</v>
      </c>
      <c r="I22" s="7" t="str">
        <f>VLOOKUP(B22,[1]characters!$A:$J,10,FALSE)</f>
        <v>Material</v>
      </c>
      <c r="J22" s="7">
        <f>VLOOKUP(B22,[1]characters!$A:$I,9,FALSE)</f>
        <v>6</v>
      </c>
      <c r="K22" s="7" t="str">
        <f>VLOOKUP(B22,[1]characters!$A:$H,8,FALSE)</f>
        <v>yellow</v>
      </c>
      <c r="L22" s="7" t="str">
        <f>VLOOKUP(B22,[1]characters!$A:$K,11,FALSE)</f>
        <v>exp</v>
      </c>
      <c r="M22" s="7" t="str">
        <f>VLOOKUP(B22,[1]characters!$A:$M,13,FALSE)</f>
        <v>unknown</v>
      </c>
      <c r="N22" s="7" t="str">
        <f>VLOOKUP(B22,[1]characters!$A:$G,7,FALSE)</f>
        <v>不明</v>
      </c>
      <c r="O22" s="34">
        <v>2000</v>
      </c>
      <c r="P22" s="35">
        <f t="shared" si="2"/>
        <v>0.02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</row>
    <row r="23" spans="1:22" ht="21" customHeight="1" x14ac:dyDescent="0.15">
      <c r="A23" s="2">
        <v>7318010</v>
      </c>
      <c r="B23" s="6">
        <v>687</v>
      </c>
      <c r="C23" s="7" t="str">
        <f t="shared" si="0"/>
        <v>Premium6R3less</v>
      </c>
      <c r="D23" s="7" t="str">
        <f t="shared" si="1"/>
        <v>Premium</v>
      </c>
      <c r="E23" s="7" t="str">
        <f>IF(COUNTIF('R6追加前'!A:A,B23)=0,IF(I23="PremiumSS","R5only","R3less"),"")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雷のプレゼントフロッグ</v>
      </c>
      <c r="I23" s="7" t="str">
        <f>VLOOKUP(B23,[1]characters!$A:$J,10,FALSE)</f>
        <v>Material</v>
      </c>
      <c r="J23" s="7">
        <f>VLOOKUP(B23,[1]characters!$A:$I,9,FALSE)</f>
        <v>6</v>
      </c>
      <c r="K23" s="7" t="str">
        <f>VLOOKUP(B23,[1]characters!$A:$H,8,FALSE)</f>
        <v>yellow</v>
      </c>
      <c r="L23" s="7" t="str">
        <f>VLOOKUP(B23,[1]characters!$A:$K,11,FALSE)</f>
        <v>exp</v>
      </c>
      <c r="M23" s="7" t="str">
        <f>VLOOKUP(B23,[1]characters!$A:$M,13,FALSE)</f>
        <v>unknown</v>
      </c>
      <c r="N23" s="7" t="str">
        <f>VLOOKUP(B23,[1]characters!$A:$G,7,FALSE)</f>
        <v>不明</v>
      </c>
      <c r="O23" s="34">
        <v>200</v>
      </c>
      <c r="P23" s="35">
        <f t="shared" si="2"/>
        <v>2E-3</v>
      </c>
      <c r="Q23" s="28">
        <v>1</v>
      </c>
      <c r="R23" s="28">
        <v>0</v>
      </c>
      <c r="S23" s="28">
        <v>0</v>
      </c>
      <c r="T23" s="28">
        <v>0</v>
      </c>
      <c r="U23" s="28">
        <v>0</v>
      </c>
      <c r="V23" s="28">
        <v>1</v>
      </c>
    </row>
    <row r="24" spans="1:22" ht="21" customHeight="1" x14ac:dyDescent="0.15">
      <c r="A24" s="2">
        <v>7318010</v>
      </c>
      <c r="B24" s="6">
        <v>607</v>
      </c>
      <c r="C24" s="7" t="str">
        <f t="shared" si="0"/>
        <v>Premium4R3less</v>
      </c>
      <c r="D24" s="7" t="str">
        <f t="shared" si="1"/>
        <v>Premium</v>
      </c>
      <c r="E24" s="7" t="str">
        <f>IF(COUNTIF('R6追加前'!A:A,B24)=0,IF(I24="PremiumSS","R5only","R3less"),"")</f>
        <v>R3less</v>
      </c>
      <c r="F24" s="7" t="str">
        <f>IF(COUNTIF('R6開放'!A:A,B24)&gt;0,"R6release","")</f>
        <v/>
      </c>
      <c r="G24" s="7"/>
      <c r="H24" s="7" t="str">
        <f>VLOOKUP(B24,[1]characters!$A:$C,3,FALSE)</f>
        <v>メガ攻めの果実</v>
      </c>
      <c r="I24" s="7" t="str">
        <f>VLOOKUP(B24,[1]characters!$A:$J,10,FALSE)</f>
        <v>Material</v>
      </c>
      <c r="J24" s="7">
        <f>VLOOKUP(B24,[1]characters!$A:$I,9,FALSE)</f>
        <v>4</v>
      </c>
      <c r="K24" s="7" t="str">
        <f>VLOOKUP(B24,[1]characters!$A:$H,8,FALSE)</f>
        <v>red</v>
      </c>
      <c r="L24" s="7" t="str">
        <f>VLOOKUP(B24,[1]characters!$A:$K,11,FALSE)</f>
        <v>limitbreak</v>
      </c>
      <c r="M24" s="7" t="str">
        <f>VLOOKUP(B24,[1]characters!$A:$M,13,FALSE)</f>
        <v>unknown</v>
      </c>
      <c r="N24" s="7" t="str">
        <f>VLOOKUP(B24,[1]characters!$A:$G,7,FALSE)</f>
        <v>不明</v>
      </c>
      <c r="O24" s="34">
        <v>3000</v>
      </c>
      <c r="P24" s="35">
        <f t="shared" si="2"/>
        <v>0.03</v>
      </c>
      <c r="Q24" s="28">
        <v>1</v>
      </c>
      <c r="R24" s="28">
        <v>0</v>
      </c>
      <c r="S24" s="28">
        <v>0</v>
      </c>
      <c r="T24" s="28">
        <v>0</v>
      </c>
      <c r="U24" s="28">
        <v>0</v>
      </c>
      <c r="V24" s="28">
        <v>1</v>
      </c>
    </row>
    <row r="25" spans="1:22" ht="21" customHeight="1" x14ac:dyDescent="0.15">
      <c r="A25" s="2">
        <v>7318010</v>
      </c>
      <c r="B25" s="6">
        <v>608</v>
      </c>
      <c r="C25" s="7" t="str">
        <f t="shared" si="0"/>
        <v>Premium4R3less</v>
      </c>
      <c r="D25" s="7" t="str">
        <f t="shared" si="1"/>
        <v>Premium</v>
      </c>
      <c r="E25" s="7" t="str">
        <f>IF(COUNTIF('R6追加前'!A:A,B25)=0,IF(I25="PremiumSS","R5only","R3less"),"")</f>
        <v>R3less</v>
      </c>
      <c r="F25" s="7" t="str">
        <f>IF(COUNTIF('R6開放'!A:A,B25)&gt;0,"R6release","")</f>
        <v/>
      </c>
      <c r="G25" s="7"/>
      <c r="H25" s="7" t="str">
        <f>VLOOKUP(B25,[1]characters!$A:$C,3,FALSE)</f>
        <v>メガ生命の果実</v>
      </c>
      <c r="I25" s="7" t="str">
        <f>VLOOKUP(B25,[1]characters!$A:$J,10,FALSE)</f>
        <v>Material</v>
      </c>
      <c r="J25" s="7">
        <f>VLOOKUP(B25,[1]characters!$A:$I,9,FALSE)</f>
        <v>4</v>
      </c>
      <c r="K25" s="7" t="str">
        <f>VLOOKUP(B25,[1]characters!$A:$H,8,FALSE)</f>
        <v>green</v>
      </c>
      <c r="L25" s="7" t="str">
        <f>VLOOKUP(B25,[1]characters!$A:$K,11,FALSE)</f>
        <v>limitbreak</v>
      </c>
      <c r="M25" s="7" t="str">
        <f>VLOOKUP(B25,[1]characters!$A:$M,13,FALSE)</f>
        <v>unknown</v>
      </c>
      <c r="N25" s="7" t="str">
        <f>VLOOKUP(B25,[1]characters!$A:$G,7,FALSE)</f>
        <v>不明</v>
      </c>
      <c r="O25" s="34">
        <v>3000</v>
      </c>
      <c r="P25" s="35">
        <f t="shared" si="2"/>
        <v>0.03</v>
      </c>
      <c r="Q25" s="28">
        <v>1</v>
      </c>
      <c r="R25" s="28">
        <v>0</v>
      </c>
      <c r="S25" s="28">
        <v>0</v>
      </c>
      <c r="T25" s="28">
        <v>0</v>
      </c>
      <c r="U25" s="28">
        <v>0</v>
      </c>
      <c r="V25" s="28">
        <v>1</v>
      </c>
    </row>
    <row r="26" spans="1:22" ht="21" customHeight="1" x14ac:dyDescent="0.15">
      <c r="A26" s="2">
        <v>7318010</v>
      </c>
      <c r="B26" s="6">
        <v>609</v>
      </c>
      <c r="C26" s="7" t="str">
        <f t="shared" si="0"/>
        <v>Premium4R3less</v>
      </c>
      <c r="D26" s="7" t="str">
        <f t="shared" si="1"/>
        <v>Premium</v>
      </c>
      <c r="E26" s="7" t="str">
        <f>IF(COUNTIF('R6追加前'!A:A,B26)=0,IF(I26="PremiumSS","R5only","R3less"),"")</f>
        <v>R3less</v>
      </c>
      <c r="F26" s="7" t="str">
        <f>IF(COUNTIF('R6開放'!A:A,B26)&gt;0,"R6release","")</f>
        <v/>
      </c>
      <c r="G26" s="7"/>
      <c r="H26" s="7" t="str">
        <f>VLOOKUP(B26,[1]characters!$A:$C,3,FALSE)</f>
        <v>メガ癒しの果実</v>
      </c>
      <c r="I26" s="7" t="str">
        <f>VLOOKUP(B26,[1]characters!$A:$J,10,FALSE)</f>
        <v>Material</v>
      </c>
      <c r="J26" s="7">
        <f>VLOOKUP(B26,[1]characters!$A:$I,9,FALSE)</f>
        <v>4</v>
      </c>
      <c r="K26" s="7" t="str">
        <f>VLOOKUP(B26,[1]characters!$A:$H,8,FALSE)</f>
        <v>blue</v>
      </c>
      <c r="L26" s="7" t="str">
        <f>VLOOKUP(B26,[1]characters!$A:$K,11,FALSE)</f>
        <v>limitbreak</v>
      </c>
      <c r="M26" s="7" t="str">
        <f>VLOOKUP(B26,[1]characters!$A:$M,13,FALSE)</f>
        <v>unknown</v>
      </c>
      <c r="N26" s="7" t="str">
        <f>VLOOKUP(B26,[1]characters!$A:$G,7,FALSE)</f>
        <v>不明</v>
      </c>
      <c r="O26" s="34">
        <v>3000</v>
      </c>
      <c r="P26" s="35">
        <f t="shared" si="2"/>
        <v>0.03</v>
      </c>
      <c r="Q26" s="28">
        <v>1</v>
      </c>
      <c r="R26" s="28">
        <v>0</v>
      </c>
      <c r="S26" s="28">
        <v>0</v>
      </c>
      <c r="T26" s="28">
        <v>0</v>
      </c>
      <c r="U26" s="28">
        <v>0</v>
      </c>
      <c r="V26" s="28">
        <v>1</v>
      </c>
    </row>
    <row r="27" spans="1:22" ht="21" customHeight="1" x14ac:dyDescent="0.15">
      <c r="A27" s="2">
        <v>7318010</v>
      </c>
      <c r="B27" s="6">
        <v>610</v>
      </c>
      <c r="C27" s="7" t="str">
        <f t="shared" si="0"/>
        <v>Premium4R3less</v>
      </c>
      <c r="D27" s="7" t="str">
        <f t="shared" si="1"/>
        <v>Premium</v>
      </c>
      <c r="E27" s="7" t="str">
        <f>IF(COUNTIF('R6追加前'!A:A,B27)=0,IF(I27="PremiumSS","R5only","R3less"),"")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メガ秘術の果実</v>
      </c>
      <c r="I27" s="7" t="str">
        <f>VLOOKUP(B27,[1]characters!$A:$J,10,FALSE)</f>
        <v>Material</v>
      </c>
      <c r="J27" s="7">
        <f>VLOOKUP(B27,[1]characters!$A:$I,9,FALSE)</f>
        <v>4</v>
      </c>
      <c r="K27" s="7" t="str">
        <f>VLOOKUP(B27,[1]characters!$A:$H,8,FALSE)</f>
        <v>blue</v>
      </c>
      <c r="L27" s="7" t="str">
        <f>VLOOKUP(B27,[1]characters!$A:$K,11,FALSE)</f>
        <v>skilllevel</v>
      </c>
      <c r="M27" s="7" t="str">
        <f>VLOOKUP(B27,[1]characters!$A:$M,13,FALSE)</f>
        <v>unknown</v>
      </c>
      <c r="N27" s="7" t="str">
        <f>VLOOKUP(B27,[1]characters!$A:$G,7,FALSE)</f>
        <v>不明</v>
      </c>
      <c r="O27" s="34">
        <v>2000</v>
      </c>
      <c r="P27" s="35">
        <f t="shared" si="2"/>
        <v>0.02</v>
      </c>
      <c r="Q27" s="28">
        <v>1</v>
      </c>
      <c r="R27" s="28">
        <v>0</v>
      </c>
      <c r="S27" s="28">
        <v>0</v>
      </c>
      <c r="T27" s="28">
        <v>0</v>
      </c>
      <c r="U27" s="28">
        <v>0</v>
      </c>
      <c r="V27" s="28">
        <v>1</v>
      </c>
    </row>
    <row r="28" spans="1:22" ht="21" customHeight="1" x14ac:dyDescent="0.15">
      <c r="A28" s="2">
        <v>7318010</v>
      </c>
      <c r="B28" s="6">
        <v>611</v>
      </c>
      <c r="C28" s="7" t="str">
        <f t="shared" si="0"/>
        <v>Premium5R3less</v>
      </c>
      <c r="D28" s="7" t="str">
        <f t="shared" si="1"/>
        <v>Premium</v>
      </c>
      <c r="E28" s="7" t="str">
        <f>IF(COUNTIF('R6追加前'!A:A,B28)=0,IF(I28="PremiumSS","R5only","R3less"),"")</f>
        <v>R3less</v>
      </c>
      <c r="F28" s="7" t="str">
        <f>IF(COUNTIF('R6開放'!A:A,B28)&gt;0,"R6release","")</f>
        <v/>
      </c>
      <c r="G28" s="7"/>
      <c r="H28" s="7" t="str">
        <f>VLOOKUP(B28,[1]characters!$A:$C,3,FALSE)</f>
        <v>ギガ攻めの果実</v>
      </c>
      <c r="I28" s="7" t="str">
        <f>VLOOKUP(B28,[1]characters!$A:$J,10,FALSE)</f>
        <v>Material</v>
      </c>
      <c r="J28" s="7">
        <f>VLOOKUP(B28,[1]characters!$A:$I,9,FALSE)</f>
        <v>5</v>
      </c>
      <c r="K28" s="7" t="str">
        <f>VLOOKUP(B28,[1]characters!$A:$H,8,FALSE)</f>
        <v>red</v>
      </c>
      <c r="L28" s="7" t="str">
        <f>VLOOKUP(B28,[1]characters!$A:$K,11,FALSE)</f>
        <v>limitbreak</v>
      </c>
      <c r="M28" s="7" t="str">
        <f>VLOOKUP(B28,[1]characters!$A:$M,13,FALSE)</f>
        <v>unknown</v>
      </c>
      <c r="N28" s="7" t="str">
        <f>VLOOKUP(B28,[1]characters!$A:$G,7,FALSE)</f>
        <v>不明</v>
      </c>
      <c r="O28" s="34">
        <v>1000</v>
      </c>
      <c r="P28" s="35">
        <f t="shared" si="2"/>
        <v>0.01</v>
      </c>
      <c r="Q28" s="28">
        <v>1</v>
      </c>
      <c r="R28" s="28">
        <v>0</v>
      </c>
      <c r="S28" s="28">
        <v>0</v>
      </c>
      <c r="T28" s="28">
        <v>0</v>
      </c>
      <c r="U28" s="28">
        <v>0</v>
      </c>
      <c r="V28" s="28">
        <v>1</v>
      </c>
    </row>
    <row r="29" spans="1:22" ht="21" customHeight="1" x14ac:dyDescent="0.15">
      <c r="A29" s="2">
        <v>7318010</v>
      </c>
      <c r="B29" s="6">
        <v>612</v>
      </c>
      <c r="C29" s="7" t="str">
        <f t="shared" si="0"/>
        <v>Premium5R3less</v>
      </c>
      <c r="D29" s="7" t="str">
        <f t="shared" si="1"/>
        <v>Premium</v>
      </c>
      <c r="E29" s="7" t="str">
        <f>IF(COUNTIF('R6追加前'!A:A,B29)=0,IF(I29="PremiumSS","R5only","R3less"),"")</f>
        <v>R3less</v>
      </c>
      <c r="F29" s="7" t="str">
        <f>IF(COUNTIF('R6開放'!A:A,B29)&gt;0,"R6release","")</f>
        <v/>
      </c>
      <c r="G29" s="7"/>
      <c r="H29" s="7" t="str">
        <f>VLOOKUP(B29,[1]characters!$A:$C,3,FALSE)</f>
        <v>ギガ生命の果実</v>
      </c>
      <c r="I29" s="7" t="str">
        <f>VLOOKUP(B29,[1]characters!$A:$J,10,FALSE)</f>
        <v>Material</v>
      </c>
      <c r="J29" s="7">
        <f>VLOOKUP(B29,[1]characters!$A:$I,9,FALSE)</f>
        <v>5</v>
      </c>
      <c r="K29" s="7" t="str">
        <f>VLOOKUP(B29,[1]characters!$A:$H,8,FALSE)</f>
        <v>green</v>
      </c>
      <c r="L29" s="7" t="str">
        <f>VLOOKUP(B29,[1]characters!$A:$K,11,FALSE)</f>
        <v>limitbreak</v>
      </c>
      <c r="M29" s="7" t="str">
        <f>VLOOKUP(B29,[1]characters!$A:$M,13,FALSE)</f>
        <v>unknown</v>
      </c>
      <c r="N29" s="7" t="str">
        <f>VLOOKUP(B29,[1]characters!$A:$G,7,FALSE)</f>
        <v>不明</v>
      </c>
      <c r="O29" s="34">
        <v>1000</v>
      </c>
      <c r="P29" s="35">
        <f t="shared" si="2"/>
        <v>0.01</v>
      </c>
      <c r="Q29" s="28">
        <v>1</v>
      </c>
      <c r="R29" s="28">
        <v>0</v>
      </c>
      <c r="S29" s="28">
        <v>0</v>
      </c>
      <c r="T29" s="28">
        <v>0</v>
      </c>
      <c r="U29" s="28">
        <v>0</v>
      </c>
      <c r="V29" s="28">
        <v>1</v>
      </c>
    </row>
    <row r="30" spans="1:22" ht="21" customHeight="1" x14ac:dyDescent="0.15">
      <c r="A30" s="2">
        <v>7318010</v>
      </c>
      <c r="B30" s="6">
        <v>613</v>
      </c>
      <c r="C30" s="7" t="str">
        <f t="shared" si="0"/>
        <v>Premium5R3less</v>
      </c>
      <c r="D30" s="7" t="str">
        <f t="shared" si="1"/>
        <v>Premium</v>
      </c>
      <c r="E30" s="7" t="str">
        <f>IF(COUNTIF('R6追加前'!A:A,B30)=0,IF(I30="PremiumSS","R5only","R3less"),"")</f>
        <v>R3less</v>
      </c>
      <c r="F30" s="7" t="str">
        <f>IF(COUNTIF('R6開放'!A:A,B30)&gt;0,"R6release","")</f>
        <v/>
      </c>
      <c r="G30" s="7"/>
      <c r="H30" s="7" t="str">
        <f>VLOOKUP(B30,[1]characters!$A:$C,3,FALSE)</f>
        <v>ギガ癒しの果実</v>
      </c>
      <c r="I30" s="7" t="str">
        <f>VLOOKUP(B30,[1]characters!$A:$J,10,FALSE)</f>
        <v>Material</v>
      </c>
      <c r="J30" s="7">
        <f>VLOOKUP(B30,[1]characters!$A:$I,9,FALSE)</f>
        <v>5</v>
      </c>
      <c r="K30" s="7" t="str">
        <f>VLOOKUP(B30,[1]characters!$A:$H,8,FALSE)</f>
        <v>blue</v>
      </c>
      <c r="L30" s="7" t="str">
        <f>VLOOKUP(B30,[1]characters!$A:$K,11,FALSE)</f>
        <v>limitbreak</v>
      </c>
      <c r="M30" s="7" t="str">
        <f>VLOOKUP(B30,[1]characters!$A:$M,13,FALSE)</f>
        <v>unknown</v>
      </c>
      <c r="N30" s="7" t="str">
        <f>VLOOKUP(B30,[1]characters!$A:$G,7,FALSE)</f>
        <v>不明</v>
      </c>
      <c r="O30" s="34">
        <v>1000</v>
      </c>
      <c r="P30" s="35">
        <f t="shared" si="2"/>
        <v>0.01</v>
      </c>
      <c r="Q30" s="28">
        <v>1</v>
      </c>
      <c r="R30" s="28">
        <v>0</v>
      </c>
      <c r="S30" s="28">
        <v>0</v>
      </c>
      <c r="T30" s="28">
        <v>0</v>
      </c>
      <c r="U30" s="28">
        <v>0</v>
      </c>
      <c r="V30" s="28">
        <v>1</v>
      </c>
    </row>
    <row r="31" spans="1:22" ht="21" customHeight="1" x14ac:dyDescent="0.15">
      <c r="A31" s="2">
        <v>7318010</v>
      </c>
      <c r="B31" s="6">
        <v>837</v>
      </c>
      <c r="C31" s="7" t="str">
        <f t="shared" si="0"/>
        <v>Premium6R3less</v>
      </c>
      <c r="D31" s="7" t="str">
        <f t="shared" si="1"/>
        <v>Premium</v>
      </c>
      <c r="E31" s="7" t="str">
        <f>IF(COUNTIF('R6追加前'!A:A,B31)=0,IF(I31="PremiumSS","R5only","R3less"),"")</f>
        <v>R3less</v>
      </c>
      <c r="F31" s="7" t="str">
        <f>IF(COUNTIF('R6開放'!A:A,B31)&gt;0,"R6release","")</f>
        <v/>
      </c>
      <c r="G31" s="7"/>
      <c r="H31" s="7" t="str">
        <f>VLOOKUP(B31,[1]characters!$A:$C,3,FALSE)</f>
        <v>リトルハンプティ</v>
      </c>
      <c r="I31" s="7" t="str">
        <f>VLOOKUP(B31,[1]characters!$A:$J,10,FALSE)</f>
        <v>Material</v>
      </c>
      <c r="J31" s="7">
        <f>VLOOKUP(B31,[1]characters!$A:$I,9,FALSE)</f>
        <v>6</v>
      </c>
      <c r="K31" s="7" t="str">
        <f>VLOOKUP(B31,[1]characters!$A:$H,8,FALSE)</f>
        <v>yellow</v>
      </c>
      <c r="L31" s="7" t="str">
        <f>VLOOKUP(B31,[1]characters!$A:$K,11,FALSE)</f>
        <v>evolution</v>
      </c>
      <c r="M31" s="7" t="str">
        <f>VLOOKUP(B31,[1]characters!$A:$M,13,FALSE)</f>
        <v>unknown</v>
      </c>
      <c r="N31" s="7" t="str">
        <f>VLOOKUP(B31,[1]characters!$A:$G,7,FALSE)</f>
        <v>男性</v>
      </c>
      <c r="O31" s="34">
        <v>2000</v>
      </c>
      <c r="P31" s="35">
        <f t="shared" si="2"/>
        <v>0.02</v>
      </c>
      <c r="Q31" s="28">
        <v>1</v>
      </c>
      <c r="R31" s="28">
        <v>0</v>
      </c>
      <c r="S31" s="28">
        <v>0</v>
      </c>
      <c r="T31" s="28">
        <v>0</v>
      </c>
      <c r="U31" s="28">
        <v>0</v>
      </c>
      <c r="V31" s="28">
        <v>1</v>
      </c>
    </row>
    <row r="32" spans="1:22" ht="21" customHeight="1" x14ac:dyDescent="0.15">
      <c r="A32" s="2">
        <v>7318010</v>
      </c>
      <c r="B32" s="6">
        <v>1407</v>
      </c>
      <c r="C32" s="7" t="str">
        <f t="shared" si="0"/>
        <v>Premium5R3less</v>
      </c>
      <c r="D32" s="7" t="str">
        <f t="shared" si="1"/>
        <v>Premium</v>
      </c>
      <c r="E32" s="7" t="str">
        <f>IF(COUNTIF('R6追加前'!A:A,B32)=0,IF(I32="PremiumSS","R5only","R3less"),"")</f>
        <v>R3less</v>
      </c>
      <c r="F32" s="7" t="str">
        <f>IF(COUNTIF('R6開放'!A:A,B32)&gt;0,"R6release","")</f>
        <v/>
      </c>
      <c r="G32" s="7"/>
      <c r="H32" s="7" t="str">
        <f>VLOOKUP(B32,[1]characters!$A:$C,3,FALSE)</f>
        <v>グリム・ザ・ダンディ</v>
      </c>
      <c r="I32" s="7" t="str">
        <f>VLOOKUP(B32,[1]characters!$A:$J,10,FALSE)</f>
        <v>DropWizS</v>
      </c>
      <c r="J32" s="7">
        <f>VLOOKUP(B32,[1]characters!$A:$I,9,FALSE)</f>
        <v>5</v>
      </c>
      <c r="K32" s="7" t="str">
        <f>VLOOKUP(B32,[1]characters!$A:$H,8,FALSE)</f>
        <v>yellow</v>
      </c>
      <c r="L32" s="7" t="str">
        <f>VLOOKUP(B32,[1]characters!$A:$K,11,FALSE)</f>
        <v>balance</v>
      </c>
      <c r="M32" s="7" t="str">
        <f>VLOOKUP(B32,[1]characters!$A:$M,13,FALSE)</f>
        <v>human</v>
      </c>
      <c r="N32" s="7">
        <f>VLOOKUP(B32,[1]characters!$A:$G,7,FALSE)</f>
        <v>0</v>
      </c>
      <c r="O32" s="34">
        <v>10000</v>
      </c>
      <c r="P32" s="35">
        <f t="shared" si="2"/>
        <v>0.1</v>
      </c>
      <c r="Q32" s="28">
        <v>1</v>
      </c>
      <c r="R32" s="28">
        <v>0</v>
      </c>
      <c r="S32" s="28">
        <v>0</v>
      </c>
      <c r="T32" s="28">
        <v>0</v>
      </c>
      <c r="U32" s="28">
        <v>0</v>
      </c>
      <c r="V32" s="28">
        <v>1</v>
      </c>
    </row>
  </sheetData>
  <autoFilter ref="A1:V4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2"/>
  <sheetViews>
    <sheetView showGridLines="0" zoomScale="75" zoomScaleNormal="75" zoomScalePageLayoutView="75" workbookViewId="0">
      <pane ySplit="1" topLeftCell="A2" activePane="bottomLeft" state="frozen"/>
      <selection activeCell="A266" sqref="A266:XFD266"/>
      <selection pane="bottomLeft" activeCell="I2" sqref="I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64</v>
      </c>
      <c r="B1" s="13" t="s">
        <v>1</v>
      </c>
      <c r="C1" s="3" t="s">
        <v>31</v>
      </c>
      <c r="D1" s="3" t="s">
        <v>76</v>
      </c>
      <c r="E1" s="3" t="s">
        <v>79</v>
      </c>
      <c r="F1" s="3" t="s">
        <v>80</v>
      </c>
      <c r="G1" s="3" t="s">
        <v>77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56</v>
      </c>
      <c r="O1" s="13" t="s">
        <v>2</v>
      </c>
      <c r="P1" s="3" t="s">
        <v>58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7318010</v>
      </c>
      <c r="B2" s="6">
        <v>1407</v>
      </c>
      <c r="C2" s="7" t="str">
        <f t="shared" ref="C2" si="0">D2&amp;J2&amp;E2&amp;F2&amp;G2</f>
        <v>Premium5R3less</v>
      </c>
      <c r="D2" s="7" t="str">
        <f t="shared" ref="D2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グリム・ザ・ダンディ</v>
      </c>
      <c r="I2" s="7" t="str">
        <f>VLOOKUP(B2,[1]characters!$A:$J,10,FALSE)</f>
        <v>DropWizS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balance</v>
      </c>
      <c r="M2" s="7" t="str">
        <f>VLOOKUP(B2,[1]characters!$A:$M,13,FALSE)</f>
        <v>human</v>
      </c>
      <c r="N2" s="7">
        <f>VLOOKUP(B2,[1]characters!$A:$G,7,FALSE)</f>
        <v>0</v>
      </c>
      <c r="O2" s="34">
        <v>1000</v>
      </c>
      <c r="P2" s="35">
        <f>O2/SUM(O:O)</f>
        <v>1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</sheetData>
  <autoFilter ref="A1:V2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1" t="s">
        <v>10</v>
      </c>
      <c r="B1" s="21" t="s">
        <v>13</v>
      </c>
      <c r="C1" s="12" t="s">
        <v>15</v>
      </c>
      <c r="D1" s="12" t="s">
        <v>16</v>
      </c>
      <c r="E1" s="12" t="s">
        <v>17</v>
      </c>
      <c r="F1" s="11" t="s">
        <v>2</v>
      </c>
      <c r="G1" s="39" t="s">
        <v>68</v>
      </c>
      <c r="H1" s="39" t="s">
        <v>69</v>
      </c>
      <c r="I1" s="40" t="s">
        <v>70</v>
      </c>
      <c r="J1" s="40" t="s">
        <v>71</v>
      </c>
      <c r="K1" s="40" t="s">
        <v>72</v>
      </c>
      <c r="L1" s="40" t="s">
        <v>73</v>
      </c>
      <c r="M1" s="40" t="s">
        <v>74</v>
      </c>
      <c r="N1" s="11" t="s">
        <v>18</v>
      </c>
      <c r="O1" s="11" t="s">
        <v>19</v>
      </c>
      <c r="P1" s="11" t="s">
        <v>20</v>
      </c>
      <c r="Q1" s="11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75</v>
      </c>
    </row>
  </sheetData>
  <autoFilter ref="A1:F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A272" sqref="A267:XFD272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3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41">
        <v>668</v>
      </c>
      <c r="B246" s="7" t="str">
        <f>VLOOKUP(A246,[1]characters!$A:$C,3,FALSE)</f>
        <v>アグニ</v>
      </c>
    </row>
    <row r="247" spans="1:2" x14ac:dyDescent="0.15">
      <c r="A247" s="41">
        <v>669</v>
      </c>
      <c r="B247" s="7" t="str">
        <f>VLOOKUP(A247,[1]characters!$A:$C,3,FALSE)</f>
        <v>天地の仲界 アグニ</v>
      </c>
    </row>
    <row r="248" spans="1:2" x14ac:dyDescent="0.15">
      <c r="A248" s="41">
        <v>670</v>
      </c>
      <c r="B248" s="7" t="str">
        <f>VLOOKUP(A248,[1]characters!$A:$C,3,FALSE)</f>
        <v>陽天の噴煙 アグニ</v>
      </c>
    </row>
    <row r="249" spans="1:2" x14ac:dyDescent="0.15">
      <c r="A249" s="41">
        <v>671</v>
      </c>
      <c r="B249" s="7" t="str">
        <f>VLOOKUP(A249,[1]characters!$A:$C,3,FALSE)</f>
        <v>ハヌマーン</v>
      </c>
    </row>
    <row r="250" spans="1:2" x14ac:dyDescent="0.15">
      <c r="A250" s="41">
        <v>672</v>
      </c>
      <c r="B250" s="7" t="str">
        <f>VLOOKUP(A250,[1]characters!$A:$C,3,FALSE)</f>
        <v>西遊韋駄天 ハヌマーン</v>
      </c>
    </row>
    <row r="251" spans="1:2" x14ac:dyDescent="0.15">
      <c r="A251" s="41">
        <v>673</v>
      </c>
      <c r="B251" s="7" t="str">
        <f>VLOOKUP(A251,[1]characters!$A:$C,3,FALSE)</f>
        <v>変幻自在の猿王 ハヌマーン</v>
      </c>
    </row>
    <row r="252" spans="1:2" x14ac:dyDescent="0.15">
      <c r="A252" s="41">
        <v>674</v>
      </c>
      <c r="B252" s="7" t="str">
        <f>VLOOKUP(A252,[1]characters!$A:$C,3,FALSE)</f>
        <v>サラスヴァティ</v>
      </c>
    </row>
    <row r="253" spans="1:2" x14ac:dyDescent="0.15">
      <c r="A253" s="41">
        <v>675</v>
      </c>
      <c r="B253" s="7" t="str">
        <f>VLOOKUP(A253,[1]characters!$A:$C,3,FALSE)</f>
        <v>芸楽の奔流 サラスヴァティ</v>
      </c>
    </row>
    <row r="254" spans="1:2" x14ac:dyDescent="0.15">
      <c r="A254" s="41">
        <v>676</v>
      </c>
      <c r="B254" s="7" t="str">
        <f>VLOOKUP(A254,[1]characters!$A:$C,3,FALSE)</f>
        <v>ヴィシュヌ</v>
      </c>
    </row>
    <row r="255" spans="1:2" x14ac:dyDescent="0.15">
      <c r="A255" s="41">
        <v>677</v>
      </c>
      <c r="B255" s="7" t="str">
        <f>VLOOKUP(A255,[1]characters!$A:$C,3,FALSE)</f>
        <v>武遊闊歩 ヴィシュヌ</v>
      </c>
    </row>
    <row r="256" spans="1:2" x14ac:dyDescent="0.15">
      <c r="A256" s="41">
        <v>770</v>
      </c>
      <c r="B256" s="7" t="str">
        <f>VLOOKUP(A256,[1]characters!$A:$C,3,FALSE)</f>
        <v>ハヅル</v>
      </c>
    </row>
    <row r="257" spans="1:2" x14ac:dyDescent="0.15">
      <c r="A257" s="41">
        <v>771</v>
      </c>
      <c r="B257" s="7" t="str">
        <f>VLOOKUP(A257,[1]characters!$A:$C,3,FALSE)</f>
        <v>天織羽鶴 ハヅル</v>
      </c>
    </row>
    <row r="258" spans="1:2" x14ac:dyDescent="0.15">
      <c r="A258" s="41">
        <v>772</v>
      </c>
      <c r="B258" s="7" t="str">
        <f>VLOOKUP(A258,[1]characters!$A:$C,3,FALSE)</f>
        <v>イナバ</v>
      </c>
    </row>
    <row r="259" spans="1:2" x14ac:dyDescent="0.15">
      <c r="A259" s="41">
        <v>773</v>
      </c>
      <c r="B259" s="7" t="str">
        <f>VLOOKUP(A259,[1]characters!$A:$C,3,FALSE)</f>
        <v>浮跳天兎 イナバ</v>
      </c>
    </row>
    <row r="260" spans="1:2" x14ac:dyDescent="0.15">
      <c r="A260" s="41">
        <v>774</v>
      </c>
      <c r="B260" s="7" t="str">
        <f>VLOOKUP(A260,[1]characters!$A:$C,3,FALSE)</f>
        <v>ミズチ</v>
      </c>
    </row>
    <row r="261" spans="1:2" x14ac:dyDescent="0.15">
      <c r="A261" s="41">
        <v>775</v>
      </c>
      <c r="B261" s="7" t="str">
        <f>VLOOKUP(A261,[1]characters!$A:$C,3,FALSE)</f>
        <v>水底霊竜 ミズチ</v>
      </c>
    </row>
    <row r="262" spans="1:2" x14ac:dyDescent="0.15">
      <c r="A262" s="41">
        <v>776</v>
      </c>
      <c r="B262" s="7" t="str">
        <f>VLOOKUP(A262,[1]characters!$A:$C,3,FALSE)</f>
        <v>水竜底主 ミズチ</v>
      </c>
    </row>
    <row r="263" spans="1:2" x14ac:dyDescent="0.15">
      <c r="A263" s="41">
        <v>777</v>
      </c>
      <c r="B263" s="7" t="str">
        <f>VLOOKUP(A263,[1]characters!$A:$C,3,FALSE)</f>
        <v>ガメック</v>
      </c>
    </row>
    <row r="264" spans="1:2" x14ac:dyDescent="0.15">
      <c r="A264" s="41">
        <v>778</v>
      </c>
      <c r="B264" s="7" t="str">
        <f>VLOOKUP(A264,[1]characters!$A:$C,3,FALSE)</f>
        <v>一亀懸明 ガメック</v>
      </c>
    </row>
    <row r="265" spans="1:2" x14ac:dyDescent="0.15">
      <c r="A265" s="41">
        <v>779</v>
      </c>
      <c r="B265" s="7" t="str">
        <f>VLOOKUP(A265,[1]characters!$A:$C,3,FALSE)</f>
        <v>頑堅咬亀 ガメック</v>
      </c>
    </row>
    <row r="266" spans="1:2" x14ac:dyDescent="0.15">
      <c r="A266" s="41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272" sqref="A267:XFD272"/>
    </sheetView>
  </sheetViews>
  <sheetFormatPr baseColWidth="12" defaultRowHeight="14" x14ac:dyDescent="0.15"/>
  <sheetData>
    <row r="1" spans="1:2" x14ac:dyDescent="0.15">
      <c r="A1" s="33" t="s">
        <v>57</v>
      </c>
      <c r="B1" s="33"/>
    </row>
    <row r="2" spans="1:2" x14ac:dyDescent="0.15">
      <c r="A2" s="31" t="s">
        <v>1</v>
      </c>
      <c r="B2" s="32" t="s">
        <v>59</v>
      </c>
    </row>
    <row r="3" spans="1:2" x14ac:dyDescent="0.15">
      <c r="A3" s="6">
        <v>166</v>
      </c>
      <c r="B3" s="32" t="str">
        <f>VLOOKUP(A3,[1]characters!$A:$C,3,FALSE)</f>
        <v>ベリアル</v>
      </c>
    </row>
    <row r="4" spans="1:2" x14ac:dyDescent="0.15">
      <c r="A4" s="6">
        <v>167</v>
      </c>
      <c r="B4" s="32" t="str">
        <f>VLOOKUP(A4,[1]characters!$A:$C,3,FALSE)</f>
        <v>逆徒 ベリアル</v>
      </c>
    </row>
    <row r="5" spans="1:2" x14ac:dyDescent="0.15">
      <c r="A5" s="6">
        <v>168</v>
      </c>
      <c r="B5" s="32" t="str">
        <f>VLOOKUP(A5,[1]characters!$A:$C,3,FALSE)</f>
        <v>猛進の大逆者 ベリアル</v>
      </c>
    </row>
    <row r="6" spans="1:2" x14ac:dyDescent="0.15">
      <c r="A6" s="31">
        <v>169</v>
      </c>
      <c r="B6" s="32" t="str">
        <f>VLOOKUP(A6,[1]characters!$A:$C,3,FALSE)</f>
        <v>オセ</v>
      </c>
    </row>
    <row r="7" spans="1:2" x14ac:dyDescent="0.15">
      <c r="A7" s="31">
        <v>170</v>
      </c>
      <c r="B7" s="32" t="str">
        <f>VLOOKUP(A7,[1]characters!$A:$C,3,FALSE)</f>
        <v>識徒 オセ</v>
      </c>
    </row>
    <row r="8" spans="1:2" x14ac:dyDescent="0.15">
      <c r="A8" s="31">
        <v>171</v>
      </c>
      <c r="B8" s="32" t="str">
        <f>VLOOKUP(A8,[1]characters!$A:$C,3,FALSE)</f>
        <v>精解の預知者 オセ</v>
      </c>
    </row>
    <row r="9" spans="1:2" x14ac:dyDescent="0.15">
      <c r="A9" s="31">
        <v>172</v>
      </c>
      <c r="B9" s="32" t="str">
        <f>VLOOKUP(A9,[1]characters!$A:$C,3,FALSE)</f>
        <v>フォルネウス</v>
      </c>
    </row>
    <row r="10" spans="1:2" x14ac:dyDescent="0.15">
      <c r="A10" s="31">
        <v>173</v>
      </c>
      <c r="B10" s="32" t="str">
        <f>VLOOKUP(A10,[1]characters!$A:$C,3,FALSE)</f>
        <v>公爵 フォルネウス</v>
      </c>
    </row>
    <row r="11" spans="1:2" x14ac:dyDescent="0.15">
      <c r="A11" s="31">
        <v>174</v>
      </c>
      <c r="B11" s="32" t="str">
        <f>VLOOKUP(A11,[1]characters!$A:$C,3,FALSE)</f>
        <v>偽愛の大公爵 フォルネウス</v>
      </c>
    </row>
    <row r="12" spans="1:2" x14ac:dyDescent="0.15">
      <c r="A12" s="31">
        <v>235</v>
      </c>
      <c r="B12" s="32" t="str">
        <f>VLOOKUP(A12,[1]characters!$A:$C,3,FALSE)</f>
        <v>イザナミ</v>
      </c>
    </row>
    <row r="13" spans="1:2" x14ac:dyDescent="0.15">
      <c r="A13" s="31">
        <v>236</v>
      </c>
      <c r="B13" s="32" t="str">
        <f>VLOOKUP(A13,[1]characters!$A:$C,3,FALSE)</f>
        <v>神産 イザナミ</v>
      </c>
    </row>
    <row r="14" spans="1:2" x14ac:dyDescent="0.15">
      <c r="A14" s="31">
        <v>237</v>
      </c>
      <c r="B14" s="32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output</vt:lpstr>
      <vt:lpstr>tables_7317</vt:lpstr>
      <vt:lpstr>tables_7318</vt:lpstr>
      <vt:lpstr>tables_settle_7318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2017-03-02T08:53:04Z</dcterms:modified>
</cp:coreProperties>
</file>