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2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ishikawa/Desktop/BULL_data/master_excel/"/>
    </mc:Choice>
  </mc:AlternateContent>
  <bookViews>
    <workbookView xWindow="0" yWindow="460" windowWidth="26500" windowHeight="1954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9" l="1"/>
  <c r="X2" i="1"/>
  <c r="V5" i="1"/>
  <c r="V4" i="1"/>
  <c r="T4" i="1"/>
  <c r="T2" i="1"/>
  <c r="T3" i="1"/>
  <c r="B6" i="21"/>
  <c r="I6" i="21"/>
  <c r="J6" i="21"/>
  <c r="G6" i="21"/>
  <c r="F6" i="21"/>
  <c r="D6" i="21"/>
  <c r="C6" i="21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5" i="21"/>
  <c r="C5" i="21"/>
  <c r="D5" i="21"/>
  <c r="F5" i="21"/>
  <c r="G5" i="21"/>
  <c r="I5" i="21"/>
  <c r="J5" i="21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T6" i="1"/>
  <c r="W2" i="7"/>
  <c r="U2" i="7"/>
  <c r="V6" i="1"/>
  <c r="T5" i="1"/>
  <c r="J20" i="11"/>
  <c r="O20" i="9"/>
  <c r="N20" i="9"/>
  <c r="M20" i="9"/>
  <c r="L20" i="9"/>
  <c r="K20" i="9"/>
  <c r="J20" i="9"/>
  <c r="I20" i="9"/>
  <c r="H20" i="9"/>
  <c r="G20" i="9"/>
  <c r="E20" i="9"/>
  <c r="D20" i="9"/>
  <c r="A20" i="9"/>
  <c r="A28" i="9"/>
  <c r="D28" i="9"/>
  <c r="E28" i="9"/>
  <c r="G28" i="9"/>
  <c r="H28" i="9"/>
  <c r="I28" i="9"/>
  <c r="J28" i="9"/>
  <c r="K28" i="9"/>
  <c r="L28" i="9"/>
  <c r="M28" i="9"/>
  <c r="N28" i="9"/>
  <c r="J28" i="11"/>
  <c r="O28" i="9"/>
  <c r="A22" i="9"/>
  <c r="D22" i="9"/>
  <c r="E22" i="9"/>
  <c r="G22" i="9"/>
  <c r="H22" i="9"/>
  <c r="I22" i="9"/>
  <c r="J22" i="9"/>
  <c r="K22" i="9"/>
  <c r="L22" i="9"/>
  <c r="M22" i="9"/>
  <c r="N22" i="9"/>
  <c r="J22" i="11"/>
  <c r="O22" i="9"/>
  <c r="A23" i="9"/>
  <c r="D23" i="9"/>
  <c r="E23" i="9"/>
  <c r="G23" i="9"/>
  <c r="H23" i="9"/>
  <c r="I23" i="9"/>
  <c r="J23" i="9"/>
  <c r="K23" i="9"/>
  <c r="L23" i="9"/>
  <c r="M23" i="9"/>
  <c r="N23" i="9"/>
  <c r="J23" i="11"/>
  <c r="O23" i="9"/>
  <c r="A24" i="9"/>
  <c r="D24" i="9"/>
  <c r="E24" i="9"/>
  <c r="G24" i="9"/>
  <c r="H24" i="9"/>
  <c r="I24" i="9"/>
  <c r="J24" i="9"/>
  <c r="K24" i="9"/>
  <c r="L24" i="9"/>
  <c r="M24" i="9"/>
  <c r="N24" i="9"/>
  <c r="J24" i="11"/>
  <c r="O24" i="9"/>
  <c r="A25" i="9"/>
  <c r="D25" i="9"/>
  <c r="E25" i="9"/>
  <c r="G25" i="9"/>
  <c r="H25" i="9"/>
  <c r="I25" i="9"/>
  <c r="J25" i="9"/>
  <c r="K25" i="9"/>
  <c r="L25" i="9"/>
  <c r="M25" i="9"/>
  <c r="N25" i="9"/>
  <c r="J25" i="11"/>
  <c r="O25" i="9"/>
  <c r="A26" i="9"/>
  <c r="D26" i="9"/>
  <c r="E26" i="9"/>
  <c r="G26" i="9"/>
  <c r="H26" i="9"/>
  <c r="I26" i="9"/>
  <c r="J26" i="9"/>
  <c r="K26" i="9"/>
  <c r="L26" i="9"/>
  <c r="M26" i="9"/>
  <c r="N26" i="9"/>
  <c r="J26" i="11"/>
  <c r="O26" i="9"/>
  <c r="A27" i="9"/>
  <c r="D27" i="9"/>
  <c r="E27" i="9"/>
  <c r="G27" i="9"/>
  <c r="H27" i="9"/>
  <c r="I27" i="9"/>
  <c r="J27" i="9"/>
  <c r="K27" i="9"/>
  <c r="L27" i="9"/>
  <c r="M27" i="9"/>
  <c r="N27" i="9"/>
  <c r="J27" i="11"/>
  <c r="O27" i="9"/>
  <c r="D18" i="9"/>
  <c r="E18" i="9"/>
  <c r="G18" i="9"/>
  <c r="H18" i="9"/>
  <c r="I18" i="9"/>
  <c r="J18" i="9"/>
  <c r="K18" i="9"/>
  <c r="L18" i="9"/>
  <c r="M18" i="9"/>
  <c r="N18" i="9"/>
  <c r="N2" i="7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D11" i="9"/>
  <c r="D10" i="9"/>
  <c r="E7" i="9"/>
  <c r="X3" i="1"/>
  <c r="A3" i="9"/>
  <c r="D3" i="9"/>
  <c r="E3" i="9"/>
  <c r="G3" i="9"/>
  <c r="H3" i="9"/>
  <c r="I3" i="9"/>
  <c r="J3" i="9"/>
  <c r="K3" i="9"/>
  <c r="L3" i="9"/>
  <c r="M3" i="9"/>
  <c r="N3" i="9"/>
  <c r="J3" i="11"/>
  <c r="O3" i="9"/>
  <c r="A4" i="9"/>
  <c r="D4" i="9"/>
  <c r="E4" i="9"/>
  <c r="G4" i="9"/>
  <c r="H4" i="9"/>
  <c r="I4" i="9"/>
  <c r="J4" i="9"/>
  <c r="K4" i="9"/>
  <c r="L4" i="9"/>
  <c r="M4" i="9"/>
  <c r="N4" i="9"/>
  <c r="J4" i="11"/>
  <c r="O4" i="9"/>
  <c r="A5" i="9"/>
  <c r="D5" i="9"/>
  <c r="E5" i="9"/>
  <c r="G5" i="9"/>
  <c r="H5" i="9"/>
  <c r="I5" i="9"/>
  <c r="J5" i="9"/>
  <c r="K5" i="9"/>
  <c r="L5" i="9"/>
  <c r="M5" i="9"/>
  <c r="N5" i="9"/>
  <c r="J5" i="11"/>
  <c r="O5" i="9"/>
  <c r="A6" i="9"/>
  <c r="D6" i="9"/>
  <c r="E6" i="9"/>
  <c r="G6" i="9"/>
  <c r="H6" i="9"/>
  <c r="I6" i="9"/>
  <c r="J6" i="9"/>
  <c r="K6" i="9"/>
  <c r="L6" i="9"/>
  <c r="M6" i="9"/>
  <c r="N6" i="9"/>
  <c r="J6" i="11"/>
  <c r="O6" i="9"/>
  <c r="A7" i="9"/>
  <c r="D7" i="9"/>
  <c r="G7" i="9"/>
  <c r="H7" i="9"/>
  <c r="I7" i="9"/>
  <c r="J7" i="9"/>
  <c r="K7" i="9"/>
  <c r="L7" i="9"/>
  <c r="M7" i="9"/>
  <c r="N7" i="9"/>
  <c r="J7" i="11"/>
  <c r="O7" i="9"/>
  <c r="A8" i="9"/>
  <c r="D8" i="9"/>
  <c r="E8" i="9"/>
  <c r="G8" i="9"/>
  <c r="H8" i="9"/>
  <c r="I8" i="9"/>
  <c r="J8" i="9"/>
  <c r="K8" i="9"/>
  <c r="L8" i="9"/>
  <c r="M8" i="9"/>
  <c r="N8" i="9"/>
  <c r="J8" i="11"/>
  <c r="O8" i="9"/>
  <c r="A9" i="9"/>
  <c r="D9" i="9"/>
  <c r="E9" i="9"/>
  <c r="G9" i="9"/>
  <c r="H9" i="9"/>
  <c r="I9" i="9"/>
  <c r="J9" i="9"/>
  <c r="K9" i="9"/>
  <c r="L9" i="9"/>
  <c r="M9" i="9"/>
  <c r="N9" i="9"/>
  <c r="J9" i="11"/>
  <c r="O9" i="9"/>
  <c r="A10" i="9"/>
  <c r="E10" i="9"/>
  <c r="G10" i="9"/>
  <c r="H10" i="9"/>
  <c r="I10" i="9"/>
  <c r="J10" i="9"/>
  <c r="K10" i="9"/>
  <c r="L10" i="9"/>
  <c r="M10" i="9"/>
  <c r="N10" i="9"/>
  <c r="J10" i="11"/>
  <c r="O10" i="9"/>
  <c r="A11" i="9"/>
  <c r="E11" i="9"/>
  <c r="G11" i="9"/>
  <c r="H11" i="9"/>
  <c r="I11" i="9"/>
  <c r="J11" i="9"/>
  <c r="K11" i="9"/>
  <c r="L11" i="9"/>
  <c r="M11" i="9"/>
  <c r="N11" i="9"/>
  <c r="J11" i="11"/>
  <c r="O11" i="9"/>
  <c r="A12" i="9"/>
  <c r="D12" i="9"/>
  <c r="E12" i="9"/>
  <c r="G12" i="9"/>
  <c r="H12" i="9"/>
  <c r="I12" i="9"/>
  <c r="J12" i="9"/>
  <c r="K12" i="9"/>
  <c r="L12" i="9"/>
  <c r="M12" i="9"/>
  <c r="N12" i="9"/>
  <c r="J12" i="11"/>
  <c r="O12" i="9"/>
  <c r="A13" i="9"/>
  <c r="D13" i="9"/>
  <c r="E13" i="9"/>
  <c r="G13" i="9"/>
  <c r="H13" i="9"/>
  <c r="I13" i="9"/>
  <c r="J13" i="9"/>
  <c r="K13" i="9"/>
  <c r="L13" i="9"/>
  <c r="M13" i="9"/>
  <c r="N13" i="9"/>
  <c r="J13" i="11"/>
  <c r="O13" i="9"/>
  <c r="A14" i="9"/>
  <c r="D14" i="9"/>
  <c r="E14" i="9"/>
  <c r="G14" i="9"/>
  <c r="H14" i="9"/>
  <c r="I14" i="9"/>
  <c r="J14" i="9"/>
  <c r="K14" i="9"/>
  <c r="L14" i="9"/>
  <c r="M14" i="9"/>
  <c r="N14" i="9"/>
  <c r="J14" i="11"/>
  <c r="O14" i="9"/>
  <c r="A15" i="9"/>
  <c r="D15" i="9"/>
  <c r="E15" i="9"/>
  <c r="G15" i="9"/>
  <c r="H15" i="9"/>
  <c r="I15" i="9"/>
  <c r="J15" i="9"/>
  <c r="K15" i="9"/>
  <c r="L15" i="9"/>
  <c r="M15" i="9"/>
  <c r="N15" i="9"/>
  <c r="J15" i="11"/>
  <c r="O15" i="9"/>
  <c r="A16" i="9"/>
  <c r="D16" i="9"/>
  <c r="E16" i="9"/>
  <c r="G16" i="9"/>
  <c r="H16" i="9"/>
  <c r="I16" i="9"/>
  <c r="J16" i="9"/>
  <c r="K16" i="9"/>
  <c r="L16" i="9"/>
  <c r="M16" i="9"/>
  <c r="N16" i="9"/>
  <c r="J16" i="11"/>
  <c r="O16" i="9"/>
  <c r="A17" i="9"/>
  <c r="D17" i="9"/>
  <c r="E17" i="9"/>
  <c r="G17" i="9"/>
  <c r="H17" i="9"/>
  <c r="I17" i="9"/>
  <c r="J17" i="9"/>
  <c r="K17" i="9"/>
  <c r="L17" i="9"/>
  <c r="M17" i="9"/>
  <c r="N17" i="9"/>
  <c r="J17" i="11"/>
  <c r="O17" i="9"/>
  <c r="A18" i="9"/>
  <c r="J18" i="11"/>
  <c r="O18" i="9"/>
  <c r="A19" i="9"/>
  <c r="D19" i="9"/>
  <c r="E19" i="9"/>
  <c r="G19" i="9"/>
  <c r="H19" i="9"/>
  <c r="I19" i="9"/>
  <c r="J19" i="9"/>
  <c r="K19" i="9"/>
  <c r="L19" i="9"/>
  <c r="M19" i="9"/>
  <c r="N19" i="9"/>
  <c r="J19" i="11"/>
  <c r="O19" i="9"/>
  <c r="A21" i="9"/>
  <c r="D21" i="9"/>
  <c r="E21" i="9"/>
  <c r="G21" i="9"/>
  <c r="H21" i="9"/>
  <c r="I21" i="9"/>
  <c r="J21" i="9"/>
  <c r="K21" i="9"/>
  <c r="L21" i="9"/>
  <c r="M21" i="9"/>
  <c r="N21" i="9"/>
  <c r="J21" i="11"/>
  <c r="O21" i="9"/>
  <c r="G3" i="10"/>
  <c r="H3" i="10"/>
  <c r="I3" i="10"/>
  <c r="J3" i="10"/>
  <c r="K3" i="10"/>
  <c r="L3" i="10"/>
  <c r="M3" i="10"/>
  <c r="M13" i="10"/>
  <c r="N13" i="10"/>
  <c r="Q13" i="10"/>
  <c r="P13" i="10"/>
  <c r="R13" i="10"/>
  <c r="O13" i="10"/>
  <c r="S1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4" i="10"/>
  <c r="N14" i="10"/>
  <c r="Q14" i="10"/>
  <c r="P14" i="10"/>
  <c r="R14" i="10"/>
  <c r="O14" i="10"/>
  <c r="S1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15" i="10"/>
  <c r="N15" i="10"/>
  <c r="Q15" i="10"/>
  <c r="P15" i="10"/>
  <c r="R15" i="10"/>
  <c r="O15" i="10"/>
  <c r="S1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M16" i="10"/>
  <c r="N16" i="10"/>
  <c r="Q16" i="10"/>
  <c r="P16" i="10"/>
  <c r="R16" i="10"/>
  <c r="O16" i="10"/>
  <c r="S1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M17" i="10"/>
  <c r="N17" i="10"/>
  <c r="Q17" i="10"/>
  <c r="P17" i="10"/>
  <c r="R17" i="10"/>
  <c r="O17" i="10"/>
  <c r="S1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M18" i="10"/>
  <c r="N18" i="10"/>
  <c r="Q18" i="10"/>
  <c r="P18" i="10"/>
  <c r="R18" i="10"/>
  <c r="O18" i="10"/>
  <c r="S1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M19" i="10"/>
  <c r="N19" i="10"/>
  <c r="Q19" i="10"/>
  <c r="P19" i="10"/>
  <c r="R19" i="10"/>
  <c r="O19" i="10"/>
  <c r="S1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M20" i="10"/>
  <c r="N20" i="10"/>
  <c r="Q20" i="10"/>
  <c r="P20" i="10"/>
  <c r="R20" i="10"/>
  <c r="O20" i="10"/>
  <c r="S2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V3" i="1"/>
  <c r="V2" i="1"/>
  <c r="A3" i="1"/>
  <c r="D3" i="1"/>
  <c r="E3" i="1"/>
  <c r="F3" i="1"/>
  <c r="H3" i="1"/>
  <c r="G2" i="2"/>
  <c r="A2" i="2"/>
  <c r="G3" i="2"/>
  <c r="A3" i="2"/>
  <c r="G4" i="2"/>
  <c r="A4" i="2"/>
  <c r="G5" i="2"/>
  <c r="A5" i="2"/>
  <c r="I3" i="1"/>
  <c r="J3" i="1"/>
  <c r="M3" i="1"/>
  <c r="N3" i="1"/>
  <c r="O3" i="1"/>
  <c r="P3" i="1"/>
  <c r="Q3" i="1"/>
  <c r="AD3" i="1"/>
  <c r="AE3" i="1"/>
  <c r="AF3" i="1"/>
  <c r="AG3" i="1"/>
  <c r="AI3" i="1"/>
  <c r="A4" i="1"/>
  <c r="D4" i="1"/>
  <c r="E4" i="1"/>
  <c r="F4" i="1"/>
  <c r="H4" i="1"/>
  <c r="I4" i="1"/>
  <c r="J4" i="1"/>
  <c r="M4" i="1"/>
  <c r="N4" i="1"/>
  <c r="O4" i="1"/>
  <c r="P4" i="1"/>
  <c r="Q4" i="1"/>
  <c r="X4" i="1"/>
  <c r="AD4" i="1"/>
  <c r="AE4" i="1"/>
  <c r="AF4" i="1"/>
  <c r="AG4" i="1"/>
  <c r="AI4" i="1"/>
  <c r="A5" i="1"/>
  <c r="D5" i="1"/>
  <c r="E5" i="1"/>
  <c r="F5" i="1"/>
  <c r="H5" i="1"/>
  <c r="I5" i="1"/>
  <c r="J5" i="1"/>
  <c r="M5" i="1"/>
  <c r="N5" i="1"/>
  <c r="O5" i="1"/>
  <c r="P5" i="1"/>
  <c r="Q5" i="1"/>
  <c r="X5" i="1"/>
  <c r="AD5" i="1"/>
  <c r="AE5" i="1"/>
  <c r="AF5" i="1"/>
  <c r="AG5" i="1"/>
  <c r="AI5" i="1"/>
  <c r="A6" i="1"/>
  <c r="D6" i="1"/>
  <c r="E6" i="1"/>
  <c r="F6" i="1"/>
  <c r="H6" i="1"/>
  <c r="I6" i="1"/>
  <c r="J6" i="1"/>
  <c r="M6" i="1"/>
  <c r="N6" i="1"/>
  <c r="O6" i="1"/>
  <c r="P6" i="1"/>
  <c r="Q6" i="1"/>
  <c r="X6" i="1"/>
  <c r="AD6" i="1"/>
  <c r="AE6" i="1"/>
  <c r="AF6" i="1"/>
  <c r="AG6" i="1"/>
  <c r="AI6" i="1"/>
  <c r="H2" i="1"/>
  <c r="B3" i="2"/>
  <c r="D3" i="2"/>
  <c r="E3" i="2"/>
  <c r="H3" i="2"/>
  <c r="B4" i="2"/>
  <c r="D4" i="2"/>
  <c r="E4" i="2"/>
  <c r="H4" i="2"/>
  <c r="B5" i="2"/>
  <c r="D5" i="2"/>
  <c r="E5" i="2"/>
  <c r="H5" i="2"/>
  <c r="C13" i="16"/>
  <c r="E13" i="16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2" i="19"/>
  <c r="C2" i="19"/>
  <c r="D2" i="19"/>
  <c r="F2" i="19"/>
  <c r="G2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C4" i="16"/>
  <c r="C5" i="16"/>
  <c r="C6" i="16"/>
  <c r="C7" i="16"/>
  <c r="C8" i="16"/>
  <c r="C9" i="16"/>
  <c r="C3" i="16"/>
  <c r="E9" i="16"/>
  <c r="R2" i="7"/>
  <c r="Q2" i="7"/>
  <c r="P2" i="7"/>
  <c r="O2" i="7"/>
  <c r="AD2" i="1"/>
  <c r="AG2" i="1"/>
  <c r="AF2" i="1"/>
  <c r="AE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2" i="1"/>
  <c r="AI2" i="1"/>
  <c r="A2" i="9"/>
  <c r="J2" i="1"/>
  <c r="I2" i="1"/>
  <c r="D2" i="1"/>
  <c r="F2" i="1"/>
  <c r="E2" i="1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<sst xmlns="http://schemas.openxmlformats.org/spreadsheetml/2006/main" count="741" uniqueCount="361">
  <si>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</si>
  <si>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</si>
  <si>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</si>
  <si>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</si>
  <si>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</si>
  <si>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</si>
  <si>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</si>
  <si>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</si>
  <si>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</si>
  <si>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</si>
  <si>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</si>
  <si>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</si>
  <si>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</si>
  <si>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</si>
  <si>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</si>
  <si>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</si>
  <si>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</si>
  <si>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</si>
  <si>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</si>
  <si>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</si>
  <si>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</si>
  <si>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</si>
  <si>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</si>
  <si>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</si>
  <si>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</si>
  <si>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</si>
  <si>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</si>
  <si>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</si>
  <si>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</si>
  <si>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</si>
  <si>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</si>
  <si>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</si>
  <si>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</si>
  <si>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</si>
  <si>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</si>
  <si>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</si>
  <si>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</si>
  <si>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</si>
  <si>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</si>
  <si>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</si>
  <si>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</si>
  <si>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</si>
  <si>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</si>
  <si>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</si>
  <si>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</si>
  <si>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</si>
  <si>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</si>
  <si>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</si>
  <si>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</si>
  <si>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</si>
  <si>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</si>
  <si>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</si>
  <si>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</si>
  <si>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</si>
  <si>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</si>
  <si>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</si>
  <si>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</si>
  <si>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</si>
  <si>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</si>
  <si>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</si>
  <si>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</si>
  <si>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</si>
  <si>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</si>
  <si>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</si>
  <si>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</si>
  <si>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</si>
  <si>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</si>
  <si>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</si>
  <si>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</si>
  <si>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</si>
  <si>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</si>
  <si>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</si>
  <si>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</si>
  <si>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</si>
  <si>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</si>
  <si>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</si>
  <si>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</si>
  <si>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</si>
  <si>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</si>
  <si>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</si>
  <si>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</si>
  <si>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</si>
  <si>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</si>
  <si>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</si>
  <si>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</si>
  <si>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</si>
  <si>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</si>
  <si>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</si>
  <si>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</si>
  <si>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</si>
  <si>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</si>
  <si>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</si>
  <si>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</si>
  <si>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</si>
  <si>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</si>
  <si>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</si>
  <si>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</si>
  <si>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</si>
  <si>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</si>
  <si>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</si>
  <si>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</si>
  <si>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</si>
  <si>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</si>
  <si>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</si>
  <si>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</si>
  <si>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</si>
  <si>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</si>
  <si>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</si>
  <si>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</si>
  <si>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</si>
  <si>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</si>
  <si>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</si>
  <si>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</si>
  <si>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</si>
  <si>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</si>
  <si>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</si>
  <si>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</si>
  <si>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</si>
  <si>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</si>
  <si>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</si>
  <si>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</si>
  <si>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</si>
  <si>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</si>
  <si>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</si>
  <si>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</si>
  <si>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</si>
  <si>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</si>
  <si>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</si>
  <si>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</si>
  <si>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</si>
  <si>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</si>
  <si>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</si>
  <si>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</si>
  <si>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</si>
  <si>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</si>
  <si>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</si>
  <si>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</si>
  <si>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</si>
  <si>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</si>
  <si>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</si>
  <si>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</si>
  <si>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</si>
  <si>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</si>
  <si>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</si>
  <si>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</si>
  <si>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</si>
  <si>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</si>
  <si>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</si>
  <si>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</si>
  <si>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</si>
  <si>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</si>
  <si>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</si>
  <si>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</si>
  <si>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</si>
  <si>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</si>
  <si>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</si>
  <si>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</si>
  <si>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</si>
  <si>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</si>
  <si>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</si>
  <si>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</si>
  <si>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</si>
  <si>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</si>
  <si>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</si>
  <si>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</si>
  <si>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</si>
  <si>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</si>
  <si>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</si>
  <si>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</si>
  <si>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</si>
  <si>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</si>
  <si>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</si>
  <si>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</si>
  <si>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</si>
  <si>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</si>
  <si>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</si>
  <si>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</si>
  <si>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</si>
  <si>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</si>
  <si>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</si>
  <si>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</si>
  <si>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</si>
  <si>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</si>
  <si>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</si>
  <si>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</si>
  <si>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</si>
  <si>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</si>
  <si>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</si>
  <si>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</si>
  <si>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</si>
  <si>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</si>
  <si>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</si>
  <si>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</si>
  <si>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</si>
  <si>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</si>
  <si>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</si>
  <si>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</si>
  <si>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</si>
  <si>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</si>
  <si>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</si>
  <si>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</si>
  <si>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</si>
  <si>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</si>
  <si>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</si>
  <si>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</si>
  <si>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</si>
  <si>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</si>
  <si>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</si>
  <si>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</si>
  <si>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</si>
  <si>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</si>
  <si>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</si>
  <si>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</si>
  <si>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</si>
  <si>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</si>
  <si>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</si>
  <si>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</si>
  <si>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</si>
  <si>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</si>
  <si>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</si>
  <si>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</si>
  <si>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</si>
  <si>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</si>
  <si>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</si>
  <si>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</si>
  <si>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</si>
  <si>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</si>
  <si>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</si>
  <si>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</si>
  <si>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</si>
  <si>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</si>
  <si>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</si>
  <si>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</si>
  <si>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</si>
  <si>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</si>
  <si>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</si>
  <si>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</si>
  <si>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</si>
  <si>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</si>
  <si>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</si>
  <si>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</si>
  <si>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</si>
  <si>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</si>
  <si>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</si>
  <si>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</si>
  <si>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</si>
  <si>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</si>
  <si>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skip</t>
    <phoneticPr fontId="7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</si>
  <si>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</si>
  <si>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</si>
  <si>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</si>
  <si>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</si>
  <si>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なし</t>
  </si>
  <si>
    <t>null</t>
    <phoneticPr fontId="5"/>
  </si>
  <si>
    <t>old</t>
  </si>
  <si>
    <t>【開幕】緑パネル3個プロテクト</t>
  </si>
  <si>
    <t>【２ターン目】ランダムで緑パネル変換（3個）</t>
  </si>
  <si>
    <t>【HP半分】攻撃力UP</t>
  </si>
  <si>
    <t>【HP半分常時】2回連続攻撃</t>
  </si>
  <si>
    <t>【HP10％以下】緑パネル5個プロテクト、クリティカル</t>
  </si>
  <si>
    <t>マーチ</t>
    <phoneticPr fontId="5"/>
  </si>
  <si>
    <t>[effect:enhance_unit, target:myself, turn:-1, status:attack, val:200, calc:add, animation:enhance_unit_all_attack01_unit01]</t>
    <phoneticPr fontId="5"/>
  </si>
  <si>
    <t>[effect:rush, count:2, val:0.8]</t>
    <phoneticPr fontId="5"/>
  </si>
  <si>
    <t>【開幕】セリフ</t>
  </si>
  <si>
    <t>【常時】2回連続攻撃</t>
  </si>
  <si>
    <t>【3ターン目】赤パネル1個プロテクト、クリティカル</t>
  </si>
  <si>
    <t>【HP半分以下常時】ランダムで緑パネル変換（2〜5個）、ダメージ</t>
  </si>
  <si>
    <t>ストール</t>
    <phoneticPr fontId="5"/>
  </si>
  <si>
    <t>[effect:nothing]</t>
    <phoneticPr fontId="5"/>
  </si>
  <si>
    <t>天翔のミール</t>
  </si>
  <si>
    <t>【開幕】緑パネル2個プロテクト</t>
  </si>
  <si>
    <t>【HP半分】鳥居の剛風（1500ダメージ）</t>
  </si>
  <si>
    <t>[effect:panel_freeze, target:normal, color:block_green, count:3]</t>
    <phoneticPr fontId="5"/>
  </si>
  <si>
    <t>[effect:panel_freeze, target:normal, color:block_green, count:5],[effect:critical, val:1.2, animation:enemy_critical]</t>
    <phoneticPr fontId="5"/>
  </si>
  <si>
    <t>魔性妖艶　かぐや</t>
  </si>
  <si>
    <t>【開幕】よく来たのう、主ら（緑パネル5個プロテクト、現在HPの2割ダメージ）</t>
  </si>
  <si>
    <t>【奇数ターン】緑パネル2個プロテクト、連続ダメージ（1000〜1500程度）</t>
  </si>
  <si>
    <t>【偶数ターン】ランダムで緑パネル4個変換、ダメージ</t>
  </si>
  <si>
    <t>【HP半分】おいたが過ぎるようじゃな（赤パネル5個プロテクト、単体ダメージ2000）</t>
  </si>
  <si>
    <t>アウリ</t>
    <phoneticPr fontId="5"/>
  </si>
  <si>
    <t>阿吽の神護犬 アウリ</t>
    <phoneticPr fontId="5"/>
  </si>
  <si>
    <t>【開幕】ぼくと遊んでくれるの？（緑パネル5個プロテクト）</t>
  </si>
  <si>
    <t>【3ターン目まで常時】緑パネル3個プロテクト、ダメージ</t>
  </si>
  <si>
    <t>【３ターン目】いじわるしすぎちゃった（ランダムで緑パネル5個変換）</t>
  </si>
  <si>
    <t>【4ターン目以降常時】2連続ダメージ</t>
  </si>
  <si>
    <t>【4ターン目以降奇数ターン】緑パネル3個プロテクト、ダメージ</t>
  </si>
  <si>
    <t>【開幕】ほんきで遊ぼう（緑パネル5個プロテクト、現在HPの3割ダメージ）</t>
  </si>
  <si>
    <t>【偶数ターン常時】緑パネル1個プロテクト、ダメージ</t>
  </si>
  <si>
    <t>【3ターン目】とんでけー！（ランダムでパネルを緑パネルに5個変換、連続ダメージ）</t>
  </si>
  <si>
    <t>【HP半分】いたいのはきらい！（赤パネル3個プロテクト）</t>
  </si>
  <si>
    <t>【HP半分以降偶数ターン常時】緑パネル4個プロテクト、連続ダメージ</t>
  </si>
  <si>
    <t>[effect:panel_freeze, target:normal, color:block_green, count:5]</t>
    <phoneticPr fontId="5"/>
  </si>
  <si>
    <t>[effect:panel_freeze, target:normal, color:block_green, count:3],[effect:rush, count:1, val:1]</t>
    <phoneticPr fontId="5"/>
  </si>
  <si>
    <t>[effect:panel_freeze, target:normal, color:block_green, count:2],[effect:rush, count:1, val:1]</t>
    <phoneticPr fontId="5"/>
  </si>
  <si>
    <t>[effect:panel_freeze, target:normal, color:block_green, count:4],[effect:rush, count:2, val:0.8]</t>
    <phoneticPr fontId="5"/>
  </si>
  <si>
    <t>結界</t>
    <rPh sb="0" eb="2">
      <t>ケッk</t>
    </rPh>
    <phoneticPr fontId="5"/>
  </si>
  <si>
    <t>いたずら</t>
    <phoneticPr fontId="5"/>
  </si>
  <si>
    <t>連続ビンタ</t>
    <rPh sb="0" eb="2">
      <t>レンゾk</t>
    </rPh>
    <phoneticPr fontId="5"/>
  </si>
  <si>
    <t>かみつく</t>
    <phoneticPr fontId="5"/>
  </si>
  <si>
    <t>……</t>
    <phoneticPr fontId="5"/>
  </si>
  <si>
    <t>様子を伺っている</t>
    <rPh sb="0" eb="2">
      <t>ヨウs</t>
    </rPh>
    <phoneticPr fontId="5"/>
  </si>
  <si>
    <t>2回連続攻撃</t>
    <phoneticPr fontId="5"/>
  </si>
  <si>
    <t>突進</t>
    <rPh sb="0" eb="2">
      <t>トッシn</t>
    </rPh>
    <phoneticPr fontId="5"/>
  </si>
  <si>
    <t>頭突き</t>
    <rPh sb="0" eb="2">
      <t>ズツk</t>
    </rPh>
    <phoneticPr fontId="5"/>
  </si>
  <si>
    <t>鳥居の豪風</t>
    <rPh sb="0" eb="2">
      <t>トリ</t>
    </rPh>
    <rPh sb="3" eb="5">
      <t>ゴウフ</t>
    </rPh>
    <phoneticPr fontId="5"/>
  </si>
  <si>
    <t>固定ダメージ</t>
    <rPh sb="0" eb="2">
      <t>コテ</t>
    </rPh>
    <phoneticPr fontId="5"/>
  </si>
  <si>
    <t>よく来たのう、主ら</t>
    <phoneticPr fontId="5"/>
  </si>
  <si>
    <t>おいたが過ぎるようじゃな</t>
    <phoneticPr fontId="5"/>
  </si>
  <si>
    <t>これはどうじゃ？</t>
    <phoneticPr fontId="5"/>
  </si>
  <si>
    <t>愉快じゃのう</t>
    <rPh sb="0" eb="2">
      <t>ユカ</t>
    </rPh>
    <phoneticPr fontId="5"/>
  </si>
  <si>
    <t>ぼくと遊んでくれるの？</t>
    <phoneticPr fontId="5"/>
  </si>
  <si>
    <t>たのしいね！</t>
    <phoneticPr fontId="5"/>
  </si>
  <si>
    <t>いじわるしすぎちゃったかな？</t>
    <phoneticPr fontId="5"/>
  </si>
  <si>
    <t>かまって！</t>
    <phoneticPr fontId="5"/>
  </si>
  <si>
    <t>神犬の結界</t>
    <rPh sb="0" eb="1">
      <t>シンケンノ</t>
    </rPh>
    <rPh sb="1" eb="2">
      <t>イヌ</t>
    </rPh>
    <rPh sb="3" eb="5">
      <t>ケッk</t>
    </rPh>
    <phoneticPr fontId="5"/>
  </si>
  <si>
    <t>2回連続ダメージ</t>
    <phoneticPr fontId="5"/>
  </si>
  <si>
    <t>いたいのは嫌！</t>
    <rPh sb="5" eb="6">
      <t>イヤ</t>
    </rPh>
    <phoneticPr fontId="5"/>
  </si>
  <si>
    <t>帰って！</t>
    <rPh sb="0" eb="1">
      <t>カエッt</t>
    </rPh>
    <phoneticPr fontId="5"/>
  </si>
  <si>
    <t>よそ見してていいのー？</t>
    <phoneticPr fontId="5"/>
  </si>
  <si>
    <t>神犬の遠吠え</t>
    <rPh sb="0" eb="1">
      <t>カミ</t>
    </rPh>
    <rPh sb="1" eb="2">
      <t>イヌ</t>
    </rPh>
    <rPh sb="3" eb="5">
      <t>トオボ</t>
    </rPh>
    <phoneticPr fontId="5"/>
  </si>
  <si>
    <t>link</t>
  </si>
  <si>
    <t>unit</t>
  </si>
  <si>
    <t>増える緑パネルを多く繋げて
Cパネルを作っていきましょう</t>
    <rPh sb="0" eb="1">
      <t>フ</t>
    </rPh>
    <rPh sb="3" eb="4">
      <t>ミドリ</t>
    </rPh>
    <rPh sb="8" eb="9">
      <t>オオk</t>
    </rPh>
    <rPh sb="10" eb="11">
      <t>ツナg</t>
    </rPh>
    <phoneticPr fontId="5"/>
  </si>
  <si>
    <t>回復を入念にして
連続攻撃に備えましょう</t>
    <rPh sb="0" eb="2">
      <t>カイフクw</t>
    </rPh>
    <rPh sb="3" eb="5">
      <t>ニュウn</t>
    </rPh>
    <rPh sb="9" eb="13">
      <t>レンゾクコウ</t>
    </rPh>
    <phoneticPr fontId="5"/>
  </si>
  <si>
    <t>プロテクトは変換される緑パネルを
有効活用していきましょう</t>
    <rPh sb="6" eb="8">
      <t>ヘンカn</t>
    </rPh>
    <phoneticPr fontId="5"/>
  </si>
  <si>
    <t>しっかり回復をし
連続攻撃に備えましょう</t>
    <rPh sb="4" eb="6">
      <t>カイフク</t>
    </rPh>
    <phoneticPr fontId="5"/>
  </si>
  <si>
    <t>プロテクトされた緑パネルを
確実に消していき
盤面を綺麗にしましょう</t>
    <rPh sb="14" eb="16">
      <t>カクジツn</t>
    </rPh>
    <rPh sb="23" eb="25">
      <t>バンメンヲ</t>
    </rPh>
    <phoneticPr fontId="5"/>
  </si>
  <si>
    <t>[effect:panel_freeze, target:normal, color:block_red, count:5],[effect:damage_fix_pierce, target:unit_one, color:green, val:2000]</t>
    <phoneticPr fontId="5"/>
  </si>
  <si>
    <t>[effect:panel_freeze, target:normal, color:block_green, count:4]</t>
    <phoneticPr fontId="5"/>
  </si>
  <si>
    <t>[effect:panel_freeze, target:normal, color:block_red, count:2],[effect:critical, val:1.2, animation:enemy_critical]</t>
    <phoneticPr fontId="5"/>
  </si>
  <si>
    <t>緑パネルを4個プロテクト</t>
    <phoneticPr fontId="5"/>
  </si>
  <si>
    <t>[effect:damage_fix_pierce, target:unit_one, color:green, val:1800]</t>
    <phoneticPr fontId="5"/>
  </si>
  <si>
    <t>[effect:panel_freeze, target:normal, color:block_green, count:3],[effect:rush, count:2, val:0.8]</t>
    <phoneticPr fontId="5"/>
  </si>
  <si>
    <t>緑パネルを5個プロテクト</t>
    <phoneticPr fontId="5"/>
  </si>
  <si>
    <t>[effect:panel_freeze, target:normal, color:block_green, count:5],[effect:damage_gravity, val:0.3, animation:fevergauge_down]</t>
    <phoneticPr fontId="5"/>
  </si>
  <si>
    <t>赤パネルを5個プロテクト</t>
    <phoneticPr fontId="5"/>
  </si>
  <si>
    <t>[effect:panel_freeze, target:normal, color:block_red, count:5]</t>
    <phoneticPr fontId="5"/>
  </si>
  <si>
    <t>攻撃されて怒っている
【解除するまで攻撃力アップ】</t>
    <rPh sb="12" eb="14">
      <t>カ</t>
    </rPh>
    <rPh sb="18" eb="21">
      <t>コウゲk</t>
    </rPh>
    <phoneticPr fontId="5"/>
  </si>
  <si>
    <t>不意打ち</t>
    <rPh sb="0" eb="3">
      <t>フイウt</t>
    </rPh>
    <phoneticPr fontId="5"/>
  </si>
  <si>
    <t>バーサク</t>
    <phoneticPr fontId="5"/>
  </si>
  <si>
    <t>羽毛が舞っている
【緑パネルを3個プロテクト】</t>
    <rPh sb="0" eb="2">
      <t>ウモウガ</t>
    </rPh>
    <rPh sb="3" eb="4">
      <t>マッt</t>
    </rPh>
    <phoneticPr fontId="5"/>
  </si>
  <si>
    <t>マフラーが強風で暴れている
【2回連続攻撃】</t>
    <rPh sb="8" eb="9">
      <t>アバr</t>
    </rPh>
    <phoneticPr fontId="5"/>
  </si>
  <si>
    <t>羽根舞い</t>
    <rPh sb="0" eb="2">
      <t>ハネ</t>
    </rPh>
    <rPh sb="2" eb="3">
      <t>マイ</t>
    </rPh>
    <phoneticPr fontId="5"/>
  </si>
  <si>
    <t>神犬の威嚇</t>
    <rPh sb="0" eb="1">
      <t>カミ</t>
    </rPh>
    <rPh sb="1" eb="2">
      <t>イn</t>
    </rPh>
    <rPh sb="3" eb="5">
      <t>イカk</t>
    </rPh>
    <phoneticPr fontId="5"/>
  </si>
  <si>
    <t>属性パネルを3個緑パネルに変換</t>
    <rPh sb="0" eb="2">
      <t>ゾクセ</t>
    </rPh>
    <rPh sb="7" eb="8">
      <t>k</t>
    </rPh>
    <rPh sb="8" eb="9">
      <t>ミドr</t>
    </rPh>
    <phoneticPr fontId="5"/>
  </si>
  <si>
    <t>緑パネルを5個プロテクト+クリティカル</t>
    <phoneticPr fontId="5"/>
  </si>
  <si>
    <t>赤パネル2個プロテクト+クリティカル</t>
    <phoneticPr fontId="5"/>
  </si>
  <si>
    <t>緑パネルを5個プロテクト+現在HPの3割ダメージ</t>
    <phoneticPr fontId="5"/>
  </si>
  <si>
    <t>緑パネルを3個プロテクト+連続ダメージ</t>
    <phoneticPr fontId="5"/>
  </si>
  <si>
    <t>属性パネルを4個緑パネルに変換+単体ダメージ</t>
    <rPh sb="0" eb="2">
      <t>ゾクセ</t>
    </rPh>
    <rPh sb="7" eb="8">
      <t>k</t>
    </rPh>
    <rPh sb="16" eb="18">
      <t>タンタ</t>
    </rPh>
    <phoneticPr fontId="5"/>
  </si>
  <si>
    <t>赤パネルを5個プロテクト+固定ダメージ</t>
    <rPh sb="13" eb="15">
      <t>コテ</t>
    </rPh>
    <phoneticPr fontId="5"/>
  </si>
  <si>
    <t>緑パネルを3個プロテクト+単体ダメージ</t>
    <rPh sb="13" eb="15">
      <t>タンタ</t>
    </rPh>
    <phoneticPr fontId="5"/>
  </si>
  <si>
    <t>属性パネルを5個緑パネルに変換</t>
    <rPh sb="0" eb="2">
      <t>ゾクセ</t>
    </rPh>
    <rPh sb="7" eb="8">
      <t>k</t>
    </rPh>
    <phoneticPr fontId="5"/>
  </si>
  <si>
    <t>強風が吹き荒れる
【緑パネルを3個プロテクト+単体ダメージ】</t>
    <rPh sb="23" eb="25">
      <t>タンタ</t>
    </rPh>
    <phoneticPr fontId="5"/>
  </si>
  <si>
    <t>緑パネルを3個プロテクト+ダメージ</t>
    <phoneticPr fontId="5"/>
  </si>
  <si>
    <t>属性パネルを5個緑パネルに変換+連続ダメージ</t>
    <rPh sb="0" eb="2">
      <t>ゾクセ</t>
    </rPh>
    <phoneticPr fontId="5"/>
  </si>
  <si>
    <t>緑パネルを4個プロテクト+連続ダメージ</t>
    <phoneticPr fontId="5"/>
  </si>
  <si>
    <t>[effect:force_change_block, new_block:block_green, target:normal, ignore01:block_positive, ignore02:block_negative, count:3, val:0, animation:change_block]</t>
    <phoneticPr fontId="5"/>
  </si>
  <si>
    <t>[effect:force_change_block, new_block:block_green, target:normal, ignore01:block_positive, ignore02:block_negative, count:4, val:0, animation:change_block],[effect:rush, count:1, val:1]</t>
    <phoneticPr fontId="5"/>
  </si>
  <si>
    <t>[effect:force_change_block, new_block:block_green, target:normal, ignore01:block_positive, ignore02:block_negative, count:5, val:0, animation:change_block]</t>
    <phoneticPr fontId="5"/>
  </si>
  <si>
    <t>[effect:force_change_block, new_block:block_green, target:normal, ignore01:block_positive, ignore02:block_negative, count:5, val:0, animation:change_block],[effect:rush, count:2, val:0.8]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</si>
</sst>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2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5FFA2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700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9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32" borderId="1" xfId="0" applyFont="1" applyFill="1" applyBorder="1" applyAlignment="1">
      <alignment vertical="center"/>
    </xf>
    <xf numFmtId="0" fontId="24" fillId="33" borderId="7" xfId="434" applyFill="1" applyBorder="1" applyAlignment="1"/>
    <xf numFmtId="0" fontId="6" fillId="34" borderId="9" xfId="0" applyFont="1" applyFill="1" applyBorder="1" applyAlignment="1">
      <alignment vertical="center"/>
    </xf>
    <xf numFmtId="0" fontId="6" fillId="34" borderId="11" xfId="0" applyFont="1" applyFill="1" applyBorder="1" applyAlignment="1">
      <alignment vertical="center"/>
    </xf>
    <xf numFmtId="0" fontId="16" fillId="6" borderId="7" xfId="0" applyFont="1" applyFill="1" applyBorder="1" applyAlignment="1">
      <alignment vertical="center"/>
    </xf>
    <xf numFmtId="0" fontId="16" fillId="0" borderId="0" xfId="0" applyFont="1"/>
    <xf numFmtId="0" fontId="16" fillId="0" borderId="7" xfId="0" applyFont="1" applyBorder="1" applyAlignment="1">
      <alignment vertical="center"/>
    </xf>
    <xf numFmtId="0" fontId="16" fillId="0" borderId="7" xfId="0" applyFont="1" applyBorder="1" applyAlignment="1">
      <alignment vertical="center" wrapText="1"/>
    </xf>
    <xf numFmtId="0" fontId="16" fillId="35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vertical="center"/>
    </xf>
    <xf numFmtId="0" fontId="16" fillId="37" borderId="7" xfId="0" applyFont="1" applyFill="1" applyBorder="1" applyAlignment="1">
      <alignment vertical="center" wrapText="1"/>
    </xf>
    <xf numFmtId="0" fontId="16" fillId="37" borderId="7" xfId="0" applyFont="1" applyFill="1" applyBorder="1" applyAlignment="1">
      <alignment vertical="center"/>
    </xf>
    <xf numFmtId="0" fontId="16" fillId="38" borderId="7" xfId="0" applyFont="1" applyFill="1" applyBorder="1" applyAlignment="1">
      <alignment vertical="center"/>
    </xf>
    <xf numFmtId="0" fontId="16" fillId="39" borderId="7" xfId="0" applyFont="1" applyFill="1" applyBorder="1" applyAlignment="1">
      <alignment vertical="center"/>
    </xf>
    <xf numFmtId="0" fontId="16" fillId="39" borderId="7" xfId="0" applyFont="1" applyFill="1" applyBorder="1" applyAlignment="1">
      <alignment vertical="center" wrapText="1"/>
    </xf>
    <xf numFmtId="38" fontId="16" fillId="0" borderId="7" xfId="628" applyFont="1" applyFill="1" applyBorder="1" applyAlignment="1">
      <alignment wrapText="1"/>
    </xf>
    <xf numFmtId="0" fontId="0" fillId="14" borderId="7" xfId="615" applyFont="1" applyFill="1" applyBorder="1"/>
  </cellXfs>
  <cellStyles count="700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5FF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38101</v>
          </cell>
        </row>
        <row r="184">
          <cell r="A184">
            <v>39001</v>
          </cell>
        </row>
        <row r="185">
          <cell r="A185">
            <v>39002</v>
          </cell>
        </row>
        <row r="186">
          <cell r="A186">
            <v>39003</v>
          </cell>
        </row>
        <row r="187">
          <cell r="A187">
            <v>39004</v>
          </cell>
        </row>
        <row r="188">
          <cell r="A188">
            <v>39005</v>
          </cell>
        </row>
        <row r="189">
          <cell r="A189">
            <v>39006</v>
          </cell>
        </row>
        <row r="190">
          <cell r="A190">
            <v>39007</v>
          </cell>
        </row>
        <row r="191">
          <cell r="A191">
            <v>39008</v>
          </cell>
        </row>
        <row r="192">
          <cell r="A192">
            <v>39009</v>
          </cell>
        </row>
        <row r="193">
          <cell r="A193">
            <v>39010</v>
          </cell>
        </row>
        <row r="194">
          <cell r="A194">
            <v>39011</v>
          </cell>
        </row>
        <row r="195">
          <cell r="A195">
            <v>39012</v>
          </cell>
        </row>
        <row r="196">
          <cell r="A196">
            <v>39013</v>
          </cell>
        </row>
        <row r="197">
          <cell r="A197">
            <v>39014</v>
          </cell>
        </row>
        <row r="198">
          <cell r="A198">
            <v>40001</v>
          </cell>
        </row>
        <row r="199">
          <cell r="A199">
            <v>40002</v>
          </cell>
        </row>
        <row r="200">
          <cell r="A200">
            <v>40003</v>
          </cell>
        </row>
        <row r="201">
          <cell r="A201">
            <v>40004</v>
          </cell>
        </row>
        <row r="202">
          <cell r="A202">
            <v>40005</v>
          </cell>
        </row>
        <row r="203">
          <cell r="A203">
            <v>40006</v>
          </cell>
        </row>
        <row r="204">
          <cell r="A204">
            <v>40007</v>
          </cell>
        </row>
        <row r="205">
          <cell r="A205">
            <v>40008</v>
          </cell>
        </row>
        <row r="206">
          <cell r="A206">
            <v>40009</v>
          </cell>
        </row>
        <row r="207">
          <cell r="A207">
            <v>40010</v>
          </cell>
        </row>
        <row r="208">
          <cell r="A208">
            <v>40011</v>
          </cell>
        </row>
        <row r="209">
          <cell r="A209">
            <v>40012</v>
          </cell>
        </row>
        <row r="210">
          <cell r="A210">
            <v>40013</v>
          </cell>
        </row>
        <row r="211">
          <cell r="A211">
            <v>40014</v>
          </cell>
        </row>
        <row r="212">
          <cell r="A212">
            <v>40015</v>
          </cell>
        </row>
        <row r="213">
          <cell r="A213">
            <v>40016</v>
          </cell>
        </row>
        <row r="214">
          <cell r="A214">
            <v>40017</v>
          </cell>
        </row>
        <row r="215">
          <cell r="A215">
            <v>40018</v>
          </cell>
        </row>
        <row r="216">
          <cell r="A216">
            <v>40019</v>
          </cell>
        </row>
        <row r="217">
          <cell r="A217">
            <v>40021</v>
          </cell>
        </row>
        <row r="218">
          <cell r="A218">
            <v>40022</v>
          </cell>
        </row>
        <row r="219">
          <cell r="A219">
            <v>40023</v>
          </cell>
        </row>
        <row r="220">
          <cell r="A220">
            <v>40024</v>
          </cell>
        </row>
        <row r="221">
          <cell r="A221">
            <v>40025</v>
          </cell>
        </row>
        <row r="222">
          <cell r="A222">
            <v>40026</v>
          </cell>
        </row>
        <row r="223">
          <cell r="A223">
            <v>40027</v>
          </cell>
        </row>
        <row r="224">
          <cell r="A224">
            <v>40028</v>
          </cell>
        </row>
        <row r="225">
          <cell r="A225">
            <v>40029</v>
          </cell>
        </row>
        <row r="226">
          <cell r="A226">
            <v>40030</v>
          </cell>
        </row>
        <row r="227">
          <cell r="A227">
            <v>40031</v>
          </cell>
        </row>
        <row r="228">
          <cell r="A228">
            <v>40032</v>
          </cell>
        </row>
        <row r="229">
          <cell r="A229">
            <v>40033</v>
          </cell>
        </row>
        <row r="230">
          <cell r="A230">
            <v>40034</v>
          </cell>
        </row>
        <row r="231">
          <cell r="A231">
            <v>40035</v>
          </cell>
        </row>
        <row r="232">
          <cell r="A232">
            <v>40036</v>
          </cell>
        </row>
        <row r="233">
          <cell r="A233">
            <v>40037</v>
          </cell>
        </row>
        <row r="234">
          <cell r="A234">
            <v>40038</v>
          </cell>
        </row>
        <row r="235">
          <cell r="A235">
            <v>40039</v>
          </cell>
        </row>
        <row r="236">
          <cell r="A236">
            <v>40040</v>
          </cell>
        </row>
        <row r="237">
          <cell r="A237">
            <v>40041</v>
          </cell>
        </row>
        <row r="238">
          <cell r="A238">
            <v>40042</v>
          </cell>
        </row>
        <row r="239">
          <cell r="A239">
            <v>40043</v>
          </cell>
        </row>
        <row r="240">
          <cell r="A240">
            <v>40044</v>
          </cell>
        </row>
        <row r="241">
          <cell r="A241">
            <v>40045</v>
          </cell>
        </row>
        <row r="242">
          <cell r="A242">
            <v>40046</v>
          </cell>
        </row>
        <row r="243">
          <cell r="A243">
            <v>48001</v>
          </cell>
        </row>
        <row r="244">
          <cell r="A244">
            <v>48002</v>
          </cell>
        </row>
        <row r="245">
          <cell r="A245">
            <v>48003</v>
          </cell>
        </row>
        <row r="246">
          <cell r="A246">
            <v>48004</v>
          </cell>
        </row>
        <row r="247">
          <cell r="A247">
            <v>48005</v>
          </cell>
        </row>
        <row r="248">
          <cell r="A248">
            <v>48006</v>
          </cell>
        </row>
        <row r="249">
          <cell r="A249">
            <v>48007</v>
          </cell>
        </row>
        <row r="250">
          <cell r="A250">
            <v>48008</v>
          </cell>
        </row>
        <row r="251">
          <cell r="A251">
            <v>48009</v>
          </cell>
        </row>
        <row r="252">
          <cell r="A252">
            <v>48010</v>
          </cell>
        </row>
        <row r="253">
          <cell r="A253">
            <v>48011</v>
          </cell>
        </row>
        <row r="254">
          <cell r="A254">
            <v>48012</v>
          </cell>
        </row>
        <row r="255">
          <cell r="A255">
            <v>48013</v>
          </cell>
        </row>
        <row r="256">
          <cell r="A256">
            <v>48014</v>
          </cell>
        </row>
        <row r="257">
          <cell r="A257">
            <v>48101</v>
          </cell>
        </row>
        <row r="258">
          <cell r="A258">
            <v>48501</v>
          </cell>
        </row>
        <row r="259">
          <cell r="A259">
            <v>48502</v>
          </cell>
        </row>
        <row r="260">
          <cell r="A260">
            <v>48503</v>
          </cell>
        </row>
        <row r="261">
          <cell r="A261">
            <v>48701</v>
          </cell>
        </row>
        <row r="262">
          <cell r="A262">
            <v>48702</v>
          </cell>
        </row>
        <row r="263">
          <cell r="A263">
            <v>41001</v>
          </cell>
        </row>
        <row r="264">
          <cell r="A264">
            <v>41002</v>
          </cell>
        </row>
        <row r="265">
          <cell r="A265">
            <v>41003</v>
          </cell>
        </row>
        <row r="266">
          <cell r="A266">
            <v>41004</v>
          </cell>
        </row>
        <row r="267">
          <cell r="A267">
            <v>41005</v>
          </cell>
        </row>
        <row r="268">
          <cell r="A268">
            <v>41006</v>
          </cell>
        </row>
        <row r="269">
          <cell r="A269">
            <v>41007</v>
          </cell>
        </row>
        <row r="270">
          <cell r="A270">
            <v>41008</v>
          </cell>
        </row>
        <row r="271">
          <cell r="A271">
            <v>41009</v>
          </cell>
        </row>
        <row r="272">
          <cell r="A272">
            <v>41010</v>
          </cell>
        </row>
        <row r="273">
          <cell r="A273">
            <v>41011</v>
          </cell>
        </row>
        <row r="274">
          <cell r="A274">
            <v>41012</v>
          </cell>
        </row>
        <row r="275">
          <cell r="A275">
            <v>41013</v>
          </cell>
        </row>
        <row r="276">
          <cell r="A276">
            <v>41014</v>
          </cell>
        </row>
        <row r="277">
          <cell r="A277">
            <v>41015</v>
          </cell>
        </row>
        <row r="278">
          <cell r="A278">
            <v>47001</v>
          </cell>
        </row>
        <row r="279">
          <cell r="A279">
            <v>47002</v>
          </cell>
        </row>
        <row r="280">
          <cell r="A280">
            <v>47003</v>
          </cell>
        </row>
        <row r="281">
          <cell r="A281">
            <v>47004</v>
          </cell>
        </row>
        <row r="282">
          <cell r="A282">
            <v>47005</v>
          </cell>
        </row>
        <row r="283">
          <cell r="A283">
            <v>47006</v>
          </cell>
        </row>
        <row r="284">
          <cell r="A284">
            <v>47007</v>
          </cell>
        </row>
        <row r="285">
          <cell r="A285">
            <v>47008</v>
          </cell>
        </row>
        <row r="286">
          <cell r="A286">
            <v>47009</v>
          </cell>
        </row>
        <row r="287">
          <cell r="A287">
            <v>47010</v>
          </cell>
        </row>
        <row r="288">
          <cell r="A288">
            <v>47011</v>
          </cell>
        </row>
        <row r="289">
          <cell r="A289">
            <v>47012</v>
          </cell>
        </row>
        <row r="290">
          <cell r="A290">
            <v>47013</v>
          </cell>
        </row>
        <row r="291">
          <cell r="A291">
            <v>47014</v>
          </cell>
        </row>
        <row r="292">
          <cell r="A292">
            <v>47015</v>
          </cell>
        </row>
        <row r="293">
          <cell r="A293">
            <v>47016</v>
          </cell>
        </row>
        <row r="294">
          <cell r="A294">
            <v>49001</v>
          </cell>
        </row>
        <row r="295">
          <cell r="A295">
            <v>49002</v>
          </cell>
        </row>
        <row r="296">
          <cell r="A296">
            <v>49003</v>
          </cell>
        </row>
        <row r="297">
          <cell r="A297">
            <v>49004</v>
          </cell>
        </row>
        <row r="298">
          <cell r="A298">
            <v>49005</v>
          </cell>
        </row>
        <row r="299">
          <cell r="A299">
            <v>49006</v>
          </cell>
        </row>
        <row r="300">
          <cell r="A300">
            <v>49007</v>
          </cell>
        </row>
        <row r="301">
          <cell r="A301">
            <v>49008</v>
          </cell>
        </row>
        <row r="302">
          <cell r="A302">
            <v>49009</v>
          </cell>
        </row>
        <row r="303">
          <cell r="A303">
            <v>49010</v>
          </cell>
        </row>
        <row r="304">
          <cell r="A304">
            <v>49011</v>
          </cell>
        </row>
        <row r="305">
          <cell r="A305">
            <v>49012</v>
          </cell>
        </row>
        <row r="306">
          <cell r="A306">
            <v>49013</v>
          </cell>
        </row>
        <row r="307">
          <cell r="A307">
            <v>49014</v>
          </cell>
        </row>
        <row r="308">
          <cell r="A308">
            <v>49015</v>
          </cell>
        </row>
        <row r="309">
          <cell r="A309">
            <v>49016</v>
          </cell>
        </row>
        <row r="310">
          <cell r="A310">
            <v>50001</v>
          </cell>
        </row>
        <row r="311">
          <cell r="A311">
            <v>50002</v>
          </cell>
        </row>
        <row r="312">
          <cell r="A312">
            <v>50003</v>
          </cell>
        </row>
        <row r="313">
          <cell r="A313">
            <v>50004</v>
          </cell>
        </row>
        <row r="314">
          <cell r="A314">
            <v>50005</v>
          </cell>
        </row>
        <row r="315">
          <cell r="A315">
            <v>50006</v>
          </cell>
        </row>
        <row r="316">
          <cell r="A316">
            <v>50007</v>
          </cell>
        </row>
        <row r="317">
          <cell r="A317">
            <v>50008</v>
          </cell>
        </row>
        <row r="318">
          <cell r="A318">
            <v>50009</v>
          </cell>
        </row>
        <row r="319">
          <cell r="A319">
            <v>50010</v>
          </cell>
        </row>
        <row r="320">
          <cell r="A320">
            <v>50011</v>
          </cell>
        </row>
        <row r="321">
          <cell r="A321">
            <v>50012</v>
          </cell>
        </row>
        <row r="322">
          <cell r="A322">
            <v>50013</v>
          </cell>
        </row>
        <row r="323">
          <cell r="A323">
            <v>50014</v>
          </cell>
        </row>
        <row r="324">
          <cell r="A324">
            <v>50015</v>
          </cell>
        </row>
        <row r="325">
          <cell r="A325">
            <v>50016</v>
          </cell>
        </row>
        <row r="326">
          <cell r="A326">
            <v>51001</v>
          </cell>
        </row>
        <row r="327">
          <cell r="A327">
            <v>51002</v>
          </cell>
        </row>
        <row r="328">
          <cell r="A328">
            <v>58001</v>
          </cell>
        </row>
        <row r="329">
          <cell r="A329">
            <v>58002</v>
          </cell>
        </row>
        <row r="330">
          <cell r="A330">
            <v>58003</v>
          </cell>
        </row>
        <row r="331">
          <cell r="A331">
            <v>58101</v>
          </cell>
        </row>
        <row r="332">
          <cell r="A332">
            <v>59001</v>
          </cell>
        </row>
        <row r="333">
          <cell r="A333">
            <v>59002</v>
          </cell>
        </row>
        <row r="334">
          <cell r="A334">
            <v>59003</v>
          </cell>
        </row>
        <row r="335">
          <cell r="A335">
            <v>60001</v>
          </cell>
        </row>
        <row r="336">
          <cell r="A336">
            <v>60002</v>
          </cell>
        </row>
        <row r="337">
          <cell r="A337">
            <v>60003</v>
          </cell>
        </row>
        <row r="338">
          <cell r="A338">
            <v>60004</v>
          </cell>
        </row>
        <row r="339">
          <cell r="A339">
            <v>60005</v>
          </cell>
        </row>
        <row r="340">
          <cell r="A340">
            <v>60006</v>
          </cell>
        </row>
        <row r="341">
          <cell r="A341">
            <v>60007</v>
          </cell>
        </row>
        <row r="342">
          <cell r="A342">
            <v>60010</v>
          </cell>
        </row>
        <row r="343">
          <cell r="A343">
            <v>60011</v>
          </cell>
        </row>
        <row r="344">
          <cell r="A344">
            <v>61011</v>
          </cell>
        </row>
        <row r="345">
          <cell r="A345">
            <v>60012</v>
          </cell>
        </row>
        <row r="346">
          <cell r="A346">
            <v>60013</v>
          </cell>
        </row>
        <row r="347">
          <cell r="A347">
            <v>60014</v>
          </cell>
        </row>
        <row r="348">
          <cell r="A348">
            <v>60015</v>
          </cell>
        </row>
        <row r="349">
          <cell r="A349">
            <v>60016</v>
          </cell>
        </row>
        <row r="350">
          <cell r="A350">
            <v>60017</v>
          </cell>
        </row>
        <row r="351">
          <cell r="A351">
            <v>60018</v>
          </cell>
        </row>
        <row r="352">
          <cell r="A352">
            <v>60019</v>
          </cell>
        </row>
        <row r="353">
          <cell r="A353">
            <v>60020</v>
          </cell>
        </row>
        <row r="354">
          <cell r="A354">
            <v>60025</v>
          </cell>
        </row>
        <row r="355">
          <cell r="A355">
            <v>60026</v>
          </cell>
        </row>
        <row r="356">
          <cell r="A356">
            <v>60027</v>
          </cell>
        </row>
        <row r="357">
          <cell r="A357">
            <v>60028</v>
          </cell>
        </row>
        <row r="358">
          <cell r="A358">
            <v>60029</v>
          </cell>
        </row>
        <row r="359">
          <cell r="A359">
            <v>60030</v>
          </cell>
        </row>
        <row r="360">
          <cell r="A360">
            <v>60031</v>
          </cell>
        </row>
        <row r="361">
          <cell r="A361">
            <v>65523</v>
          </cell>
        </row>
        <row r="362">
          <cell r="A362">
            <v>65524</v>
          </cell>
        </row>
        <row r="363">
          <cell r="A363">
            <v>65525</v>
          </cell>
        </row>
        <row r="364">
          <cell r="A364">
            <v>65526</v>
          </cell>
        </row>
        <row r="365">
          <cell r="A365">
            <v>65527</v>
          </cell>
        </row>
        <row r="366">
          <cell r="A366">
            <v>65528</v>
          </cell>
        </row>
        <row r="367">
          <cell r="A367">
            <v>65529</v>
          </cell>
        </row>
        <row r="368">
          <cell r="A368">
            <v>65530</v>
          </cell>
        </row>
        <row r="369">
          <cell r="A369">
            <v>65531</v>
          </cell>
        </row>
        <row r="370">
          <cell r="A370">
            <v>65532</v>
          </cell>
        </row>
        <row r="371">
          <cell r="A371">
            <v>65533</v>
          </cell>
        </row>
        <row r="372">
          <cell r="A372">
            <v>65534</v>
          </cell>
        </row>
        <row r="373">
          <cell r="A373">
            <v>65535</v>
          </cell>
        </row>
        <row r="374">
          <cell r="A374">
            <v>60021</v>
          </cell>
        </row>
        <row r="375">
          <cell r="A375">
            <v>60022</v>
          </cell>
        </row>
        <row r="376">
          <cell r="A376">
            <v>60023</v>
          </cell>
        </row>
        <row r="377">
          <cell r="A377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38101_1</v>
          </cell>
        </row>
        <row r="668">
          <cell r="A668" t="str">
            <v>38101_2</v>
          </cell>
        </row>
        <row r="669">
          <cell r="A669" t="str">
            <v>38101_3</v>
          </cell>
        </row>
        <row r="670">
          <cell r="A670" t="str">
            <v>39001_1</v>
          </cell>
        </row>
        <row r="671">
          <cell r="A671" t="str">
            <v>39001_2</v>
          </cell>
        </row>
        <row r="672">
          <cell r="A672" t="str">
            <v>39001_3</v>
          </cell>
        </row>
        <row r="673">
          <cell r="A673" t="str">
            <v>39001_4</v>
          </cell>
        </row>
        <row r="674">
          <cell r="A674" t="str">
            <v>39001_5</v>
          </cell>
        </row>
        <row r="675">
          <cell r="A675" t="str">
            <v>39002_1</v>
          </cell>
        </row>
        <row r="676">
          <cell r="A676" t="str">
            <v>39002_2</v>
          </cell>
        </row>
        <row r="677">
          <cell r="A677" t="str">
            <v>39002_3</v>
          </cell>
        </row>
        <row r="678">
          <cell r="A678" t="str">
            <v>39002_4</v>
          </cell>
        </row>
        <row r="679">
          <cell r="A679" t="str">
            <v>39003_1</v>
          </cell>
        </row>
        <row r="680">
          <cell r="A680" t="str">
            <v>39003_2</v>
          </cell>
        </row>
        <row r="681">
          <cell r="A681" t="str">
            <v>39003_3</v>
          </cell>
        </row>
        <row r="682">
          <cell r="A682" t="str">
            <v>39003_4</v>
          </cell>
        </row>
        <row r="683">
          <cell r="A683" t="str">
            <v>39004_1</v>
          </cell>
        </row>
        <row r="684">
          <cell r="A684" t="str">
            <v>39004_2</v>
          </cell>
        </row>
        <row r="685">
          <cell r="A685" t="str">
            <v>39004_3</v>
          </cell>
        </row>
        <row r="686">
          <cell r="A686" t="str">
            <v>39004_4</v>
          </cell>
        </row>
        <row r="687">
          <cell r="A687" t="str">
            <v>39005_1</v>
          </cell>
        </row>
        <row r="688">
          <cell r="A688" t="str">
            <v>39005_2</v>
          </cell>
        </row>
        <row r="689">
          <cell r="A689" t="str">
            <v>39005_3</v>
          </cell>
        </row>
        <row r="690">
          <cell r="A690" t="str">
            <v>39005_4</v>
          </cell>
        </row>
        <row r="691">
          <cell r="A691" t="str">
            <v>39005_5</v>
          </cell>
        </row>
        <row r="692">
          <cell r="A692" t="str">
            <v>39006_1</v>
          </cell>
        </row>
        <row r="693">
          <cell r="A693" t="str">
            <v>39006_2</v>
          </cell>
        </row>
        <row r="694">
          <cell r="A694" t="str">
            <v>39006_3</v>
          </cell>
        </row>
        <row r="695">
          <cell r="A695" t="str">
            <v>39006_4</v>
          </cell>
        </row>
        <row r="696">
          <cell r="A696" t="str">
            <v>39007_1</v>
          </cell>
        </row>
        <row r="697">
          <cell r="A697" t="str">
            <v>39007_2</v>
          </cell>
        </row>
        <row r="698">
          <cell r="A698" t="str">
            <v>39007_3</v>
          </cell>
        </row>
        <row r="699">
          <cell r="A699" t="str">
            <v>39007_4</v>
          </cell>
        </row>
        <row r="700">
          <cell r="A700" t="str">
            <v>39008_1</v>
          </cell>
        </row>
        <row r="701">
          <cell r="A701" t="str">
            <v>39008_2</v>
          </cell>
        </row>
        <row r="702">
          <cell r="A702" t="str">
            <v>39008_3</v>
          </cell>
        </row>
        <row r="703">
          <cell r="A703" t="str">
            <v>39008_4</v>
          </cell>
        </row>
        <row r="704">
          <cell r="A704" t="str">
            <v>39008_5</v>
          </cell>
        </row>
        <row r="705">
          <cell r="A705" t="str">
            <v>39009_1</v>
          </cell>
        </row>
        <row r="706">
          <cell r="A706" t="str">
            <v>39009_2</v>
          </cell>
        </row>
        <row r="707">
          <cell r="A707" t="str">
            <v>39009_3</v>
          </cell>
        </row>
        <row r="708">
          <cell r="A708" t="str">
            <v>39009_4</v>
          </cell>
        </row>
        <row r="709">
          <cell r="A709" t="str">
            <v>39009_5</v>
          </cell>
        </row>
        <row r="710">
          <cell r="A710" t="str">
            <v>39010_1</v>
          </cell>
        </row>
        <row r="711">
          <cell r="A711" t="str">
            <v>39010_2</v>
          </cell>
        </row>
        <row r="712">
          <cell r="A712" t="str">
            <v>39010_3</v>
          </cell>
        </row>
        <row r="713">
          <cell r="A713" t="str">
            <v>39010_4</v>
          </cell>
        </row>
        <row r="714">
          <cell r="A714" t="str">
            <v>39011_1</v>
          </cell>
        </row>
        <row r="715">
          <cell r="A715" t="str">
            <v>39011_2</v>
          </cell>
        </row>
        <row r="716">
          <cell r="A716" t="str">
            <v>39011_3</v>
          </cell>
        </row>
        <row r="717">
          <cell r="A717" t="str">
            <v>39011_4</v>
          </cell>
        </row>
        <row r="718">
          <cell r="A718" t="str">
            <v>39012_1</v>
          </cell>
        </row>
        <row r="719">
          <cell r="A719" t="str">
            <v>39012_2</v>
          </cell>
        </row>
        <row r="720">
          <cell r="A720" t="str">
            <v>39012_3</v>
          </cell>
        </row>
        <row r="721">
          <cell r="A721" t="str">
            <v>39012_4</v>
          </cell>
        </row>
        <row r="722">
          <cell r="A722" t="str">
            <v>39012_5</v>
          </cell>
        </row>
        <row r="723">
          <cell r="A723" t="str">
            <v>39013_1</v>
          </cell>
        </row>
        <row r="724">
          <cell r="A724" t="str">
            <v>39013_2</v>
          </cell>
        </row>
        <row r="725">
          <cell r="A725" t="str">
            <v>39013_3</v>
          </cell>
        </row>
        <row r="726">
          <cell r="A726" t="str">
            <v>39013_4</v>
          </cell>
        </row>
        <row r="727">
          <cell r="A727" t="str">
            <v>39014_1</v>
          </cell>
        </row>
        <row r="728">
          <cell r="A728" t="str">
            <v>39014_2</v>
          </cell>
        </row>
        <row r="729">
          <cell r="A729" t="str">
            <v>40001_1</v>
          </cell>
        </row>
        <row r="730">
          <cell r="A730" t="str">
            <v>40002_1</v>
          </cell>
        </row>
        <row r="731">
          <cell r="A731" t="str">
            <v>40002_2</v>
          </cell>
        </row>
        <row r="732">
          <cell r="A732" t="str">
            <v>40002_3</v>
          </cell>
        </row>
        <row r="733">
          <cell r="A733" t="str">
            <v>40003_1</v>
          </cell>
        </row>
        <row r="734">
          <cell r="A734" t="str">
            <v>40004_1</v>
          </cell>
        </row>
        <row r="735">
          <cell r="A735" t="str">
            <v>40005_1</v>
          </cell>
        </row>
        <row r="736">
          <cell r="A736" t="str">
            <v>40006_1</v>
          </cell>
        </row>
        <row r="737">
          <cell r="A737" t="str">
            <v>40007_1</v>
          </cell>
        </row>
        <row r="738">
          <cell r="A738" t="str">
            <v>40008_1</v>
          </cell>
        </row>
        <row r="739">
          <cell r="A739" t="str">
            <v>40009_1</v>
          </cell>
        </row>
        <row r="740">
          <cell r="A740" t="str">
            <v>40010_1</v>
          </cell>
        </row>
        <row r="741">
          <cell r="A741" t="str">
            <v>40011_1</v>
          </cell>
        </row>
        <row r="742">
          <cell r="A742" t="str">
            <v>40012_1</v>
          </cell>
        </row>
        <row r="743">
          <cell r="A743" t="str">
            <v>40013_1</v>
          </cell>
        </row>
        <row r="744">
          <cell r="A744" t="str">
            <v>40014_1</v>
          </cell>
        </row>
        <row r="745">
          <cell r="A745" t="str">
            <v>40015_1</v>
          </cell>
        </row>
        <row r="746">
          <cell r="A746" t="str">
            <v>40016_1</v>
          </cell>
        </row>
        <row r="747">
          <cell r="A747" t="str">
            <v>40016_2</v>
          </cell>
        </row>
        <row r="748">
          <cell r="A748" t="str">
            <v>40017_1</v>
          </cell>
        </row>
        <row r="749">
          <cell r="A749" t="str">
            <v>40017_2</v>
          </cell>
        </row>
        <row r="750">
          <cell r="A750" t="str">
            <v>40017_3</v>
          </cell>
        </row>
        <row r="751">
          <cell r="A751" t="str">
            <v>40018_1</v>
          </cell>
        </row>
        <row r="752">
          <cell r="A752" t="str">
            <v>40018_2</v>
          </cell>
        </row>
        <row r="753">
          <cell r="A753" t="str">
            <v>40018_3</v>
          </cell>
        </row>
        <row r="754">
          <cell r="A754" t="str">
            <v>40019_1</v>
          </cell>
        </row>
        <row r="755">
          <cell r="A755" t="str">
            <v>40019_2</v>
          </cell>
        </row>
        <row r="756">
          <cell r="A756" t="str">
            <v>40019_3</v>
          </cell>
        </row>
        <row r="757">
          <cell r="A757" t="str">
            <v>40021_1</v>
          </cell>
        </row>
        <row r="758">
          <cell r="A758" t="str">
            <v>40021_2</v>
          </cell>
        </row>
        <row r="759">
          <cell r="A759" t="str">
            <v>40022_1</v>
          </cell>
        </row>
        <row r="760">
          <cell r="A760" t="str">
            <v>40022_2</v>
          </cell>
        </row>
        <row r="761">
          <cell r="A761" t="str">
            <v>40023_1</v>
          </cell>
        </row>
        <row r="762">
          <cell r="A762" t="str">
            <v>40023_2</v>
          </cell>
        </row>
        <row r="763">
          <cell r="A763" t="str">
            <v>40024_1</v>
          </cell>
        </row>
        <row r="764">
          <cell r="A764" t="str">
            <v>40024_2</v>
          </cell>
        </row>
        <row r="765">
          <cell r="A765" t="str">
            <v>40025_1</v>
          </cell>
        </row>
        <row r="766">
          <cell r="A766" t="str">
            <v>40025_2</v>
          </cell>
        </row>
        <row r="767">
          <cell r="A767" t="str">
            <v>40026_1</v>
          </cell>
        </row>
        <row r="768">
          <cell r="A768" t="str">
            <v>40026_2</v>
          </cell>
        </row>
        <row r="769">
          <cell r="A769" t="str">
            <v>40027_1</v>
          </cell>
        </row>
        <row r="770">
          <cell r="A770" t="str">
            <v>40027_2</v>
          </cell>
        </row>
        <row r="771">
          <cell r="A771" t="str">
            <v>40028_1</v>
          </cell>
        </row>
        <row r="772">
          <cell r="A772" t="str">
            <v>40028_2</v>
          </cell>
        </row>
        <row r="773">
          <cell r="A773" t="str">
            <v>40029_1</v>
          </cell>
        </row>
        <row r="774">
          <cell r="A774" t="str">
            <v>40029_2</v>
          </cell>
        </row>
        <row r="775">
          <cell r="A775" t="str">
            <v>40030_1</v>
          </cell>
        </row>
        <row r="776">
          <cell r="A776" t="str">
            <v>40030_2</v>
          </cell>
        </row>
        <row r="777">
          <cell r="A777" t="str">
            <v>40031_1</v>
          </cell>
        </row>
        <row r="778">
          <cell r="A778" t="str">
            <v>40031_2</v>
          </cell>
        </row>
        <row r="779">
          <cell r="A779" t="str">
            <v>40032_1</v>
          </cell>
        </row>
        <row r="780">
          <cell r="A780" t="str">
            <v>40032_2</v>
          </cell>
        </row>
        <row r="781">
          <cell r="A781" t="str">
            <v>40033_1</v>
          </cell>
        </row>
        <row r="782">
          <cell r="A782" t="str">
            <v>40033_2</v>
          </cell>
        </row>
        <row r="783">
          <cell r="A783" t="str">
            <v>40034_1</v>
          </cell>
        </row>
        <row r="784">
          <cell r="A784" t="str">
            <v>40034_2</v>
          </cell>
        </row>
        <row r="785">
          <cell r="A785" t="str">
            <v>40035_1</v>
          </cell>
        </row>
        <row r="786">
          <cell r="A786" t="str">
            <v>40035_2</v>
          </cell>
        </row>
        <row r="787">
          <cell r="A787" t="str">
            <v>40036_1</v>
          </cell>
        </row>
        <row r="788">
          <cell r="A788" t="str">
            <v>40036_2</v>
          </cell>
        </row>
        <row r="789">
          <cell r="A789" t="str">
            <v>40037_1</v>
          </cell>
        </row>
        <row r="790">
          <cell r="A790" t="str">
            <v>40037_2</v>
          </cell>
        </row>
        <row r="791">
          <cell r="A791" t="str">
            <v>40038_1</v>
          </cell>
        </row>
        <row r="792">
          <cell r="A792" t="str">
            <v>40038_2</v>
          </cell>
        </row>
        <row r="793">
          <cell r="A793" t="str">
            <v>40039_1</v>
          </cell>
        </row>
        <row r="794">
          <cell r="A794" t="str">
            <v>40039_2</v>
          </cell>
        </row>
        <row r="795">
          <cell r="A795" t="str">
            <v>40040_1</v>
          </cell>
        </row>
        <row r="796">
          <cell r="A796" t="str">
            <v>40040_2</v>
          </cell>
        </row>
        <row r="797">
          <cell r="A797" t="str">
            <v>40041_1</v>
          </cell>
        </row>
        <row r="798">
          <cell r="A798" t="str">
            <v>40041_2</v>
          </cell>
        </row>
        <row r="799">
          <cell r="A799" t="str">
            <v>40042_1</v>
          </cell>
        </row>
        <row r="800">
          <cell r="A800" t="str">
            <v>40042_2</v>
          </cell>
        </row>
        <row r="801">
          <cell r="A801" t="str">
            <v>40043_1</v>
          </cell>
        </row>
        <row r="802">
          <cell r="A802" t="str">
            <v>40043_2</v>
          </cell>
        </row>
        <row r="803">
          <cell r="A803" t="str">
            <v>40044_1</v>
          </cell>
        </row>
        <row r="804">
          <cell r="A804" t="str">
            <v>40044_2</v>
          </cell>
        </row>
        <row r="805">
          <cell r="A805" t="str">
            <v>40045_1</v>
          </cell>
        </row>
        <row r="806">
          <cell r="A806" t="str">
            <v>40045_2</v>
          </cell>
        </row>
        <row r="807">
          <cell r="A807" t="str">
            <v>40046_1</v>
          </cell>
        </row>
        <row r="808">
          <cell r="A808" t="str">
            <v>40046_2</v>
          </cell>
        </row>
        <row r="809">
          <cell r="A809" t="str">
            <v>41001_1</v>
          </cell>
        </row>
        <row r="810">
          <cell r="A810" t="str">
            <v>41001_2</v>
          </cell>
        </row>
        <row r="811">
          <cell r="A811" t="str">
            <v>41001_3</v>
          </cell>
        </row>
        <row r="812">
          <cell r="A812" t="str">
            <v>41002_1</v>
          </cell>
        </row>
        <row r="813">
          <cell r="A813" t="str">
            <v>41002_2</v>
          </cell>
        </row>
        <row r="814">
          <cell r="A814" t="str">
            <v>41002_3</v>
          </cell>
        </row>
        <row r="815">
          <cell r="A815" t="str">
            <v>41003_1</v>
          </cell>
        </row>
        <row r="816">
          <cell r="A816" t="str">
            <v>41003_2</v>
          </cell>
        </row>
        <row r="817">
          <cell r="A817" t="str">
            <v>41003_3</v>
          </cell>
        </row>
        <row r="818">
          <cell r="A818" t="str">
            <v>41004_1</v>
          </cell>
        </row>
        <row r="819">
          <cell r="A819" t="str">
            <v>41004_2</v>
          </cell>
        </row>
        <row r="820">
          <cell r="A820" t="str">
            <v>41004_3</v>
          </cell>
        </row>
        <row r="821">
          <cell r="A821" t="str">
            <v>41005_1</v>
          </cell>
        </row>
        <row r="822">
          <cell r="A822" t="str">
            <v>41005_2</v>
          </cell>
        </row>
        <row r="823">
          <cell r="A823" t="str">
            <v>41005_3</v>
          </cell>
        </row>
        <row r="824">
          <cell r="A824" t="str">
            <v>41006_1</v>
          </cell>
        </row>
        <row r="825">
          <cell r="A825" t="str">
            <v>41006_2</v>
          </cell>
        </row>
        <row r="826">
          <cell r="A826" t="str">
            <v>41006_3</v>
          </cell>
        </row>
        <row r="827">
          <cell r="A827" t="str">
            <v>41007_1</v>
          </cell>
        </row>
        <row r="828">
          <cell r="A828" t="str">
            <v>41007_2</v>
          </cell>
        </row>
        <row r="829">
          <cell r="A829" t="str">
            <v>41007_3</v>
          </cell>
        </row>
        <row r="830">
          <cell r="A830" t="str">
            <v>41008_1</v>
          </cell>
        </row>
        <row r="831">
          <cell r="A831" t="str">
            <v>41008_2</v>
          </cell>
        </row>
        <row r="832">
          <cell r="A832" t="str">
            <v>41008_3</v>
          </cell>
        </row>
        <row r="833">
          <cell r="A833" t="str">
            <v>41009_1</v>
          </cell>
        </row>
        <row r="834">
          <cell r="A834" t="str">
            <v>41009_2</v>
          </cell>
        </row>
        <row r="835">
          <cell r="A835" t="str">
            <v>41009_3</v>
          </cell>
        </row>
        <row r="836">
          <cell r="A836" t="str">
            <v>41010_1</v>
          </cell>
        </row>
        <row r="837">
          <cell r="A837" t="str">
            <v>41010_2</v>
          </cell>
        </row>
        <row r="838">
          <cell r="A838" t="str">
            <v>41010_3</v>
          </cell>
        </row>
        <row r="839">
          <cell r="A839" t="str">
            <v>41011_1</v>
          </cell>
        </row>
        <row r="840">
          <cell r="A840" t="str">
            <v>41011_2</v>
          </cell>
        </row>
        <row r="841">
          <cell r="A841" t="str">
            <v>41012_1</v>
          </cell>
        </row>
        <row r="842">
          <cell r="A842" t="str">
            <v>41012_2</v>
          </cell>
        </row>
        <row r="843">
          <cell r="A843" t="str">
            <v>41013_1</v>
          </cell>
        </row>
        <row r="844">
          <cell r="A844" t="str">
            <v>41013_2</v>
          </cell>
        </row>
        <row r="845">
          <cell r="A845" t="str">
            <v>41014_1</v>
          </cell>
        </row>
        <row r="846">
          <cell r="A846" t="str">
            <v>41014_2</v>
          </cell>
        </row>
        <row r="847">
          <cell r="A847" t="str">
            <v>41015_1</v>
          </cell>
        </row>
        <row r="848">
          <cell r="A848" t="str">
            <v>41015_2</v>
          </cell>
        </row>
        <row r="849">
          <cell r="A849" t="str">
            <v>47001_1</v>
          </cell>
        </row>
        <row r="850">
          <cell r="A850" t="str">
            <v>47001_2</v>
          </cell>
        </row>
        <row r="851">
          <cell r="A851" t="str">
            <v>47002_1</v>
          </cell>
        </row>
        <row r="852">
          <cell r="A852" t="str">
            <v>47002_2</v>
          </cell>
        </row>
        <row r="853">
          <cell r="A853" t="str">
            <v>47003_1</v>
          </cell>
        </row>
        <row r="854">
          <cell r="A854" t="str">
            <v>47003_2</v>
          </cell>
        </row>
        <row r="855">
          <cell r="A855" t="str">
            <v>47003_3</v>
          </cell>
        </row>
        <row r="856">
          <cell r="A856" t="str">
            <v>47003_4</v>
          </cell>
        </row>
        <row r="857">
          <cell r="A857" t="str">
            <v>47004_1</v>
          </cell>
        </row>
        <row r="858">
          <cell r="A858" t="str">
            <v>47004_2</v>
          </cell>
        </row>
        <row r="859">
          <cell r="A859" t="str">
            <v>47004_3</v>
          </cell>
        </row>
        <row r="860">
          <cell r="A860" t="str">
            <v>47004_4</v>
          </cell>
        </row>
        <row r="861">
          <cell r="A861" t="str">
            <v>47005_1</v>
          </cell>
        </row>
        <row r="862">
          <cell r="A862" t="str">
            <v>47006_1</v>
          </cell>
        </row>
        <row r="863">
          <cell r="A863" t="str">
            <v>47006_2</v>
          </cell>
        </row>
        <row r="864">
          <cell r="A864" t="str">
            <v>47007_1</v>
          </cell>
        </row>
        <row r="865">
          <cell r="A865" t="str">
            <v>47007_2</v>
          </cell>
        </row>
        <row r="866">
          <cell r="A866" t="str">
            <v>47008_1</v>
          </cell>
        </row>
        <row r="867">
          <cell r="A867" t="str">
            <v>47008_2</v>
          </cell>
        </row>
        <row r="868">
          <cell r="A868" t="str">
            <v>47009_1</v>
          </cell>
        </row>
        <row r="869">
          <cell r="A869" t="str">
            <v>47009_2</v>
          </cell>
        </row>
        <row r="870">
          <cell r="A870" t="str">
            <v>47010_1</v>
          </cell>
        </row>
        <row r="871">
          <cell r="A871" t="str">
            <v>47010_2</v>
          </cell>
        </row>
        <row r="872">
          <cell r="A872" t="str">
            <v>47011_1</v>
          </cell>
        </row>
        <row r="873">
          <cell r="A873" t="str">
            <v>47012_1</v>
          </cell>
        </row>
        <row r="874">
          <cell r="A874" t="str">
            <v>47012_2</v>
          </cell>
        </row>
        <row r="875">
          <cell r="A875" t="str">
            <v>47013_1</v>
          </cell>
        </row>
        <row r="876">
          <cell r="A876" t="str">
            <v>47013_2</v>
          </cell>
        </row>
        <row r="877">
          <cell r="A877" t="str">
            <v>47013_3</v>
          </cell>
        </row>
        <row r="878">
          <cell r="A878" t="str">
            <v>47013_4</v>
          </cell>
        </row>
        <row r="879">
          <cell r="A879" t="str">
            <v>47014_1</v>
          </cell>
        </row>
        <row r="880">
          <cell r="A880" t="str">
            <v>47014_2</v>
          </cell>
        </row>
        <row r="881">
          <cell r="A881" t="str">
            <v>47014_3</v>
          </cell>
        </row>
        <row r="882">
          <cell r="A882" t="str">
            <v>47015_1</v>
          </cell>
        </row>
        <row r="883">
          <cell r="A883" t="str">
            <v>47015_2</v>
          </cell>
        </row>
        <row r="884">
          <cell r="A884" t="str">
            <v>47015_3</v>
          </cell>
        </row>
        <row r="885">
          <cell r="A885" t="str">
            <v>47016_1</v>
          </cell>
        </row>
        <row r="886">
          <cell r="A886" t="str">
            <v>47016_2</v>
          </cell>
        </row>
        <row r="887">
          <cell r="A887" t="str">
            <v>47016_3</v>
          </cell>
        </row>
        <row r="888">
          <cell r="A888" t="str">
            <v>48001_1</v>
          </cell>
        </row>
        <row r="889">
          <cell r="A889" t="str">
            <v>48002_1</v>
          </cell>
        </row>
        <row r="890">
          <cell r="A890" t="str">
            <v>48002_2</v>
          </cell>
        </row>
        <row r="891">
          <cell r="A891" t="str">
            <v>48002_3</v>
          </cell>
        </row>
        <row r="892">
          <cell r="A892" t="str">
            <v>48003_1</v>
          </cell>
        </row>
        <row r="893">
          <cell r="A893" t="str">
            <v>48003_2</v>
          </cell>
        </row>
        <row r="894">
          <cell r="A894" t="str">
            <v>48004_1</v>
          </cell>
        </row>
        <row r="895">
          <cell r="A895" t="str">
            <v>48004_2</v>
          </cell>
        </row>
        <row r="896">
          <cell r="A896" t="str">
            <v>48005_1</v>
          </cell>
        </row>
        <row r="897">
          <cell r="A897" t="str">
            <v>48005_2</v>
          </cell>
        </row>
        <row r="898">
          <cell r="A898" t="str">
            <v>48006_1</v>
          </cell>
        </row>
        <row r="899">
          <cell r="A899" t="str">
            <v>48006_2</v>
          </cell>
        </row>
        <row r="900">
          <cell r="A900" t="str">
            <v>48007_1</v>
          </cell>
        </row>
        <row r="901">
          <cell r="A901" t="str">
            <v>48007_2</v>
          </cell>
        </row>
        <row r="902">
          <cell r="A902" t="str">
            <v>48008_1</v>
          </cell>
        </row>
        <row r="903">
          <cell r="A903" t="str">
            <v>48008_2</v>
          </cell>
        </row>
        <row r="904">
          <cell r="A904" t="str">
            <v>48009_1</v>
          </cell>
        </row>
        <row r="905">
          <cell r="A905" t="str">
            <v>48009_2</v>
          </cell>
        </row>
        <row r="906">
          <cell r="A906" t="str">
            <v>48010_1</v>
          </cell>
        </row>
        <row r="907">
          <cell r="A907" t="str">
            <v>48011_1</v>
          </cell>
        </row>
        <row r="908">
          <cell r="A908" t="str">
            <v>48011_2</v>
          </cell>
        </row>
        <row r="909">
          <cell r="A909" t="str">
            <v>48012_1</v>
          </cell>
        </row>
        <row r="910">
          <cell r="A910" t="str">
            <v>48012_2</v>
          </cell>
        </row>
        <row r="911">
          <cell r="A911" t="str">
            <v>48013_1</v>
          </cell>
        </row>
        <row r="912">
          <cell r="A912" t="str">
            <v>48013_2</v>
          </cell>
        </row>
        <row r="913">
          <cell r="A913" t="str">
            <v>48014_1</v>
          </cell>
        </row>
        <row r="914">
          <cell r="A914" t="str">
            <v>48014_2</v>
          </cell>
        </row>
        <row r="915">
          <cell r="A915" t="str">
            <v>48101_1</v>
          </cell>
        </row>
        <row r="916">
          <cell r="A916" t="str">
            <v>48101_2</v>
          </cell>
        </row>
        <row r="917">
          <cell r="A917" t="str">
            <v>48501_1</v>
          </cell>
        </row>
        <row r="918">
          <cell r="A918" t="str">
            <v>48501_2</v>
          </cell>
        </row>
        <row r="919">
          <cell r="A919" t="str">
            <v>48502_1</v>
          </cell>
        </row>
        <row r="920">
          <cell r="A920" t="str">
            <v>48502_2</v>
          </cell>
        </row>
        <row r="921">
          <cell r="A921" t="str">
            <v>48503_1</v>
          </cell>
        </row>
        <row r="922">
          <cell r="A922" t="str">
            <v>48503_2</v>
          </cell>
        </row>
        <row r="923">
          <cell r="A923" t="str">
            <v>48701_1</v>
          </cell>
        </row>
        <row r="924">
          <cell r="A924" t="str">
            <v>48701_2</v>
          </cell>
        </row>
        <row r="925">
          <cell r="A925" t="str">
            <v>48702_1</v>
          </cell>
        </row>
        <row r="926">
          <cell r="A926" t="str">
            <v>48702_2</v>
          </cell>
        </row>
        <row r="927">
          <cell r="A927" t="str">
            <v>49001_1</v>
          </cell>
        </row>
        <row r="928">
          <cell r="A928" t="str">
            <v>49002_1</v>
          </cell>
        </row>
        <row r="929">
          <cell r="A929" t="str">
            <v>49002_2</v>
          </cell>
        </row>
        <row r="930">
          <cell r="A930" t="str">
            <v>49003_1</v>
          </cell>
        </row>
        <row r="931">
          <cell r="A931" t="str">
            <v>49003_2</v>
          </cell>
        </row>
        <row r="932">
          <cell r="A932" t="str">
            <v>49004_1</v>
          </cell>
        </row>
        <row r="933">
          <cell r="A933" t="str">
            <v>49004_2</v>
          </cell>
        </row>
        <row r="934">
          <cell r="A934" t="str">
            <v>49004_3</v>
          </cell>
        </row>
        <row r="935">
          <cell r="A935" t="str">
            <v>49005_1</v>
          </cell>
        </row>
        <row r="936">
          <cell r="A936" t="str">
            <v>49006_1</v>
          </cell>
        </row>
        <row r="937">
          <cell r="A937" t="str">
            <v>49006_2</v>
          </cell>
        </row>
        <row r="938">
          <cell r="A938" t="str">
            <v>49007_1</v>
          </cell>
        </row>
        <row r="939">
          <cell r="A939" t="str">
            <v>49007_2</v>
          </cell>
        </row>
        <row r="940">
          <cell r="A940" t="str">
            <v>49007_3</v>
          </cell>
        </row>
        <row r="941">
          <cell r="A941" t="str">
            <v>49008_1</v>
          </cell>
        </row>
        <row r="942">
          <cell r="A942" t="str">
            <v>49009_1</v>
          </cell>
        </row>
        <row r="943">
          <cell r="A943" t="str">
            <v>49010_1</v>
          </cell>
        </row>
        <row r="944">
          <cell r="A944" t="str">
            <v>49011_1</v>
          </cell>
        </row>
        <row r="945">
          <cell r="A945" t="str">
            <v>49012_1</v>
          </cell>
        </row>
        <row r="946">
          <cell r="A946" t="str">
            <v>49013_1</v>
          </cell>
        </row>
        <row r="947">
          <cell r="A947" t="str">
            <v>49014_1</v>
          </cell>
        </row>
        <row r="948">
          <cell r="A948" t="str">
            <v>49014_2</v>
          </cell>
        </row>
        <row r="949">
          <cell r="A949" t="str">
            <v>49015_1</v>
          </cell>
        </row>
        <row r="950">
          <cell r="A950" t="str">
            <v>49015_2</v>
          </cell>
        </row>
        <row r="951">
          <cell r="A951" t="str">
            <v>49015_3</v>
          </cell>
        </row>
        <row r="952">
          <cell r="A952" t="str">
            <v>49016_1</v>
          </cell>
        </row>
        <row r="953">
          <cell r="A953" t="str">
            <v>49016_2</v>
          </cell>
        </row>
        <row r="954">
          <cell r="A954" t="str">
            <v>50001_1</v>
          </cell>
        </row>
        <row r="955">
          <cell r="A955" t="str">
            <v>50002_1</v>
          </cell>
        </row>
        <row r="956">
          <cell r="A956" t="str">
            <v>50003_1</v>
          </cell>
        </row>
        <row r="957">
          <cell r="A957" t="str">
            <v>50004_1</v>
          </cell>
        </row>
        <row r="958">
          <cell r="A958" t="str">
            <v>50005_1</v>
          </cell>
        </row>
        <row r="959">
          <cell r="A959" t="str">
            <v>50006_1</v>
          </cell>
        </row>
        <row r="960">
          <cell r="A960" t="str">
            <v>50007_1</v>
          </cell>
        </row>
        <row r="961">
          <cell r="A961" t="str">
            <v>50008_1</v>
          </cell>
        </row>
        <row r="962">
          <cell r="A962" t="str">
            <v>50009_1</v>
          </cell>
        </row>
        <row r="963">
          <cell r="A963" t="str">
            <v>50010_1</v>
          </cell>
        </row>
        <row r="964">
          <cell r="A964" t="str">
            <v>50011_1</v>
          </cell>
        </row>
        <row r="965">
          <cell r="A965" t="str">
            <v>50012_1</v>
          </cell>
        </row>
        <row r="966">
          <cell r="A966" t="str">
            <v>50013_1</v>
          </cell>
        </row>
        <row r="967">
          <cell r="A967" t="str">
            <v>50014_1</v>
          </cell>
        </row>
        <row r="968">
          <cell r="A968" t="str">
            <v>50015_1</v>
          </cell>
        </row>
        <row r="969">
          <cell r="A969" t="str">
            <v>50016_1</v>
          </cell>
        </row>
        <row r="970">
          <cell r="A970" t="str">
            <v>51001_1</v>
          </cell>
        </row>
        <row r="971">
          <cell r="A971" t="str">
            <v>51002_1</v>
          </cell>
        </row>
        <row r="972">
          <cell r="A972" t="str">
            <v>58001_1</v>
          </cell>
        </row>
        <row r="973">
          <cell r="A973" t="str">
            <v>58002_1</v>
          </cell>
        </row>
        <row r="974">
          <cell r="A974" t="str">
            <v>58003_1</v>
          </cell>
        </row>
        <row r="975">
          <cell r="A975" t="str">
            <v>58101_1</v>
          </cell>
        </row>
        <row r="976">
          <cell r="A976" t="str">
            <v>59001_1</v>
          </cell>
        </row>
        <row r="977">
          <cell r="A977" t="str">
            <v>59002_1</v>
          </cell>
        </row>
        <row r="978">
          <cell r="A978" t="str">
            <v>59003_1</v>
          </cell>
        </row>
        <row r="979">
          <cell r="A979" t="str">
            <v>59003_2</v>
          </cell>
        </row>
        <row r="980">
          <cell r="A980" t="str">
            <v>60001_1</v>
          </cell>
        </row>
        <row r="981">
          <cell r="A981" t="str">
            <v>60002_1</v>
          </cell>
        </row>
        <row r="982">
          <cell r="A982" t="str">
            <v>60002_2</v>
          </cell>
        </row>
        <row r="983">
          <cell r="A983" t="str">
            <v>60003_1</v>
          </cell>
        </row>
        <row r="984">
          <cell r="A984" t="str">
            <v>60003_2</v>
          </cell>
        </row>
        <row r="985">
          <cell r="A985" t="str">
            <v>60003_3</v>
          </cell>
        </row>
        <row r="986">
          <cell r="A986" t="str">
            <v>60004_1</v>
          </cell>
        </row>
        <row r="987">
          <cell r="A987" t="str">
            <v>60005_1</v>
          </cell>
        </row>
        <row r="988">
          <cell r="A988" t="str">
            <v>60006_1</v>
          </cell>
        </row>
        <row r="989">
          <cell r="A989" t="str">
            <v>60006_2</v>
          </cell>
        </row>
        <row r="990">
          <cell r="A990" t="str">
            <v>60006_3</v>
          </cell>
        </row>
        <row r="991">
          <cell r="A991" t="str">
            <v>60007_1</v>
          </cell>
        </row>
        <row r="992">
          <cell r="A992" t="str">
            <v>60007_2</v>
          </cell>
        </row>
        <row r="993">
          <cell r="A993" t="str">
            <v>60007_3</v>
          </cell>
        </row>
        <row r="994">
          <cell r="A994" t="str">
            <v>60010_1</v>
          </cell>
        </row>
        <row r="995">
          <cell r="A995" t="str">
            <v>60011_1</v>
          </cell>
        </row>
        <row r="996">
          <cell r="A996" t="str">
            <v>60011_2</v>
          </cell>
        </row>
        <row r="997">
          <cell r="A997" t="str">
            <v>60012_1</v>
          </cell>
        </row>
        <row r="998">
          <cell r="A998" t="str">
            <v>60013_1</v>
          </cell>
        </row>
        <row r="999">
          <cell r="A999" t="str">
            <v>60013_2</v>
          </cell>
        </row>
        <row r="1000">
          <cell r="A1000" t="str">
            <v>60013_3</v>
          </cell>
        </row>
        <row r="1001">
          <cell r="A1001" t="str">
            <v>60014_1</v>
          </cell>
        </row>
        <row r="1002">
          <cell r="A1002" t="str">
            <v>60015_1</v>
          </cell>
        </row>
        <row r="1003">
          <cell r="A1003" t="str">
            <v>60016_1</v>
          </cell>
        </row>
        <row r="1004">
          <cell r="A1004" t="str">
            <v>60017_1</v>
          </cell>
        </row>
        <row r="1005">
          <cell r="A1005" t="str">
            <v>60018_1</v>
          </cell>
        </row>
        <row r="1006">
          <cell r="A1006" t="str">
            <v>60019_1</v>
          </cell>
        </row>
        <row r="1007">
          <cell r="A1007" t="str">
            <v>60020_1</v>
          </cell>
        </row>
        <row r="1008">
          <cell r="A1008" t="str">
            <v>60021_3</v>
          </cell>
        </row>
        <row r="1009">
          <cell r="A1009" t="str">
            <v>60022_3</v>
          </cell>
        </row>
        <row r="1010">
          <cell r="A1010" t="str">
            <v>60023_3</v>
          </cell>
        </row>
        <row r="1011">
          <cell r="A1011" t="str">
            <v>60024_3</v>
          </cell>
        </row>
        <row r="1012">
          <cell r="A1012" t="str">
            <v>60025_1</v>
          </cell>
        </row>
        <row r="1013">
          <cell r="A1013" t="str">
            <v>60026_1</v>
          </cell>
        </row>
        <row r="1014">
          <cell r="A1014" t="str">
            <v>61011_1</v>
          </cell>
        </row>
        <row r="1015">
          <cell r="A1015" t="str">
            <v>60027_1</v>
          </cell>
        </row>
        <row r="1016">
          <cell r="A1016" t="str">
            <v>60028_1</v>
          </cell>
        </row>
        <row r="1017">
          <cell r="A1017" t="str">
            <v>60029_1</v>
          </cell>
        </row>
        <row r="1018">
          <cell r="A1018" t="str">
            <v>60030_1</v>
          </cell>
        </row>
        <row r="1019">
          <cell r="A1019" t="str">
            <v>60031_1</v>
          </cell>
        </row>
        <row r="1020">
          <cell r="A1020" t="str">
            <v>65523_1</v>
          </cell>
        </row>
        <row r="1021">
          <cell r="A1021" t="str">
            <v>65523_2</v>
          </cell>
        </row>
        <row r="1022">
          <cell r="A1022" t="str">
            <v>65523_3</v>
          </cell>
        </row>
        <row r="1023">
          <cell r="A1023" t="str">
            <v>65524_1</v>
          </cell>
        </row>
        <row r="1024">
          <cell r="A1024" t="str">
            <v>65524_2</v>
          </cell>
        </row>
        <row r="1025">
          <cell r="A1025" t="str">
            <v>65525_1</v>
          </cell>
        </row>
        <row r="1026">
          <cell r="A1026" t="str">
            <v>65526_1</v>
          </cell>
        </row>
        <row r="1027">
          <cell r="A1027" t="str">
            <v>65526_2</v>
          </cell>
        </row>
        <row r="1028">
          <cell r="A1028" t="str">
            <v>65527_1</v>
          </cell>
        </row>
        <row r="1029">
          <cell r="A1029" t="str">
            <v>65528_1</v>
          </cell>
        </row>
        <row r="1030">
          <cell r="A1030" t="str">
            <v>65529_1</v>
          </cell>
        </row>
        <row r="1031">
          <cell r="A1031" t="str">
            <v>65530_1</v>
          </cell>
        </row>
        <row r="1032">
          <cell r="A1032" t="str">
            <v>65531_1</v>
          </cell>
        </row>
        <row r="1033">
          <cell r="A1033" t="str">
            <v>65531_2</v>
          </cell>
        </row>
        <row r="1034">
          <cell r="A1034" t="str">
            <v>65532_1</v>
          </cell>
        </row>
        <row r="1035">
          <cell r="A1035" t="str">
            <v>65532_2</v>
          </cell>
        </row>
        <row r="1036">
          <cell r="A1036" t="str">
            <v>65533_1</v>
          </cell>
        </row>
        <row r="1037">
          <cell r="A1037" t="str">
            <v>65533_2</v>
          </cell>
        </row>
        <row r="1038">
          <cell r="A1038" t="str">
            <v>65534_1</v>
          </cell>
        </row>
        <row r="1039">
          <cell r="A1039" t="str">
            <v>65535_1</v>
          </cell>
        </row>
        <row r="1040">
          <cell r="A1040" t="str">
            <v>65535_2</v>
          </cell>
        </row>
        <row r="1041">
          <cell r="A1041" t="str">
            <v>65535_3</v>
          </cell>
        </row>
        <row r="1042">
          <cell r="A1042" t="str">
            <v>65535_4</v>
          </cell>
        </row>
        <row r="1043">
          <cell r="A1043" t="str">
            <v>65535_5</v>
          </cell>
        </row>
        <row r="1044">
          <cell r="A1044" t="str">
            <v>65535_6</v>
          </cell>
        </row>
        <row r="1045">
          <cell r="A1045" t="str">
            <v>65535_7</v>
          </cell>
        </row>
        <row r="1046">
          <cell r="A1046" t="str">
            <v>65535_8</v>
          </cell>
        </row>
        <row r="1047">
          <cell r="A1047" t="str">
            <v>65535_9</v>
          </cell>
        </row>
        <row r="1048">
          <cell r="A1048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1342</v>
          </cell>
        </row>
        <row r="1324">
          <cell r="A1324">
            <v>1343</v>
          </cell>
        </row>
        <row r="1325">
          <cell r="A1325">
            <v>1351</v>
          </cell>
        </row>
        <row r="1326">
          <cell r="A1326">
            <v>1352</v>
          </cell>
        </row>
        <row r="1327">
          <cell r="A1327">
            <v>1353</v>
          </cell>
        </row>
        <row r="1328">
          <cell r="A1328">
            <v>1354</v>
          </cell>
        </row>
        <row r="1329">
          <cell r="A1329">
            <v>1355</v>
          </cell>
        </row>
        <row r="1330">
          <cell r="A1330">
            <v>1356</v>
          </cell>
        </row>
        <row r="1331">
          <cell r="A1331">
            <v>1357</v>
          </cell>
        </row>
        <row r="1332">
          <cell r="A1332">
            <v>1358</v>
          </cell>
        </row>
        <row r="1333">
          <cell r="A1333">
            <v>1359</v>
          </cell>
        </row>
        <row r="1334">
          <cell r="A1334">
            <v>1360</v>
          </cell>
        </row>
        <row r="1335">
          <cell r="A1335">
            <v>1362</v>
          </cell>
        </row>
        <row r="1336">
          <cell r="A1336">
            <v>1363</v>
          </cell>
        </row>
        <row r="1337">
          <cell r="A1337">
            <v>1364</v>
          </cell>
        </row>
        <row r="1338">
          <cell r="A1338">
            <v>1373</v>
          </cell>
        </row>
        <row r="1339">
          <cell r="A1339">
            <v>1374</v>
          </cell>
        </row>
        <row r="1340">
          <cell r="A1340">
            <v>1375</v>
          </cell>
        </row>
        <row r="1341">
          <cell r="A1341">
            <v>1376</v>
          </cell>
        </row>
        <row r="1342">
          <cell r="A1342">
            <v>1379</v>
          </cell>
        </row>
        <row r="1343">
          <cell r="A1343">
            <v>1380</v>
          </cell>
        </row>
        <row r="1344">
          <cell r="A1344">
            <v>1405</v>
          </cell>
        </row>
        <row r="1345">
          <cell r="A1345">
            <v>1407</v>
          </cell>
        </row>
        <row r="1346">
          <cell r="A1346">
            <v>1408</v>
          </cell>
        </row>
        <row r="1347">
          <cell r="A1347">
            <v>1409</v>
          </cell>
        </row>
        <row r="1348">
          <cell r="A1348">
            <v>1410</v>
          </cell>
        </row>
        <row r="1349">
          <cell r="A1349">
            <v>1431</v>
          </cell>
        </row>
        <row r="1350">
          <cell r="A1350">
            <v>1432</v>
          </cell>
        </row>
        <row r="1351">
          <cell r="A1351">
            <v>1436</v>
          </cell>
        </row>
        <row r="1352">
          <cell r="A1352">
            <v>1437</v>
          </cell>
        </row>
        <row r="1353">
          <cell r="A1353">
            <v>1438</v>
          </cell>
        </row>
        <row r="1354">
          <cell r="A1354">
            <v>1439</v>
          </cell>
        </row>
        <row r="1355">
          <cell r="A1355">
            <v>1440</v>
          </cell>
        </row>
        <row r="1356">
          <cell r="A1356">
            <v>1441</v>
          </cell>
        </row>
        <row r="1357">
          <cell r="A1357">
            <v>1442</v>
          </cell>
        </row>
        <row r="1358">
          <cell r="A1358">
            <v>1443</v>
          </cell>
        </row>
        <row r="1359">
          <cell r="A1359">
            <v>1444</v>
          </cell>
        </row>
        <row r="1360">
          <cell r="A1360">
            <v>1445</v>
          </cell>
        </row>
        <row r="1361">
          <cell r="A1361">
            <v>1446</v>
          </cell>
        </row>
        <row r="1362">
          <cell r="A1362">
            <v>1447</v>
          </cell>
        </row>
        <row r="1363">
          <cell r="A1363">
            <v>1448</v>
          </cell>
        </row>
        <row r="1364">
          <cell r="A1364">
            <v>1449</v>
          </cell>
        </row>
        <row r="1365">
          <cell r="A1365">
            <v>1450</v>
          </cell>
        </row>
        <row r="1366">
          <cell r="A1366">
            <v>1451</v>
          </cell>
        </row>
        <row r="1367">
          <cell r="A1367">
            <v>1466</v>
          </cell>
        </row>
        <row r="1368">
          <cell r="A1368">
            <v>1467</v>
          </cell>
        </row>
        <row r="1369">
          <cell r="A1369">
            <v>1468</v>
          </cell>
        </row>
        <row r="1370">
          <cell r="A1370">
            <v>1469</v>
          </cell>
        </row>
        <row r="1371">
          <cell r="A1371">
            <v>1470</v>
          </cell>
        </row>
        <row r="1372">
          <cell r="A1372">
            <v>1471</v>
          </cell>
        </row>
        <row r="1373">
          <cell r="A1373">
            <v>1495</v>
          </cell>
        </row>
        <row r="1374">
          <cell r="A1374">
            <v>1496</v>
          </cell>
        </row>
        <row r="1375">
          <cell r="A1375">
            <v>1497</v>
          </cell>
        </row>
        <row r="1376">
          <cell r="A1376">
            <v>1498</v>
          </cell>
        </row>
        <row r="1377">
          <cell r="A1377">
            <v>1499</v>
          </cell>
        </row>
        <row r="1378">
          <cell r="A1378">
            <v>1500</v>
          </cell>
        </row>
        <row r="1379">
          <cell r="A1379">
            <v>1501</v>
          </cell>
        </row>
        <row r="1380">
          <cell r="A1380">
            <v>1502</v>
          </cell>
        </row>
        <row r="1381">
          <cell r="A1381">
            <v>1503</v>
          </cell>
        </row>
        <row r="1382">
          <cell r="A1382">
            <v>1504</v>
          </cell>
        </row>
        <row r="1383">
          <cell r="A1383">
            <v>1505</v>
          </cell>
        </row>
        <row r="1384">
          <cell r="A1384">
            <v>1506</v>
          </cell>
        </row>
        <row r="1385">
          <cell r="A1385">
            <v>1507</v>
          </cell>
        </row>
        <row r="1386">
          <cell r="A1386">
            <v>1508</v>
          </cell>
        </row>
        <row r="1387">
          <cell r="A1387">
            <v>1509</v>
          </cell>
        </row>
        <row r="1388">
          <cell r="A1388">
            <v>1510</v>
          </cell>
        </row>
        <row r="1389">
          <cell r="A1389">
            <v>1511</v>
          </cell>
        </row>
        <row r="1390">
          <cell r="A1390">
            <v>1512</v>
          </cell>
        </row>
        <row r="1391">
          <cell r="A1391">
            <v>1523</v>
          </cell>
        </row>
        <row r="1392">
          <cell r="A1392">
            <v>1524</v>
          </cell>
        </row>
        <row r="1393">
          <cell r="A1393">
            <v>1525</v>
          </cell>
        </row>
        <row r="1394">
          <cell r="A1394">
            <v>1526</v>
          </cell>
        </row>
        <row r="1395">
          <cell r="A1395">
            <v>1551</v>
          </cell>
        </row>
        <row r="1396">
          <cell r="A1396">
            <v>1552</v>
          </cell>
        </row>
        <row r="1397">
          <cell r="A1397">
            <v>1553</v>
          </cell>
        </row>
        <row r="1398">
          <cell r="A1398">
            <v>1554</v>
          </cell>
        </row>
        <row r="1399">
          <cell r="A1399">
            <v>1555</v>
          </cell>
        </row>
        <row r="1400">
          <cell r="A1400">
            <v>1556</v>
          </cell>
        </row>
        <row r="1401">
          <cell r="A1401">
            <v>1557</v>
          </cell>
        </row>
        <row r="1402">
          <cell r="A1402">
            <v>1558</v>
          </cell>
        </row>
        <row r="1403">
          <cell r="A1403">
            <v>1559</v>
          </cell>
        </row>
        <row r="1404">
          <cell r="A1404">
            <v>1560</v>
          </cell>
        </row>
        <row r="1405">
          <cell r="A1405">
            <v>1561</v>
          </cell>
        </row>
        <row r="1406">
          <cell r="A1406">
            <v>1562</v>
          </cell>
        </row>
        <row r="1407">
          <cell r="A1407">
            <v>1563</v>
          </cell>
        </row>
        <row r="1408">
          <cell r="A1408">
            <v>1564</v>
          </cell>
        </row>
        <row r="1409">
          <cell r="A1409">
            <v>1565</v>
          </cell>
        </row>
        <row r="1410">
          <cell r="A1410">
            <v>1566</v>
          </cell>
        </row>
        <row r="1411">
          <cell r="A1411">
            <v>1567</v>
          </cell>
        </row>
        <row r="1412">
          <cell r="A1412">
            <v>1568</v>
          </cell>
        </row>
        <row r="1413">
          <cell r="A1413">
            <v>1569</v>
          </cell>
        </row>
        <row r="1414">
          <cell r="A1414">
            <v>1570</v>
          </cell>
        </row>
        <row r="1415">
          <cell r="A1415">
            <v>1571</v>
          </cell>
        </row>
        <row r="1416">
          <cell r="A1416">
            <v>1572</v>
          </cell>
        </row>
        <row r="1417">
          <cell r="A1417">
            <v>1573</v>
          </cell>
        </row>
        <row r="1418">
          <cell r="A1418">
            <v>1574</v>
          </cell>
        </row>
        <row r="1419">
          <cell r="A1419">
            <v>1575</v>
          </cell>
        </row>
        <row r="1420">
          <cell r="A1420">
            <v>1576</v>
          </cell>
        </row>
        <row r="1421">
          <cell r="A1421">
            <v>1577</v>
          </cell>
        </row>
        <row r="1422">
          <cell r="A1422">
            <v>1578</v>
          </cell>
        </row>
        <row r="1423">
          <cell r="A1423">
            <v>1579</v>
          </cell>
        </row>
        <row r="1424">
          <cell r="A1424">
            <v>1580</v>
          </cell>
        </row>
        <row r="1425">
          <cell r="A1425">
            <v>1581</v>
          </cell>
        </row>
        <row r="1426">
          <cell r="A1426">
            <v>1582</v>
          </cell>
        </row>
        <row r="1427">
          <cell r="A1427">
            <v>1583</v>
          </cell>
        </row>
        <row r="1428">
          <cell r="A1428">
            <v>1584</v>
          </cell>
        </row>
        <row r="1429">
          <cell r="A1429">
            <v>1585</v>
          </cell>
        </row>
        <row r="1430">
          <cell r="A1430">
            <v>1586</v>
          </cell>
        </row>
        <row r="1431">
          <cell r="A1431">
            <v>1587</v>
          </cell>
        </row>
        <row r="1432">
          <cell r="A1432">
            <v>1588</v>
          </cell>
        </row>
        <row r="1433">
          <cell r="A1433">
            <v>1697</v>
          </cell>
        </row>
        <row r="1434">
          <cell r="A1434">
            <v>1698</v>
          </cell>
        </row>
        <row r="1435">
          <cell r="A1435">
            <v>1699</v>
          </cell>
        </row>
        <row r="1436">
          <cell r="A1436">
            <v>1700</v>
          </cell>
        </row>
        <row r="1437">
          <cell r="A1437">
            <v>1701</v>
          </cell>
        </row>
        <row r="1438">
          <cell r="A1438">
            <v>1702</v>
          </cell>
        </row>
        <row r="1439">
          <cell r="A1439">
            <v>1703</v>
          </cell>
        </row>
        <row r="1440">
          <cell r="A1440">
            <v>1704</v>
          </cell>
        </row>
        <row r="1441">
          <cell r="A1441">
            <v>1705</v>
          </cell>
        </row>
        <row r="1442">
          <cell r="A1442">
            <v>1706</v>
          </cell>
        </row>
        <row r="1443">
          <cell r="A1443">
            <v>1707</v>
          </cell>
        </row>
        <row r="1444">
          <cell r="A1444">
            <v>1708</v>
          </cell>
        </row>
        <row r="1445">
          <cell r="A1445">
            <v>1709</v>
          </cell>
        </row>
        <row r="1446">
          <cell r="A1446">
            <v>1710</v>
          </cell>
        </row>
        <row r="1447">
          <cell r="A1447">
            <v>1711</v>
          </cell>
        </row>
        <row r="1448">
          <cell r="A1448">
            <v>1712</v>
          </cell>
        </row>
        <row r="1449">
          <cell r="A1449">
            <v>1713</v>
          </cell>
        </row>
        <row r="1450">
          <cell r="A1450">
            <v>1714</v>
          </cell>
        </row>
        <row r="1451">
          <cell r="A1451">
            <v>1715</v>
          </cell>
        </row>
        <row r="1452">
          <cell r="A1452">
            <v>1716</v>
          </cell>
        </row>
        <row r="1453">
          <cell r="A1453">
            <v>1717</v>
          </cell>
        </row>
        <row r="1454">
          <cell r="A1454">
            <v>1718</v>
          </cell>
        </row>
        <row r="1455">
          <cell r="A1455">
            <v>1719</v>
          </cell>
        </row>
        <row r="1456">
          <cell r="A1456">
            <v>5001</v>
          </cell>
        </row>
        <row r="1457">
          <cell r="A1457">
            <v>5002</v>
          </cell>
        </row>
        <row r="1458">
          <cell r="A1458">
            <v>5003</v>
          </cell>
        </row>
        <row r="1459">
          <cell r="A1459">
            <v>5004</v>
          </cell>
        </row>
        <row r="1460">
          <cell r="A1460">
            <v>5005</v>
          </cell>
        </row>
        <row r="1461">
          <cell r="A1461">
            <v>5006</v>
          </cell>
        </row>
        <row r="1462">
          <cell r="A1462">
            <v>5007</v>
          </cell>
        </row>
        <row r="1463">
          <cell r="A1463">
            <v>5008</v>
          </cell>
        </row>
        <row r="1464">
          <cell r="A1464">
            <v>6001</v>
          </cell>
        </row>
        <row r="1465">
          <cell r="A1465">
            <v>6002</v>
          </cell>
        </row>
        <row r="1466">
          <cell r="A1466">
            <v>6003</v>
          </cell>
        </row>
        <row r="1467">
          <cell r="A1467">
            <v>6004</v>
          </cell>
        </row>
        <row r="1468">
          <cell r="A1468">
            <v>6005</v>
          </cell>
        </row>
        <row r="1469">
          <cell r="A1469">
            <v>6006</v>
          </cell>
        </row>
        <row r="1470">
          <cell r="A1470">
            <v>6007</v>
          </cell>
        </row>
        <row r="1471">
          <cell r="A1471">
            <v>6008</v>
          </cell>
        </row>
        <row r="1472">
          <cell r="A1472">
            <v>6009</v>
          </cell>
        </row>
        <row r="1473">
          <cell r="A1473">
            <v>6010</v>
          </cell>
        </row>
        <row r="1474">
          <cell r="A1474">
            <v>6011</v>
          </cell>
        </row>
        <row r="1475">
          <cell r="A1475">
            <v>6012</v>
          </cell>
        </row>
        <row r="1476">
          <cell r="A1476">
            <v>6013</v>
          </cell>
        </row>
        <row r="1477">
          <cell r="A1477">
            <v>6014</v>
          </cell>
        </row>
        <row r="1478">
          <cell r="A1478">
            <v>6015</v>
          </cell>
        </row>
        <row r="1479">
          <cell r="A1479">
            <v>6016</v>
          </cell>
        </row>
        <row r="1480">
          <cell r="A1480">
            <v>6017</v>
          </cell>
        </row>
        <row r="1481">
          <cell r="A1481">
            <v>6018</v>
          </cell>
        </row>
        <row r="1482">
          <cell r="A1482">
            <v>6019</v>
          </cell>
        </row>
        <row r="1483">
          <cell r="A1483">
            <v>6020</v>
          </cell>
        </row>
        <row r="1484">
          <cell r="A1484">
            <v>8001</v>
          </cell>
        </row>
        <row r="1485">
          <cell r="A1485">
            <v>8002</v>
          </cell>
        </row>
        <row r="1486">
          <cell r="A1486">
            <v>8003</v>
          </cell>
        </row>
        <row r="1487">
          <cell r="A1487">
            <v>8004</v>
          </cell>
        </row>
        <row r="1488">
          <cell r="A1488">
            <v>8005</v>
          </cell>
        </row>
        <row r="1489">
          <cell r="A1489">
            <v>8006</v>
          </cell>
        </row>
        <row r="1490">
          <cell r="A1490">
            <v>8007</v>
          </cell>
        </row>
        <row r="1491">
          <cell r="A1491">
            <v>8008</v>
          </cell>
        </row>
        <row r="1492">
          <cell r="A1492">
            <v>8009</v>
          </cell>
        </row>
        <row r="1493">
          <cell r="A1493">
            <v>8010</v>
          </cell>
        </row>
        <row r="1494">
          <cell r="A1494">
            <v>8011</v>
          </cell>
        </row>
        <row r="1495">
          <cell r="A1495">
            <v>8012</v>
          </cell>
        </row>
        <row r="1496">
          <cell r="A1496">
            <v>8013</v>
          </cell>
        </row>
        <row r="1497">
          <cell r="A1497">
            <v>8014</v>
          </cell>
        </row>
        <row r="1498">
          <cell r="A1498">
            <v>8015</v>
          </cell>
        </row>
        <row r="1499">
          <cell r="A1499">
            <v>8016</v>
          </cell>
        </row>
        <row r="1500">
          <cell r="A1500">
            <v>8017</v>
          </cell>
        </row>
        <row r="1501">
          <cell r="A1501">
            <v>8018</v>
          </cell>
        </row>
        <row r="1502">
          <cell r="A1502">
            <v>8019</v>
          </cell>
        </row>
        <row r="1503">
          <cell r="A1503">
            <v>8020</v>
          </cell>
        </row>
        <row r="1504">
          <cell r="A1504">
            <v>8021</v>
          </cell>
        </row>
        <row r="1505">
          <cell r="A1505">
            <v>8022</v>
          </cell>
        </row>
        <row r="1506">
          <cell r="A1506">
            <v>8023</v>
          </cell>
        </row>
        <row r="1507">
          <cell r="A1507">
            <v>8024</v>
          </cell>
        </row>
        <row r="1508">
          <cell r="A1508">
            <v>8025</v>
          </cell>
        </row>
        <row r="1509">
          <cell r="A1509">
            <v>8026</v>
          </cell>
        </row>
        <row r="1510">
          <cell r="A1510">
            <v>8027</v>
          </cell>
        </row>
        <row r="1511">
          <cell r="A1511">
            <v>8028</v>
          </cell>
        </row>
        <row r="1512">
          <cell r="A1512">
            <v>8029</v>
          </cell>
        </row>
        <row r="1513">
          <cell r="A1513">
            <v>8030</v>
          </cell>
        </row>
        <row r="1514">
          <cell r="A1514">
            <v>8031</v>
          </cell>
        </row>
        <row r="1515">
          <cell r="A1515">
            <v>8032</v>
          </cell>
        </row>
        <row r="1516">
          <cell r="A1516">
            <v>8033</v>
          </cell>
        </row>
        <row r="1517">
          <cell r="A1517">
            <v>8034</v>
          </cell>
        </row>
        <row r="1518">
          <cell r="A1518">
            <v>8035</v>
          </cell>
        </row>
        <row r="1519">
          <cell r="A1519">
            <v>8036</v>
          </cell>
        </row>
        <row r="1520">
          <cell r="A1520">
            <v>8037</v>
          </cell>
        </row>
        <row r="1521">
          <cell r="A1521">
            <v>8038</v>
          </cell>
        </row>
        <row r="1522">
          <cell r="A1522">
            <v>8039</v>
          </cell>
        </row>
        <row r="1523">
          <cell r="A1523">
            <v>8040</v>
          </cell>
        </row>
        <row r="1524">
          <cell r="A1524">
            <v>8041</v>
          </cell>
        </row>
        <row r="1525">
          <cell r="A1525">
            <v>8042</v>
          </cell>
        </row>
        <row r="1526">
          <cell r="A1526">
            <v>8043</v>
          </cell>
        </row>
        <row r="1527">
          <cell r="A1527">
            <v>8044</v>
          </cell>
        </row>
        <row r="1528">
          <cell r="A1528">
            <v>8045</v>
          </cell>
        </row>
        <row r="1529">
          <cell r="A1529">
            <v>8046</v>
          </cell>
        </row>
        <row r="1530">
          <cell r="A1530">
            <v>8047</v>
          </cell>
        </row>
        <row r="1531">
          <cell r="A1531">
            <v>8048</v>
          </cell>
        </row>
        <row r="1532">
          <cell r="A1532">
            <v>8049</v>
          </cell>
        </row>
        <row r="1533">
          <cell r="A1533">
            <v>8050</v>
          </cell>
        </row>
        <row r="1534">
          <cell r="A1534">
            <v>8051</v>
          </cell>
        </row>
        <row r="1535">
          <cell r="A1535">
            <v>8052</v>
          </cell>
        </row>
        <row r="1536">
          <cell r="A1536">
            <v>8053</v>
          </cell>
        </row>
        <row r="1537">
          <cell r="A1537">
            <v>8054</v>
          </cell>
        </row>
        <row r="1538">
          <cell r="A1538">
            <v>8055</v>
          </cell>
        </row>
        <row r="1539">
          <cell r="A1539">
            <v>8056</v>
          </cell>
        </row>
        <row r="1540">
          <cell r="A1540">
            <v>8057</v>
          </cell>
        </row>
        <row r="1541">
          <cell r="A1541">
            <v>8058</v>
          </cell>
        </row>
        <row r="1542">
          <cell r="A1542">
            <v>8059</v>
          </cell>
        </row>
        <row r="1543">
          <cell r="A1543">
            <v>8060</v>
          </cell>
        </row>
        <row r="1544">
          <cell r="A1544">
            <v>8061</v>
          </cell>
        </row>
        <row r="1545">
          <cell r="A1545">
            <v>8062</v>
          </cell>
        </row>
        <row r="1546">
          <cell r="A1546">
            <v>8063</v>
          </cell>
        </row>
        <row r="1547">
          <cell r="A1547">
            <v>8064</v>
          </cell>
        </row>
        <row r="1548">
          <cell r="A1548">
            <v>8065</v>
          </cell>
        </row>
        <row r="1549">
          <cell r="A1549">
            <v>8066</v>
          </cell>
        </row>
        <row r="1550">
          <cell r="A1550">
            <v>8067</v>
          </cell>
        </row>
        <row r="1551">
          <cell r="A1551">
            <v>8068</v>
          </cell>
        </row>
        <row r="1552">
          <cell r="A1552">
            <v>8069</v>
          </cell>
        </row>
        <row r="1553">
          <cell r="A1553">
            <v>8070</v>
          </cell>
        </row>
        <row r="1554">
          <cell r="A1554">
            <v>8071</v>
          </cell>
        </row>
        <row r="1555">
          <cell r="A1555">
            <v>8072</v>
          </cell>
        </row>
        <row r="1556">
          <cell r="A1556">
            <v>8073</v>
          </cell>
        </row>
        <row r="1557">
          <cell r="A1557">
            <v>8074</v>
          </cell>
        </row>
        <row r="1558">
          <cell r="A1558">
            <v>8077</v>
          </cell>
        </row>
        <row r="1559">
          <cell r="A1559">
            <v>8078</v>
          </cell>
        </row>
        <row r="1560">
          <cell r="A1560">
            <v>8079</v>
          </cell>
        </row>
        <row r="1561">
          <cell r="A1561">
            <v>8080</v>
          </cell>
        </row>
        <row r="1562">
          <cell r="A1562">
            <v>8081</v>
          </cell>
        </row>
        <row r="1563">
          <cell r="A1563">
            <v>8082</v>
          </cell>
        </row>
        <row r="1564">
          <cell r="A1564">
            <v>8083</v>
          </cell>
        </row>
        <row r="1565">
          <cell r="A1565">
            <v>8084</v>
          </cell>
        </row>
        <row r="1566">
          <cell r="A1566">
            <v>8085</v>
          </cell>
        </row>
        <row r="1567">
          <cell r="A1567">
            <v>8086</v>
          </cell>
        </row>
        <row r="1568">
          <cell r="A1568">
            <v>8087</v>
          </cell>
        </row>
        <row r="1569">
          <cell r="A1569">
            <v>8088</v>
          </cell>
        </row>
        <row r="1570">
          <cell r="A1570">
            <v>8089</v>
          </cell>
        </row>
        <row r="1571">
          <cell r="A1571">
            <v>8090</v>
          </cell>
        </row>
        <row r="1572">
          <cell r="A1572">
            <v>8095</v>
          </cell>
        </row>
        <row r="1573">
          <cell r="A1573">
            <v>8096</v>
          </cell>
        </row>
        <row r="1574">
          <cell r="A1574">
            <v>8097</v>
          </cell>
        </row>
        <row r="1575">
          <cell r="A1575">
            <v>8098</v>
          </cell>
        </row>
        <row r="1576">
          <cell r="A1576">
            <v>8099</v>
          </cell>
        </row>
        <row r="1577">
          <cell r="A1577">
            <v>8100</v>
          </cell>
        </row>
        <row r="1578">
          <cell r="A1578">
            <v>8101</v>
          </cell>
        </row>
        <row r="1579">
          <cell r="A1579">
            <v>8102</v>
          </cell>
        </row>
        <row r="1580">
          <cell r="A1580">
            <v>8103</v>
          </cell>
        </row>
        <row r="1581">
          <cell r="A1581">
            <v>8104</v>
          </cell>
        </row>
        <row r="1582">
          <cell r="A1582">
            <v>8105</v>
          </cell>
        </row>
        <row r="1583">
          <cell r="A1583">
            <v>8106</v>
          </cell>
        </row>
        <row r="1584">
          <cell r="A1584">
            <v>8111</v>
          </cell>
        </row>
        <row r="1585">
          <cell r="A1585">
            <v>8112</v>
          </cell>
        </row>
        <row r="1586">
          <cell r="A1586">
            <v>8113</v>
          </cell>
        </row>
        <row r="1587">
          <cell r="A1587">
            <v>8114</v>
          </cell>
        </row>
        <row r="1588">
          <cell r="A1588">
            <v>8115</v>
          </cell>
        </row>
        <row r="1589">
          <cell r="A1589">
            <v>8116</v>
          </cell>
        </row>
        <row r="1590">
          <cell r="A1590">
            <v>8117</v>
          </cell>
        </row>
        <row r="1591">
          <cell r="A1591">
            <v>8118</v>
          </cell>
        </row>
        <row r="1592">
          <cell r="A1592">
            <v>8119</v>
          </cell>
        </row>
        <row r="1593">
          <cell r="A1593">
            <v>8120</v>
          </cell>
        </row>
        <row r="1594">
          <cell r="A1594">
            <v>8121</v>
          </cell>
        </row>
        <row r="1595">
          <cell r="A1595">
            <v>8122</v>
          </cell>
        </row>
        <row r="1596">
          <cell r="A1596">
            <v>8127</v>
          </cell>
        </row>
        <row r="1597">
          <cell r="A1597">
            <v>8128</v>
          </cell>
        </row>
        <row r="1598">
          <cell r="A1598">
            <v>8129</v>
          </cell>
        </row>
        <row r="1599">
          <cell r="A1599">
            <v>8130</v>
          </cell>
        </row>
        <row r="1600">
          <cell r="A1600">
            <v>8131</v>
          </cell>
        </row>
        <row r="1601">
          <cell r="A1601">
            <v>8132</v>
          </cell>
        </row>
        <row r="1602">
          <cell r="A1602">
            <v>8133</v>
          </cell>
        </row>
        <row r="1603">
          <cell r="A1603">
            <v>8134</v>
          </cell>
        </row>
        <row r="1604">
          <cell r="A1604">
            <v>8135</v>
          </cell>
        </row>
        <row r="1605">
          <cell r="A1605">
            <v>8136</v>
          </cell>
        </row>
        <row r="1606">
          <cell r="A1606">
            <v>8137</v>
          </cell>
        </row>
        <row r="1607">
          <cell r="A1607">
            <v>8138</v>
          </cell>
        </row>
        <row r="1608">
          <cell r="A1608">
            <v>9001</v>
          </cell>
        </row>
        <row r="1609">
          <cell r="A1609">
            <v>9002</v>
          </cell>
        </row>
        <row r="1610">
          <cell r="A1610">
            <v>9003</v>
          </cell>
        </row>
        <row r="1611">
          <cell r="A1611">
            <v>9004</v>
          </cell>
        </row>
        <row r="1612">
          <cell r="A1612">
            <v>9005</v>
          </cell>
        </row>
        <row r="1613">
          <cell r="A1613">
            <v>9006</v>
          </cell>
        </row>
        <row r="1614">
          <cell r="A1614">
            <v>9007</v>
          </cell>
        </row>
        <row r="1615">
          <cell r="A1615">
            <v>9008</v>
          </cell>
        </row>
        <row r="1616">
          <cell r="A1616">
            <v>10101</v>
          </cell>
        </row>
        <row r="1617">
          <cell r="A1617">
            <v>10102</v>
          </cell>
        </row>
        <row r="1618">
          <cell r="A1618">
            <v>10103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1697</v>
          </cell>
        </row>
        <row r="1587">
          <cell r="A1587">
            <v>1698</v>
          </cell>
        </row>
        <row r="1588">
          <cell r="A1588">
            <v>1699</v>
          </cell>
        </row>
        <row r="1589">
          <cell r="A1589">
            <v>1700</v>
          </cell>
        </row>
        <row r="1590">
          <cell r="A1590">
            <v>1701</v>
          </cell>
        </row>
        <row r="1591">
          <cell r="A1591">
            <v>1702</v>
          </cell>
        </row>
        <row r="1592">
          <cell r="A1592">
            <v>1703</v>
          </cell>
        </row>
        <row r="1593">
          <cell r="A1593">
            <v>1704</v>
          </cell>
        </row>
        <row r="1594">
          <cell r="A1594">
            <v>1705</v>
          </cell>
        </row>
        <row r="1595">
          <cell r="A1595">
            <v>1706</v>
          </cell>
        </row>
        <row r="1596">
          <cell r="A1596">
            <v>1707</v>
          </cell>
        </row>
        <row r="1597">
          <cell r="A1597">
            <v>1708</v>
          </cell>
        </row>
        <row r="1598">
          <cell r="A1598">
            <v>1709</v>
          </cell>
        </row>
        <row r="1599">
          <cell r="A1599">
            <v>1710</v>
          </cell>
        </row>
        <row r="1600">
          <cell r="A1600">
            <v>1711</v>
          </cell>
        </row>
        <row r="1601">
          <cell r="A1601">
            <v>1712</v>
          </cell>
        </row>
        <row r="1602">
          <cell r="A1602">
            <v>1713</v>
          </cell>
        </row>
        <row r="1603">
          <cell r="A1603">
            <v>1714</v>
          </cell>
        </row>
        <row r="1604">
          <cell r="A1604">
            <v>1715</v>
          </cell>
        </row>
        <row r="1605">
          <cell r="A1605">
            <v>1716</v>
          </cell>
        </row>
        <row r="1606">
          <cell r="A1606">
            <v>1717</v>
          </cell>
        </row>
        <row r="1607">
          <cell r="A1607">
            <v>1718</v>
          </cell>
        </row>
        <row r="1608">
          <cell r="A1608">
            <v>1719</v>
          </cell>
        </row>
        <row r="1609">
          <cell r="A1609">
            <v>5001</v>
          </cell>
        </row>
        <row r="1610">
          <cell r="A1610">
            <v>5002</v>
          </cell>
        </row>
        <row r="1611">
          <cell r="A1611">
            <v>5003</v>
          </cell>
        </row>
        <row r="1612">
          <cell r="A1612">
            <v>5004</v>
          </cell>
        </row>
        <row r="1613">
          <cell r="A1613">
            <v>5005</v>
          </cell>
        </row>
        <row r="1614">
          <cell r="A1614">
            <v>5006</v>
          </cell>
        </row>
        <row r="1615">
          <cell r="A1615">
            <v>5007</v>
          </cell>
        </row>
        <row r="1616">
          <cell r="A1616">
            <v>5008</v>
          </cell>
        </row>
        <row r="1617">
          <cell r="A1617">
            <v>5009</v>
          </cell>
        </row>
        <row r="1618">
          <cell r="A1618">
            <v>5010</v>
          </cell>
        </row>
        <row r="1619">
          <cell r="A1619">
            <v>5011</v>
          </cell>
        </row>
        <row r="1620">
          <cell r="A1620">
            <v>5012</v>
          </cell>
        </row>
        <row r="1621">
          <cell r="A1621">
            <v>6001</v>
          </cell>
        </row>
        <row r="1622">
          <cell r="A1622">
            <v>6002</v>
          </cell>
        </row>
        <row r="1623">
          <cell r="A1623">
            <v>6003</v>
          </cell>
        </row>
        <row r="1624">
          <cell r="A1624">
            <v>6004</v>
          </cell>
        </row>
        <row r="1625">
          <cell r="A1625">
            <v>6005</v>
          </cell>
        </row>
        <row r="1626">
          <cell r="A1626">
            <v>6006</v>
          </cell>
        </row>
        <row r="1627">
          <cell r="A1627">
            <v>6007</v>
          </cell>
        </row>
        <row r="1628">
          <cell r="A1628">
            <v>6008</v>
          </cell>
        </row>
        <row r="1629">
          <cell r="A1629">
            <v>6009</v>
          </cell>
        </row>
        <row r="1630">
          <cell r="A1630">
            <v>6010</v>
          </cell>
        </row>
        <row r="1631">
          <cell r="A1631">
            <v>6011</v>
          </cell>
        </row>
        <row r="1632">
          <cell r="A1632">
            <v>6012</v>
          </cell>
        </row>
        <row r="1633">
          <cell r="A1633">
            <v>6013</v>
          </cell>
        </row>
        <row r="1634">
          <cell r="A1634">
            <v>6014</v>
          </cell>
        </row>
        <row r="1635">
          <cell r="A1635">
            <v>6015</v>
          </cell>
        </row>
        <row r="1636">
          <cell r="A1636">
            <v>6016</v>
          </cell>
        </row>
        <row r="1637">
          <cell r="A1637">
            <v>6017</v>
          </cell>
        </row>
        <row r="1638">
          <cell r="A1638">
            <v>6018</v>
          </cell>
        </row>
        <row r="1639">
          <cell r="A1639">
            <v>6019</v>
          </cell>
        </row>
        <row r="1640">
          <cell r="A1640">
            <v>6020</v>
          </cell>
        </row>
        <row r="1641">
          <cell r="A1641">
            <v>8001</v>
          </cell>
        </row>
        <row r="1642">
          <cell r="A1642">
            <v>8002</v>
          </cell>
        </row>
        <row r="1643">
          <cell r="A1643">
            <v>8003</v>
          </cell>
        </row>
        <row r="1644">
          <cell r="A1644">
            <v>8004</v>
          </cell>
        </row>
        <row r="1645">
          <cell r="A1645">
            <v>8005</v>
          </cell>
        </row>
        <row r="1646">
          <cell r="A1646">
            <v>8006</v>
          </cell>
        </row>
        <row r="1647">
          <cell r="A1647">
            <v>8007</v>
          </cell>
        </row>
        <row r="1648">
          <cell r="A1648">
            <v>8008</v>
          </cell>
        </row>
        <row r="1649">
          <cell r="A1649">
            <v>8009</v>
          </cell>
        </row>
        <row r="1650">
          <cell r="A1650">
            <v>8010</v>
          </cell>
        </row>
        <row r="1651">
          <cell r="A1651">
            <v>8011</v>
          </cell>
        </row>
        <row r="1652">
          <cell r="A1652">
            <v>8012</v>
          </cell>
        </row>
        <row r="1653">
          <cell r="A1653">
            <v>8013</v>
          </cell>
        </row>
        <row r="1654">
          <cell r="A1654">
            <v>8014</v>
          </cell>
        </row>
        <row r="1655">
          <cell r="A1655">
            <v>8015</v>
          </cell>
        </row>
        <row r="1656">
          <cell r="A1656">
            <v>8016</v>
          </cell>
        </row>
        <row r="1657">
          <cell r="A1657">
            <v>8017</v>
          </cell>
        </row>
        <row r="1658">
          <cell r="A1658">
            <v>8018</v>
          </cell>
        </row>
        <row r="1659">
          <cell r="A1659">
            <v>8019</v>
          </cell>
        </row>
        <row r="1660">
          <cell r="A1660">
            <v>8020</v>
          </cell>
        </row>
        <row r="1661">
          <cell r="A1661">
            <v>8021</v>
          </cell>
        </row>
        <row r="1662">
          <cell r="A1662">
            <v>8022</v>
          </cell>
        </row>
        <row r="1663">
          <cell r="A1663">
            <v>8023</v>
          </cell>
        </row>
        <row r="1664">
          <cell r="A1664">
            <v>8024</v>
          </cell>
        </row>
        <row r="1665">
          <cell r="A1665">
            <v>8025</v>
          </cell>
        </row>
        <row r="1666">
          <cell r="A1666">
            <v>8026</v>
          </cell>
        </row>
        <row r="1667">
          <cell r="A1667">
            <v>8027</v>
          </cell>
        </row>
        <row r="1668">
          <cell r="A1668">
            <v>8028</v>
          </cell>
        </row>
        <row r="1669">
          <cell r="A1669">
            <v>8029</v>
          </cell>
        </row>
        <row r="1670">
          <cell r="A1670">
            <v>8030</v>
          </cell>
        </row>
        <row r="1671">
          <cell r="A1671">
            <v>8031</v>
          </cell>
        </row>
        <row r="1672">
          <cell r="A1672">
            <v>8032</v>
          </cell>
        </row>
        <row r="1673">
          <cell r="A1673">
            <v>8033</v>
          </cell>
        </row>
        <row r="1674">
          <cell r="A1674">
            <v>8034</v>
          </cell>
        </row>
        <row r="1675">
          <cell r="A1675">
            <v>8035</v>
          </cell>
        </row>
        <row r="1676">
          <cell r="A1676">
            <v>8036</v>
          </cell>
        </row>
        <row r="1677">
          <cell r="A1677">
            <v>8037</v>
          </cell>
        </row>
        <row r="1678">
          <cell r="A1678">
            <v>8038</v>
          </cell>
        </row>
        <row r="1679">
          <cell r="A1679">
            <v>8039</v>
          </cell>
        </row>
        <row r="1680">
          <cell r="A1680">
            <v>8040</v>
          </cell>
        </row>
        <row r="1681">
          <cell r="A1681">
            <v>8041</v>
          </cell>
        </row>
        <row r="1682">
          <cell r="A1682">
            <v>8042</v>
          </cell>
        </row>
        <row r="1683">
          <cell r="A1683">
            <v>8043</v>
          </cell>
        </row>
        <row r="1684">
          <cell r="A1684">
            <v>8044</v>
          </cell>
        </row>
        <row r="1685">
          <cell r="A1685">
            <v>8045</v>
          </cell>
        </row>
        <row r="1686">
          <cell r="A1686">
            <v>8046</v>
          </cell>
        </row>
        <row r="1687">
          <cell r="A1687">
            <v>8047</v>
          </cell>
        </row>
        <row r="1688">
          <cell r="A1688">
            <v>8048</v>
          </cell>
        </row>
        <row r="1689">
          <cell r="A1689">
            <v>8049</v>
          </cell>
        </row>
        <row r="1690">
          <cell r="A1690">
            <v>8050</v>
          </cell>
        </row>
        <row r="1691">
          <cell r="A1691">
            <v>8051</v>
          </cell>
        </row>
        <row r="1692">
          <cell r="A1692">
            <v>8052</v>
          </cell>
        </row>
        <row r="1693">
          <cell r="A1693">
            <v>8053</v>
          </cell>
        </row>
        <row r="1694">
          <cell r="A1694">
            <v>8054</v>
          </cell>
        </row>
        <row r="1695">
          <cell r="A1695">
            <v>8055</v>
          </cell>
        </row>
        <row r="1696">
          <cell r="A1696">
            <v>8056</v>
          </cell>
        </row>
        <row r="1697">
          <cell r="A1697">
            <v>8057</v>
          </cell>
        </row>
        <row r="1698">
          <cell r="A1698">
            <v>8058</v>
          </cell>
        </row>
        <row r="1699">
          <cell r="A1699">
            <v>8059</v>
          </cell>
        </row>
        <row r="1700">
          <cell r="A1700">
            <v>8060</v>
          </cell>
        </row>
        <row r="1701">
          <cell r="A1701">
            <v>8061</v>
          </cell>
        </row>
        <row r="1702">
          <cell r="A1702">
            <v>8062</v>
          </cell>
        </row>
        <row r="1703">
          <cell r="A1703">
            <v>8063</v>
          </cell>
        </row>
        <row r="1704">
          <cell r="A1704">
            <v>8064</v>
          </cell>
        </row>
        <row r="1705">
          <cell r="A1705">
            <v>8065</v>
          </cell>
        </row>
        <row r="1706">
          <cell r="A1706">
            <v>8066</v>
          </cell>
        </row>
        <row r="1707">
          <cell r="A1707">
            <v>8067</v>
          </cell>
        </row>
        <row r="1708">
          <cell r="A1708">
            <v>8068</v>
          </cell>
        </row>
        <row r="1709">
          <cell r="A1709">
            <v>8069</v>
          </cell>
        </row>
        <row r="1710">
          <cell r="A1710">
            <v>8070</v>
          </cell>
        </row>
        <row r="1711">
          <cell r="A1711">
            <v>8071</v>
          </cell>
        </row>
        <row r="1712">
          <cell r="A1712">
            <v>8072</v>
          </cell>
        </row>
        <row r="1713">
          <cell r="A1713">
            <v>8073</v>
          </cell>
        </row>
        <row r="1714">
          <cell r="A1714">
            <v>8074</v>
          </cell>
        </row>
        <row r="1715">
          <cell r="A1715">
            <v>8075</v>
          </cell>
        </row>
        <row r="1716">
          <cell r="A1716">
            <v>8076</v>
          </cell>
        </row>
        <row r="1717">
          <cell r="A1717">
            <v>8077</v>
          </cell>
        </row>
        <row r="1718">
          <cell r="A1718">
            <v>8078</v>
          </cell>
        </row>
        <row r="1719">
          <cell r="A1719">
            <v>8079</v>
          </cell>
        </row>
        <row r="1720">
          <cell r="A1720">
            <v>8080</v>
          </cell>
        </row>
        <row r="1721">
          <cell r="A1721">
            <v>8081</v>
          </cell>
        </row>
        <row r="1722">
          <cell r="A1722">
            <v>8082</v>
          </cell>
        </row>
        <row r="1723">
          <cell r="A1723">
            <v>8083</v>
          </cell>
        </row>
        <row r="1724">
          <cell r="A1724">
            <v>8084</v>
          </cell>
        </row>
        <row r="1725">
          <cell r="A1725">
            <v>8085</v>
          </cell>
        </row>
        <row r="1726">
          <cell r="A1726">
            <v>8086</v>
          </cell>
        </row>
        <row r="1727">
          <cell r="A1727">
            <v>8087</v>
          </cell>
        </row>
        <row r="1728">
          <cell r="A1728">
            <v>8088</v>
          </cell>
        </row>
        <row r="1729">
          <cell r="A1729">
            <v>8089</v>
          </cell>
        </row>
        <row r="1730">
          <cell r="A1730">
            <v>8090</v>
          </cell>
        </row>
        <row r="1731">
          <cell r="A1731">
            <v>8095</v>
          </cell>
        </row>
        <row r="1732">
          <cell r="A1732">
            <v>8096</v>
          </cell>
        </row>
        <row r="1733">
          <cell r="A1733">
            <v>8097</v>
          </cell>
        </row>
        <row r="1734">
          <cell r="A1734">
            <v>8098</v>
          </cell>
        </row>
        <row r="1735">
          <cell r="A1735">
            <v>8099</v>
          </cell>
        </row>
        <row r="1736">
          <cell r="A1736">
            <v>8100</v>
          </cell>
        </row>
        <row r="1737">
          <cell r="A1737">
            <v>8101</v>
          </cell>
        </row>
        <row r="1738">
          <cell r="A1738">
            <v>8102</v>
          </cell>
        </row>
        <row r="1739">
          <cell r="A1739">
            <v>8103</v>
          </cell>
        </row>
        <row r="1740">
          <cell r="A1740">
            <v>8104</v>
          </cell>
        </row>
        <row r="1741">
          <cell r="A1741">
            <v>8105</v>
          </cell>
        </row>
        <row r="1742">
          <cell r="A1742">
            <v>8106</v>
          </cell>
        </row>
        <row r="1743">
          <cell r="A1743">
            <v>8111</v>
          </cell>
        </row>
        <row r="1744">
          <cell r="A1744">
            <v>8112</v>
          </cell>
        </row>
        <row r="1745">
          <cell r="A1745">
            <v>8113</v>
          </cell>
        </row>
        <row r="1746">
          <cell r="A1746">
            <v>8114</v>
          </cell>
        </row>
        <row r="1747">
          <cell r="A1747">
            <v>8115</v>
          </cell>
        </row>
        <row r="1748">
          <cell r="A1748">
            <v>8116</v>
          </cell>
        </row>
        <row r="1749">
          <cell r="A1749">
            <v>8117</v>
          </cell>
        </row>
        <row r="1750">
          <cell r="A1750">
            <v>8118</v>
          </cell>
        </row>
        <row r="1751">
          <cell r="A1751">
            <v>8119</v>
          </cell>
        </row>
        <row r="1752">
          <cell r="A1752">
            <v>8120</v>
          </cell>
        </row>
        <row r="1753">
          <cell r="A1753">
            <v>8121</v>
          </cell>
        </row>
        <row r="1754">
          <cell r="A1754">
            <v>8122</v>
          </cell>
        </row>
        <row r="1755">
          <cell r="A1755">
            <v>8123</v>
          </cell>
        </row>
        <row r="1756">
          <cell r="A1756">
            <v>8124</v>
          </cell>
        </row>
        <row r="1757">
          <cell r="A1757">
            <v>8125</v>
          </cell>
        </row>
        <row r="1758">
          <cell r="A1758">
            <v>8126</v>
          </cell>
        </row>
        <row r="1759">
          <cell r="A1759">
            <v>8127</v>
          </cell>
        </row>
        <row r="1760">
          <cell r="A1760">
            <v>8128</v>
          </cell>
        </row>
        <row r="1761">
          <cell r="A1761">
            <v>8129</v>
          </cell>
        </row>
        <row r="1762">
          <cell r="A1762">
            <v>8130</v>
          </cell>
        </row>
        <row r="1763">
          <cell r="A1763">
            <v>8131</v>
          </cell>
        </row>
        <row r="1764">
          <cell r="A1764">
            <v>8132</v>
          </cell>
        </row>
        <row r="1765">
          <cell r="A1765">
            <v>8133</v>
          </cell>
        </row>
        <row r="1766">
          <cell r="A1766">
            <v>8134</v>
          </cell>
        </row>
        <row r="1767">
          <cell r="A1767">
            <v>8135</v>
          </cell>
        </row>
        <row r="1768">
          <cell r="A1768">
            <v>8136</v>
          </cell>
        </row>
        <row r="1769">
          <cell r="A1769">
            <v>8137</v>
          </cell>
        </row>
        <row r="1770">
          <cell r="A1770">
            <v>8138</v>
          </cell>
        </row>
        <row r="1771">
          <cell r="A1771">
            <v>9001</v>
          </cell>
        </row>
        <row r="1772">
          <cell r="A1772">
            <v>9002</v>
          </cell>
        </row>
        <row r="1773">
          <cell r="A1773">
            <v>9003</v>
          </cell>
        </row>
        <row r="1774">
          <cell r="A1774">
            <v>9004</v>
          </cell>
        </row>
        <row r="1775">
          <cell r="A1775">
            <v>9005</v>
          </cell>
        </row>
        <row r="1776">
          <cell r="A1776">
            <v>9006</v>
          </cell>
        </row>
        <row r="1777">
          <cell r="A1777">
            <v>9007</v>
          </cell>
        </row>
        <row r="1778">
          <cell r="A1778">
            <v>9008</v>
          </cell>
        </row>
        <row r="1779">
          <cell r="A1779">
            <v>9009</v>
          </cell>
        </row>
        <row r="1780">
          <cell r="A1780">
            <v>9010</v>
          </cell>
        </row>
        <row r="1781">
          <cell r="A1781">
            <v>9011</v>
          </cell>
        </row>
        <row r="1782">
          <cell r="A1782">
            <v>9012</v>
          </cell>
        </row>
        <row r="1783">
          <cell r="A1783">
            <v>10001</v>
          </cell>
        </row>
        <row r="1784">
          <cell r="A1784">
            <v>10002</v>
          </cell>
        </row>
        <row r="1785">
          <cell r="A1785">
            <v>10003</v>
          </cell>
        </row>
        <row r="1786">
          <cell r="A1786">
            <v>10004</v>
          </cell>
        </row>
        <row r="1787">
          <cell r="A1787">
            <v>10005</v>
          </cell>
        </row>
        <row r="1788">
          <cell r="A1788">
            <v>10006</v>
          </cell>
        </row>
        <row r="1789">
          <cell r="A1789">
            <v>10007</v>
          </cell>
        </row>
        <row r="1790">
          <cell r="A1790">
            <v>10008</v>
          </cell>
        </row>
        <row r="1791">
          <cell r="A1791">
            <v>10009</v>
          </cell>
        </row>
        <row r="1792">
          <cell r="A1792">
            <v>10010</v>
          </cell>
        </row>
        <row r="1793">
          <cell r="A1793">
            <v>10011</v>
          </cell>
        </row>
        <row r="1794">
          <cell r="A1794">
            <v>10012</v>
          </cell>
        </row>
        <row r="1795">
          <cell r="A1795">
            <v>10013</v>
          </cell>
        </row>
        <row r="1796">
          <cell r="A1796">
            <v>10014</v>
          </cell>
        </row>
        <row r="1797">
          <cell r="A1797">
            <v>10015</v>
          </cell>
        </row>
        <row r="1798">
          <cell r="A1798">
            <v>10016</v>
          </cell>
        </row>
        <row r="1799">
          <cell r="A1799">
            <v>10017</v>
          </cell>
        </row>
        <row r="1800">
          <cell r="A1800">
            <v>10018</v>
          </cell>
        </row>
        <row r="1801">
          <cell r="A1801">
            <v>10019</v>
          </cell>
        </row>
        <row r="1802">
          <cell r="A1802">
            <v>10020</v>
          </cell>
        </row>
        <row r="1803">
          <cell r="A1803">
            <v>10021</v>
          </cell>
        </row>
        <row r="1804">
          <cell r="A1804">
            <v>10022</v>
          </cell>
        </row>
        <row r="1805">
          <cell r="A1805">
            <v>10023</v>
          </cell>
        </row>
        <row r="1806">
          <cell r="A1806">
            <v>10024</v>
          </cell>
        </row>
        <row r="1807">
          <cell r="A1807">
            <v>10025</v>
          </cell>
        </row>
        <row r="1808">
          <cell r="A1808">
            <v>10026</v>
          </cell>
        </row>
        <row r="1809">
          <cell r="A1809">
            <v>10027</v>
          </cell>
        </row>
        <row r="1810">
          <cell r="A1810">
            <v>10028</v>
          </cell>
        </row>
        <row r="1811">
          <cell r="A1811">
            <v>10029</v>
          </cell>
        </row>
        <row r="1812">
          <cell r="A1812">
            <v>10030</v>
          </cell>
        </row>
        <row r="1813">
          <cell r="A1813">
            <v>10031</v>
          </cell>
        </row>
        <row r="1814">
          <cell r="A1814">
            <v>10032</v>
          </cell>
        </row>
        <row r="1815">
          <cell r="A1815">
            <v>10033</v>
          </cell>
        </row>
        <row r="1816">
          <cell r="A1816">
            <v>10034</v>
          </cell>
        </row>
        <row r="1817">
          <cell r="A1817">
            <v>10035</v>
          </cell>
        </row>
        <row r="1818">
          <cell r="A1818">
            <v>10036</v>
          </cell>
        </row>
        <row r="1819">
          <cell r="A1819">
            <v>10037</v>
          </cell>
        </row>
        <row r="1820">
          <cell r="A1820">
            <v>10038</v>
          </cell>
        </row>
        <row r="1821">
          <cell r="A1821">
            <v>10039</v>
          </cell>
        </row>
        <row r="1822">
          <cell r="A1822">
            <v>10040</v>
          </cell>
        </row>
        <row r="1823">
          <cell r="A1823">
            <v>10041</v>
          </cell>
        </row>
        <row r="1824">
          <cell r="A1824">
            <v>10042</v>
          </cell>
        </row>
        <row r="1825">
          <cell r="A1825">
            <v>10043</v>
          </cell>
        </row>
        <row r="1826">
          <cell r="A1826">
            <v>10044</v>
          </cell>
        </row>
        <row r="1827">
          <cell r="A1827">
            <v>10045</v>
          </cell>
        </row>
        <row r="1828">
          <cell r="A1828">
            <v>10046</v>
          </cell>
        </row>
        <row r="1829">
          <cell r="A1829">
            <v>10047</v>
          </cell>
        </row>
        <row r="1830">
          <cell r="A1830">
            <v>10048</v>
          </cell>
        </row>
        <row r="1831">
          <cell r="A1831">
            <v>10049</v>
          </cell>
        </row>
        <row r="1832">
          <cell r="A1832">
            <v>10050</v>
          </cell>
        </row>
        <row r="1833">
          <cell r="A1833">
            <v>10051</v>
          </cell>
        </row>
        <row r="1834">
          <cell r="A1834">
            <v>10052</v>
          </cell>
        </row>
        <row r="1835">
          <cell r="A1835">
            <v>10053</v>
          </cell>
        </row>
        <row r="1836">
          <cell r="A1836">
            <v>10054</v>
          </cell>
        </row>
        <row r="1837">
          <cell r="A1837">
            <v>10055</v>
          </cell>
        </row>
        <row r="1838">
          <cell r="A1838">
            <v>10056</v>
          </cell>
        </row>
        <row r="1839">
          <cell r="A1839">
            <v>10057</v>
          </cell>
        </row>
        <row r="1840">
          <cell r="A1840">
            <v>10058</v>
          </cell>
        </row>
        <row r="1841">
          <cell r="A1841">
            <v>10059</v>
          </cell>
        </row>
        <row r="1842">
          <cell r="A1842">
            <v>10060</v>
          </cell>
        </row>
        <row r="1843">
          <cell r="A1843">
            <v>10061</v>
          </cell>
        </row>
        <row r="1844">
          <cell r="A1844">
            <v>10062</v>
          </cell>
        </row>
        <row r="1845">
          <cell r="A1845">
            <v>10063</v>
          </cell>
        </row>
        <row r="1846">
          <cell r="A1846">
            <v>10064</v>
          </cell>
        </row>
        <row r="1847">
          <cell r="A1847">
            <v>10065</v>
          </cell>
        </row>
        <row r="1848">
          <cell r="A1848">
            <v>10066</v>
          </cell>
        </row>
        <row r="1849">
          <cell r="A1849">
            <v>10067</v>
          </cell>
        </row>
        <row r="1850">
          <cell r="A1850">
            <v>10068</v>
          </cell>
        </row>
        <row r="1851">
          <cell r="A1851">
            <v>10069</v>
          </cell>
        </row>
        <row r="1852">
          <cell r="A1852">
            <v>10070</v>
          </cell>
        </row>
        <row r="1853">
          <cell r="A1853">
            <v>10071</v>
          </cell>
        </row>
        <row r="1854">
          <cell r="A1854">
            <v>10072</v>
          </cell>
        </row>
        <row r="1855">
          <cell r="A1855">
            <v>10073</v>
          </cell>
        </row>
        <row r="1856">
          <cell r="A1856">
            <v>10074</v>
          </cell>
        </row>
        <row r="1857">
          <cell r="A1857">
            <v>10075</v>
          </cell>
        </row>
        <row r="1858">
          <cell r="A1858">
            <v>10076</v>
          </cell>
        </row>
        <row r="1859">
          <cell r="A1859">
            <v>10077</v>
          </cell>
        </row>
        <row r="1860">
          <cell r="A1860">
            <v>10078</v>
          </cell>
        </row>
        <row r="1861">
          <cell r="A1861">
            <v>10079</v>
          </cell>
        </row>
        <row r="1862">
          <cell r="A1862">
            <v>10080</v>
          </cell>
        </row>
        <row r="1863">
          <cell r="A1863">
            <v>10081</v>
          </cell>
        </row>
        <row r="1864">
          <cell r="A1864">
            <v>10082</v>
          </cell>
        </row>
        <row r="1865">
          <cell r="A1865">
            <v>10083</v>
          </cell>
        </row>
        <row r="1866">
          <cell r="A1866">
            <v>10084</v>
          </cell>
        </row>
        <row r="1867">
          <cell r="A1867">
            <v>10085</v>
          </cell>
        </row>
        <row r="1868">
          <cell r="A1868">
            <v>10086</v>
          </cell>
        </row>
        <row r="1869">
          <cell r="A1869">
            <v>10087</v>
          </cell>
        </row>
        <row r="1870">
          <cell r="A1870">
            <v>10088</v>
          </cell>
        </row>
        <row r="1871">
          <cell r="A1871">
            <v>10089</v>
          </cell>
        </row>
        <row r="1872">
          <cell r="A1872">
            <v>10090</v>
          </cell>
        </row>
        <row r="1873">
          <cell r="A1873">
            <v>10101</v>
          </cell>
        </row>
        <row r="1874">
          <cell r="A1874">
            <v>10102</v>
          </cell>
        </row>
        <row r="1875">
          <cell r="A187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ゲリラクエストは要チェック</v>
          </cell>
          <cell r="D12" t="str">
            <v>時間限定の「アヒル捕獲作戦」では_x000D_経験値素材ユニットが多く手に入ります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2" sqref="A1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130</v>
      </c>
      <c r="B1" s="54" t="s">
        <v>100</v>
      </c>
      <c r="C1" s="54" t="s">
        <v>101</v>
      </c>
      <c r="D1" s="54" t="s">
        <v>102</v>
      </c>
      <c r="E1" s="54" t="s">
        <v>103</v>
      </c>
      <c r="F1" s="54" t="s">
        <v>104</v>
      </c>
      <c r="G1" s="54" t="s">
        <v>105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101" t="s">
        <v>254</v>
      </c>
      <c r="B2" s="56" t="s">
        <v>106</v>
      </c>
      <c r="C2" s="60">
        <v>65527</v>
      </c>
      <c r="D2" s="56" t="s">
        <v>107</v>
      </c>
      <c r="E2" s="55" t="str">
        <f>B2&amp;C2&amp;D2</f>
        <v>floors_65527.tmp</v>
      </c>
      <c r="F2" s="56" t="s">
        <v>108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101" t="s">
        <v>254</v>
      </c>
      <c r="B3" s="56" t="s">
        <v>109</v>
      </c>
      <c r="C3" s="60">
        <f>C$2</f>
        <v>65527</v>
      </c>
      <c r="D3" s="56" t="s">
        <v>107</v>
      </c>
      <c r="E3" s="55" t="str">
        <f>B3&amp;C3&amp;D3</f>
        <v>enemy_habitats_65527.tmp</v>
      </c>
      <c r="F3" s="56" t="s">
        <v>110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53</v>
      </c>
      <c r="AD3" s="57" t="s">
        <v>178</v>
      </c>
    </row>
    <row r="4" spans="1:30" x14ac:dyDescent="0.15">
      <c r="A4" s="101" t="s">
        <v>254</v>
      </c>
      <c r="B4" s="56" t="s">
        <v>111</v>
      </c>
      <c r="C4" s="60">
        <f t="shared" ref="C4:C13" si="0">C$2</f>
        <v>65527</v>
      </c>
      <c r="D4" s="56" t="s">
        <v>107</v>
      </c>
      <c r="E4" s="55" t="str">
        <f>B4&amp;C4&amp;D4</f>
        <v>enemy_habitat_S_65527.tmp</v>
      </c>
      <c r="F4" s="56" t="s">
        <v>112</v>
      </c>
      <c r="G4" s="57" t="s">
        <v>0</v>
      </c>
      <c r="H4" s="57" t="s">
        <v>1</v>
      </c>
      <c r="I4" s="57" t="s">
        <v>13</v>
      </c>
      <c r="J4" s="57" t="s">
        <v>53</v>
      </c>
      <c r="K4" s="57" t="s">
        <v>54</v>
      </c>
      <c r="L4" s="57" t="s">
        <v>55</v>
      </c>
      <c r="M4" s="57" t="s">
        <v>56</v>
      </c>
      <c r="N4" s="57" t="s">
        <v>57</v>
      </c>
      <c r="O4" s="57" t="s">
        <v>58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101" t="s">
        <v>254</v>
      </c>
      <c r="B5" s="56" t="s">
        <v>113</v>
      </c>
      <c r="C5" s="60">
        <f t="shared" si="0"/>
        <v>65527</v>
      </c>
      <c r="D5" s="56" t="s">
        <v>107</v>
      </c>
      <c r="E5" s="55" t="str">
        <f>B5&amp;C5&amp;D5</f>
        <v>enemy_skill_sets_65527.tmp</v>
      </c>
      <c r="F5" s="56" t="s">
        <v>114</v>
      </c>
      <c r="G5" s="58" t="s">
        <v>22</v>
      </c>
      <c r="H5" s="58" t="s">
        <v>99</v>
      </c>
      <c r="I5" s="58" t="s">
        <v>94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101" t="s">
        <v>254</v>
      </c>
      <c r="B6" s="56" t="s">
        <v>115</v>
      </c>
      <c r="C6" s="60">
        <f t="shared" si="0"/>
        <v>65527</v>
      </c>
      <c r="D6" s="56" t="s">
        <v>116</v>
      </c>
      <c r="E6" s="55" t="str">
        <f t="shared" ref="E6:E10" si="1">B6&amp;C6&amp;D6</f>
        <v>enemy_skills_tmp_65527.tmp</v>
      </c>
      <c r="F6" s="56" t="s">
        <v>90</v>
      </c>
      <c r="G6" s="57" t="s">
        <v>78</v>
      </c>
      <c r="H6" s="57" t="s">
        <v>79</v>
      </c>
      <c r="I6" s="57" t="s">
        <v>80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101" t="s">
        <v>254</v>
      </c>
      <c r="B7" s="56" t="s">
        <v>117</v>
      </c>
      <c r="C7" s="60">
        <f t="shared" si="0"/>
        <v>65527</v>
      </c>
      <c r="D7" s="56" t="s">
        <v>107</v>
      </c>
      <c r="E7" s="55" t="str">
        <f>B7&amp;C7&amp;D7</f>
        <v>enemy_skills_i18n_65527.tmp</v>
      </c>
      <c r="F7" s="56" t="s">
        <v>118</v>
      </c>
      <c r="G7" s="57" t="s">
        <v>78</v>
      </c>
      <c r="H7" s="57" t="s">
        <v>91</v>
      </c>
      <c r="I7" s="57" t="s">
        <v>92</v>
      </c>
      <c r="J7" s="57" t="s">
        <v>93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101" t="s">
        <v>254</v>
      </c>
      <c r="B8" s="56" t="s">
        <v>119</v>
      </c>
      <c r="C8" s="60">
        <f t="shared" si="0"/>
        <v>65527</v>
      </c>
      <c r="D8" s="56" t="s">
        <v>120</v>
      </c>
      <c r="E8" s="55" t="str">
        <f t="shared" si="1"/>
        <v>enemy_skill_triggers_65527.tmp</v>
      </c>
      <c r="F8" s="56" t="s">
        <v>121</v>
      </c>
      <c r="G8" s="57" t="s">
        <v>94</v>
      </c>
      <c r="H8" s="57" t="s">
        <v>95</v>
      </c>
      <c r="I8" s="57" t="s">
        <v>96</v>
      </c>
      <c r="J8" s="57" t="s">
        <v>97</v>
      </c>
      <c r="K8" s="57" t="s">
        <v>122</v>
      </c>
      <c r="L8" s="57" t="s">
        <v>98</v>
      </c>
      <c r="M8" s="57" t="s">
        <v>123</v>
      </c>
      <c r="N8" s="57" t="s">
        <v>124</v>
      </c>
      <c r="O8" s="57" t="s">
        <v>125</v>
      </c>
      <c r="P8" s="57" t="s">
        <v>66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101" t="s">
        <v>254</v>
      </c>
      <c r="B9" s="65" t="s">
        <v>177</v>
      </c>
      <c r="C9" s="60">
        <f t="shared" si="0"/>
        <v>65527</v>
      </c>
      <c r="D9" s="65" t="s">
        <v>171</v>
      </c>
      <c r="E9" s="66" t="str">
        <f t="shared" si="1"/>
        <v>stage_bug_bonuses_65527.tmp</v>
      </c>
      <c r="F9" s="65" t="s">
        <v>172</v>
      </c>
      <c r="G9" s="62" t="s">
        <v>150</v>
      </c>
      <c r="H9" s="62" t="s">
        <v>173</v>
      </c>
      <c r="I9" s="62" t="s">
        <v>174</v>
      </c>
      <c r="J9" s="64" t="s">
        <v>175</v>
      </c>
      <c r="K9" s="62" t="s">
        <v>176</v>
      </c>
      <c r="L9" s="62" t="s">
        <v>156</v>
      </c>
      <c r="M9" s="62" t="s">
        <v>157</v>
      </c>
      <c r="N9" s="62" t="s">
        <v>158</v>
      </c>
      <c r="O9" s="62" t="s">
        <v>159</v>
      </c>
      <c r="P9" s="62" t="s">
        <v>160</v>
      </c>
      <c r="Q9" s="62" t="s">
        <v>161</v>
      </c>
      <c r="R9" s="62" t="s">
        <v>162</v>
      </c>
      <c r="S9" s="62" t="s">
        <v>163</v>
      </c>
      <c r="T9" s="62" t="s">
        <v>164</v>
      </c>
      <c r="U9" s="62" t="s">
        <v>165</v>
      </c>
      <c r="V9" s="62" t="s">
        <v>166</v>
      </c>
      <c r="W9" s="62" t="s">
        <v>167</v>
      </c>
      <c r="X9" s="56"/>
      <c r="Y9" s="56"/>
      <c r="Z9" s="56"/>
      <c r="AA9" s="56"/>
      <c r="AB9" s="56"/>
      <c r="AC9" s="56"/>
      <c r="AD9" s="56"/>
    </row>
    <row r="10" spans="1:30" s="72" customFormat="1" x14ac:dyDescent="0.15">
      <c r="A10" s="101" t="s">
        <v>254</v>
      </c>
      <c r="B10" s="65" t="s">
        <v>200</v>
      </c>
      <c r="C10" s="60">
        <f>C$2</f>
        <v>65527</v>
      </c>
      <c r="D10" s="65" t="s">
        <v>180</v>
      </c>
      <c r="E10" s="66" t="str">
        <f t="shared" si="1"/>
        <v>stage_hints_data_c_65527.tmp</v>
      </c>
      <c r="F10" s="65" t="s">
        <v>208</v>
      </c>
      <c r="G10" s="70" t="s">
        <v>181</v>
      </c>
      <c r="H10" s="70" t="s">
        <v>173</v>
      </c>
      <c r="I10" s="71" t="s">
        <v>182</v>
      </c>
      <c r="J10" s="64" t="s">
        <v>183</v>
      </c>
      <c r="K10" s="64" t="s">
        <v>184</v>
      </c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  <c r="AC10" s="95"/>
      <c r="AD10" s="95"/>
    </row>
    <row r="11" spans="1:30" s="72" customFormat="1" x14ac:dyDescent="0.15">
      <c r="A11" s="101" t="s">
        <v>254</v>
      </c>
      <c r="B11" s="65" t="s">
        <v>201</v>
      </c>
      <c r="C11" s="60">
        <f t="shared" si="0"/>
        <v>65527</v>
      </c>
      <c r="D11" s="65" t="s">
        <v>171</v>
      </c>
      <c r="E11" s="66" t="str">
        <f t="shared" ref="E11:E13" si="2">B11&amp;C11&amp;D11</f>
        <v>stage_hints_data_f_65527.tmp</v>
      </c>
      <c r="F11" s="65" t="s">
        <v>210</v>
      </c>
      <c r="G11" s="70" t="s">
        <v>181</v>
      </c>
      <c r="H11" s="70" t="s">
        <v>173</v>
      </c>
      <c r="I11" s="71" t="s">
        <v>182</v>
      </c>
      <c r="J11" s="64" t="s">
        <v>183</v>
      </c>
      <c r="K11" s="64" t="s">
        <v>184</v>
      </c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</row>
    <row r="12" spans="1:30" s="72" customFormat="1" x14ac:dyDescent="0.15">
      <c r="A12" s="101" t="s">
        <v>254</v>
      </c>
      <c r="B12" s="65" t="s">
        <v>202</v>
      </c>
      <c r="C12" s="60">
        <f t="shared" si="0"/>
        <v>65527</v>
      </c>
      <c r="D12" s="65" t="s">
        <v>171</v>
      </c>
      <c r="E12" s="66" t="str">
        <f t="shared" si="2"/>
        <v>stage_hints_i18n_65527.tmp</v>
      </c>
      <c r="F12" s="65" t="s">
        <v>211</v>
      </c>
      <c r="G12" s="71" t="s">
        <v>203</v>
      </c>
      <c r="H12" s="92" t="s">
        <v>204</v>
      </c>
      <c r="I12" s="70" t="s">
        <v>205</v>
      </c>
      <c r="J12" s="96" t="s">
        <v>206</v>
      </c>
      <c r="K12" s="64" t="s">
        <v>207</v>
      </c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</row>
    <row r="13" spans="1:30" s="72" customFormat="1" x14ac:dyDescent="0.15">
      <c r="A13" s="118" t="s">
        <v>247</v>
      </c>
      <c r="B13" s="65" t="s">
        <v>246</v>
      </c>
      <c r="C13" s="60">
        <f t="shared" si="0"/>
        <v>65527</v>
      </c>
      <c r="D13" s="65" t="s">
        <v>227</v>
      </c>
      <c r="E13" s="66" t="str">
        <f t="shared" si="2"/>
        <v>stage_bonuses_65527.tmp</v>
      </c>
      <c r="F13" s="65" t="s">
        <v>226</v>
      </c>
      <c r="G13" s="70" t="s">
        <v>228</v>
      </c>
      <c r="H13" s="70" t="s">
        <v>229</v>
      </c>
      <c r="I13" s="70" t="s">
        <v>230</v>
      </c>
      <c r="J13" s="70" t="s">
        <v>231</v>
      </c>
      <c r="K13" s="70" t="s">
        <v>232</v>
      </c>
      <c r="L13" s="70" t="s">
        <v>233</v>
      </c>
      <c r="M13" s="70" t="s">
        <v>234</v>
      </c>
      <c r="N13" s="70" t="s">
        <v>235</v>
      </c>
      <c r="O13" s="70" t="s">
        <v>236</v>
      </c>
      <c r="P13" s="70" t="s">
        <v>237</v>
      </c>
      <c r="Q13" s="70" t="s">
        <v>238</v>
      </c>
      <c r="R13" s="70" t="s">
        <v>239</v>
      </c>
      <c r="S13" s="70" t="s">
        <v>240</v>
      </c>
      <c r="T13" s="70" t="s">
        <v>241</v>
      </c>
      <c r="U13" s="70" t="s">
        <v>242</v>
      </c>
      <c r="V13" s="70" t="s">
        <v>243</v>
      </c>
      <c r="W13" s="70" t="s">
        <v>244</v>
      </c>
      <c r="X13" s="70" t="s">
        <v>245</v>
      </c>
      <c r="Y13" s="95"/>
      <c r="Z13" s="95"/>
      <c r="AA13" s="95"/>
      <c r="AB13" s="95"/>
      <c r="AC13" s="95"/>
      <c r="AD13" s="95"/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F28" sqref="F28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2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>G2&amp;"-"&amp;I2</f>
        <v>65527_1-1</v>
      </c>
      <c r="B2" s="15" t="str">
        <f>IF(COUNTIF(enemy_habitats!$H:$H,A2),"OK","NG")</f>
        <v>OK</v>
      </c>
      <c r="C2" s="7">
        <v>65527</v>
      </c>
      <c r="D2" s="11" t="str">
        <f ca="1">VLOOKUP($C2,OFFSET([2]quests!$A$1,0,0,COUNTA([2]quests!$A:$A),MATCH(D$1,[2]quests!$1:$1,0)-MATCH($C$1,[2]quests!$1:$1,0)+1),MATCH(D$1,[2]quests!$1:$1,0)-MATCH($C$1,[2]quests!$1:$1,0)+1,FALSE)</f>
        <v>【LB石川】検証クエスト</v>
      </c>
      <c r="E2" s="17" t="str">
        <f ca="1">VLOOKUP($C2,OFFSET([2]quests!$A$1,0,0,COUNTA([2]quests!$A:$A),MATCH(E$1,[2]quests!$1:$1,0)-MATCH($C$1,[2]quests!$1:$1,0)+1),MATCH(E$1,[2]quests!$1:$1,0)-MATCH($C$1,[2]quests!$1:$1,0)+1,FALSE)</f>
        <v>検証</v>
      </c>
      <c r="F2" s="20">
        <v>1</v>
      </c>
      <c r="G2" s="22" t="str">
        <f>C2&amp;"_"&amp;F2</f>
        <v>65527_1</v>
      </c>
      <c r="H2" s="14" t="str">
        <f ca="1">VLOOKUP($G2,OFFSET([2]stages!$A$1,0,0,COUNTA([2]stages!$A:$A),MATCH(H$1,[2]stages!$2:$2,0)-MATCH($G$1,[2]stages!$2:$2,0)+1),MATCH(H$1,[2]stages!$2:$2,0)-MATCH($G$1,[2]stages!$2:$2,0)+1,FALSE)</f>
        <v>【LB石川】検証</v>
      </c>
      <c r="I2" s="20">
        <v>1</v>
      </c>
      <c r="J2" s="100">
        <v>60</v>
      </c>
      <c r="K2" s="100">
        <v>60</v>
      </c>
    </row>
    <row r="3" spans="1:11" ht="21" customHeight="1" x14ac:dyDescent="0.15">
      <c r="A3" s="15" t="str">
        <f t="shared" ref="A3:A5" si="0">G3&amp;"-"&amp;I3</f>
        <v>65527_1-2</v>
      </c>
      <c r="B3" s="15" t="str">
        <f>IF(COUNTIF(enemy_habitats!$H:$H,A3),"OK","NG")</f>
        <v>OK</v>
      </c>
      <c r="C3" s="7">
        <v>65527</v>
      </c>
      <c r="D3" s="11" t="str">
        <f ca="1">VLOOKUP($C3,OFFSET([2]quests!$A$1,0,0,COUNTA([2]quests!$A:$A),MATCH(D$1,[2]quests!$1:$1,0)-MATCH($C$1,[2]quests!$1:$1,0)+1),MATCH(D$1,[2]quests!$1:$1,0)-MATCH($C$1,[2]quests!$1:$1,0)+1,FALSE)</f>
        <v>【LB石川】検証クエスト</v>
      </c>
      <c r="E3" s="17" t="str">
        <f ca="1">VLOOKUP($C3,OFFSET([2]quests!$A$1,0,0,COUNTA([2]quests!$A:$A),MATCH(E$1,[2]quests!$1:$1,0)-MATCH($C$1,[2]quests!$1:$1,0)+1),MATCH(E$1,[2]quests!$1:$1,0)-MATCH($C$1,[2]quests!$1:$1,0)+1,FALSE)</f>
        <v>検証</v>
      </c>
      <c r="F3" s="20">
        <v>1</v>
      </c>
      <c r="G3" s="22" t="str">
        <f t="shared" ref="G3:G5" si="1">C3&amp;"_"&amp;F3</f>
        <v>65527_1</v>
      </c>
      <c r="H3" s="14" t="str">
        <f ca="1">VLOOKUP($G3,OFFSET([2]stages!$A$1,0,0,COUNTA([2]stages!$A:$A),MATCH(H$1,[2]stages!$2:$2,0)-MATCH($G$1,[2]stages!$2:$2,0)+1),MATCH(H$1,[2]stages!$2:$2,0)-MATCH($G$1,[2]stages!$2:$2,0)+1,FALSE)</f>
        <v>【LB石川】検証</v>
      </c>
      <c r="I3" s="20">
        <v>2</v>
      </c>
      <c r="J3" s="100">
        <v>60</v>
      </c>
      <c r="K3" s="100">
        <v>60</v>
      </c>
    </row>
    <row r="4" spans="1:11" ht="21" customHeight="1" x14ac:dyDescent="0.15">
      <c r="A4" s="15" t="str">
        <f t="shared" si="0"/>
        <v>65527_1-3</v>
      </c>
      <c r="B4" s="15" t="str">
        <f>IF(COUNTIF(enemy_habitats!$H:$H,A4),"OK","NG")</f>
        <v>OK</v>
      </c>
      <c r="C4" s="7">
        <v>65527</v>
      </c>
      <c r="D4" s="11" t="str">
        <f ca="1">VLOOKUP($C4,OFFSET([2]quests!$A$1,0,0,COUNTA([2]quests!$A:$A),MATCH(D$1,[2]quests!$1:$1,0)-MATCH($C$1,[2]quests!$1:$1,0)+1),MATCH(D$1,[2]quests!$1:$1,0)-MATCH($C$1,[2]quests!$1:$1,0)+1,FALSE)</f>
        <v>【LB石川】検証クエスト</v>
      </c>
      <c r="E4" s="17" t="str">
        <f ca="1">VLOOKUP($C4,OFFSET([2]quests!$A$1,0,0,COUNTA([2]quests!$A:$A),MATCH(E$1,[2]quests!$1:$1,0)-MATCH($C$1,[2]quests!$1:$1,0)+1),MATCH(E$1,[2]quests!$1:$1,0)-MATCH($C$1,[2]quests!$1:$1,0)+1,FALSE)</f>
        <v>検証</v>
      </c>
      <c r="F4" s="20">
        <v>1</v>
      </c>
      <c r="G4" s="22" t="str">
        <f t="shared" si="1"/>
        <v>65527_1</v>
      </c>
      <c r="H4" s="14" t="str">
        <f ca="1">VLOOKUP($G4,OFFSET([2]stages!$A$1,0,0,COUNTA([2]stages!$A:$A),MATCH(H$1,[2]stages!$2:$2,0)-MATCH($G$1,[2]stages!$2:$2,0)+1),MATCH(H$1,[2]stages!$2:$2,0)-MATCH($G$1,[2]stages!$2:$2,0)+1,FALSE)</f>
        <v>【LB石川】検証</v>
      </c>
      <c r="I4" s="20">
        <v>3</v>
      </c>
      <c r="J4" s="100">
        <v>60</v>
      </c>
      <c r="K4" s="100">
        <v>60</v>
      </c>
    </row>
    <row r="5" spans="1:11" ht="21" customHeight="1" x14ac:dyDescent="0.15">
      <c r="A5" s="15" t="str">
        <f t="shared" si="0"/>
        <v>65527_1-4</v>
      </c>
      <c r="B5" s="15" t="str">
        <f>IF(COUNTIF(enemy_habitats!$H:$H,A5),"OK","NG")</f>
        <v>OK</v>
      </c>
      <c r="C5" s="7">
        <v>65527</v>
      </c>
      <c r="D5" s="11" t="str">
        <f ca="1">VLOOKUP($C5,OFFSET([2]quests!$A$1,0,0,COUNTA([2]quests!$A:$A),MATCH(D$1,[2]quests!$1:$1,0)-MATCH($C$1,[2]quests!$1:$1,0)+1),MATCH(D$1,[2]quests!$1:$1,0)-MATCH($C$1,[2]quests!$1:$1,0)+1,FALSE)</f>
        <v>【LB石川】検証クエスト</v>
      </c>
      <c r="E5" s="17" t="str">
        <f ca="1">VLOOKUP($C5,OFFSET([2]quests!$A$1,0,0,COUNTA([2]quests!$A:$A),MATCH(E$1,[2]quests!$1:$1,0)-MATCH($C$1,[2]quests!$1:$1,0)+1),MATCH(E$1,[2]quests!$1:$1,0)-MATCH($C$1,[2]quests!$1:$1,0)+1,FALSE)</f>
        <v>検証</v>
      </c>
      <c r="F5" s="20">
        <v>1</v>
      </c>
      <c r="G5" s="22" t="str">
        <f t="shared" si="1"/>
        <v>65527_1</v>
      </c>
      <c r="H5" s="14" t="str">
        <f ca="1">VLOOKUP($G5,OFFSET([2]stages!$A$1,0,0,COUNTA([2]stages!$A:$A),MATCH(H$1,[2]stages!$2:$2,0)-MATCH($G$1,[2]stages!$2:$2,0)+1),MATCH(H$1,[2]stages!$2:$2,0)-MATCH($G$1,[2]stages!$2:$2,0)+1,FALSE)</f>
        <v>【LB石川】検証</v>
      </c>
      <c r="I5" s="20">
        <v>4</v>
      </c>
      <c r="J5" s="100">
        <v>60</v>
      </c>
      <c r="K5" s="100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6"/>
  <sheetViews>
    <sheetView showGridLines="0" tabSelected="1" workbookViewId="0">
      <pane xSplit="17" ySplit="1" topLeftCell="V2" activePane="bottomRight" state="frozen"/>
      <selection pane="topRight" activeCell="N1" sqref="N1"/>
      <selection pane="bottomLeft" activeCell="A2" sqref="A2"/>
      <selection pane="bottomRight" activeCell="X2" sqref="X2:X6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17.16406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99" customWidth="1"/>
    <col min="21" max="21" width="17.5" style="3" bestFit="1" customWidth="1"/>
    <col min="22" max="22" width="17.5" style="3" customWidth="1"/>
    <col min="23" max="23" width="16.6640625" style="3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 collapsed="1"/>
    <col min="31" max="31" width="8.83203125" style="12" hidden="1" customWidth="1" outlineLevel="1"/>
    <col min="32" max="32" width="8" style="13" hidden="1" customWidth="1" outlineLevel="1"/>
    <col min="33" max="33" width="12" style="13" hidden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53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97" t="s">
        <v>248</v>
      </c>
      <c r="U1" s="25" t="s">
        <v>50</v>
      </c>
      <c r="V1" s="97" t="s">
        <v>249</v>
      </c>
      <c r="W1" s="25" t="s">
        <v>52</v>
      </c>
      <c r="X1" s="28" t="s">
        <v>31</v>
      </c>
      <c r="Y1" s="27" t="s">
        <v>4</v>
      </c>
      <c r="Z1" s="27" t="s">
        <v>5</v>
      </c>
      <c r="AA1" s="27" t="s">
        <v>6</v>
      </c>
      <c r="AB1" s="27" t="s">
        <v>7</v>
      </c>
      <c r="AC1" s="27" t="s">
        <v>8</v>
      </c>
      <c r="AD1" s="32" t="s">
        <v>9</v>
      </c>
      <c r="AE1" s="33" t="s">
        <v>16</v>
      </c>
      <c r="AF1" s="33" t="s">
        <v>17</v>
      </c>
      <c r="AG1" s="33" t="s">
        <v>27</v>
      </c>
      <c r="AH1" s="32" t="s">
        <v>10</v>
      </c>
      <c r="AI1" s="27" t="s">
        <v>11</v>
      </c>
      <c r="AJ1" s="27" t="s">
        <v>12</v>
      </c>
      <c r="AK1" s="27" t="s">
        <v>38</v>
      </c>
      <c r="AL1" s="27" t="s">
        <v>40</v>
      </c>
      <c r="AM1" s="27" t="s">
        <v>42</v>
      </c>
      <c r="AN1" s="27" t="s">
        <v>44</v>
      </c>
      <c r="AO1" s="27" t="s">
        <v>46</v>
      </c>
      <c r="AP1" s="35" t="s">
        <v>179</v>
      </c>
    </row>
    <row r="2" spans="1:42" ht="21" customHeight="1" x14ac:dyDescent="0.15">
      <c r="A2" s="15" t="str">
        <f>B2&amp;"_"&amp;C2&amp;"-"&amp;G2&amp;"/"&amp;L2&amp;"&lt;lv"&amp;R2&amp;"&gt;s"&amp;AC2</f>
        <v>65527_1-1/59&lt;lv40&gt;s1</v>
      </c>
      <c r="B2" s="21">
        <v>65527</v>
      </c>
      <c r="C2" s="20">
        <v>1</v>
      </c>
      <c r="D2" s="2" t="str">
        <f>B2&amp;"_"&amp;C2</f>
        <v>65527_1</v>
      </c>
      <c r="E2" s="4" t="str">
        <f ca="1">VLOOKUP($B2,OFFSET([2]quests!$A$1,0,0,COUNTA([2]quests!$A:$A),MATCH(E$1,[2]quests!$1:$1,0)-MATCH($B$1,[2]quests!$1:$1,0)+1),MATCH(E$1,[2]quests!$1:$1,0)-MATCH($B$1,[2]quests!$1:$1,0)+1,FALSE)</f>
        <v>【LB石川】検証クエスト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【LB石川】検証</v>
      </c>
      <c r="G2" s="20">
        <v>1</v>
      </c>
      <c r="H2" s="14" t="str">
        <f>B2&amp;"_"&amp;C2&amp;"-"&amp;G2</f>
        <v>65527_1-1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 t="s">
        <v>253</v>
      </c>
      <c r="L2" s="19">
        <v>59</v>
      </c>
      <c r="M2" s="16" t="str">
        <f ca="1">VLOOKUP($L2,OFFSET([3]enemies!$A$1,0,0,COUNTA([3]enemies!$A:$A),MATCH(M$1,[3]enemies!$1:$1,0)-MATCH($L$1,[3]enemies!$1:$1,0)+1),MATCH(M$1,[3]enemies!$1:$1,0)-MATCH($L$1,[3]enemies!$1:$1,0)+1,FALSE)</f>
        <v>マーチ</v>
      </c>
      <c r="N2" s="16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Drop1N</v>
      </c>
      <c r="P2" s="16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6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40</v>
      </c>
      <c r="S2" s="24">
        <v>2</v>
      </c>
      <c r="T2" s="98">
        <f>6773*S2</f>
        <v>13546</v>
      </c>
      <c r="U2" s="24">
        <v>1.2</v>
      </c>
      <c r="V2" s="98">
        <f>1571*U2</f>
        <v>1885.1999999999998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緑パネルを4個プロテクト</v>
      </c>
      <c r="Y2" s="104">
        <v>65527001</v>
      </c>
      <c r="Z2" s="6">
        <v>1</v>
      </c>
      <c r="AA2" s="6">
        <v>100</v>
      </c>
      <c r="AB2" s="6">
        <v>0</v>
      </c>
      <c r="AC2" s="102">
        <v>1</v>
      </c>
      <c r="AD2" s="23">
        <f>L2</f>
        <v>59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マーチ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2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Drop1N</v>
      </c>
      <c r="AH2" s="7">
        <v>1</v>
      </c>
      <c r="AI2" s="23">
        <f ca="1">AF2</f>
        <v>2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7">
        <v>1</v>
      </c>
    </row>
    <row r="3" spans="1:42" ht="21" customHeight="1" x14ac:dyDescent="0.15">
      <c r="A3" s="15" t="str">
        <f t="shared" ref="A3:A6" si="0">B3&amp;"_"&amp;C3&amp;"-"&amp;G3&amp;"/"&amp;L3&amp;"&lt;lv"&amp;R3&amp;"&gt;s"&amp;AC3</f>
        <v>65527_1-1/68&lt;lv40&gt;s2</v>
      </c>
      <c r="B3" s="21">
        <v>65527</v>
      </c>
      <c r="C3" s="20">
        <v>1</v>
      </c>
      <c r="D3" s="2" t="str">
        <f t="shared" ref="D3:D6" si="1">B3&amp;"_"&amp;C3</f>
        <v>65527_1</v>
      </c>
      <c r="E3" s="4" t="str">
        <f ca="1">VLOOKUP($B3,OFFSET([2]quests!$A$1,0,0,COUNTA([2]quests!$A:$A),MATCH(E$1,[2]quests!$1:$1,0)-MATCH($B$1,[2]quests!$1:$1,0)+1),MATCH(E$1,[2]quests!$1:$1,0)-MATCH($B$1,[2]quests!$1:$1,0)+1,FALSE)</f>
        <v>【LB石川】検証クエスト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【LB石川】検証</v>
      </c>
      <c r="G3" s="20">
        <v>1</v>
      </c>
      <c r="H3" s="14" t="str">
        <f t="shared" ref="H3:H6" si="2">B3&amp;"_"&amp;C3&amp;"-"&amp;G3</f>
        <v>65527_1-1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 t="s">
        <v>253</v>
      </c>
      <c r="L3" s="19">
        <v>68</v>
      </c>
      <c r="M3" s="16" t="str">
        <f ca="1">VLOOKUP($L3,OFFSET([3]enemies!$A$1,0,0,COUNTA([3]enemies!$A:$A),MATCH(M$1,[3]enemies!$1:$1,0)-MATCH($L$1,[3]enemies!$1:$1,0)+1),MATCH(M$1,[3]enemies!$1:$1,0)-MATCH($L$1,[3]enemies!$1:$1,0)+1,FALSE)</f>
        <v>ストール</v>
      </c>
      <c r="N3" s="16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6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6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40</v>
      </c>
      <c r="S3" s="24">
        <v>1.7</v>
      </c>
      <c r="T3" s="98">
        <f>12277*S3</f>
        <v>20870.899999999998</v>
      </c>
      <c r="U3" s="24">
        <v>1.2</v>
      </c>
      <c r="V3" s="98">
        <f>2738*U3</f>
        <v>3285.6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様子を伺っている</v>
      </c>
      <c r="Y3" s="108">
        <v>65527002</v>
      </c>
      <c r="Z3" s="6">
        <v>1</v>
      </c>
      <c r="AA3" s="6">
        <v>100</v>
      </c>
      <c r="AB3" s="6">
        <v>0</v>
      </c>
      <c r="AC3" s="102">
        <v>2</v>
      </c>
      <c r="AD3" s="23">
        <f t="shared" ref="AD3:AD6" si="3">L3</f>
        <v>68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ストール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Drop1S</v>
      </c>
      <c r="AH3" s="7">
        <v>1</v>
      </c>
      <c r="AI3" s="23">
        <f t="shared" ref="AI3:AI6" ca="1" si="4">AF3</f>
        <v>2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7">
        <v>1</v>
      </c>
    </row>
    <row r="4" spans="1:42" ht="21" customHeight="1" x14ac:dyDescent="0.15">
      <c r="A4" s="15" t="str">
        <f t="shared" si="0"/>
        <v>65527_1-2/24&lt;lv40&gt;s2</v>
      </c>
      <c r="B4" s="21">
        <v>65527</v>
      </c>
      <c r="C4" s="20">
        <v>1</v>
      </c>
      <c r="D4" s="2" t="str">
        <f t="shared" si="1"/>
        <v>65527_1</v>
      </c>
      <c r="E4" s="4" t="str">
        <f ca="1">VLOOKUP($B4,OFFSET([2]quests!$A$1,0,0,COUNTA([2]quests!$A:$A),MATCH(E$1,[2]quests!$1:$1,0)-MATCH($B$1,[2]quests!$1:$1,0)+1),MATCH(E$1,[2]quests!$1:$1,0)-MATCH($B$1,[2]quests!$1:$1,0)+1,FALSE)</f>
        <v>【LB石川】検証クエスト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【LB石川】検証</v>
      </c>
      <c r="G4" s="20">
        <v>2</v>
      </c>
      <c r="H4" s="14" t="str">
        <f t="shared" si="2"/>
        <v>65527_1-2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 t="s">
        <v>253</v>
      </c>
      <c r="L4" s="19">
        <v>24</v>
      </c>
      <c r="M4" s="16" t="str">
        <f ca="1">VLOOKUP($L4,OFFSET([3]enemies!$A$1,0,0,COUNTA([3]enemies!$A:$A),MATCH(M$1,[3]enemies!$1:$1,0)-MATCH($L$1,[3]enemies!$1:$1,0)+1),MATCH(M$1,[3]enemies!$1:$1,0)-MATCH($L$1,[3]enemies!$1:$1,0)+1,FALSE)</f>
        <v>天翔のミール</v>
      </c>
      <c r="N4" s="16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6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6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40</v>
      </c>
      <c r="S4" s="24">
        <v>1.9</v>
      </c>
      <c r="T4" s="98">
        <f>12277*S4</f>
        <v>23326.3</v>
      </c>
      <c r="U4" s="24">
        <v>1.2</v>
      </c>
      <c r="V4" s="98">
        <f>2738*U4</f>
        <v>3285.6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羽毛が舞っている_x000D_【緑パネルを3個プロテクト】</v>
      </c>
      <c r="Y4" s="110">
        <v>65527003</v>
      </c>
      <c r="Z4" s="6">
        <v>2</v>
      </c>
      <c r="AA4" s="6">
        <v>100</v>
      </c>
      <c r="AB4" s="6">
        <v>0</v>
      </c>
      <c r="AC4" s="102">
        <v>2</v>
      </c>
      <c r="AD4" s="23">
        <f t="shared" si="3"/>
        <v>24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天翔のミール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2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Drop1N</v>
      </c>
      <c r="AH4" s="7">
        <v>1</v>
      </c>
      <c r="AI4" s="23">
        <f t="shared" ca="1" si="4"/>
        <v>2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7">
        <v>1</v>
      </c>
    </row>
    <row r="5" spans="1:42" ht="21" customHeight="1" x14ac:dyDescent="0.15">
      <c r="A5" s="15" t="str">
        <f t="shared" si="0"/>
        <v>65527_1-3/145&lt;lv40&gt;s2</v>
      </c>
      <c r="B5" s="21">
        <v>65527</v>
      </c>
      <c r="C5" s="20">
        <v>1</v>
      </c>
      <c r="D5" s="2" t="str">
        <f t="shared" si="1"/>
        <v>65527_1</v>
      </c>
      <c r="E5" s="4" t="str">
        <f ca="1">VLOOKUP($B5,OFFSET([2]quests!$A$1,0,0,COUNTA([2]quests!$A:$A),MATCH(E$1,[2]quests!$1:$1,0)-MATCH($B$1,[2]quests!$1:$1,0)+1),MATCH(E$1,[2]quests!$1:$1,0)-MATCH($B$1,[2]quests!$1:$1,0)+1,FALSE)</f>
        <v>【LB石川】検証クエスト</v>
      </c>
      <c r="F5" s="4" t="str">
        <f ca="1">VLOOKUP($D5,OFFSET([2]stages!$A$1,0,0,COUNTA([2]stages!$A:$A),MATCH(F$1,[2]stages!$2:$2,0)-MATCH($D$1,[2]stages!$2:$2,0)+1),MATCH(F$1,[2]stages!$2:$2,0)-MATCH($D$1,[2]stages!$2:$2,0)+1,FALSE)</f>
        <v>【LB石川】検証</v>
      </c>
      <c r="G5" s="20">
        <v>3</v>
      </c>
      <c r="H5" s="14" t="str">
        <f t="shared" si="2"/>
        <v>65527_1-3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 t="s">
        <v>253</v>
      </c>
      <c r="L5" s="19">
        <v>145</v>
      </c>
      <c r="M5" s="16" t="str">
        <f ca="1">VLOOKUP($L5,OFFSET([3]enemies!$A$1,0,0,COUNTA([3]enemies!$A:$A),MATCH(M$1,[3]enemies!$1:$1,0)-MATCH($L$1,[3]enemies!$1:$1,0)+1),MATCH(M$1,[3]enemies!$1:$1,0)-MATCH($L$1,[3]enemies!$1:$1,0)+1,FALSE)</f>
        <v>魔性妖艶 かぐや</v>
      </c>
      <c r="N5" s="16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6" t="str">
        <f ca="1">VLOOKUP($L5,OFFSET([4]characters!$A$1,0,0,COUNTA([4]characters!$A:$A),MATCH(O$1,[4]characters!$1:$1,0)-MATCH($L$1,[4]characters!$1:$1,0)+1),MATCH(O$1,[4]characters!$1:$1,0)-MATCH($L$1,[4]characters!$1:$1,0)+1,FALSE)</f>
        <v>PremiumW</v>
      </c>
      <c r="P5" s="16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6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40</v>
      </c>
      <c r="S5" s="24">
        <v>1.2</v>
      </c>
      <c r="T5" s="98">
        <f>75005*S5</f>
        <v>90006</v>
      </c>
      <c r="U5" s="24">
        <v>1.55</v>
      </c>
      <c r="V5" s="98">
        <f>2603*U5</f>
        <v>4034.65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緑パネルを5個プロテクト+現在HPの3割ダメージ</v>
      </c>
      <c r="Y5" s="111">
        <v>65527004</v>
      </c>
      <c r="Z5" s="6">
        <v>1</v>
      </c>
      <c r="AA5" s="6">
        <v>100</v>
      </c>
      <c r="AB5" s="6">
        <v>1</v>
      </c>
      <c r="AC5" s="102">
        <v>2</v>
      </c>
      <c r="AD5" s="23">
        <f t="shared" si="3"/>
        <v>145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魔性妖艶 かぐや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5" s="7">
        <v>1</v>
      </c>
      <c r="AI5" s="23">
        <f t="shared" ca="1" si="4"/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7">
        <v>1</v>
      </c>
    </row>
    <row r="6" spans="1:42" ht="21" customHeight="1" x14ac:dyDescent="0.15">
      <c r="A6" s="15" t="str">
        <f t="shared" si="0"/>
        <v>65527_1-4/1324&lt;lv40&gt;s2</v>
      </c>
      <c r="B6" s="21">
        <v>65527</v>
      </c>
      <c r="C6" s="20">
        <v>1</v>
      </c>
      <c r="D6" s="2" t="str">
        <f t="shared" si="1"/>
        <v>65527_1</v>
      </c>
      <c r="E6" s="4" t="str">
        <f ca="1">VLOOKUP($B6,OFFSET([2]quests!$A$1,0,0,COUNTA([2]quests!$A:$A),MATCH(E$1,[2]quests!$1:$1,0)-MATCH($B$1,[2]quests!$1:$1,0)+1),MATCH(E$1,[2]quests!$1:$1,0)-MATCH($B$1,[2]quests!$1:$1,0)+1,FALSE)</f>
        <v>【LB石川】検証クエスト</v>
      </c>
      <c r="F6" s="4" t="str">
        <f ca="1">VLOOKUP($D6,OFFSET([2]stages!$A$1,0,0,COUNTA([2]stages!$A:$A),MATCH(F$1,[2]stages!$2:$2,0)-MATCH($D$1,[2]stages!$2:$2,0)+1),MATCH(F$1,[2]stages!$2:$2,0)-MATCH($D$1,[2]stages!$2:$2,0)+1,FALSE)</f>
        <v>【LB石川】検証</v>
      </c>
      <c r="G6" s="20">
        <v>4</v>
      </c>
      <c r="H6" s="14" t="str">
        <f t="shared" si="2"/>
        <v>65527_1-4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7">
        <v>1</v>
      </c>
      <c r="L6" s="19">
        <v>1324</v>
      </c>
      <c r="M6" s="16" t="str">
        <f ca="1">VLOOKUP($L6,OFFSET([3]enemies!$A$1,0,0,COUNTA([3]enemies!$A:$A),MATCH(M$1,[3]enemies!$1:$1,0)-MATCH($L$1,[3]enemies!$1:$1,0)+1),MATCH(M$1,[3]enemies!$1:$1,0)-MATCH($L$1,[3]enemies!$1:$1,0)+1,FALSE)</f>
        <v>アウリ</v>
      </c>
      <c r="N6" s="16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6" t="str">
        <f ca="1">VLOOKUP($L6,OFFSET([4]characters!$A$1,0,0,COUNTA([4]characters!$A:$A),MATCH(O$1,[4]characters!$1:$1,0)-MATCH($L$1,[4]characters!$1:$1,0)+1),MATCH(O$1,[4]characters!$1:$1,0)-MATCH($L$1,[4]characters!$1:$1,0)+1,FALSE)</f>
        <v>Drop2N</v>
      </c>
      <c r="P6" s="16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6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40</v>
      </c>
      <c r="S6" s="24">
        <v>1.5</v>
      </c>
      <c r="T6" s="98">
        <f>55029*S6</f>
        <v>82543.5</v>
      </c>
      <c r="U6" s="24">
        <v>0.9</v>
      </c>
      <c r="V6" s="98">
        <f>4537*U6</f>
        <v>4083.3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緑パネルを5個プロテクト</v>
      </c>
      <c r="Y6" s="113">
        <v>65527005</v>
      </c>
      <c r="Z6" s="6">
        <v>1</v>
      </c>
      <c r="AA6" s="6">
        <v>100</v>
      </c>
      <c r="AB6" s="6">
        <v>1</v>
      </c>
      <c r="AC6" s="102">
        <v>2</v>
      </c>
      <c r="AD6" s="23">
        <f t="shared" si="3"/>
        <v>1324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アウリ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Drop2N</v>
      </c>
      <c r="AH6" s="7">
        <v>1</v>
      </c>
      <c r="AI6" s="23">
        <f t="shared" ca="1" si="4"/>
        <v>4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7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2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P24" sqref="P24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53</v>
      </c>
      <c r="L1" s="35" t="s">
        <v>54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97" t="s">
        <v>248</v>
      </c>
      <c r="V1" s="25" t="s">
        <v>50</v>
      </c>
      <c r="W1" s="97" t="s">
        <v>249</v>
      </c>
      <c r="X1" s="25" t="s">
        <v>52</v>
      </c>
      <c r="Y1" s="27" t="s">
        <v>129</v>
      </c>
      <c r="Z1" s="28" t="s">
        <v>128</v>
      </c>
      <c r="AA1" s="27" t="s">
        <v>8</v>
      </c>
    </row>
    <row r="2" spans="1:27" ht="21" customHeight="1" x14ac:dyDescent="0.15">
      <c r="A2" s="15" t="str">
        <f>B2&amp;"_"&amp;C2&amp;"-"&amp;G2&amp;"/"&amp;M2&amp;"&lt;lv"&amp;S2&amp;"&gt;sq"&amp;K2&amp;"st"&amp;L2</f>
        <v>65527_1-4/1325&lt;lv40&gt;sq1st2</v>
      </c>
      <c r="B2" s="21">
        <v>65527</v>
      </c>
      <c r="C2" s="20">
        <v>1</v>
      </c>
      <c r="D2" s="2" t="str">
        <f>B2&amp;"_"&amp;C2</f>
        <v>65527_1</v>
      </c>
      <c r="E2" s="4" t="str">
        <f ca="1">VLOOKUP($B2,OFFSET([2]quests!$A$1,0,0,COUNTA([2]quests!$A:$A),MATCH(E$1,[2]quests!$1:$1,0)-MATCH($B$1,[2]quests!$1:$1,0)+1),MATCH(E$1,[2]quests!$1:$1,0)-MATCH($B$1,[2]quests!$1:$1,0)+1,FALSE)</f>
        <v>【LB石川】検証クエスト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【LB石川】検証</v>
      </c>
      <c r="G2" s="20">
        <v>4</v>
      </c>
      <c r="H2" s="14" t="str">
        <f>B2&amp;"_"&amp;C2&amp;"-"&amp;G2</f>
        <v>65527_1-4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37">
        <v>2</v>
      </c>
      <c r="M2" s="19">
        <v>1325</v>
      </c>
      <c r="N2" s="16" t="str">
        <f ca="1">VLOOKUP($M2,OFFSET([3]enemies!$A$1,0,0,COUNTA([3]enemies!$A:$A),MATCH(N$1,[3]enemies!$1:$1,0)-MATCH($M$1,[3]enemies!$1:$1,0)+1),MATCH(N$1,[3]enemies!$1:$1,0)-MATCH($M$1,[3]enemies!$1:$1,0)+1,FALSE)</f>
        <v>阿吽の神護犬 アウリ</v>
      </c>
      <c r="O2" s="16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6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6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6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40</v>
      </c>
      <c r="T2" s="24">
        <v>1.4</v>
      </c>
      <c r="U2" s="98">
        <f>71961*T2</f>
        <v>100745.4</v>
      </c>
      <c r="V2" s="24">
        <v>0.8</v>
      </c>
      <c r="W2" s="98">
        <f>4885*V2</f>
        <v>3908</v>
      </c>
      <c r="X2" s="5">
        <v>0</v>
      </c>
      <c r="Y2" s="4" t="s">
        <v>252</v>
      </c>
      <c r="Z2" s="115">
        <v>65527006</v>
      </c>
      <c r="AA2" s="103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8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E32" sqref="E32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9.5" style="48" bestFit="1" customWidth="1"/>
    <col min="3" max="3" width="9.6640625" style="48" customWidth="1"/>
    <col min="4" max="4" width="18.5" style="48" customWidth="1" outlineLevel="1"/>
    <col min="5" max="5" width="44.1640625" style="48" customWidth="1" outlineLevel="1"/>
    <col min="6" max="6" width="10.83203125" style="48" bestFit="1" customWidth="1"/>
    <col min="7" max="7" width="8.33203125" style="48" customWidth="1" outlineLevel="1"/>
    <col min="8" max="9" width="12.83203125" style="48" customWidth="1" outlineLevel="1"/>
    <col min="10" max="10" width="17.6640625" style="48" customWidth="1" outlineLevel="1"/>
    <col min="11" max="15" width="12.83203125" style="48" customWidth="1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59</v>
      </c>
      <c r="B1" s="39" t="s">
        <v>60</v>
      </c>
      <c r="C1" s="39" t="s">
        <v>61</v>
      </c>
      <c r="D1" s="40" t="s">
        <v>62</v>
      </c>
      <c r="E1" s="40" t="s">
        <v>63</v>
      </c>
      <c r="F1" s="41" t="s">
        <v>64</v>
      </c>
      <c r="G1" s="42" t="s">
        <v>65</v>
      </c>
      <c r="H1" s="42" t="s">
        <v>67</v>
      </c>
      <c r="I1" s="42" t="s">
        <v>68</v>
      </c>
      <c r="J1" s="42" t="s">
        <v>69</v>
      </c>
      <c r="K1" s="43" t="s">
        <v>70</v>
      </c>
      <c r="L1" s="43" t="s">
        <v>71</v>
      </c>
      <c r="M1" s="42" t="s">
        <v>72</v>
      </c>
      <c r="N1" s="42" t="s">
        <v>73</v>
      </c>
      <c r="O1" s="42" t="s">
        <v>74</v>
      </c>
      <c r="P1" s="40" t="s">
        <v>75</v>
      </c>
      <c r="Q1" s="40" t="s">
        <v>76</v>
      </c>
      <c r="R1" s="40" t="s">
        <v>77</v>
      </c>
    </row>
    <row r="2" spans="1:18" ht="21" customHeight="1" x14ac:dyDescent="0.15">
      <c r="A2" s="38" t="str">
        <f t="shared" ref="A2" si="0">B2&amp;"_"&amp;C2</f>
        <v>65527001_65527001</v>
      </c>
      <c r="B2" s="104">
        <v>65527001</v>
      </c>
      <c r="C2" s="46">
        <v>65527001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結界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緑パネルを4個プロテクト</v>
      </c>
      <c r="F2" s="46">
        <v>65527001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7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6"/>
      <c r="Q2" s="46"/>
      <c r="R2" s="46"/>
    </row>
    <row r="3" spans="1:18" ht="21" customHeight="1" x14ac:dyDescent="0.15">
      <c r="A3" s="38" t="str">
        <f t="shared" ref="A3:A21" si="1">B3&amp;"_"&amp;C3</f>
        <v>65527001_65527002</v>
      </c>
      <c r="B3" s="104">
        <v>65527001</v>
      </c>
      <c r="C3" s="46">
        <v>65527002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いたずら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属性パネルを3個緑パネルに変換</v>
      </c>
      <c r="F3" s="46">
        <v>65527002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7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7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6"/>
      <c r="Q3" s="46"/>
      <c r="R3" s="46"/>
    </row>
    <row r="4" spans="1:18" ht="21" customHeight="1" x14ac:dyDescent="0.15">
      <c r="A4" s="38" t="str">
        <f t="shared" si="1"/>
        <v>65527001_65527003</v>
      </c>
      <c r="B4" s="104">
        <v>65527001</v>
      </c>
      <c r="C4" s="46">
        <v>65527003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バーサク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攻撃されて怒っている_x000D_【解除するまで攻撃力アップ】</v>
      </c>
      <c r="F4" s="46">
        <v>65527003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7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7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7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6"/>
      <c r="Q4" s="46"/>
      <c r="R4" s="46"/>
    </row>
    <row r="5" spans="1:18" ht="21" customHeight="1" x14ac:dyDescent="0.15">
      <c r="A5" s="38" t="str">
        <f t="shared" si="1"/>
        <v>65527001_65527004</v>
      </c>
      <c r="B5" s="104">
        <v>65527001</v>
      </c>
      <c r="C5" s="46">
        <v>65527004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連続ビンタ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5" s="46">
        <v>65527004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7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7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7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6"/>
      <c r="Q5" s="46"/>
      <c r="R5" s="46"/>
    </row>
    <row r="6" spans="1:18" ht="21" customHeight="1" x14ac:dyDescent="0.15">
      <c r="A6" s="38" t="str">
        <f t="shared" si="1"/>
        <v>65527001_65527005</v>
      </c>
      <c r="B6" s="104">
        <v>65527001</v>
      </c>
      <c r="C6" s="46">
        <v>65527005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かみつく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緑パネルを5個プロテクト+クリティカル</v>
      </c>
      <c r="F6" s="46">
        <v>65527005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7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7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10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7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6"/>
      <c r="Q6" s="46"/>
      <c r="R6" s="46"/>
    </row>
    <row r="7" spans="1:18" ht="21" customHeight="1" x14ac:dyDescent="0.15">
      <c r="A7" s="38" t="str">
        <f t="shared" si="1"/>
        <v>65527002_65527006</v>
      </c>
      <c r="B7" s="108">
        <v>65527002</v>
      </c>
      <c r="C7" s="46">
        <v>65527006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……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様子を伺っている</v>
      </c>
      <c r="F7" s="46">
        <v>65527006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7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7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6"/>
      <c r="Q7" s="46"/>
      <c r="R7" s="46"/>
    </row>
    <row r="8" spans="1:18" ht="21" customHeight="1" x14ac:dyDescent="0.15">
      <c r="A8" s="38" t="str">
        <f t="shared" si="1"/>
        <v>65527002_65527007</v>
      </c>
      <c r="B8" s="108">
        <v>65527002</v>
      </c>
      <c r="C8" s="46">
        <v>65527007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不意打ち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マフラーが強風で暴れている_x000D_【2回連続攻撃】</v>
      </c>
      <c r="F8" s="46">
        <v>65527007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7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7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6"/>
      <c r="Q8" s="46"/>
      <c r="R8" s="46"/>
    </row>
    <row r="9" spans="1:18" ht="21" customHeight="1" x14ac:dyDescent="0.15">
      <c r="A9" s="38" t="str">
        <f t="shared" si="1"/>
        <v>65527002_65527008</v>
      </c>
      <c r="B9" s="108">
        <v>65527002</v>
      </c>
      <c r="C9" s="46">
        <v>65527008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突進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赤パネル2個プロテクト+クリティカル</v>
      </c>
      <c r="F9" s="46">
        <v>65527008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7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6"/>
      <c r="Q9" s="46"/>
      <c r="R9" s="46"/>
    </row>
    <row r="10" spans="1:18" ht="21" customHeight="1" x14ac:dyDescent="0.15">
      <c r="A10" s="38" t="str">
        <f t="shared" si="1"/>
        <v>65527002_65527009</v>
      </c>
      <c r="B10" s="108">
        <v>65527002</v>
      </c>
      <c r="C10" s="46">
        <v>65527009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頭突き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属性パネルを4個緑パネルに変換+単体ダメージ</v>
      </c>
      <c r="F10" s="46">
        <v>65527009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7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7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7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6"/>
      <c r="Q10" s="46"/>
      <c r="R10" s="46"/>
    </row>
    <row r="11" spans="1:18" ht="21" customHeight="1" x14ac:dyDescent="0.15">
      <c r="A11" s="38" t="str">
        <f t="shared" si="1"/>
        <v>65527003_65527010</v>
      </c>
      <c r="B11" s="110">
        <v>65527003</v>
      </c>
      <c r="C11" s="46">
        <v>65527010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羽根舞い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羽毛が舞っている_x000D_【緑パネルを3個プロテクト】</v>
      </c>
      <c r="F11" s="46">
        <v>65527010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7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7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6"/>
      <c r="Q11" s="46"/>
      <c r="R11" s="46"/>
    </row>
    <row r="12" spans="1:18" ht="21" customHeight="1" x14ac:dyDescent="0.15">
      <c r="A12" s="38" t="str">
        <f t="shared" si="1"/>
        <v>65527003_65527011</v>
      </c>
      <c r="B12" s="110">
        <v>65527003</v>
      </c>
      <c r="C12" s="46">
        <v>65527011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かみつく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2" s="46">
        <v>65527011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7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7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6"/>
      <c r="Q12" s="46"/>
      <c r="R12" s="46"/>
    </row>
    <row r="13" spans="1:18" ht="21" customHeight="1" x14ac:dyDescent="0.15">
      <c r="A13" s="38" t="str">
        <f t="shared" si="1"/>
        <v>65527003_65527012</v>
      </c>
      <c r="B13" s="110">
        <v>65527003</v>
      </c>
      <c r="C13" s="46">
        <v>65527012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鳥居の豪風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固定ダメージ</v>
      </c>
      <c r="F13" s="46">
        <v>65527012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7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7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7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6"/>
      <c r="Q13" s="46"/>
      <c r="R13" s="46"/>
    </row>
    <row r="14" spans="1:18" ht="21" customHeight="1" x14ac:dyDescent="0.15">
      <c r="A14" s="38" t="str">
        <f t="shared" si="1"/>
        <v>65527004_65527013</v>
      </c>
      <c r="B14" s="111">
        <v>65527004</v>
      </c>
      <c r="C14" s="46">
        <v>65527013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よく来たのう、主ら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緑パネルを5個プロテクト+現在HPの3割ダメージ</v>
      </c>
      <c r="F14" s="46">
        <v>65527013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7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6"/>
      <c r="Q14" s="46"/>
      <c r="R14" s="46"/>
    </row>
    <row r="15" spans="1:18" ht="21" customHeight="1" x14ac:dyDescent="0.15">
      <c r="A15" s="38" t="str">
        <f t="shared" si="1"/>
        <v>65527004_65527014</v>
      </c>
      <c r="B15" s="111">
        <v>65527004</v>
      </c>
      <c r="C15" s="46">
        <v>65527014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これはどうじゃ？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緑パネルを3個プロテクト+連続ダメージ</v>
      </c>
      <c r="F15" s="46">
        <v>65527014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7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7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7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6"/>
      <c r="Q15" s="46"/>
      <c r="R15" s="46"/>
    </row>
    <row r="16" spans="1:18" ht="21" customHeight="1" x14ac:dyDescent="0.15">
      <c r="A16" s="38" t="str">
        <f t="shared" si="1"/>
        <v>65527004_65527015</v>
      </c>
      <c r="B16" s="111">
        <v>65527004</v>
      </c>
      <c r="C16" s="46">
        <v>65527015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愉快じゃのう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属性パネルを4個緑パネルに変換+単体ダメージ</v>
      </c>
      <c r="F16" s="46">
        <v>65527015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7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7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6" s="4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6"/>
      <c r="Q16" s="46"/>
      <c r="R16" s="46"/>
    </row>
    <row r="17" spans="1:18" ht="21" customHeight="1" x14ac:dyDescent="0.15">
      <c r="A17" s="38" t="str">
        <f t="shared" si="1"/>
        <v>65527004_65527016</v>
      </c>
      <c r="B17" s="111">
        <v>65527004</v>
      </c>
      <c r="C17" s="46">
        <v>65527016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おいたが過ぎるようじゃな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赤パネルを5個プロテクト+固定ダメージ</v>
      </c>
      <c r="F17" s="46">
        <v>65527016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7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7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" s="4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7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7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6"/>
      <c r="Q17" s="46"/>
      <c r="R17" s="46"/>
    </row>
    <row r="18" spans="1:18" ht="21" customHeight="1" x14ac:dyDescent="0.15">
      <c r="A18" s="38" t="str">
        <f t="shared" si="1"/>
        <v>65527005_65527017</v>
      </c>
      <c r="B18" s="113">
        <v>65527005</v>
      </c>
      <c r="C18" s="46">
        <v>65527017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ぼくと遊んでくれるの？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緑パネルを5個プロテクト</v>
      </c>
      <c r="F18" s="46">
        <v>65527017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7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7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6"/>
      <c r="Q18" s="46"/>
      <c r="R18" s="46"/>
    </row>
    <row r="19" spans="1:18" ht="21" customHeight="1" x14ac:dyDescent="0.15">
      <c r="A19" s="38" t="str">
        <f t="shared" si="1"/>
        <v>65527005_65527018</v>
      </c>
      <c r="B19" s="113">
        <v>65527005</v>
      </c>
      <c r="C19" s="104">
        <v>65527018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たのしいね！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緑パネルを3個プロテクト+単体ダメージ</v>
      </c>
      <c r="F19" s="46">
        <v>65527018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7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7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7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6"/>
      <c r="Q19" s="46"/>
      <c r="R19" s="46"/>
    </row>
    <row r="20" spans="1:18" ht="21" customHeight="1" x14ac:dyDescent="0.15">
      <c r="A20" s="38" t="str">
        <f t="shared" ref="A20" si="2">B20&amp;"_"&amp;C20</f>
        <v>65527005_65527018</v>
      </c>
      <c r="B20" s="113">
        <v>65527005</v>
      </c>
      <c r="C20" s="104">
        <v>65527018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たのしいね！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緑パネルを3個プロテクト+単体ダメージ</v>
      </c>
      <c r="F20" s="46">
        <v>65527019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7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7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7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7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6"/>
      <c r="Q20" s="46"/>
      <c r="R20" s="46"/>
    </row>
    <row r="21" spans="1:18" ht="21" customHeight="1" x14ac:dyDescent="0.15">
      <c r="A21" s="38" t="str">
        <f t="shared" si="1"/>
        <v>65527005_65527019</v>
      </c>
      <c r="B21" s="113">
        <v>65527005</v>
      </c>
      <c r="C21" s="46">
        <v>65527019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いじわるしすぎちゃったかな？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属性パネルを5個緑パネルに変換</v>
      </c>
      <c r="F21" s="46">
        <v>65527020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7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7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7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7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6"/>
      <c r="Q21" s="46"/>
      <c r="R21" s="46"/>
    </row>
    <row r="22" spans="1:18" ht="21" customHeight="1" x14ac:dyDescent="0.15">
      <c r="A22" s="38" t="str">
        <f t="shared" ref="A22:A27" si="3">B22&amp;"_"&amp;C22</f>
        <v>65527005_65527020</v>
      </c>
      <c r="B22" s="113">
        <v>65527005</v>
      </c>
      <c r="C22" s="46">
        <v>65527020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かまって！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2回連続ダメージ</v>
      </c>
      <c r="F22" s="46">
        <v>65527021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7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2" s="47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7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2" s="46"/>
      <c r="Q22" s="46"/>
      <c r="R22" s="46"/>
    </row>
    <row r="23" spans="1:18" ht="21" customHeight="1" x14ac:dyDescent="0.15">
      <c r="A23" s="38" t="str">
        <f t="shared" si="3"/>
        <v>65527005_65527021</v>
      </c>
      <c r="B23" s="113">
        <v>65527005</v>
      </c>
      <c r="C23" s="46">
        <v>65527021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神犬の威嚇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強風が吹き荒れる_x000D_【緑パネルを3個プロテクト+単体ダメージ】</v>
      </c>
      <c r="F23" s="46">
        <v>65527022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7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7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7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6"/>
      <c r="Q23" s="46"/>
      <c r="R23" s="46"/>
    </row>
    <row r="24" spans="1:18" ht="21" customHeight="1" x14ac:dyDescent="0.15">
      <c r="A24" s="38" t="str">
        <f t="shared" si="3"/>
        <v>65527006_65527022</v>
      </c>
      <c r="B24" s="115">
        <v>65527006</v>
      </c>
      <c r="C24" s="46">
        <v>65527022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神犬の結界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緑パネルを5個プロテクト+現在HPの3割ダメージ</v>
      </c>
      <c r="F24" s="46">
        <v>65527023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7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7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7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6"/>
      <c r="Q24" s="46"/>
      <c r="R24" s="46"/>
    </row>
    <row r="25" spans="1:18" ht="21" customHeight="1" x14ac:dyDescent="0.15">
      <c r="A25" s="38" t="str">
        <f t="shared" si="3"/>
        <v>65527006_65527023</v>
      </c>
      <c r="B25" s="115">
        <v>65527006</v>
      </c>
      <c r="C25" s="46">
        <v>65527023</v>
      </c>
      <c r="D25" s="4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よそ見してていいのー？</v>
      </c>
      <c r="E25" s="45" t="str">
        <f ca="1">VLOOKUP($C25,OFFSET(enemy_skills!$A$1,0,0,COUNTA(enemy_skills!$A:$A),MATCH(E$1,enemy_skills!$1:$1,0)-MATCH("enemy_skill_id",enemy_skills!$1:$1,0)+1),MATCH(E$1,enemy_skills!$1:$1,0)-MATCH("enemy_skill_id",enemy_skills!$1:$1,0)+1,FALSE)</f>
        <v>緑パネルを3個プロテクト+ダメージ</v>
      </c>
      <c r="F25" s="46">
        <v>65527024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7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7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7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5" s="4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6"/>
      <c r="Q25" s="46"/>
      <c r="R25" s="46"/>
    </row>
    <row r="26" spans="1:18" ht="21" customHeight="1" x14ac:dyDescent="0.15">
      <c r="A26" s="38" t="str">
        <f t="shared" si="3"/>
        <v>65527006_65527024</v>
      </c>
      <c r="B26" s="115">
        <v>65527006</v>
      </c>
      <c r="C26" s="46">
        <v>65527024</v>
      </c>
      <c r="D26" s="4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神犬の遠吠え</v>
      </c>
      <c r="E26" s="45" t="str">
        <f ca="1">VLOOKUP($C26,OFFSET(enemy_skills!$A$1,0,0,COUNTA(enemy_skills!$A:$A),MATCH(E$1,enemy_skills!$1:$1,0)-MATCH("enemy_skill_id",enemy_skills!$1:$1,0)+1),MATCH(E$1,enemy_skills!$1:$1,0)-MATCH("enemy_skill_id",enemy_skills!$1:$1,0)+1,FALSE)</f>
        <v>属性パネルを5個緑パネルに変換+連続ダメージ</v>
      </c>
      <c r="F26" s="46">
        <v>65527025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7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7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7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6" s="47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6"/>
      <c r="Q26" s="46"/>
      <c r="R26" s="46"/>
    </row>
    <row r="27" spans="1:18" ht="21" customHeight="1" x14ac:dyDescent="0.15">
      <c r="A27" s="38" t="str">
        <f t="shared" si="3"/>
        <v>65527006_65527025</v>
      </c>
      <c r="B27" s="115">
        <v>65527006</v>
      </c>
      <c r="C27" s="46">
        <v>65527025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いたいのは嫌！</v>
      </c>
      <c r="E27" s="4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赤パネルを5個プロテクト</v>
      </c>
      <c r="F27" s="46">
        <v>65527026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7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7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7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6"/>
      <c r="Q27" s="46"/>
      <c r="R27" s="46"/>
    </row>
    <row r="28" spans="1:18" ht="21" customHeight="1" x14ac:dyDescent="0.15">
      <c r="A28" s="38" t="str">
        <f t="shared" ref="A28" si="4">B28&amp;"_"&amp;C28</f>
        <v>65527006_65527026</v>
      </c>
      <c r="B28" s="115">
        <v>65527006</v>
      </c>
      <c r="C28" s="46">
        <v>65527026</v>
      </c>
      <c r="D28" s="4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帰って！</v>
      </c>
      <c r="E28" s="4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緑パネルを4個プロテクト+連続ダメージ</v>
      </c>
      <c r="F28" s="46">
        <v>65527027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7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7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8" s="4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7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7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8" s="47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6"/>
      <c r="Q28" s="46"/>
      <c r="R28" s="46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7"/>
  <sheetViews>
    <sheetView showGridLines="0" workbookViewId="0">
      <pane ySplit="1" topLeftCell="A2" activePane="bottomLeft" state="frozenSplit"/>
      <selection pane="bottomLeft" activeCell="C31" sqref="C31"/>
    </sheetView>
  </sheetViews>
  <sheetFormatPr baseColWidth="12" defaultColWidth="12.83203125" defaultRowHeight="21" customHeight="1" outlineLevelCol="1" x14ac:dyDescent="0.15"/>
  <cols>
    <col min="1" max="1" width="12.83203125" style="48"/>
    <col min="2" max="2" width="67.1640625" style="48" customWidth="1"/>
    <col min="3" max="4" width="12.83203125" style="48"/>
    <col min="5" max="5" width="23.6640625" style="48" bestFit="1" customWidth="1"/>
    <col min="6" max="6" width="44.1640625" style="48" bestFit="1" customWidth="1"/>
    <col min="7" max="7" width="52" style="48" hidden="1" customWidth="1" outlineLevel="1"/>
    <col min="8" max="8" width="18.33203125" style="48" hidden="1" customWidth="1" outlineLevel="1"/>
    <col min="9" max="11" width="18.6640625" style="48" hidden="1" customWidth="1" outlineLevel="1"/>
    <col min="12" max="12" width="23.6640625" style="48" customWidth="1" collapsed="1"/>
    <col min="13" max="18" width="23.6640625" style="48" hidden="1" customWidth="1" outlineLevel="1"/>
    <col min="19" max="19" width="23.6640625" style="48" customWidth="1" collapsed="1"/>
    <col min="20" max="24" width="23.6640625" style="48" hidden="1" customWidth="1" outlineLevel="1"/>
    <col min="25" max="25" width="23.6640625" style="48" customWidth="1" collapsed="1"/>
    <col min="26" max="27" width="12.83203125" style="48"/>
    <col min="28" max="28" width="44.5" style="48" customWidth="1"/>
    <col min="29" max="16384" width="12.83203125" style="48"/>
  </cols>
  <sheetData>
    <row r="1" spans="1:28" ht="21" customHeight="1" x14ac:dyDescent="0.15">
      <c r="A1" s="39" t="s">
        <v>78</v>
      </c>
      <c r="B1" s="39" t="s">
        <v>79</v>
      </c>
      <c r="C1" s="39" t="s">
        <v>80</v>
      </c>
      <c r="D1" s="39" t="s">
        <v>126</v>
      </c>
      <c r="E1" s="39" t="s">
        <v>81</v>
      </c>
      <c r="F1" s="39" t="s">
        <v>82</v>
      </c>
      <c r="G1" s="40" t="s">
        <v>132</v>
      </c>
      <c r="H1" s="40" t="s">
        <v>138</v>
      </c>
      <c r="I1" s="40" t="s">
        <v>140</v>
      </c>
      <c r="J1" s="40" t="s">
        <v>139</v>
      </c>
      <c r="K1" s="40" t="s">
        <v>141</v>
      </c>
      <c r="L1" s="40" t="s">
        <v>133</v>
      </c>
      <c r="M1" s="40" t="s">
        <v>131</v>
      </c>
      <c r="N1" s="40" t="s">
        <v>134</v>
      </c>
      <c r="O1" s="40" t="s">
        <v>142</v>
      </c>
      <c r="P1" s="40" t="s">
        <v>143</v>
      </c>
      <c r="Q1" s="40" t="s">
        <v>144</v>
      </c>
      <c r="R1" s="40" t="s">
        <v>145</v>
      </c>
      <c r="S1" s="40" t="s">
        <v>135</v>
      </c>
      <c r="T1" s="40" t="s">
        <v>136</v>
      </c>
      <c r="U1" s="40" t="s">
        <v>146</v>
      </c>
      <c r="V1" s="40" t="s">
        <v>147</v>
      </c>
      <c r="W1" s="40" t="s">
        <v>148</v>
      </c>
      <c r="X1" s="40" t="s">
        <v>149</v>
      </c>
      <c r="Y1" s="40" t="s">
        <v>137</v>
      </c>
      <c r="Z1" s="40" t="s">
        <v>75</v>
      </c>
      <c r="AA1" s="40" t="s">
        <v>76</v>
      </c>
      <c r="AB1" s="40" t="s">
        <v>77</v>
      </c>
    </row>
    <row r="2" spans="1:28" ht="21" customHeight="1" x14ac:dyDescent="0.15">
      <c r="A2" s="104">
        <v>65527001</v>
      </c>
      <c r="B2" s="46" t="s">
        <v>328</v>
      </c>
      <c r="C2" s="49">
        <v>1</v>
      </c>
      <c r="D2" s="49" t="s">
        <v>127</v>
      </c>
      <c r="E2" s="50" t="s">
        <v>295</v>
      </c>
      <c r="F2" s="50" t="s">
        <v>330</v>
      </c>
      <c r="G2" s="61" t="str">
        <f>IFERROR(LEFT(B2,FIND("],",B2)),B2)</f>
        <v>[effect:panel_freeze, target:normal, color:block_green, count:4]</v>
      </c>
      <c r="H2" s="61">
        <f>FIND("effect:",G2)+7</f>
        <v>9</v>
      </c>
      <c r="I2" s="61">
        <f>IFERROR(FIND(",",G2),LEN(G2))</f>
        <v>21</v>
      </c>
      <c r="J2" s="61">
        <f>FIND("target:",G2)+7</f>
        <v>30</v>
      </c>
      <c r="K2" s="61">
        <f>FIND(",",G2,I2+1)</f>
        <v>36</v>
      </c>
      <c r="L2" s="61" t="str">
        <f>IFERROR(VLOOKUP(MID(G2,J2,K2-J2),[5]skilldef!$C:$D,2,FALSE),"-") &amp; " / " &amp; IFERROR(VLOOKUP(MID(G2,H2,I2-H2),[5]skilldef!$A:$B,2,FALSE),"-")</f>
        <v>- / -</v>
      </c>
      <c r="M2" s="61" t="str">
        <f>IFERROR(RIGHT(B2,LEN(B2)-FIND("],",B2)-1),"none")</f>
        <v>none</v>
      </c>
      <c r="N2" s="47" t="str">
        <f>IFERROR(LEFT(M2,FIND("],",M2)+S12),M2)</f>
        <v>none</v>
      </c>
      <c r="O2" s="61" t="e">
        <f>FIND("effect:",N2)+7</f>
        <v>#VALUE!</v>
      </c>
      <c r="P2" s="61">
        <f>IFERROR(FIND(",",N2),LEN(N2))</f>
        <v>4</v>
      </c>
      <c r="Q2" s="61" t="e">
        <f>FIND("target:",N2)+7</f>
        <v>#VALUE!</v>
      </c>
      <c r="R2" s="61" t="e">
        <f>FIND(",",N2,P2+1)</f>
        <v>#VALUE!</v>
      </c>
      <c r="S2" s="61" t="str">
        <f>IFERROR(VLOOKUP(MID(N2,Q2,R2-Q2),[5]skilldef!$C:$D,2,FALSE),"-") &amp; " / " &amp; IFERROR(VLOOKUP(MID(N2,O2,P2-O2),[5]skilldef!$A:$B,2,FALSE),"-")</f>
        <v>- / -</v>
      </c>
      <c r="T2" s="47" t="str">
        <f>IFERROR(RIGHT(M2,LEN(M2)-FIND("],",M2)-1),"none")</f>
        <v>none</v>
      </c>
      <c r="U2" s="61" t="e">
        <f>FIND("effect:",T2)+7</f>
        <v>#VALUE!</v>
      </c>
      <c r="V2" s="61">
        <f>IFERROR(FIND(",",T2),LEN(T2))</f>
        <v>4</v>
      </c>
      <c r="W2" s="61" t="e">
        <f>FIND("target:",T2)+7</f>
        <v>#VALUE!</v>
      </c>
      <c r="X2" s="61" t="e">
        <f>FIND(",",T2,V2+1)</f>
        <v>#VALUE!</v>
      </c>
      <c r="Y2" s="61" t="str">
        <f>IFERROR(VLOOKUP(MID(T2,W2,X2-W2),[5]skilldef!$C:$D,2,FALSE),"-") &amp; " / " &amp; IFERROR(VLOOKUP(MID(T2,U2,V2-U2),[5]skilldef!$A:$B,2,FALSE),"-")</f>
        <v>- / -</v>
      </c>
      <c r="Z2" s="49"/>
      <c r="AA2" s="51"/>
      <c r="AB2" s="49"/>
    </row>
    <row r="3" spans="1:28" ht="21" customHeight="1" x14ac:dyDescent="0.15">
      <c r="A3" s="104">
        <v>65527002</v>
      </c>
      <c r="B3" s="105" t="s">
        <v>357</v>
      </c>
      <c r="C3" s="49">
        <v>1</v>
      </c>
      <c r="D3" s="49" t="s">
        <v>127</v>
      </c>
      <c r="E3" s="50" t="s">
        <v>296</v>
      </c>
      <c r="F3" s="50" t="s">
        <v>344</v>
      </c>
      <c r="G3" s="61" t="str">
        <f t="shared" ref="G3:G20" si="0">IFERROR(LEFT(B3,FIND("],",B3)),B3)</f>
        <v>[effect:force_change_block, new_block:block_green, target:normal, ignore01:block_positive, ignore02:block_negative, count:3, val:0, animation:change_block]</v>
      </c>
      <c r="H3" s="61">
        <f t="shared" ref="H3:H27" si="1">FIND("effect:",G3)+7</f>
        <v>9</v>
      </c>
      <c r="I3" s="61">
        <f t="shared" ref="I3:I20" si="2">IFERROR(FIND(",",G3),LEN(G3))</f>
        <v>27</v>
      </c>
      <c r="J3" s="61">
        <f t="shared" ref="J3:J20" si="3">FIND("target:",G3)+7</f>
        <v>59</v>
      </c>
      <c r="K3" s="61">
        <f t="shared" ref="K3:K20" si="4">FIND(",",G3,I3+1)</f>
        <v>50</v>
      </c>
      <c r="L3" s="61" t="str">
        <f>IFERROR(VLOOKUP(MID(G3,J3,K3-J3),[5]skilldef!$C:$D,2,FALSE),"-") &amp; " / " &amp; IFERROR(VLOOKUP(MID(G3,H3,I3-H3),[5]skilldef!$A:$B,2,FALSE),"-")</f>
        <v>- / -</v>
      </c>
      <c r="M3" s="61" t="str">
        <f t="shared" ref="M3:M20" si="5">IFERROR(RIGHT(B3,LEN(B3)-FIND("],",B3)-1),"none")</f>
        <v>none</v>
      </c>
      <c r="N3" s="47" t="str">
        <f t="shared" ref="N3:N10" si="6">IFERROR(LEFT(M3,FIND("],",M3)+S13),M3)</f>
        <v>none</v>
      </c>
      <c r="O3" s="61" t="e">
        <f t="shared" ref="O3:O27" si="7">FIND("effect:",N3)+7</f>
        <v>#VALUE!</v>
      </c>
      <c r="P3" s="61">
        <f t="shared" ref="P3:P20" si="8">IFERROR(FIND(",",N3),LEN(N3))</f>
        <v>4</v>
      </c>
      <c r="Q3" s="61" t="e">
        <f t="shared" ref="Q3:Q20" si="9">FIND("target:",N3)+7</f>
        <v>#VALUE!</v>
      </c>
      <c r="R3" s="61" t="e">
        <f t="shared" ref="R3:R20" si="10">FIND(",",N3,P3+1)</f>
        <v>#VALUE!</v>
      </c>
      <c r="S3" s="61" t="str">
        <f>IFERROR(VLOOKUP(MID(N3,Q3,R3-Q3),[5]skilldef!$C:$D,2,FALSE),"-") &amp; " / " &amp; IFERROR(VLOOKUP(MID(N3,O3,P3-O3),[5]skilldef!$A:$B,2,FALSE),"-")</f>
        <v>- / -</v>
      </c>
      <c r="T3" s="47" t="str">
        <f t="shared" ref="T3:T20" si="11">IFERROR(RIGHT(M3,LEN(M3)-FIND("],",M3)-1),"none")</f>
        <v>none</v>
      </c>
      <c r="U3" s="61" t="e">
        <f t="shared" ref="U3:U27" si="12">FIND("effect:",T3)+7</f>
        <v>#VALUE!</v>
      </c>
      <c r="V3" s="61">
        <f t="shared" ref="V3:V20" si="13">IFERROR(FIND(",",T3),LEN(T3))</f>
        <v>4</v>
      </c>
      <c r="W3" s="61" t="e">
        <f t="shared" ref="W3:W20" si="14">FIND("target:",T3)+7</f>
        <v>#VALUE!</v>
      </c>
      <c r="X3" s="61" t="e">
        <f t="shared" ref="X3:X20" si="15">FIND(",",T3,V3+1)</f>
        <v>#VALUE!</v>
      </c>
      <c r="Y3" s="61" t="str">
        <f>IFERROR(VLOOKUP(MID(T3,W3,X3-W3),[5]skilldef!$C:$D,2,FALSE),"-") &amp; " / " &amp; IFERROR(VLOOKUP(MID(T3,U3,V3-U3),[5]skilldef!$A:$B,2,FALSE),"-")</f>
        <v>- / -</v>
      </c>
      <c r="Z3" s="49"/>
      <c r="AA3" s="51"/>
      <c r="AB3" s="49"/>
    </row>
    <row r="4" spans="1:28" ht="33" customHeight="1" x14ac:dyDescent="0.15">
      <c r="A4" s="104">
        <v>65527003</v>
      </c>
      <c r="B4" s="46" t="s">
        <v>261</v>
      </c>
      <c r="C4" s="49">
        <v>1</v>
      </c>
      <c r="D4" s="49" t="s">
        <v>127</v>
      </c>
      <c r="E4" s="50" t="s">
        <v>339</v>
      </c>
      <c r="F4" s="50" t="s">
        <v>337</v>
      </c>
      <c r="G4" s="61" t="str">
        <f t="shared" si="0"/>
        <v>[effect:enhance_unit, target:myself, turn:-1, status:attack, val:200, calc:add, animation:enhance_unit_all_attack01_unit01]</v>
      </c>
      <c r="H4" s="61">
        <f t="shared" si="1"/>
        <v>9</v>
      </c>
      <c r="I4" s="61">
        <f t="shared" si="2"/>
        <v>21</v>
      </c>
      <c r="J4" s="61">
        <f t="shared" si="3"/>
        <v>30</v>
      </c>
      <c r="K4" s="61">
        <f t="shared" si="4"/>
        <v>36</v>
      </c>
      <c r="L4" s="61" t="str">
        <f>IFERROR(VLOOKUP(MID(G4,J4,K4-J4),[5]skilldef!$C:$D,2,FALSE),"-") &amp; " / " &amp; IFERROR(VLOOKUP(MID(G4,H4,I4-H4),[5]skilldef!$A:$B,2,FALSE),"-")</f>
        <v>自分自身に / -</v>
      </c>
      <c r="M4" s="61" t="str">
        <f t="shared" si="5"/>
        <v>none</v>
      </c>
      <c r="N4" s="47" t="str">
        <f t="shared" si="6"/>
        <v>none</v>
      </c>
      <c r="O4" s="61" t="e">
        <f t="shared" si="7"/>
        <v>#VALUE!</v>
      </c>
      <c r="P4" s="61">
        <f t="shared" si="8"/>
        <v>4</v>
      </c>
      <c r="Q4" s="61" t="e">
        <f t="shared" si="9"/>
        <v>#VALUE!</v>
      </c>
      <c r="R4" s="61" t="e">
        <f t="shared" si="10"/>
        <v>#VALUE!</v>
      </c>
      <c r="S4" s="61" t="str">
        <f>IFERROR(VLOOKUP(MID(N4,Q4,R4-Q4),[5]skilldef!$C:$D,2,FALSE),"-") &amp; " / " &amp; IFERROR(VLOOKUP(MID(N4,O4,P4-O4),[5]skilldef!$A:$B,2,FALSE),"-")</f>
        <v>- / -</v>
      </c>
      <c r="T4" s="47" t="str">
        <f t="shared" si="11"/>
        <v>none</v>
      </c>
      <c r="U4" s="61" t="e">
        <f t="shared" si="12"/>
        <v>#VALUE!</v>
      </c>
      <c r="V4" s="61">
        <f t="shared" si="13"/>
        <v>4</v>
      </c>
      <c r="W4" s="61" t="e">
        <f t="shared" si="14"/>
        <v>#VALUE!</v>
      </c>
      <c r="X4" s="61" t="e">
        <f t="shared" si="15"/>
        <v>#VALUE!</v>
      </c>
      <c r="Y4" s="61" t="str">
        <f>IFERROR(VLOOKUP(MID(T4,W4,X4-W4),[5]skilldef!$C:$D,2,FALSE),"-") &amp; " / " &amp; IFERROR(VLOOKUP(MID(T4,U4,V4-U4),[5]skilldef!$A:$B,2,FALSE),"-")</f>
        <v>- / -</v>
      </c>
      <c r="Z4" s="49"/>
      <c r="AA4" s="51"/>
      <c r="AB4" s="49"/>
    </row>
    <row r="5" spans="1:28" ht="21" customHeight="1" x14ac:dyDescent="0.15">
      <c r="A5" s="104">
        <v>65527004</v>
      </c>
      <c r="B5" s="46" t="s">
        <v>262</v>
      </c>
      <c r="C5" s="49">
        <v>1</v>
      </c>
      <c r="D5" s="49" t="s">
        <v>127</v>
      </c>
      <c r="E5" s="50" t="s">
        <v>297</v>
      </c>
      <c r="F5" s="50" t="s">
        <v>301</v>
      </c>
      <c r="G5" s="61" t="str">
        <f t="shared" si="0"/>
        <v>[effect:rush, count:2, val:0.8]</v>
      </c>
      <c r="H5" s="61">
        <f t="shared" si="1"/>
        <v>9</v>
      </c>
      <c r="I5" s="61">
        <f t="shared" si="2"/>
        <v>13</v>
      </c>
      <c r="J5" s="61" t="e">
        <f t="shared" si="3"/>
        <v>#VALUE!</v>
      </c>
      <c r="K5" s="61">
        <f t="shared" si="4"/>
        <v>22</v>
      </c>
      <c r="L5" s="61" t="str">
        <f>IFERROR(VLOOKUP(MID(G5,J5,K5-J5),[5]skilldef!$C:$D,2,FALSE),"-") &amp; " / " &amp; IFERROR(VLOOKUP(MID(G5,H5,I5-H5),[5]skilldef!$A:$B,2,FALSE),"-")</f>
        <v>- / 連続攻撃</v>
      </c>
      <c r="M5" s="61" t="str">
        <f t="shared" si="5"/>
        <v>none</v>
      </c>
      <c r="N5" s="47" t="str">
        <f t="shared" si="6"/>
        <v>none</v>
      </c>
      <c r="O5" s="61" t="e">
        <f t="shared" si="7"/>
        <v>#VALUE!</v>
      </c>
      <c r="P5" s="61">
        <f t="shared" si="8"/>
        <v>4</v>
      </c>
      <c r="Q5" s="61" t="e">
        <f t="shared" si="9"/>
        <v>#VALUE!</v>
      </c>
      <c r="R5" s="61" t="e">
        <f t="shared" si="10"/>
        <v>#VALUE!</v>
      </c>
      <c r="S5" s="61" t="str">
        <f>IFERROR(VLOOKUP(MID(N5,Q5,R5-Q5),[5]skilldef!$C:$D,2,FALSE),"-") &amp; " / " &amp; IFERROR(VLOOKUP(MID(N5,O5,P5-O5),[5]skilldef!$A:$B,2,FALSE),"-")</f>
        <v>- / -</v>
      </c>
      <c r="T5" s="47" t="str">
        <f t="shared" si="11"/>
        <v>none</v>
      </c>
      <c r="U5" s="61" t="e">
        <f t="shared" si="12"/>
        <v>#VALUE!</v>
      </c>
      <c r="V5" s="61">
        <f t="shared" si="13"/>
        <v>4</v>
      </c>
      <c r="W5" s="61" t="e">
        <f t="shared" si="14"/>
        <v>#VALUE!</v>
      </c>
      <c r="X5" s="61" t="e">
        <f t="shared" si="15"/>
        <v>#VALUE!</v>
      </c>
      <c r="Y5" s="61" t="str">
        <f>IFERROR(VLOOKUP(MID(T5,W5,X5-W5),[5]skilldef!$C:$D,2,FALSE),"-") &amp; " / " &amp; IFERROR(VLOOKUP(MID(T5,U5,V5-U5),[5]skilldef!$A:$B,2,FALSE),"-")</f>
        <v>- / -</v>
      </c>
      <c r="Z5" s="49"/>
      <c r="AA5" s="51"/>
      <c r="AB5" s="49"/>
    </row>
    <row r="6" spans="1:28" ht="21" customHeight="1" x14ac:dyDescent="0.15">
      <c r="A6" s="104">
        <v>65527005</v>
      </c>
      <c r="B6" s="46" t="s">
        <v>273</v>
      </c>
      <c r="C6" s="49">
        <v>1</v>
      </c>
      <c r="D6" s="49" t="s">
        <v>127</v>
      </c>
      <c r="E6" s="50" t="s">
        <v>298</v>
      </c>
      <c r="F6" s="50" t="s">
        <v>345</v>
      </c>
      <c r="G6" s="61" t="str">
        <f t="shared" si="0"/>
        <v>[effect:panel_freeze, target:normal, color:block_green, count:5]</v>
      </c>
      <c r="H6" s="61">
        <f t="shared" si="1"/>
        <v>9</v>
      </c>
      <c r="I6" s="61">
        <f t="shared" si="2"/>
        <v>21</v>
      </c>
      <c r="J6" s="61">
        <f t="shared" si="3"/>
        <v>30</v>
      </c>
      <c r="K6" s="61">
        <f t="shared" si="4"/>
        <v>36</v>
      </c>
      <c r="L6" s="61" t="str">
        <f>IFERROR(VLOOKUP(MID(G6,J6,K6-J6),[5]skilldef!$C:$D,2,FALSE),"-") &amp; " / " &amp; IFERROR(VLOOKUP(MID(G6,H6,I6-H6),[5]skilldef!$A:$B,2,FALSE),"-")</f>
        <v>- / -</v>
      </c>
      <c r="M6" s="61" t="str">
        <f t="shared" si="5"/>
        <v>[effect:critical, val:1.2, animation:enemy_critical]</v>
      </c>
      <c r="N6" s="47" t="str">
        <f t="shared" si="6"/>
        <v>[effect:critical, val:1.2, animation:enemy_critical]</v>
      </c>
      <c r="O6" s="61">
        <f t="shared" si="7"/>
        <v>9</v>
      </c>
      <c r="P6" s="61">
        <f t="shared" si="8"/>
        <v>17</v>
      </c>
      <c r="Q6" s="61" t="e">
        <f t="shared" si="9"/>
        <v>#VALUE!</v>
      </c>
      <c r="R6" s="61">
        <f t="shared" si="10"/>
        <v>26</v>
      </c>
      <c r="S6" s="61" t="str">
        <f>IFERROR(VLOOKUP(MID(N6,Q6,R6-Q6),[5]skilldef!$C:$D,2,FALSE),"-") &amp; " / " &amp; IFERROR(VLOOKUP(MID(N6,O6,P6-O6),[5]skilldef!$A:$B,2,FALSE),"-")</f>
        <v>- / 大攻撃</v>
      </c>
      <c r="T6" s="47" t="str">
        <f t="shared" si="11"/>
        <v>none</v>
      </c>
      <c r="U6" s="61" t="e">
        <f t="shared" si="12"/>
        <v>#VALUE!</v>
      </c>
      <c r="V6" s="61">
        <f t="shared" si="13"/>
        <v>4</v>
      </c>
      <c r="W6" s="61" t="e">
        <f t="shared" si="14"/>
        <v>#VALUE!</v>
      </c>
      <c r="X6" s="61" t="e">
        <f t="shared" si="15"/>
        <v>#VALUE!</v>
      </c>
      <c r="Y6" s="61" t="str">
        <f>IFERROR(VLOOKUP(MID(T6,W6,X6-W6),[5]skilldef!$C:$D,2,FALSE),"-") &amp; " / " &amp; IFERROR(VLOOKUP(MID(T6,U6,V6-U6),[5]skilldef!$A:$B,2,FALSE),"-")</f>
        <v>- / -</v>
      </c>
      <c r="Z6" s="49"/>
      <c r="AA6" s="51"/>
      <c r="AB6" s="49"/>
    </row>
    <row r="7" spans="1:28" ht="21" customHeight="1" x14ac:dyDescent="0.15">
      <c r="A7" s="108">
        <v>65527006</v>
      </c>
      <c r="B7" s="46" t="s">
        <v>268</v>
      </c>
      <c r="C7" s="49">
        <v>1</v>
      </c>
      <c r="D7" s="49" t="s">
        <v>127</v>
      </c>
      <c r="E7" s="50" t="s">
        <v>299</v>
      </c>
      <c r="F7" s="50" t="s">
        <v>300</v>
      </c>
      <c r="G7" s="61" t="str">
        <f t="shared" si="0"/>
        <v>[effect:nothing]</v>
      </c>
      <c r="H7" s="61">
        <f t="shared" si="1"/>
        <v>9</v>
      </c>
      <c r="I7" s="61">
        <f t="shared" si="2"/>
        <v>16</v>
      </c>
      <c r="J7" s="61" t="e">
        <f t="shared" si="3"/>
        <v>#VALUE!</v>
      </c>
      <c r="K7" s="61" t="e">
        <f t="shared" si="4"/>
        <v>#VALUE!</v>
      </c>
      <c r="L7" s="61" t="str">
        <f>IFERROR(VLOOKUP(MID(G7,J7,K7-J7),[5]skilldef!$C:$D,2,FALSE),"-") &amp; " / " &amp; IFERROR(VLOOKUP(MID(G7,H7,I7-H7),[5]skilldef!$A:$B,2,FALSE),"-")</f>
        <v>- / 何もしない</v>
      </c>
      <c r="M7" s="61" t="str">
        <f t="shared" si="5"/>
        <v>none</v>
      </c>
      <c r="N7" s="47" t="str">
        <f t="shared" si="6"/>
        <v>none</v>
      </c>
      <c r="O7" s="61" t="e">
        <f t="shared" si="7"/>
        <v>#VALUE!</v>
      </c>
      <c r="P7" s="61">
        <f t="shared" si="8"/>
        <v>4</v>
      </c>
      <c r="Q7" s="61" t="e">
        <f t="shared" si="9"/>
        <v>#VALUE!</v>
      </c>
      <c r="R7" s="61" t="e">
        <f t="shared" si="10"/>
        <v>#VALUE!</v>
      </c>
      <c r="S7" s="61" t="str">
        <f>IFERROR(VLOOKUP(MID(N7,Q7,R7-Q7),[5]skilldef!$C:$D,2,FALSE),"-") &amp; " / " &amp; IFERROR(VLOOKUP(MID(N7,O7,P7-O7),[5]skilldef!$A:$B,2,FALSE),"-")</f>
        <v>- / -</v>
      </c>
      <c r="T7" s="47" t="str">
        <f t="shared" si="11"/>
        <v>none</v>
      </c>
      <c r="U7" s="61" t="e">
        <f t="shared" si="12"/>
        <v>#VALUE!</v>
      </c>
      <c r="V7" s="61">
        <f t="shared" si="13"/>
        <v>4</v>
      </c>
      <c r="W7" s="61" t="e">
        <f t="shared" si="14"/>
        <v>#VALUE!</v>
      </c>
      <c r="X7" s="61" t="e">
        <f t="shared" si="15"/>
        <v>#VALUE!</v>
      </c>
      <c r="Y7" s="61" t="str">
        <f>IFERROR(VLOOKUP(MID(T7,W7,X7-W7),[5]skilldef!$C:$D,2,FALSE),"-") &amp; " / " &amp; IFERROR(VLOOKUP(MID(T7,U7,V7-U7),[5]skilldef!$A:$B,2,FALSE),"-")</f>
        <v>- / -</v>
      </c>
      <c r="Z7" s="49"/>
      <c r="AA7" s="51"/>
      <c r="AB7" s="49"/>
    </row>
    <row r="8" spans="1:28" ht="35" customHeight="1" x14ac:dyDescent="0.15">
      <c r="A8" s="108">
        <v>65527007</v>
      </c>
      <c r="B8" s="46" t="s">
        <v>262</v>
      </c>
      <c r="C8" s="49">
        <v>1</v>
      </c>
      <c r="D8" s="49" t="s">
        <v>127</v>
      </c>
      <c r="E8" s="50" t="s">
        <v>338</v>
      </c>
      <c r="F8" s="50" t="s">
        <v>341</v>
      </c>
      <c r="G8" s="61" t="str">
        <f t="shared" si="0"/>
        <v>[effect:rush, count:2, val:0.8]</v>
      </c>
      <c r="H8" s="61">
        <f t="shared" si="1"/>
        <v>9</v>
      </c>
      <c r="I8" s="61">
        <f t="shared" si="2"/>
        <v>13</v>
      </c>
      <c r="J8" s="61" t="e">
        <f t="shared" si="3"/>
        <v>#VALUE!</v>
      </c>
      <c r="K8" s="61">
        <f t="shared" si="4"/>
        <v>22</v>
      </c>
      <c r="L8" s="61" t="str">
        <f>IFERROR(VLOOKUP(MID(G8,J8,K8-J8),[5]skilldef!$C:$D,2,FALSE),"-") &amp; " / " &amp; IFERROR(VLOOKUP(MID(G8,H8,I8-H8),[5]skilldef!$A:$B,2,FALSE),"-")</f>
        <v>- / 連続攻撃</v>
      </c>
      <c r="M8" s="61" t="str">
        <f t="shared" si="5"/>
        <v>none</v>
      </c>
      <c r="N8" s="47" t="str">
        <f t="shared" si="6"/>
        <v>none</v>
      </c>
      <c r="O8" s="61" t="e">
        <f t="shared" si="7"/>
        <v>#VALUE!</v>
      </c>
      <c r="P8" s="61">
        <f t="shared" si="8"/>
        <v>4</v>
      </c>
      <c r="Q8" s="61" t="e">
        <f t="shared" si="9"/>
        <v>#VALUE!</v>
      </c>
      <c r="R8" s="61" t="e">
        <f t="shared" si="10"/>
        <v>#VALUE!</v>
      </c>
      <c r="S8" s="61" t="str">
        <f>IFERROR(VLOOKUP(MID(N8,Q8,R8-Q8),[5]skilldef!$C:$D,2,FALSE),"-") &amp; " / " &amp; IFERROR(VLOOKUP(MID(N8,O8,P8-O8),[5]skilldef!$A:$B,2,FALSE),"-")</f>
        <v>- / -</v>
      </c>
      <c r="T8" s="47" t="str">
        <f t="shared" si="11"/>
        <v>none</v>
      </c>
      <c r="U8" s="61" t="e">
        <f t="shared" si="12"/>
        <v>#VALUE!</v>
      </c>
      <c r="V8" s="61">
        <f t="shared" si="13"/>
        <v>4</v>
      </c>
      <c r="W8" s="61" t="e">
        <f t="shared" si="14"/>
        <v>#VALUE!</v>
      </c>
      <c r="X8" s="61" t="e">
        <f t="shared" si="15"/>
        <v>#VALUE!</v>
      </c>
      <c r="Y8" s="61" t="str">
        <f>IFERROR(VLOOKUP(MID(T8,W8,X8-W8),[5]skilldef!$C:$D,2,FALSE),"-") &amp; " / " &amp; IFERROR(VLOOKUP(MID(T8,U8,V8-U8),[5]skilldef!$A:$B,2,FALSE),"-")</f>
        <v>- / -</v>
      </c>
      <c r="Z8" s="49"/>
      <c r="AA8" s="51"/>
      <c r="AB8" s="49"/>
    </row>
    <row r="9" spans="1:28" ht="21" customHeight="1" x14ac:dyDescent="0.15">
      <c r="A9" s="108">
        <v>65527008</v>
      </c>
      <c r="B9" s="46" t="s">
        <v>329</v>
      </c>
      <c r="C9" s="49">
        <v>1</v>
      </c>
      <c r="D9" s="49" t="s">
        <v>127</v>
      </c>
      <c r="E9" s="50" t="s">
        <v>302</v>
      </c>
      <c r="F9" s="50" t="s">
        <v>346</v>
      </c>
      <c r="G9" s="61" t="str">
        <f t="shared" si="0"/>
        <v>[effect:panel_freeze, target:normal, color:block_red, count:2]</v>
      </c>
      <c r="H9" s="61">
        <f t="shared" si="1"/>
        <v>9</v>
      </c>
      <c r="I9" s="61">
        <f t="shared" si="2"/>
        <v>21</v>
      </c>
      <c r="J9" s="61">
        <f t="shared" si="3"/>
        <v>30</v>
      </c>
      <c r="K9" s="61">
        <f t="shared" si="4"/>
        <v>36</v>
      </c>
      <c r="L9" s="61" t="str">
        <f>IFERROR(VLOOKUP(MID(G9,J9,K9-J9),[5]skilldef!$C:$D,2,FALSE),"-") &amp; " / " &amp; IFERROR(VLOOKUP(MID(G9,H9,I9-H9),[5]skilldef!$A:$B,2,FALSE),"-")</f>
        <v>- / -</v>
      </c>
      <c r="M9" s="61" t="str">
        <f t="shared" si="5"/>
        <v>[effect:critical, val:1.2, animation:enemy_critical]</v>
      </c>
      <c r="N9" s="47" t="str">
        <f t="shared" si="6"/>
        <v>[effect:critical, val:1.2, animation:enemy_critical]</v>
      </c>
      <c r="O9" s="61">
        <f t="shared" si="7"/>
        <v>9</v>
      </c>
      <c r="P9" s="61">
        <f t="shared" si="8"/>
        <v>17</v>
      </c>
      <c r="Q9" s="61" t="e">
        <f t="shared" si="9"/>
        <v>#VALUE!</v>
      </c>
      <c r="R9" s="61">
        <f t="shared" si="10"/>
        <v>26</v>
      </c>
      <c r="S9" s="61" t="str">
        <f>IFERROR(VLOOKUP(MID(N9,Q9,R9-Q9),[5]skilldef!$C:$D,2,FALSE),"-") &amp; " / " &amp; IFERROR(VLOOKUP(MID(N9,O9,P9-O9),[5]skilldef!$A:$B,2,FALSE),"-")</f>
        <v>- / 大攻撃</v>
      </c>
      <c r="T9" s="47" t="str">
        <f t="shared" si="11"/>
        <v>none</v>
      </c>
      <c r="U9" s="61" t="e">
        <f t="shared" si="12"/>
        <v>#VALUE!</v>
      </c>
      <c r="V9" s="61">
        <f t="shared" si="13"/>
        <v>4</v>
      </c>
      <c r="W9" s="61" t="e">
        <f t="shared" si="14"/>
        <v>#VALUE!</v>
      </c>
      <c r="X9" s="61" t="e">
        <f t="shared" si="15"/>
        <v>#VALUE!</v>
      </c>
      <c r="Y9" s="61" t="str">
        <f>IFERROR(VLOOKUP(MID(T9,W9,X9-W9),[5]skilldef!$C:$D,2,FALSE),"-") &amp; " / " &amp; IFERROR(VLOOKUP(MID(T9,U9,V9-U9),[5]skilldef!$A:$B,2,FALSE),"-")</f>
        <v>- / -</v>
      </c>
      <c r="Z9" s="49"/>
      <c r="AA9" s="51"/>
      <c r="AB9" s="49"/>
    </row>
    <row r="10" spans="1:28" ht="21" customHeight="1" x14ac:dyDescent="0.15">
      <c r="A10" s="108">
        <v>65527009</v>
      </c>
      <c r="B10" s="46" t="s">
        <v>358</v>
      </c>
      <c r="C10" s="49">
        <v>1</v>
      </c>
      <c r="D10" s="49" t="s">
        <v>127</v>
      </c>
      <c r="E10" s="50" t="s">
        <v>303</v>
      </c>
      <c r="F10" s="50" t="s">
        <v>349</v>
      </c>
      <c r="G10" s="61" t="str">
        <f t="shared" si="0"/>
        <v>[effect:force_change_block, new_block:block_green, target:normal, ignore01:block_positive, ignore02:block_negative, count:4, val:0, animation:change_block]</v>
      </c>
      <c r="H10" s="61">
        <f t="shared" si="1"/>
        <v>9</v>
      </c>
      <c r="I10" s="61">
        <f t="shared" si="2"/>
        <v>27</v>
      </c>
      <c r="J10" s="61">
        <f t="shared" si="3"/>
        <v>59</v>
      </c>
      <c r="K10" s="61">
        <f t="shared" si="4"/>
        <v>50</v>
      </c>
      <c r="L10" s="61" t="str">
        <f>IFERROR(VLOOKUP(MID(G10,J10,K10-J10),[5]skilldef!$C:$D,2,FALSE),"-") &amp; " / " &amp; IFERROR(VLOOKUP(MID(G10,H10,I10-H10),[5]skilldef!$A:$B,2,FALSE),"-")</f>
        <v>- / -</v>
      </c>
      <c r="M10" s="61" t="str">
        <f t="shared" si="5"/>
        <v>[effect:rush, count:1, val:1]</v>
      </c>
      <c r="N10" s="47" t="str">
        <f t="shared" si="6"/>
        <v>[effect:rush, count:1, val:1]</v>
      </c>
      <c r="O10" s="61">
        <f t="shared" si="7"/>
        <v>9</v>
      </c>
      <c r="P10" s="61">
        <f t="shared" si="8"/>
        <v>13</v>
      </c>
      <c r="Q10" s="61" t="e">
        <f t="shared" si="9"/>
        <v>#VALUE!</v>
      </c>
      <c r="R10" s="61">
        <f t="shared" si="10"/>
        <v>22</v>
      </c>
      <c r="S10" s="61" t="str">
        <f>IFERROR(VLOOKUP(MID(N10,Q10,R10-Q10),[5]skilldef!$C:$D,2,FALSE),"-") &amp; " / " &amp; IFERROR(VLOOKUP(MID(N10,O10,P10-O10),[5]skilldef!$A:$B,2,FALSE),"-")</f>
        <v>- / 連続攻撃</v>
      </c>
      <c r="T10" s="47" t="str">
        <f t="shared" si="11"/>
        <v>none</v>
      </c>
      <c r="U10" s="61" t="e">
        <f t="shared" si="12"/>
        <v>#VALUE!</v>
      </c>
      <c r="V10" s="61">
        <f t="shared" si="13"/>
        <v>4</v>
      </c>
      <c r="W10" s="61" t="e">
        <f t="shared" si="14"/>
        <v>#VALUE!</v>
      </c>
      <c r="X10" s="61" t="e">
        <f t="shared" si="15"/>
        <v>#VALUE!</v>
      </c>
      <c r="Y10" s="61" t="str">
        <f>IFERROR(VLOOKUP(MID(T10,W10,X10-W10),[5]skilldef!$C:$D,2,FALSE),"-") &amp; " / " &amp; IFERROR(VLOOKUP(MID(T10,U10,V10-U10),[5]skilldef!$A:$B,2,FALSE),"-")</f>
        <v>- / -</v>
      </c>
      <c r="Z10" s="49"/>
      <c r="AA10" s="51"/>
      <c r="AB10" s="49"/>
    </row>
    <row r="11" spans="1:28" ht="36" customHeight="1" x14ac:dyDescent="0.15">
      <c r="A11" s="110">
        <v>65527010</v>
      </c>
      <c r="B11" s="46" t="s">
        <v>272</v>
      </c>
      <c r="C11" s="49">
        <v>1</v>
      </c>
      <c r="D11" s="49" t="s">
        <v>127</v>
      </c>
      <c r="E11" s="50" t="s">
        <v>342</v>
      </c>
      <c r="F11" s="50" t="s">
        <v>340</v>
      </c>
      <c r="G11" s="61" t="str">
        <f t="shared" si="0"/>
        <v>[effect:panel_freeze, target:normal, color:block_green, count:3]</v>
      </c>
      <c r="H11" s="61">
        <f t="shared" si="1"/>
        <v>9</v>
      </c>
      <c r="I11" s="61">
        <f t="shared" si="2"/>
        <v>21</v>
      </c>
      <c r="J11" s="61">
        <f t="shared" si="3"/>
        <v>30</v>
      </c>
      <c r="K11" s="61">
        <f t="shared" si="4"/>
        <v>36</v>
      </c>
      <c r="L11" s="61" t="str">
        <f>IFERROR(VLOOKUP(MID(G11,J11,K11-J11),[5]skilldef!$C:$D,2,FALSE),"-") &amp; " / " &amp; IFERROR(VLOOKUP(MID(G11,H11,I11-H11),[5]skilldef!$A:$B,2,FALSE),"-")</f>
        <v>- / -</v>
      </c>
      <c r="M11" s="61" t="str">
        <f t="shared" si="5"/>
        <v>none</v>
      </c>
      <c r="N11" s="47" t="str">
        <f>IFERROR(LEFT(M11,FIND("],",M11)+#REF!),M11)</f>
        <v>none</v>
      </c>
      <c r="O11" s="61" t="e">
        <f t="shared" si="7"/>
        <v>#VALUE!</v>
      </c>
      <c r="P11" s="61">
        <f t="shared" si="8"/>
        <v>4</v>
      </c>
      <c r="Q11" s="61" t="e">
        <f t="shared" si="9"/>
        <v>#VALUE!</v>
      </c>
      <c r="R11" s="61" t="e">
        <f t="shared" si="10"/>
        <v>#VALUE!</v>
      </c>
      <c r="S11" s="61" t="str">
        <f>IFERROR(VLOOKUP(MID(N11,Q11,R11-Q11),[5]skilldef!$C:$D,2,FALSE),"-") &amp; " / " &amp; IFERROR(VLOOKUP(MID(N11,O11,P11-O11),[5]skilldef!$A:$B,2,FALSE),"-")</f>
        <v>- / -</v>
      </c>
      <c r="T11" s="47" t="str">
        <f t="shared" si="11"/>
        <v>none</v>
      </c>
      <c r="U11" s="61" t="e">
        <f t="shared" si="12"/>
        <v>#VALUE!</v>
      </c>
      <c r="V11" s="61">
        <f t="shared" si="13"/>
        <v>4</v>
      </c>
      <c r="W11" s="61" t="e">
        <f t="shared" si="14"/>
        <v>#VALUE!</v>
      </c>
      <c r="X11" s="61" t="e">
        <f t="shared" si="15"/>
        <v>#VALUE!</v>
      </c>
      <c r="Y11" s="61" t="str">
        <f>IFERROR(VLOOKUP(MID(T11,W11,X11-W11),[5]skilldef!$C:$D,2,FALSE),"-") &amp; " / " &amp; IFERROR(VLOOKUP(MID(T11,U11,V11-U11),[5]skilldef!$A:$B,2,FALSE),"-")</f>
        <v>- / -</v>
      </c>
      <c r="Z11" s="49"/>
      <c r="AA11" s="51"/>
      <c r="AB11" s="49"/>
    </row>
    <row r="12" spans="1:28" ht="21" customHeight="1" x14ac:dyDescent="0.15">
      <c r="A12" s="110">
        <v>65527011</v>
      </c>
      <c r="B12" s="46" t="s">
        <v>262</v>
      </c>
      <c r="C12" s="49">
        <v>1</v>
      </c>
      <c r="D12" s="49" t="s">
        <v>127</v>
      </c>
      <c r="E12" s="50" t="s">
        <v>298</v>
      </c>
      <c r="F12" s="50" t="s">
        <v>301</v>
      </c>
      <c r="G12" s="61" t="str">
        <f t="shared" si="0"/>
        <v>[effect:rush, count:2, val:0.8]</v>
      </c>
      <c r="H12" s="61">
        <f t="shared" si="1"/>
        <v>9</v>
      </c>
      <c r="I12" s="61">
        <f t="shared" si="2"/>
        <v>13</v>
      </c>
      <c r="J12" s="61" t="e">
        <f t="shared" si="3"/>
        <v>#VALUE!</v>
      </c>
      <c r="K12" s="61">
        <f t="shared" si="4"/>
        <v>22</v>
      </c>
      <c r="L12" s="61" t="str">
        <f>IFERROR(VLOOKUP(MID(G12,J12,K12-J12),[5]skilldef!$C:$D,2,FALSE),"-") &amp; " / " &amp; IFERROR(VLOOKUP(MID(G12,H12,I12-H12),[5]skilldef!$A:$B,2,FALSE),"-")</f>
        <v>- / 連続攻撃</v>
      </c>
      <c r="M12" s="61" t="str">
        <f t="shared" si="5"/>
        <v>none</v>
      </c>
      <c r="N12" s="47" t="str">
        <f>IFERROR(LEFT(M12,FIND("],",M12)+#REF!),M12)</f>
        <v>none</v>
      </c>
      <c r="O12" s="61" t="e">
        <f t="shared" si="7"/>
        <v>#VALUE!</v>
      </c>
      <c r="P12" s="61">
        <f t="shared" si="8"/>
        <v>4</v>
      </c>
      <c r="Q12" s="61" t="e">
        <f t="shared" si="9"/>
        <v>#VALUE!</v>
      </c>
      <c r="R12" s="61" t="e">
        <f t="shared" si="10"/>
        <v>#VALUE!</v>
      </c>
      <c r="S12" s="61" t="str">
        <f>IFERROR(VLOOKUP(MID(N12,Q12,R12-Q12),[5]skilldef!$C:$D,2,FALSE),"-") &amp; " / " &amp; IFERROR(VLOOKUP(MID(N12,O12,P12-O12),[5]skilldef!$A:$B,2,FALSE),"-")</f>
        <v>- / -</v>
      </c>
      <c r="T12" s="47" t="str">
        <f t="shared" si="11"/>
        <v>none</v>
      </c>
      <c r="U12" s="61" t="e">
        <f t="shared" si="12"/>
        <v>#VALUE!</v>
      </c>
      <c r="V12" s="61">
        <f t="shared" si="13"/>
        <v>4</v>
      </c>
      <c r="W12" s="61" t="e">
        <f t="shared" si="14"/>
        <v>#VALUE!</v>
      </c>
      <c r="X12" s="61" t="e">
        <f t="shared" si="15"/>
        <v>#VALUE!</v>
      </c>
      <c r="Y12" s="61" t="str">
        <f>IFERROR(VLOOKUP(MID(T12,W12,X12-W12),[5]skilldef!$C:$D,2,FALSE),"-") &amp; " / " &amp; IFERROR(VLOOKUP(MID(T12,U12,V12-U12),[5]skilldef!$A:$B,2,FALSE),"-")</f>
        <v>- / -</v>
      </c>
      <c r="Z12" s="49"/>
      <c r="AA12" s="51"/>
      <c r="AB12" s="49"/>
    </row>
    <row r="13" spans="1:28" ht="21" customHeight="1" x14ac:dyDescent="0.15">
      <c r="A13" s="110">
        <v>65527012</v>
      </c>
      <c r="B13" s="46" t="s">
        <v>331</v>
      </c>
      <c r="C13" s="49">
        <v>1</v>
      </c>
      <c r="D13" s="49" t="s">
        <v>127</v>
      </c>
      <c r="E13" s="50" t="s">
        <v>304</v>
      </c>
      <c r="F13" s="50" t="s">
        <v>305</v>
      </c>
      <c r="G13" s="61" t="str">
        <f t="shared" si="0"/>
        <v>[effect:damage_fix_pierce, target:unit_one, color:green, val:1800]</v>
      </c>
      <c r="H13" s="61">
        <f t="shared" si="1"/>
        <v>9</v>
      </c>
      <c r="I13" s="61">
        <f t="shared" si="2"/>
        <v>26</v>
      </c>
      <c r="J13" s="61">
        <f t="shared" si="3"/>
        <v>35</v>
      </c>
      <c r="K13" s="61">
        <f t="shared" si="4"/>
        <v>43</v>
      </c>
      <c r="L13" s="61" t="str">
        <f>IFERROR(VLOOKUP(MID(G13,J13,K13-J13),[5]skilldef!$C:$D,2,FALSE),"-") &amp; " / " &amp; IFERROR(VLOOKUP(MID(G13,H13,I13-H13),[5]skilldef!$A:$B,2,FALSE),"-")</f>
        <v>味方単体に / -</v>
      </c>
      <c r="M13" s="61" t="str">
        <f t="shared" si="5"/>
        <v>none</v>
      </c>
      <c r="N13" s="47" t="str">
        <f>IFERROR(LEFT(M13,FIND("],",M13)+#REF!),M13)</f>
        <v>none</v>
      </c>
      <c r="O13" s="61" t="e">
        <f t="shared" si="7"/>
        <v>#VALUE!</v>
      </c>
      <c r="P13" s="61">
        <f t="shared" si="8"/>
        <v>4</v>
      </c>
      <c r="Q13" s="61" t="e">
        <f t="shared" si="9"/>
        <v>#VALUE!</v>
      </c>
      <c r="R13" s="61" t="e">
        <f t="shared" si="10"/>
        <v>#VALUE!</v>
      </c>
      <c r="S13" s="61" t="str">
        <f>IFERROR(VLOOKUP(MID(N13,Q13,R13-Q13),[5]skilldef!$C:$D,2,FALSE),"-") &amp; " / " &amp; IFERROR(VLOOKUP(MID(N13,O13,P13-O13),[5]skilldef!$A:$B,2,FALSE),"-")</f>
        <v>- / -</v>
      </c>
      <c r="T13" s="47" t="str">
        <f t="shared" si="11"/>
        <v>none</v>
      </c>
      <c r="U13" s="61" t="e">
        <f t="shared" si="12"/>
        <v>#VALUE!</v>
      </c>
      <c r="V13" s="61">
        <f t="shared" si="13"/>
        <v>4</v>
      </c>
      <c r="W13" s="61" t="e">
        <f t="shared" si="14"/>
        <v>#VALUE!</v>
      </c>
      <c r="X13" s="61" t="e">
        <f t="shared" si="15"/>
        <v>#VALUE!</v>
      </c>
      <c r="Y13" s="61" t="str">
        <f>IFERROR(VLOOKUP(MID(T13,W13,X13-W13),[5]skilldef!$C:$D,2,FALSE),"-") &amp; " / " &amp; IFERROR(VLOOKUP(MID(T13,U13,V13-U13),[5]skilldef!$A:$B,2,FALSE),"-")</f>
        <v>- / -</v>
      </c>
      <c r="Z13" s="49"/>
      <c r="AA13" s="51"/>
      <c r="AB13" s="49"/>
    </row>
    <row r="14" spans="1:28" ht="21" customHeight="1" x14ac:dyDescent="0.15">
      <c r="A14" s="111">
        <v>65527013</v>
      </c>
      <c r="B14" s="46" t="s">
        <v>334</v>
      </c>
      <c r="C14" s="49">
        <v>1</v>
      </c>
      <c r="D14" s="49" t="s">
        <v>127</v>
      </c>
      <c r="E14" s="50" t="s">
        <v>306</v>
      </c>
      <c r="F14" s="50" t="s">
        <v>347</v>
      </c>
      <c r="G14" s="61" t="str">
        <f t="shared" si="0"/>
        <v>[effect:panel_freeze, target:normal, color:block_green, count:5]</v>
      </c>
      <c r="H14" s="61">
        <f t="shared" si="1"/>
        <v>9</v>
      </c>
      <c r="I14" s="61">
        <f t="shared" si="2"/>
        <v>21</v>
      </c>
      <c r="J14" s="61">
        <f t="shared" si="3"/>
        <v>30</v>
      </c>
      <c r="K14" s="61">
        <f t="shared" si="4"/>
        <v>36</v>
      </c>
      <c r="L14" s="61" t="str">
        <f>IFERROR(VLOOKUP(MID(G14,J14,K14-J14),[5]skilldef!$C:$D,2,FALSE),"-") &amp; " / " &amp; IFERROR(VLOOKUP(MID(G14,H14,I14-H14),[5]skilldef!$A:$B,2,FALSE),"-")</f>
        <v>- / -</v>
      </c>
      <c r="M14" s="61" t="str">
        <f t="shared" si="5"/>
        <v>[effect:damage_gravity, val:0.3, animation:fevergauge_down]</v>
      </c>
      <c r="N14" s="47" t="str">
        <f>IFERROR(LEFT(M14,FIND("],",M14)+#REF!),M14)</f>
        <v>[effect:damage_gravity, val:0.3, animation:fevergauge_down]</v>
      </c>
      <c r="O14" s="61">
        <f t="shared" si="7"/>
        <v>9</v>
      </c>
      <c r="P14" s="61">
        <f t="shared" si="8"/>
        <v>23</v>
      </c>
      <c r="Q14" s="61" t="e">
        <f t="shared" si="9"/>
        <v>#VALUE!</v>
      </c>
      <c r="R14" s="61">
        <f t="shared" si="10"/>
        <v>32</v>
      </c>
      <c r="S14" s="61" t="str">
        <f>IFERROR(VLOOKUP(MID(N14,Q14,R14-Q14),[5]skilldef!$C:$D,2,FALSE),"-") &amp; " / " &amp; IFERROR(VLOOKUP(MID(N14,O14,P14-O14),[5]skilldef!$A:$B,2,FALSE),"-")</f>
        <v>- / 割合ダメージ</v>
      </c>
      <c r="T14" s="47" t="str">
        <f t="shared" si="11"/>
        <v>none</v>
      </c>
      <c r="U14" s="61" t="e">
        <f t="shared" si="12"/>
        <v>#VALUE!</v>
      </c>
      <c r="V14" s="61">
        <f t="shared" si="13"/>
        <v>4</v>
      </c>
      <c r="W14" s="61" t="e">
        <f t="shared" si="14"/>
        <v>#VALUE!</v>
      </c>
      <c r="X14" s="61" t="e">
        <f t="shared" si="15"/>
        <v>#VALUE!</v>
      </c>
      <c r="Y14" s="61" t="str">
        <f>IFERROR(VLOOKUP(MID(T14,W14,X14-W14),[5]skilldef!$C:$D,2,FALSE),"-") &amp; " / " &amp; IFERROR(VLOOKUP(MID(T14,U14,V14-U14),[5]skilldef!$A:$B,2,FALSE),"-")</f>
        <v>- / -</v>
      </c>
      <c r="Z14" s="49"/>
      <c r="AA14" s="51"/>
      <c r="AB14" s="49"/>
    </row>
    <row r="15" spans="1:28" ht="21" customHeight="1" x14ac:dyDescent="0.15">
      <c r="A15" s="111">
        <v>65527014</v>
      </c>
      <c r="B15" s="46" t="s">
        <v>332</v>
      </c>
      <c r="C15" s="49">
        <v>1</v>
      </c>
      <c r="D15" s="49" t="s">
        <v>127</v>
      </c>
      <c r="E15" s="50" t="s">
        <v>308</v>
      </c>
      <c r="F15" s="50" t="s">
        <v>348</v>
      </c>
      <c r="G15" s="61" t="str">
        <f t="shared" si="0"/>
        <v>[effect:panel_freeze, target:normal, color:block_green, count:3]</v>
      </c>
      <c r="H15" s="61">
        <f t="shared" si="1"/>
        <v>9</v>
      </c>
      <c r="I15" s="61">
        <f t="shared" si="2"/>
        <v>21</v>
      </c>
      <c r="J15" s="61">
        <f t="shared" si="3"/>
        <v>30</v>
      </c>
      <c r="K15" s="61">
        <f t="shared" si="4"/>
        <v>36</v>
      </c>
      <c r="L15" s="61" t="str">
        <f>IFERROR(VLOOKUP(MID(G15,J15,K15-J15),[5]skilldef!$C:$D,2,FALSE),"-") &amp; " / " &amp; IFERROR(VLOOKUP(MID(G15,H15,I15-H15),[5]skilldef!$A:$B,2,FALSE),"-")</f>
        <v>- / -</v>
      </c>
      <c r="M15" s="61" t="str">
        <f t="shared" si="5"/>
        <v>[effect:rush, count:2, val:0.8]</v>
      </c>
      <c r="N15" s="47" t="str">
        <f>IFERROR(LEFT(M15,FIND("],",M15)+#REF!),M15)</f>
        <v>[effect:rush, count:2, val:0.8]</v>
      </c>
      <c r="O15" s="61">
        <f t="shared" si="7"/>
        <v>9</v>
      </c>
      <c r="P15" s="61">
        <f t="shared" si="8"/>
        <v>13</v>
      </c>
      <c r="Q15" s="61" t="e">
        <f t="shared" si="9"/>
        <v>#VALUE!</v>
      </c>
      <c r="R15" s="61">
        <f t="shared" si="10"/>
        <v>22</v>
      </c>
      <c r="S15" s="61" t="str">
        <f>IFERROR(VLOOKUP(MID(N15,Q15,R15-Q15),[5]skilldef!$C:$D,2,FALSE),"-") &amp; " / " &amp; IFERROR(VLOOKUP(MID(N15,O15,P15-O15),[5]skilldef!$A:$B,2,FALSE),"-")</f>
        <v>- / 連続攻撃</v>
      </c>
      <c r="T15" s="47" t="str">
        <f t="shared" si="11"/>
        <v>none</v>
      </c>
      <c r="U15" s="61" t="e">
        <f t="shared" si="12"/>
        <v>#VALUE!</v>
      </c>
      <c r="V15" s="61">
        <f t="shared" si="13"/>
        <v>4</v>
      </c>
      <c r="W15" s="61" t="e">
        <f t="shared" si="14"/>
        <v>#VALUE!</v>
      </c>
      <c r="X15" s="61" t="e">
        <f t="shared" si="15"/>
        <v>#VALUE!</v>
      </c>
      <c r="Y15" s="61" t="str">
        <f>IFERROR(VLOOKUP(MID(T15,W15,X15-W15),[5]skilldef!$C:$D,2,FALSE),"-") &amp; " / " &amp; IFERROR(VLOOKUP(MID(T15,U15,V15-U15),[5]skilldef!$A:$B,2,FALSE),"-")</f>
        <v>- / -</v>
      </c>
      <c r="Z15" s="49"/>
      <c r="AA15" s="51"/>
      <c r="AB15" s="49"/>
    </row>
    <row r="16" spans="1:28" ht="21" customHeight="1" x14ac:dyDescent="0.15">
      <c r="A16" s="111">
        <v>65527015</v>
      </c>
      <c r="B16" s="46" t="s">
        <v>358</v>
      </c>
      <c r="C16" s="49">
        <v>1</v>
      </c>
      <c r="D16" s="49" t="s">
        <v>127</v>
      </c>
      <c r="E16" s="50" t="s">
        <v>309</v>
      </c>
      <c r="F16" s="50" t="s">
        <v>349</v>
      </c>
      <c r="G16" s="61" t="str">
        <f t="shared" si="0"/>
        <v>[effect:force_change_block, new_block:block_green, target:normal, ignore01:block_positive, ignore02:block_negative, count:4, val:0, animation:change_block]</v>
      </c>
      <c r="H16" s="61">
        <f t="shared" si="1"/>
        <v>9</v>
      </c>
      <c r="I16" s="61">
        <f t="shared" si="2"/>
        <v>27</v>
      </c>
      <c r="J16" s="61">
        <f t="shared" si="3"/>
        <v>59</v>
      </c>
      <c r="K16" s="61">
        <f t="shared" si="4"/>
        <v>50</v>
      </c>
      <c r="L16" s="61" t="str">
        <f>IFERROR(VLOOKUP(MID(G16,J16,K16-J16),[5]skilldef!$C:$D,2,FALSE),"-") &amp; " / " &amp; IFERROR(VLOOKUP(MID(G16,H16,I16-H16),[5]skilldef!$A:$B,2,FALSE),"-")</f>
        <v>- / -</v>
      </c>
      <c r="M16" s="61" t="str">
        <f t="shared" si="5"/>
        <v>[effect:rush, count:1, val:1]</v>
      </c>
      <c r="N16" s="47" t="str">
        <f>IFERROR(LEFT(M16,FIND("],",M16)+#REF!),M16)</f>
        <v>[effect:rush, count:1, val:1]</v>
      </c>
      <c r="O16" s="61">
        <f t="shared" si="7"/>
        <v>9</v>
      </c>
      <c r="P16" s="61">
        <f t="shared" si="8"/>
        <v>13</v>
      </c>
      <c r="Q16" s="61" t="e">
        <f t="shared" si="9"/>
        <v>#VALUE!</v>
      </c>
      <c r="R16" s="61">
        <f t="shared" si="10"/>
        <v>22</v>
      </c>
      <c r="S16" s="61" t="str">
        <f>IFERROR(VLOOKUP(MID(N16,Q16,R16-Q16),[5]skilldef!$C:$D,2,FALSE),"-") &amp; " / " &amp; IFERROR(VLOOKUP(MID(N16,O16,P16-O16),[5]skilldef!$A:$B,2,FALSE),"-")</f>
        <v>- / 連続攻撃</v>
      </c>
      <c r="T16" s="47" t="str">
        <f t="shared" si="11"/>
        <v>none</v>
      </c>
      <c r="U16" s="61" t="e">
        <f t="shared" si="12"/>
        <v>#VALUE!</v>
      </c>
      <c r="V16" s="61">
        <f t="shared" si="13"/>
        <v>4</v>
      </c>
      <c r="W16" s="61" t="e">
        <f t="shared" si="14"/>
        <v>#VALUE!</v>
      </c>
      <c r="X16" s="61" t="e">
        <f t="shared" si="15"/>
        <v>#VALUE!</v>
      </c>
      <c r="Y16" s="61" t="str">
        <f>IFERROR(VLOOKUP(MID(T16,W16,X16-W16),[5]skilldef!$C:$D,2,FALSE),"-") &amp; " / " &amp; IFERROR(VLOOKUP(MID(T16,U16,V16-U16),[5]skilldef!$A:$B,2,FALSE),"-")</f>
        <v>- / -</v>
      </c>
      <c r="Z16" s="49"/>
      <c r="AA16" s="51"/>
      <c r="AB16" s="49"/>
    </row>
    <row r="17" spans="1:28" ht="21" customHeight="1" x14ac:dyDescent="0.15">
      <c r="A17" s="111">
        <v>65527016</v>
      </c>
      <c r="B17" s="46" t="s">
        <v>327</v>
      </c>
      <c r="C17" s="49">
        <v>1</v>
      </c>
      <c r="D17" s="49" t="s">
        <v>127</v>
      </c>
      <c r="E17" s="50" t="s">
        <v>307</v>
      </c>
      <c r="F17" s="50" t="s">
        <v>350</v>
      </c>
      <c r="G17" s="61" t="str">
        <f t="shared" si="0"/>
        <v>[effect:panel_freeze, target:normal, color:block_red, count:5]</v>
      </c>
      <c r="H17" s="61">
        <f t="shared" si="1"/>
        <v>9</v>
      </c>
      <c r="I17" s="61">
        <f t="shared" si="2"/>
        <v>21</v>
      </c>
      <c r="J17" s="61">
        <f t="shared" si="3"/>
        <v>30</v>
      </c>
      <c r="K17" s="61">
        <f t="shared" si="4"/>
        <v>36</v>
      </c>
      <c r="L17" s="61" t="str">
        <f>IFERROR(VLOOKUP(MID(G17,J17,K17-J17),[5]skilldef!$C:$D,2,FALSE),"-") &amp; " / " &amp; IFERROR(VLOOKUP(MID(G17,H17,I17-H17),[5]skilldef!$A:$B,2,FALSE),"-")</f>
        <v>- / -</v>
      </c>
      <c r="M17" s="61" t="str">
        <f t="shared" si="5"/>
        <v>[effect:damage_fix_pierce, target:unit_one, color:green, val:2000]</v>
      </c>
      <c r="N17" s="47" t="str">
        <f>IFERROR(LEFT(M17,FIND("],",M17)+#REF!),M17)</f>
        <v>[effect:damage_fix_pierce, target:unit_one, color:green, val:2000]</v>
      </c>
      <c r="O17" s="61">
        <f t="shared" si="7"/>
        <v>9</v>
      </c>
      <c r="P17" s="61">
        <f t="shared" si="8"/>
        <v>26</v>
      </c>
      <c r="Q17" s="61">
        <f t="shared" si="9"/>
        <v>35</v>
      </c>
      <c r="R17" s="61">
        <f t="shared" si="10"/>
        <v>43</v>
      </c>
      <c r="S17" s="61" t="str">
        <f>IFERROR(VLOOKUP(MID(N17,Q17,R17-Q17),[5]skilldef!$C:$D,2,FALSE),"-") &amp; " / " &amp; IFERROR(VLOOKUP(MID(N17,O17,P17-O17),[5]skilldef!$A:$B,2,FALSE),"-")</f>
        <v>味方単体に / -</v>
      </c>
      <c r="T17" s="47" t="str">
        <f t="shared" si="11"/>
        <v>none</v>
      </c>
      <c r="U17" s="61" t="e">
        <f t="shared" si="12"/>
        <v>#VALUE!</v>
      </c>
      <c r="V17" s="61">
        <f t="shared" si="13"/>
        <v>4</v>
      </c>
      <c r="W17" s="61" t="e">
        <f t="shared" si="14"/>
        <v>#VALUE!</v>
      </c>
      <c r="X17" s="61" t="e">
        <f t="shared" si="15"/>
        <v>#VALUE!</v>
      </c>
      <c r="Y17" s="61" t="str">
        <f>IFERROR(VLOOKUP(MID(T17,W17,X17-W17),[5]skilldef!$C:$D,2,FALSE),"-") &amp; " / " &amp; IFERROR(VLOOKUP(MID(T17,U17,V17-U17),[5]skilldef!$A:$B,2,FALSE),"-")</f>
        <v>- / -</v>
      </c>
      <c r="Z17" s="49"/>
      <c r="AA17" s="51"/>
      <c r="AB17" s="49"/>
    </row>
    <row r="18" spans="1:28" ht="21" customHeight="1" x14ac:dyDescent="0.15">
      <c r="A18" s="113">
        <v>65527017</v>
      </c>
      <c r="B18" s="46" t="s">
        <v>291</v>
      </c>
      <c r="C18" s="49">
        <v>1</v>
      </c>
      <c r="D18" s="49" t="s">
        <v>127</v>
      </c>
      <c r="E18" s="50" t="s">
        <v>310</v>
      </c>
      <c r="F18" s="50" t="s">
        <v>333</v>
      </c>
      <c r="G18" s="61" t="str">
        <f t="shared" si="0"/>
        <v>[effect:panel_freeze, target:normal, color:block_green, count:5]</v>
      </c>
      <c r="H18" s="61">
        <f t="shared" si="1"/>
        <v>9</v>
      </c>
      <c r="I18" s="61">
        <f t="shared" si="2"/>
        <v>21</v>
      </c>
      <c r="J18" s="61">
        <f t="shared" si="3"/>
        <v>30</v>
      </c>
      <c r="K18" s="61">
        <f t="shared" si="4"/>
        <v>36</v>
      </c>
      <c r="L18" s="61" t="str">
        <f>IFERROR(VLOOKUP(MID(G18,J18,K18-J18),[5]skilldef!$C:$D,2,FALSE),"-") &amp; " / " &amp; IFERROR(VLOOKUP(MID(G18,H18,I18-H18),[5]skilldef!$A:$B,2,FALSE),"-")</f>
        <v>- / -</v>
      </c>
      <c r="M18" s="61" t="str">
        <f t="shared" si="5"/>
        <v>none</v>
      </c>
      <c r="N18" s="47" t="str">
        <f>IFERROR(LEFT(M18,FIND("],",M18)+#REF!),M18)</f>
        <v>none</v>
      </c>
      <c r="O18" s="61" t="e">
        <f t="shared" si="7"/>
        <v>#VALUE!</v>
      </c>
      <c r="P18" s="61">
        <f t="shared" si="8"/>
        <v>4</v>
      </c>
      <c r="Q18" s="61" t="e">
        <f t="shared" si="9"/>
        <v>#VALUE!</v>
      </c>
      <c r="R18" s="61" t="e">
        <f t="shared" si="10"/>
        <v>#VALUE!</v>
      </c>
      <c r="S18" s="61" t="str">
        <f>IFERROR(VLOOKUP(MID(N18,Q18,R18-Q18),[5]skilldef!$C:$D,2,FALSE),"-") &amp; " / " &amp; IFERROR(VLOOKUP(MID(N18,O18,P18-O18),[5]skilldef!$A:$B,2,FALSE),"-")</f>
        <v>- / -</v>
      </c>
      <c r="T18" s="47" t="str">
        <f t="shared" si="11"/>
        <v>none</v>
      </c>
      <c r="U18" s="61" t="e">
        <f t="shared" si="12"/>
        <v>#VALUE!</v>
      </c>
      <c r="V18" s="61">
        <f t="shared" si="13"/>
        <v>4</v>
      </c>
      <c r="W18" s="61" t="e">
        <f t="shared" si="14"/>
        <v>#VALUE!</v>
      </c>
      <c r="X18" s="61" t="e">
        <f t="shared" si="15"/>
        <v>#VALUE!</v>
      </c>
      <c r="Y18" s="61" t="str">
        <f>IFERROR(VLOOKUP(MID(T18,W18,X18-W18),[5]skilldef!$C:$D,2,FALSE),"-") &amp; " / " &amp; IFERROR(VLOOKUP(MID(T18,U18,V18-U18),[5]skilldef!$A:$B,2,FALSE),"-")</f>
        <v>- / -</v>
      </c>
      <c r="Z18" s="49"/>
      <c r="AA18" s="51"/>
      <c r="AB18" s="49"/>
    </row>
    <row r="19" spans="1:28" ht="21" customHeight="1" x14ac:dyDescent="0.15">
      <c r="A19" s="113">
        <v>65527018</v>
      </c>
      <c r="B19" s="46" t="s">
        <v>292</v>
      </c>
      <c r="C19" s="49">
        <v>1</v>
      </c>
      <c r="D19" s="49" t="s">
        <v>127</v>
      </c>
      <c r="E19" s="50" t="s">
        <v>311</v>
      </c>
      <c r="F19" s="50" t="s">
        <v>351</v>
      </c>
      <c r="G19" s="61" t="str">
        <f t="shared" si="0"/>
        <v>[effect:panel_freeze, target:normal, color:block_green, count:3]</v>
      </c>
      <c r="H19" s="61">
        <f t="shared" si="1"/>
        <v>9</v>
      </c>
      <c r="I19" s="61">
        <f t="shared" si="2"/>
        <v>21</v>
      </c>
      <c r="J19" s="61">
        <f t="shared" si="3"/>
        <v>30</v>
      </c>
      <c r="K19" s="61">
        <f t="shared" si="4"/>
        <v>36</v>
      </c>
      <c r="L19" s="61" t="str">
        <f>IFERROR(VLOOKUP(MID(G19,J19,K19-J19),[5]skilldef!$C:$D,2,FALSE),"-") &amp; " / " &amp; IFERROR(VLOOKUP(MID(G19,H19,I19-H19),[5]skilldef!$A:$B,2,FALSE),"-")</f>
        <v>- / -</v>
      </c>
      <c r="M19" s="61" t="str">
        <f t="shared" si="5"/>
        <v>[effect:rush, count:1, val:1]</v>
      </c>
      <c r="N19" s="47" t="str">
        <f>IFERROR(LEFT(M19,FIND("],",M19)+#REF!),M19)</f>
        <v>[effect:rush, count:1, val:1]</v>
      </c>
      <c r="O19" s="61">
        <f t="shared" si="7"/>
        <v>9</v>
      </c>
      <c r="P19" s="61">
        <f t="shared" si="8"/>
        <v>13</v>
      </c>
      <c r="Q19" s="61" t="e">
        <f t="shared" si="9"/>
        <v>#VALUE!</v>
      </c>
      <c r="R19" s="61">
        <f t="shared" si="10"/>
        <v>22</v>
      </c>
      <c r="S19" s="61" t="str">
        <f>IFERROR(VLOOKUP(MID(N19,Q19,R19-Q19),[5]skilldef!$C:$D,2,FALSE),"-") &amp; " / " &amp; IFERROR(VLOOKUP(MID(N19,O19,P19-O19),[5]skilldef!$A:$B,2,FALSE),"-")</f>
        <v>- / 連続攻撃</v>
      </c>
      <c r="T19" s="47" t="str">
        <f t="shared" si="11"/>
        <v>none</v>
      </c>
      <c r="U19" s="61" t="e">
        <f t="shared" si="12"/>
        <v>#VALUE!</v>
      </c>
      <c r="V19" s="61">
        <f t="shared" si="13"/>
        <v>4</v>
      </c>
      <c r="W19" s="61" t="e">
        <f t="shared" si="14"/>
        <v>#VALUE!</v>
      </c>
      <c r="X19" s="61" t="e">
        <f t="shared" si="15"/>
        <v>#VALUE!</v>
      </c>
      <c r="Y19" s="61" t="str">
        <f>IFERROR(VLOOKUP(MID(T19,W19,X19-W19),[5]skilldef!$C:$D,2,FALSE),"-") &amp; " / " &amp; IFERROR(VLOOKUP(MID(T19,U19,V19-U19),[5]skilldef!$A:$B,2,FALSE),"-")</f>
        <v>- / -</v>
      </c>
      <c r="Z19" s="49"/>
      <c r="AA19" s="51"/>
      <c r="AB19" s="49"/>
    </row>
    <row r="20" spans="1:28" ht="21" customHeight="1" x14ac:dyDescent="0.15">
      <c r="A20" s="113">
        <v>65527019</v>
      </c>
      <c r="B20" s="46" t="s">
        <v>359</v>
      </c>
      <c r="C20" s="49">
        <v>1</v>
      </c>
      <c r="D20" s="49" t="s">
        <v>127</v>
      </c>
      <c r="E20" s="50" t="s">
        <v>312</v>
      </c>
      <c r="F20" s="50" t="s">
        <v>352</v>
      </c>
      <c r="G20" s="61" t="str">
        <f t="shared" si="0"/>
        <v>[effect:force_change_block, new_block:block_green, target:normal, ignore01:block_positive, ignore02:block_negative, count:5, val:0, animation:change_block]</v>
      </c>
      <c r="H20" s="61">
        <f t="shared" si="1"/>
        <v>9</v>
      </c>
      <c r="I20" s="61">
        <f t="shared" si="2"/>
        <v>27</v>
      </c>
      <c r="J20" s="61">
        <f t="shared" si="3"/>
        <v>59</v>
      </c>
      <c r="K20" s="61">
        <f t="shared" si="4"/>
        <v>50</v>
      </c>
      <c r="L20" s="61" t="str">
        <f>IFERROR(VLOOKUP(MID(G20,J20,K20-J20),[5]skilldef!$C:$D,2,FALSE),"-") &amp; " / " &amp; IFERROR(VLOOKUP(MID(G20,H20,I20-H20),[5]skilldef!$A:$B,2,FALSE),"-")</f>
        <v>- / -</v>
      </c>
      <c r="M20" s="61" t="str">
        <f t="shared" si="5"/>
        <v>none</v>
      </c>
      <c r="N20" s="47" t="str">
        <f>IFERROR(LEFT(M20,FIND("],",M20)+#REF!),M20)</f>
        <v>none</v>
      </c>
      <c r="O20" s="61" t="e">
        <f t="shared" si="7"/>
        <v>#VALUE!</v>
      </c>
      <c r="P20" s="61">
        <f t="shared" si="8"/>
        <v>4</v>
      </c>
      <c r="Q20" s="61" t="e">
        <f t="shared" si="9"/>
        <v>#VALUE!</v>
      </c>
      <c r="R20" s="61" t="e">
        <f t="shared" si="10"/>
        <v>#VALUE!</v>
      </c>
      <c r="S20" s="61" t="str">
        <f>IFERROR(VLOOKUP(MID(N20,Q20,R20-Q20),[5]skilldef!$C:$D,2,FALSE),"-") &amp; " / " &amp; IFERROR(VLOOKUP(MID(N20,O20,P20-O20),[5]skilldef!$A:$B,2,FALSE),"-")</f>
        <v>- / -</v>
      </c>
      <c r="T20" s="47" t="str">
        <f t="shared" si="11"/>
        <v>none</v>
      </c>
      <c r="U20" s="61" t="e">
        <f t="shared" si="12"/>
        <v>#VALUE!</v>
      </c>
      <c r="V20" s="61">
        <f t="shared" si="13"/>
        <v>4</v>
      </c>
      <c r="W20" s="61" t="e">
        <f t="shared" si="14"/>
        <v>#VALUE!</v>
      </c>
      <c r="X20" s="61" t="e">
        <f t="shared" si="15"/>
        <v>#VALUE!</v>
      </c>
      <c r="Y20" s="61" t="str">
        <f>IFERROR(VLOOKUP(MID(T20,W20,X20-W20),[5]skilldef!$C:$D,2,FALSE),"-") &amp; " / " &amp; IFERROR(VLOOKUP(MID(T20,U20,V20-U20),[5]skilldef!$A:$B,2,FALSE),"-")</f>
        <v>- / -</v>
      </c>
      <c r="Z20" s="49"/>
      <c r="AA20" s="51"/>
      <c r="AB20" s="49"/>
    </row>
    <row r="21" spans="1:28" ht="21" customHeight="1" x14ac:dyDescent="0.15">
      <c r="A21" s="113">
        <v>65527020</v>
      </c>
      <c r="B21" s="46" t="s">
        <v>262</v>
      </c>
      <c r="C21" s="49">
        <v>1</v>
      </c>
      <c r="D21" s="49" t="s">
        <v>127</v>
      </c>
      <c r="E21" s="50" t="s">
        <v>313</v>
      </c>
      <c r="F21" s="50" t="s">
        <v>315</v>
      </c>
      <c r="G21" s="61" t="str">
        <f t="shared" ref="G21:G27" si="16">IFERROR(LEFT(B21,FIND("],",B21)),B21)</f>
        <v>[effect:rush, count:2, val:0.8]</v>
      </c>
      <c r="H21" s="61">
        <f t="shared" si="1"/>
        <v>9</v>
      </c>
      <c r="I21" s="61">
        <f t="shared" ref="I21:I27" si="17">IFERROR(FIND(",",G21),LEN(G21))</f>
        <v>13</v>
      </c>
      <c r="J21" s="61" t="e">
        <f t="shared" ref="J21:J27" si="18">FIND("target:",G21)+7</f>
        <v>#VALUE!</v>
      </c>
      <c r="K21" s="61">
        <f t="shared" ref="K21:K27" si="19">FIND(",",G21,I21+1)</f>
        <v>22</v>
      </c>
      <c r="L21" s="61" t="str">
        <f>IFERROR(VLOOKUP(MID(G21,J21,K21-J21),[5]skilldef!$C:$D,2,FALSE),"-") &amp; " / " &amp; IFERROR(VLOOKUP(MID(G21,H21,I21-H21),[5]skilldef!$A:$B,2,FALSE),"-")</f>
        <v>- / 連続攻撃</v>
      </c>
      <c r="M21" s="61" t="str">
        <f t="shared" ref="M21:M27" si="20">IFERROR(RIGHT(B21,LEN(B21)-FIND("],",B21)-1),"none")</f>
        <v>none</v>
      </c>
      <c r="N21" s="47" t="str">
        <f>IFERROR(LEFT(M21,FIND("],",M21)+#REF!),M21)</f>
        <v>none</v>
      </c>
      <c r="O21" s="61" t="e">
        <f t="shared" si="7"/>
        <v>#VALUE!</v>
      </c>
      <c r="P21" s="61">
        <f t="shared" ref="P21:P27" si="21">IFERROR(FIND(",",N21),LEN(N21))</f>
        <v>4</v>
      </c>
      <c r="Q21" s="61" t="e">
        <f t="shared" ref="Q21:Q27" si="22">FIND("target:",N21)+7</f>
        <v>#VALUE!</v>
      </c>
      <c r="R21" s="61" t="e">
        <f t="shared" ref="R21:R27" si="23">FIND(",",N21,P21+1)</f>
        <v>#VALUE!</v>
      </c>
      <c r="S21" s="61" t="str">
        <f>IFERROR(VLOOKUP(MID(N21,Q21,R21-Q21),[5]skilldef!$C:$D,2,FALSE),"-") &amp; " / " &amp; IFERROR(VLOOKUP(MID(N21,O21,P21-O21),[5]skilldef!$A:$B,2,FALSE),"-")</f>
        <v>- / -</v>
      </c>
      <c r="T21" s="47" t="str">
        <f t="shared" ref="T21:T27" si="24">IFERROR(RIGHT(M21,LEN(M21)-FIND("],",M21)-1),"none")</f>
        <v>none</v>
      </c>
      <c r="U21" s="61" t="e">
        <f t="shared" si="12"/>
        <v>#VALUE!</v>
      </c>
      <c r="V21" s="61">
        <f t="shared" ref="V21:V27" si="25">IFERROR(FIND(",",T21),LEN(T21))</f>
        <v>4</v>
      </c>
      <c r="W21" s="61" t="e">
        <f t="shared" ref="W21:W27" si="26">FIND("target:",T21)+7</f>
        <v>#VALUE!</v>
      </c>
      <c r="X21" s="61" t="e">
        <f t="shared" ref="X21:X27" si="27">FIND(",",T21,V21+1)</f>
        <v>#VALUE!</v>
      </c>
      <c r="Y21" s="61" t="str">
        <f>IFERROR(VLOOKUP(MID(T21,W21,X21-W21),[5]skilldef!$C:$D,2,FALSE),"-") &amp; " / " &amp; IFERROR(VLOOKUP(MID(T21,U21,V21-U21),[5]skilldef!$A:$B,2,FALSE),"-")</f>
        <v>- / -</v>
      </c>
      <c r="Z21" s="49"/>
      <c r="AA21" s="51"/>
      <c r="AB21" s="49"/>
    </row>
    <row r="22" spans="1:28" ht="39" customHeight="1" x14ac:dyDescent="0.15">
      <c r="A22" s="113">
        <v>65527021</v>
      </c>
      <c r="B22" s="46" t="s">
        <v>293</v>
      </c>
      <c r="C22" s="49">
        <v>1</v>
      </c>
      <c r="D22" s="49" t="s">
        <v>127</v>
      </c>
      <c r="E22" s="50" t="s">
        <v>343</v>
      </c>
      <c r="F22" s="50" t="s">
        <v>353</v>
      </c>
      <c r="G22" s="61" t="str">
        <f t="shared" si="16"/>
        <v>[effect:panel_freeze, target:normal, color:block_green, count:2]</v>
      </c>
      <c r="H22" s="61">
        <f t="shared" si="1"/>
        <v>9</v>
      </c>
      <c r="I22" s="61">
        <f t="shared" si="17"/>
        <v>21</v>
      </c>
      <c r="J22" s="61">
        <f t="shared" si="18"/>
        <v>30</v>
      </c>
      <c r="K22" s="61">
        <f t="shared" si="19"/>
        <v>36</v>
      </c>
      <c r="L22" s="61" t="str">
        <f>IFERROR(VLOOKUP(MID(G22,J22,K22-J22),[5]skilldef!$C:$D,2,FALSE),"-") &amp; " / " &amp; IFERROR(VLOOKUP(MID(G22,H22,I22-H22),[5]skilldef!$A:$B,2,FALSE),"-")</f>
        <v>- / -</v>
      </c>
      <c r="M22" s="61" t="str">
        <f t="shared" si="20"/>
        <v>[effect:rush, count:1, val:1]</v>
      </c>
      <c r="N22" s="47" t="str">
        <f>IFERROR(LEFT(M22,FIND("],",M22)+#REF!),M22)</f>
        <v>[effect:rush, count:1, val:1]</v>
      </c>
      <c r="O22" s="61">
        <f t="shared" si="7"/>
        <v>9</v>
      </c>
      <c r="P22" s="61">
        <f t="shared" si="21"/>
        <v>13</v>
      </c>
      <c r="Q22" s="61" t="e">
        <f t="shared" si="22"/>
        <v>#VALUE!</v>
      </c>
      <c r="R22" s="61">
        <f t="shared" si="23"/>
        <v>22</v>
      </c>
      <c r="S22" s="61" t="str">
        <f>IFERROR(VLOOKUP(MID(N22,Q22,R22-Q22),[5]skilldef!$C:$D,2,FALSE),"-") &amp; " / " &amp; IFERROR(VLOOKUP(MID(N22,O22,P22-O22),[5]skilldef!$A:$B,2,FALSE),"-")</f>
        <v>- / 連続攻撃</v>
      </c>
      <c r="T22" s="47" t="str">
        <f t="shared" si="24"/>
        <v>none</v>
      </c>
      <c r="U22" s="61" t="e">
        <f t="shared" si="12"/>
        <v>#VALUE!</v>
      </c>
      <c r="V22" s="61">
        <f t="shared" si="25"/>
        <v>4</v>
      </c>
      <c r="W22" s="61" t="e">
        <f t="shared" si="26"/>
        <v>#VALUE!</v>
      </c>
      <c r="X22" s="61" t="e">
        <f t="shared" si="27"/>
        <v>#VALUE!</v>
      </c>
      <c r="Y22" s="61" t="str">
        <f>IFERROR(VLOOKUP(MID(T22,W22,X22-W22),[5]skilldef!$C:$D,2,FALSE),"-") &amp; " / " &amp; IFERROR(VLOOKUP(MID(T22,U22,V22-U22),[5]skilldef!$A:$B,2,FALSE),"-")</f>
        <v>- / -</v>
      </c>
      <c r="Z22" s="49"/>
      <c r="AA22" s="51"/>
      <c r="AB22" s="49"/>
    </row>
    <row r="23" spans="1:28" ht="21" customHeight="1" x14ac:dyDescent="0.15">
      <c r="A23" s="115">
        <v>65527022</v>
      </c>
      <c r="B23" s="46" t="s">
        <v>334</v>
      </c>
      <c r="C23" s="49">
        <v>1</v>
      </c>
      <c r="D23" s="49" t="s">
        <v>127</v>
      </c>
      <c r="E23" s="50" t="s">
        <v>314</v>
      </c>
      <c r="F23" s="50" t="s">
        <v>347</v>
      </c>
      <c r="G23" s="61" t="str">
        <f t="shared" si="16"/>
        <v>[effect:panel_freeze, target:normal, color:block_green, count:5]</v>
      </c>
      <c r="H23" s="61">
        <f t="shared" si="1"/>
        <v>9</v>
      </c>
      <c r="I23" s="61">
        <f t="shared" si="17"/>
        <v>21</v>
      </c>
      <c r="J23" s="61">
        <f t="shared" si="18"/>
        <v>30</v>
      </c>
      <c r="K23" s="61">
        <f t="shared" si="19"/>
        <v>36</v>
      </c>
      <c r="L23" s="61" t="str">
        <f>IFERROR(VLOOKUP(MID(G23,J23,K23-J23),[5]skilldef!$C:$D,2,FALSE),"-") &amp; " / " &amp; IFERROR(VLOOKUP(MID(G23,H23,I23-H23),[5]skilldef!$A:$B,2,FALSE),"-")</f>
        <v>- / -</v>
      </c>
      <c r="M23" s="61" t="str">
        <f t="shared" si="20"/>
        <v>[effect:damage_gravity, val:0.3, animation:fevergauge_down]</v>
      </c>
      <c r="N23" s="47" t="str">
        <f>IFERROR(LEFT(M23,FIND("],",M23)+#REF!),M23)</f>
        <v>[effect:damage_gravity, val:0.3, animation:fevergauge_down]</v>
      </c>
      <c r="O23" s="61">
        <f t="shared" si="7"/>
        <v>9</v>
      </c>
      <c r="P23" s="61">
        <f t="shared" si="21"/>
        <v>23</v>
      </c>
      <c r="Q23" s="61" t="e">
        <f t="shared" si="22"/>
        <v>#VALUE!</v>
      </c>
      <c r="R23" s="61">
        <f t="shared" si="23"/>
        <v>32</v>
      </c>
      <c r="S23" s="61" t="str">
        <f>IFERROR(VLOOKUP(MID(N23,Q23,R23-Q23),[5]skilldef!$C:$D,2,FALSE),"-") &amp; " / " &amp; IFERROR(VLOOKUP(MID(N23,O23,P23-O23),[5]skilldef!$A:$B,2,FALSE),"-")</f>
        <v>- / 割合ダメージ</v>
      </c>
      <c r="T23" s="47" t="str">
        <f t="shared" si="24"/>
        <v>none</v>
      </c>
      <c r="U23" s="61" t="e">
        <f t="shared" si="12"/>
        <v>#VALUE!</v>
      </c>
      <c r="V23" s="61">
        <f t="shared" si="25"/>
        <v>4</v>
      </c>
      <c r="W23" s="61" t="e">
        <f t="shared" si="26"/>
        <v>#VALUE!</v>
      </c>
      <c r="X23" s="61" t="e">
        <f t="shared" si="27"/>
        <v>#VALUE!</v>
      </c>
      <c r="Y23" s="61" t="str">
        <f>IFERROR(VLOOKUP(MID(T23,W23,X23-W23),[5]skilldef!$C:$D,2,FALSE),"-") &amp; " / " &amp; IFERROR(VLOOKUP(MID(T23,U23,V23-U23),[5]skilldef!$A:$B,2,FALSE),"-")</f>
        <v>- / -</v>
      </c>
      <c r="Z23" s="49"/>
      <c r="AA23" s="51"/>
      <c r="AB23" s="49"/>
    </row>
    <row r="24" spans="1:28" ht="21" customHeight="1" x14ac:dyDescent="0.15">
      <c r="A24" s="115">
        <v>65527023</v>
      </c>
      <c r="B24" s="46" t="s">
        <v>292</v>
      </c>
      <c r="C24" s="49">
        <v>1</v>
      </c>
      <c r="D24" s="49" t="s">
        <v>127</v>
      </c>
      <c r="E24" s="50" t="s">
        <v>318</v>
      </c>
      <c r="F24" s="50" t="s">
        <v>354</v>
      </c>
      <c r="G24" s="61" t="str">
        <f t="shared" si="16"/>
        <v>[effect:panel_freeze, target:normal, color:block_green, count:3]</v>
      </c>
      <c r="H24" s="61">
        <f t="shared" si="1"/>
        <v>9</v>
      </c>
      <c r="I24" s="61">
        <f t="shared" si="17"/>
        <v>21</v>
      </c>
      <c r="J24" s="61">
        <f t="shared" si="18"/>
        <v>30</v>
      </c>
      <c r="K24" s="61">
        <f t="shared" si="19"/>
        <v>36</v>
      </c>
      <c r="L24" s="61" t="str">
        <f>IFERROR(VLOOKUP(MID(G24,J24,K24-J24),[5]skilldef!$C:$D,2,FALSE),"-") &amp; " / " &amp; IFERROR(VLOOKUP(MID(G24,H24,I24-H24),[5]skilldef!$A:$B,2,FALSE),"-")</f>
        <v>- / -</v>
      </c>
      <c r="M24" s="61" t="str">
        <f t="shared" si="20"/>
        <v>[effect:rush, count:1, val:1]</v>
      </c>
      <c r="N24" s="47" t="str">
        <f>IFERROR(LEFT(M24,FIND("],",M24)+#REF!),M24)</f>
        <v>[effect:rush, count:1, val:1]</v>
      </c>
      <c r="O24" s="61">
        <f t="shared" si="7"/>
        <v>9</v>
      </c>
      <c r="P24" s="61">
        <f t="shared" si="21"/>
        <v>13</v>
      </c>
      <c r="Q24" s="61" t="e">
        <f t="shared" si="22"/>
        <v>#VALUE!</v>
      </c>
      <c r="R24" s="61">
        <f t="shared" si="23"/>
        <v>22</v>
      </c>
      <c r="S24" s="61" t="str">
        <f>IFERROR(VLOOKUP(MID(N24,Q24,R24-Q24),[5]skilldef!$C:$D,2,FALSE),"-") &amp; " / " &amp; IFERROR(VLOOKUP(MID(N24,O24,P24-O24),[5]skilldef!$A:$B,2,FALSE),"-")</f>
        <v>- / 連続攻撃</v>
      </c>
      <c r="T24" s="47" t="str">
        <f t="shared" si="24"/>
        <v>none</v>
      </c>
      <c r="U24" s="61" t="e">
        <f t="shared" si="12"/>
        <v>#VALUE!</v>
      </c>
      <c r="V24" s="61">
        <f t="shared" si="25"/>
        <v>4</v>
      </c>
      <c r="W24" s="61" t="e">
        <f t="shared" si="26"/>
        <v>#VALUE!</v>
      </c>
      <c r="X24" s="61" t="e">
        <f t="shared" si="27"/>
        <v>#VALUE!</v>
      </c>
      <c r="Y24" s="61" t="str">
        <f>IFERROR(VLOOKUP(MID(T24,W24,X24-W24),[5]skilldef!$C:$D,2,FALSE),"-") &amp; " / " &amp; IFERROR(VLOOKUP(MID(T24,U24,V24-U24),[5]skilldef!$A:$B,2,FALSE),"-")</f>
        <v>- / -</v>
      </c>
      <c r="Z24" s="49"/>
      <c r="AA24" s="51"/>
      <c r="AB24" s="49"/>
    </row>
    <row r="25" spans="1:28" ht="21" customHeight="1" x14ac:dyDescent="0.15">
      <c r="A25" s="115">
        <v>65527024</v>
      </c>
      <c r="B25" s="46" t="s">
        <v>360</v>
      </c>
      <c r="C25" s="49">
        <v>1</v>
      </c>
      <c r="D25" s="49" t="s">
        <v>127</v>
      </c>
      <c r="E25" s="50" t="s">
        <v>319</v>
      </c>
      <c r="F25" s="50" t="s">
        <v>355</v>
      </c>
      <c r="G25" s="61" t="str">
        <f t="shared" si="16"/>
        <v>[effect:force_change_block, new_block:block_green, target:normal, ignore01:block_positive, ignore02:block_negative, count:5, val:0, animation:change_block]</v>
      </c>
      <c r="H25" s="61">
        <f t="shared" si="1"/>
        <v>9</v>
      </c>
      <c r="I25" s="61">
        <f t="shared" si="17"/>
        <v>27</v>
      </c>
      <c r="J25" s="61">
        <f t="shared" si="18"/>
        <v>59</v>
      </c>
      <c r="K25" s="61">
        <f t="shared" si="19"/>
        <v>50</v>
      </c>
      <c r="L25" s="61" t="str">
        <f>IFERROR(VLOOKUP(MID(G25,J25,K25-J25),[5]skilldef!$C:$D,2,FALSE),"-") &amp; " / " &amp; IFERROR(VLOOKUP(MID(G25,H25,I25-H25),[5]skilldef!$A:$B,2,FALSE),"-")</f>
        <v>- / -</v>
      </c>
      <c r="M25" s="61" t="str">
        <f t="shared" si="20"/>
        <v>[effect:rush, count:2, val:0.8]</v>
      </c>
      <c r="N25" s="47" t="str">
        <f>IFERROR(LEFT(M25,FIND("],",M25)+#REF!),M25)</f>
        <v>[effect:rush, count:2, val:0.8]</v>
      </c>
      <c r="O25" s="61">
        <f t="shared" si="7"/>
        <v>9</v>
      </c>
      <c r="P25" s="61">
        <f t="shared" si="21"/>
        <v>13</v>
      </c>
      <c r="Q25" s="61" t="e">
        <f t="shared" si="22"/>
        <v>#VALUE!</v>
      </c>
      <c r="R25" s="61">
        <f t="shared" si="23"/>
        <v>22</v>
      </c>
      <c r="S25" s="61" t="str">
        <f>IFERROR(VLOOKUP(MID(N25,Q25,R25-Q25),[5]skilldef!$C:$D,2,FALSE),"-") &amp; " / " &amp; IFERROR(VLOOKUP(MID(N25,O25,P25-O25),[5]skilldef!$A:$B,2,FALSE),"-")</f>
        <v>- / 連続攻撃</v>
      </c>
      <c r="T25" s="47" t="str">
        <f t="shared" si="24"/>
        <v>none</v>
      </c>
      <c r="U25" s="61" t="e">
        <f t="shared" si="12"/>
        <v>#VALUE!</v>
      </c>
      <c r="V25" s="61">
        <f t="shared" si="25"/>
        <v>4</v>
      </c>
      <c r="W25" s="61" t="e">
        <f t="shared" si="26"/>
        <v>#VALUE!</v>
      </c>
      <c r="X25" s="61" t="e">
        <f t="shared" si="27"/>
        <v>#VALUE!</v>
      </c>
      <c r="Y25" s="61" t="str">
        <f>IFERROR(VLOOKUP(MID(T25,W25,X25-W25),[5]skilldef!$C:$D,2,FALSE),"-") &amp; " / " &amp; IFERROR(VLOOKUP(MID(T25,U25,V25-U25),[5]skilldef!$A:$B,2,FALSE),"-")</f>
        <v>- / -</v>
      </c>
      <c r="Z25" s="49"/>
      <c r="AA25" s="51"/>
      <c r="AB25" s="49"/>
    </row>
    <row r="26" spans="1:28" ht="21" customHeight="1" x14ac:dyDescent="0.15">
      <c r="A26" s="115">
        <v>65527025</v>
      </c>
      <c r="B26" s="46" t="s">
        <v>336</v>
      </c>
      <c r="C26" s="49">
        <v>1</v>
      </c>
      <c r="D26" s="49" t="s">
        <v>127</v>
      </c>
      <c r="E26" s="50" t="s">
        <v>316</v>
      </c>
      <c r="F26" s="50" t="s">
        <v>335</v>
      </c>
      <c r="G26" s="61" t="str">
        <f t="shared" si="16"/>
        <v>[effect:panel_freeze, target:normal, color:block_red, count:5]</v>
      </c>
      <c r="H26" s="61">
        <f t="shared" si="1"/>
        <v>9</v>
      </c>
      <c r="I26" s="61">
        <f t="shared" si="17"/>
        <v>21</v>
      </c>
      <c r="J26" s="61">
        <f t="shared" si="18"/>
        <v>30</v>
      </c>
      <c r="K26" s="61">
        <f t="shared" si="19"/>
        <v>36</v>
      </c>
      <c r="L26" s="61" t="str">
        <f>IFERROR(VLOOKUP(MID(G26,J26,K26-J26),[5]skilldef!$C:$D,2,FALSE),"-") &amp; " / " &amp; IFERROR(VLOOKUP(MID(G26,H26,I26-H26),[5]skilldef!$A:$B,2,FALSE),"-")</f>
        <v>- / -</v>
      </c>
      <c r="M26" s="61" t="str">
        <f t="shared" si="20"/>
        <v>none</v>
      </c>
      <c r="N26" s="47" t="str">
        <f>IFERROR(LEFT(M26,FIND("],",M26)+#REF!),M26)</f>
        <v>none</v>
      </c>
      <c r="O26" s="61" t="e">
        <f t="shared" si="7"/>
        <v>#VALUE!</v>
      </c>
      <c r="P26" s="61">
        <f t="shared" si="21"/>
        <v>4</v>
      </c>
      <c r="Q26" s="61" t="e">
        <f t="shared" si="22"/>
        <v>#VALUE!</v>
      </c>
      <c r="R26" s="61" t="e">
        <f t="shared" si="23"/>
        <v>#VALUE!</v>
      </c>
      <c r="S26" s="61" t="str">
        <f>IFERROR(VLOOKUP(MID(N26,Q26,R26-Q26),[5]skilldef!$C:$D,2,FALSE),"-") &amp; " / " &amp; IFERROR(VLOOKUP(MID(N26,O26,P26-O26),[5]skilldef!$A:$B,2,FALSE),"-")</f>
        <v>- / -</v>
      </c>
      <c r="T26" s="47" t="str">
        <f t="shared" si="24"/>
        <v>none</v>
      </c>
      <c r="U26" s="61" t="e">
        <f t="shared" si="12"/>
        <v>#VALUE!</v>
      </c>
      <c r="V26" s="61">
        <f t="shared" si="25"/>
        <v>4</v>
      </c>
      <c r="W26" s="61" t="e">
        <f t="shared" si="26"/>
        <v>#VALUE!</v>
      </c>
      <c r="X26" s="61" t="e">
        <f t="shared" si="27"/>
        <v>#VALUE!</v>
      </c>
      <c r="Y26" s="61" t="str">
        <f>IFERROR(VLOOKUP(MID(T26,W26,X26-W26),[5]skilldef!$C:$D,2,FALSE),"-") &amp; " / " &amp; IFERROR(VLOOKUP(MID(T26,U26,V26-U26),[5]skilldef!$A:$B,2,FALSE),"-")</f>
        <v>- / -</v>
      </c>
      <c r="Z26" s="49"/>
      <c r="AA26" s="51"/>
      <c r="AB26" s="49"/>
    </row>
    <row r="27" spans="1:28" ht="21" customHeight="1" x14ac:dyDescent="0.15">
      <c r="A27" s="115">
        <v>65527026</v>
      </c>
      <c r="B27" s="46" t="s">
        <v>294</v>
      </c>
      <c r="C27" s="49">
        <v>1</v>
      </c>
      <c r="D27" s="49" t="s">
        <v>127</v>
      </c>
      <c r="E27" s="50" t="s">
        <v>317</v>
      </c>
      <c r="F27" s="50" t="s">
        <v>356</v>
      </c>
      <c r="G27" s="61" t="str">
        <f t="shared" si="16"/>
        <v>[effect:panel_freeze, target:normal, color:block_green, count:4]</v>
      </c>
      <c r="H27" s="61">
        <f t="shared" si="1"/>
        <v>9</v>
      </c>
      <c r="I27" s="61">
        <f t="shared" si="17"/>
        <v>21</v>
      </c>
      <c r="J27" s="61">
        <f t="shared" si="18"/>
        <v>30</v>
      </c>
      <c r="K27" s="61">
        <f t="shared" si="19"/>
        <v>36</v>
      </c>
      <c r="L27" s="61" t="str">
        <f>IFERROR(VLOOKUP(MID(G27,J27,K27-J27),[5]skilldef!$C:$D,2,FALSE),"-") &amp; " / " &amp; IFERROR(VLOOKUP(MID(G27,H27,I27-H27),[5]skilldef!$A:$B,2,FALSE),"-")</f>
        <v>- / -</v>
      </c>
      <c r="M27" s="61" t="str">
        <f t="shared" si="20"/>
        <v>[effect:rush, count:2, val:0.8]</v>
      </c>
      <c r="N27" s="47" t="str">
        <f>IFERROR(LEFT(M27,FIND("],",M27)+#REF!),M27)</f>
        <v>[effect:rush, count:2, val:0.8]</v>
      </c>
      <c r="O27" s="61">
        <f t="shared" si="7"/>
        <v>9</v>
      </c>
      <c r="P27" s="61">
        <f t="shared" si="21"/>
        <v>13</v>
      </c>
      <c r="Q27" s="61" t="e">
        <f t="shared" si="22"/>
        <v>#VALUE!</v>
      </c>
      <c r="R27" s="61">
        <f t="shared" si="23"/>
        <v>22</v>
      </c>
      <c r="S27" s="61" t="str">
        <f>IFERROR(VLOOKUP(MID(N27,Q27,R27-Q27),[5]skilldef!$C:$D,2,FALSE),"-") &amp; " / " &amp; IFERROR(VLOOKUP(MID(N27,O27,P27-O27),[5]skilldef!$A:$B,2,FALSE),"-")</f>
        <v>- / 連続攻撃</v>
      </c>
      <c r="T27" s="47" t="str">
        <f t="shared" si="24"/>
        <v>none</v>
      </c>
      <c r="U27" s="61" t="e">
        <f t="shared" si="12"/>
        <v>#VALUE!</v>
      </c>
      <c r="V27" s="61">
        <f t="shared" si="25"/>
        <v>4</v>
      </c>
      <c r="W27" s="61" t="e">
        <f t="shared" si="26"/>
        <v>#VALUE!</v>
      </c>
      <c r="X27" s="61" t="e">
        <f t="shared" si="27"/>
        <v>#VALUE!</v>
      </c>
      <c r="Y27" s="61" t="str">
        <f>IFERROR(VLOOKUP(MID(T27,W27,X27-W27),[5]skilldef!$C:$D,2,FALSE),"-") &amp; " / " &amp; IFERROR(VLOOKUP(MID(T27,U27,V27-U27),[5]skilldef!$A:$B,2,FALSE),"-")</f>
        <v>- / -</v>
      </c>
      <c r="Z27" s="49"/>
      <c r="AA27" s="51"/>
      <c r="AB27" s="49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M28"/>
  <sheetViews>
    <sheetView showGridLines="0" workbookViewId="0">
      <pane ySplit="1" topLeftCell="A9" activePane="bottomLeft" state="frozenSplit"/>
      <selection pane="bottomLeft" activeCell="J31" sqref="J31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bestFit="1" customWidth="1"/>
    <col min="12" max="12" width="12.83203125" style="44"/>
    <col min="13" max="13" width="28" style="44" customWidth="1"/>
    <col min="14" max="16384" width="12.83203125" style="44"/>
  </cols>
  <sheetData>
    <row r="1" spans="1:13" ht="21" customHeight="1" x14ac:dyDescent="0.15">
      <c r="A1" s="41" t="s">
        <v>83</v>
      </c>
      <c r="B1" s="41" t="s">
        <v>84</v>
      </c>
      <c r="C1" s="41" t="s">
        <v>85</v>
      </c>
      <c r="D1" s="41" t="s">
        <v>86</v>
      </c>
      <c r="E1" s="41" t="s">
        <v>69</v>
      </c>
      <c r="F1" s="52" t="s">
        <v>70</v>
      </c>
      <c r="G1" s="52" t="s">
        <v>71</v>
      </c>
      <c r="H1" s="41" t="s">
        <v>72</v>
      </c>
      <c r="I1" s="41" t="s">
        <v>73</v>
      </c>
      <c r="J1" s="41" t="s">
        <v>74</v>
      </c>
      <c r="K1" s="53" t="s">
        <v>87</v>
      </c>
    </row>
    <row r="2" spans="1:13" ht="21" customHeight="1" x14ac:dyDescent="0.15">
      <c r="A2" s="104">
        <v>65527001</v>
      </c>
      <c r="B2" s="46">
        <v>1</v>
      </c>
      <c r="C2" s="46">
        <v>500</v>
      </c>
      <c r="D2" s="46">
        <v>100</v>
      </c>
      <c r="E2" s="46" t="s">
        <v>251</v>
      </c>
      <c r="F2" s="46" t="s">
        <v>89</v>
      </c>
      <c r="G2" s="46">
        <v>1</v>
      </c>
      <c r="H2" s="46" t="s">
        <v>89</v>
      </c>
      <c r="I2" s="46" t="s">
        <v>89</v>
      </c>
      <c r="J2" s="47">
        <f t="shared" ref="J2" si="0">D2</f>
        <v>100</v>
      </c>
      <c r="L2" s="109" t="s">
        <v>260</v>
      </c>
      <c r="M2" s="50" t="s">
        <v>255</v>
      </c>
    </row>
    <row r="3" spans="1:13" ht="30" customHeight="1" x14ac:dyDescent="0.15">
      <c r="A3" s="104">
        <v>65527002</v>
      </c>
      <c r="B3" s="46">
        <v>0</v>
      </c>
      <c r="C3" s="46">
        <v>100</v>
      </c>
      <c r="D3" s="46">
        <v>100</v>
      </c>
      <c r="E3" s="46" t="s">
        <v>88</v>
      </c>
      <c r="F3" s="46" t="s">
        <v>89</v>
      </c>
      <c r="G3" s="46">
        <v>1</v>
      </c>
      <c r="H3" s="46">
        <v>2</v>
      </c>
      <c r="I3" s="46" t="s">
        <v>89</v>
      </c>
      <c r="J3" s="47">
        <f t="shared" ref="J3:J21" si="1">D3</f>
        <v>100</v>
      </c>
      <c r="L3" s="109" t="s">
        <v>260</v>
      </c>
      <c r="M3" s="50" t="s">
        <v>256</v>
      </c>
    </row>
    <row r="4" spans="1:13" ht="21" customHeight="1" x14ac:dyDescent="0.15">
      <c r="A4" s="104">
        <v>65527003</v>
      </c>
      <c r="B4" s="46">
        <v>0</v>
      </c>
      <c r="C4" s="46">
        <v>300</v>
      </c>
      <c r="D4" s="46">
        <v>100</v>
      </c>
      <c r="E4" s="46">
        <v>50</v>
      </c>
      <c r="F4" s="46" t="s">
        <v>89</v>
      </c>
      <c r="G4" s="46">
        <v>1</v>
      </c>
      <c r="H4" s="46" t="s">
        <v>89</v>
      </c>
      <c r="I4" s="46" t="s">
        <v>89</v>
      </c>
      <c r="J4" s="47">
        <f t="shared" si="1"/>
        <v>100</v>
      </c>
      <c r="L4" s="109" t="s">
        <v>260</v>
      </c>
      <c r="M4" s="50" t="s">
        <v>257</v>
      </c>
    </row>
    <row r="5" spans="1:13" ht="21" customHeight="1" x14ac:dyDescent="0.15">
      <c r="A5" s="104">
        <v>65527004</v>
      </c>
      <c r="B5" s="46">
        <v>0</v>
      </c>
      <c r="C5" s="46">
        <v>200</v>
      </c>
      <c r="D5" s="46">
        <v>100</v>
      </c>
      <c r="E5" s="46">
        <v>50</v>
      </c>
      <c r="F5" s="46" t="s">
        <v>89</v>
      </c>
      <c r="G5" s="46" t="s">
        <v>88</v>
      </c>
      <c r="H5" s="46" t="s">
        <v>89</v>
      </c>
      <c r="I5" s="46" t="s">
        <v>89</v>
      </c>
      <c r="J5" s="47">
        <f t="shared" si="1"/>
        <v>100</v>
      </c>
      <c r="L5" s="109" t="s">
        <v>260</v>
      </c>
      <c r="M5" s="50" t="s">
        <v>258</v>
      </c>
    </row>
    <row r="6" spans="1:13" ht="31" customHeight="1" x14ac:dyDescent="0.15">
      <c r="A6" s="104">
        <v>65527005</v>
      </c>
      <c r="B6" s="46">
        <v>0</v>
      </c>
      <c r="C6" s="46">
        <v>400</v>
      </c>
      <c r="D6" s="46">
        <v>100</v>
      </c>
      <c r="E6" s="46">
        <v>10</v>
      </c>
      <c r="F6" s="46" t="s">
        <v>89</v>
      </c>
      <c r="G6" s="46">
        <v>1</v>
      </c>
      <c r="H6" s="46" t="s">
        <v>89</v>
      </c>
      <c r="I6" s="46" t="s">
        <v>89</v>
      </c>
      <c r="J6" s="47">
        <f t="shared" si="1"/>
        <v>100</v>
      </c>
      <c r="L6" s="109" t="s">
        <v>260</v>
      </c>
      <c r="M6" s="50" t="s">
        <v>259</v>
      </c>
    </row>
    <row r="7" spans="1:13" ht="21" customHeight="1" x14ac:dyDescent="0.15">
      <c r="A7" s="108">
        <v>65527006</v>
      </c>
      <c r="B7" s="46">
        <v>1</v>
      </c>
      <c r="C7" s="46">
        <v>400</v>
      </c>
      <c r="D7" s="46">
        <v>100</v>
      </c>
      <c r="E7" s="46" t="s">
        <v>88</v>
      </c>
      <c r="F7" s="46" t="s">
        <v>89</v>
      </c>
      <c r="G7" s="46">
        <v>1</v>
      </c>
      <c r="H7" s="46" t="s">
        <v>89</v>
      </c>
      <c r="I7" s="46" t="s">
        <v>89</v>
      </c>
      <c r="J7" s="47">
        <f t="shared" si="1"/>
        <v>100</v>
      </c>
      <c r="L7" s="108" t="s">
        <v>267</v>
      </c>
      <c r="M7" s="106" t="s">
        <v>263</v>
      </c>
    </row>
    <row r="8" spans="1:13" ht="21" customHeight="1" x14ac:dyDescent="0.15">
      <c r="A8" s="108">
        <v>65527007</v>
      </c>
      <c r="B8" s="46">
        <v>0</v>
      </c>
      <c r="C8" s="46">
        <v>100</v>
      </c>
      <c r="D8" s="46">
        <v>100</v>
      </c>
      <c r="E8" s="46" t="s">
        <v>88</v>
      </c>
      <c r="F8" s="46" t="s">
        <v>89</v>
      </c>
      <c r="G8" s="46" t="s">
        <v>88</v>
      </c>
      <c r="H8" s="46" t="s">
        <v>89</v>
      </c>
      <c r="I8" s="46" t="s">
        <v>89</v>
      </c>
      <c r="J8" s="47">
        <f t="shared" si="1"/>
        <v>100</v>
      </c>
      <c r="L8" s="108" t="s">
        <v>267</v>
      </c>
      <c r="M8" s="106" t="s">
        <v>264</v>
      </c>
    </row>
    <row r="9" spans="1:13" ht="31" customHeight="1" x14ac:dyDescent="0.15">
      <c r="A9" s="108">
        <v>65527008</v>
      </c>
      <c r="B9" s="46">
        <v>0</v>
      </c>
      <c r="C9" s="46">
        <v>300</v>
      </c>
      <c r="D9" s="46">
        <v>100</v>
      </c>
      <c r="E9" s="46" t="s">
        <v>88</v>
      </c>
      <c r="F9" s="46" t="s">
        <v>89</v>
      </c>
      <c r="G9" s="46">
        <v>1</v>
      </c>
      <c r="H9" s="46">
        <v>3</v>
      </c>
      <c r="I9" s="46" t="s">
        <v>89</v>
      </c>
      <c r="J9" s="47">
        <f t="shared" si="1"/>
        <v>100</v>
      </c>
      <c r="L9" s="108" t="s">
        <v>267</v>
      </c>
      <c r="M9" s="107" t="s">
        <v>265</v>
      </c>
    </row>
    <row r="10" spans="1:13" ht="33" customHeight="1" x14ac:dyDescent="0.15">
      <c r="A10" s="108">
        <v>65527009</v>
      </c>
      <c r="B10" s="46">
        <v>0</v>
      </c>
      <c r="C10" s="46">
        <v>200</v>
      </c>
      <c r="D10" s="46">
        <v>100</v>
      </c>
      <c r="E10" s="46">
        <v>50</v>
      </c>
      <c r="F10" s="46" t="s">
        <v>89</v>
      </c>
      <c r="G10" s="46" t="s">
        <v>88</v>
      </c>
      <c r="H10" s="46" t="s">
        <v>89</v>
      </c>
      <c r="I10" s="46" t="s">
        <v>89</v>
      </c>
      <c r="J10" s="47">
        <f t="shared" si="1"/>
        <v>100</v>
      </c>
      <c r="L10" s="108" t="s">
        <v>267</v>
      </c>
      <c r="M10" s="107" t="s">
        <v>266</v>
      </c>
    </row>
    <row r="11" spans="1:13" ht="21" customHeight="1" x14ac:dyDescent="0.15">
      <c r="A11" s="110">
        <v>65527010</v>
      </c>
      <c r="B11" s="46">
        <v>1</v>
      </c>
      <c r="C11" s="46">
        <v>300</v>
      </c>
      <c r="D11" s="46">
        <v>100</v>
      </c>
      <c r="E11" s="46" t="s">
        <v>88</v>
      </c>
      <c r="F11" s="46" t="s">
        <v>89</v>
      </c>
      <c r="G11" s="46">
        <v>1</v>
      </c>
      <c r="H11" s="46" t="s">
        <v>89</v>
      </c>
      <c r="I11" s="46" t="s">
        <v>89</v>
      </c>
      <c r="J11" s="47">
        <f t="shared" si="1"/>
        <v>100</v>
      </c>
      <c r="L11" s="110" t="s">
        <v>269</v>
      </c>
      <c r="M11" s="106" t="s">
        <v>270</v>
      </c>
    </row>
    <row r="12" spans="1:13" ht="21" customHeight="1" x14ac:dyDescent="0.15">
      <c r="A12" s="110">
        <v>65527011</v>
      </c>
      <c r="B12" s="46">
        <v>0</v>
      </c>
      <c r="C12" s="46">
        <v>100</v>
      </c>
      <c r="D12" s="46">
        <v>100</v>
      </c>
      <c r="E12" s="46" t="s">
        <v>88</v>
      </c>
      <c r="F12" s="46" t="s">
        <v>89</v>
      </c>
      <c r="G12" s="46" t="s">
        <v>88</v>
      </c>
      <c r="H12" s="46" t="s">
        <v>89</v>
      </c>
      <c r="I12" s="46" t="s">
        <v>89</v>
      </c>
      <c r="J12" s="47">
        <f t="shared" si="1"/>
        <v>100</v>
      </c>
      <c r="L12" s="110" t="s">
        <v>269</v>
      </c>
      <c r="M12" s="106" t="s">
        <v>264</v>
      </c>
    </row>
    <row r="13" spans="1:13" ht="21" customHeight="1" x14ac:dyDescent="0.15">
      <c r="A13" s="110">
        <v>65527012</v>
      </c>
      <c r="B13" s="46">
        <v>0</v>
      </c>
      <c r="C13" s="46">
        <v>200</v>
      </c>
      <c r="D13" s="46">
        <v>100</v>
      </c>
      <c r="E13" s="46">
        <v>50</v>
      </c>
      <c r="F13" s="46" t="s">
        <v>89</v>
      </c>
      <c r="G13" s="46">
        <v>1</v>
      </c>
      <c r="H13" s="46" t="s">
        <v>89</v>
      </c>
      <c r="I13" s="46" t="s">
        <v>89</v>
      </c>
      <c r="J13" s="47">
        <f t="shared" si="1"/>
        <v>100</v>
      </c>
      <c r="L13" s="110" t="s">
        <v>269</v>
      </c>
      <c r="M13" s="106" t="s">
        <v>271</v>
      </c>
    </row>
    <row r="14" spans="1:13" ht="33" customHeight="1" x14ac:dyDescent="0.15">
      <c r="A14" s="111">
        <v>65527013</v>
      </c>
      <c r="B14" s="46">
        <v>1</v>
      </c>
      <c r="C14" s="46">
        <v>400</v>
      </c>
      <c r="D14" s="46">
        <v>100</v>
      </c>
      <c r="E14" s="46" t="s">
        <v>88</v>
      </c>
      <c r="F14" s="46" t="s">
        <v>89</v>
      </c>
      <c r="G14" s="46">
        <v>1</v>
      </c>
      <c r="H14" s="46" t="s">
        <v>89</v>
      </c>
      <c r="I14" s="46" t="s">
        <v>89</v>
      </c>
      <c r="J14" s="47">
        <f t="shared" si="1"/>
        <v>100</v>
      </c>
      <c r="L14" s="111" t="s">
        <v>274</v>
      </c>
      <c r="M14" s="107" t="s">
        <v>275</v>
      </c>
    </row>
    <row r="15" spans="1:13" ht="34" customHeight="1" x14ac:dyDescent="0.15">
      <c r="A15" s="111">
        <v>65527014</v>
      </c>
      <c r="B15" s="46">
        <v>0</v>
      </c>
      <c r="C15" s="46">
        <v>100</v>
      </c>
      <c r="D15" s="46">
        <v>100</v>
      </c>
      <c r="E15" s="46" t="s">
        <v>88</v>
      </c>
      <c r="F15" s="46" t="s">
        <v>89</v>
      </c>
      <c r="G15" s="46" t="s">
        <v>88</v>
      </c>
      <c r="H15" s="46" t="s">
        <v>89</v>
      </c>
      <c r="I15" s="46" t="s">
        <v>89</v>
      </c>
      <c r="J15" s="47">
        <f t="shared" si="1"/>
        <v>100</v>
      </c>
      <c r="L15" s="111" t="s">
        <v>274</v>
      </c>
      <c r="M15" s="107" t="s">
        <v>276</v>
      </c>
    </row>
    <row r="16" spans="1:13" ht="36" customHeight="1" x14ac:dyDescent="0.15">
      <c r="A16" s="111">
        <v>65527015</v>
      </c>
      <c r="B16" s="46">
        <v>0</v>
      </c>
      <c r="C16" s="46">
        <v>200</v>
      </c>
      <c r="D16" s="46">
        <v>100</v>
      </c>
      <c r="E16" s="46" t="s">
        <v>88</v>
      </c>
      <c r="F16" s="46" t="s">
        <v>89</v>
      </c>
      <c r="G16" s="46" t="s">
        <v>88</v>
      </c>
      <c r="H16" s="46">
        <v>2</v>
      </c>
      <c r="I16" s="46" t="s">
        <v>89</v>
      </c>
      <c r="J16" s="47">
        <f t="shared" si="1"/>
        <v>100</v>
      </c>
      <c r="L16" s="111" t="s">
        <v>274</v>
      </c>
      <c r="M16" s="107" t="s">
        <v>277</v>
      </c>
    </row>
    <row r="17" spans="1:13" ht="42" customHeight="1" x14ac:dyDescent="0.15">
      <c r="A17" s="111">
        <v>65527016</v>
      </c>
      <c r="B17" s="46">
        <v>0</v>
      </c>
      <c r="C17" s="46">
        <v>300</v>
      </c>
      <c r="D17" s="46">
        <v>100</v>
      </c>
      <c r="E17" s="46">
        <v>50</v>
      </c>
      <c r="F17" s="46" t="s">
        <v>89</v>
      </c>
      <c r="G17" s="46">
        <v>1</v>
      </c>
      <c r="H17" s="46" t="s">
        <v>89</v>
      </c>
      <c r="I17" s="46" t="s">
        <v>89</v>
      </c>
      <c r="J17" s="47">
        <f t="shared" si="1"/>
        <v>100</v>
      </c>
      <c r="L17" s="111" t="s">
        <v>274</v>
      </c>
      <c r="M17" s="107" t="s">
        <v>278</v>
      </c>
    </row>
    <row r="18" spans="1:13" ht="33" customHeight="1" x14ac:dyDescent="0.15">
      <c r="A18" s="113">
        <v>65527017</v>
      </c>
      <c r="B18" s="46">
        <v>1</v>
      </c>
      <c r="C18" s="46">
        <v>500</v>
      </c>
      <c r="D18" s="46">
        <v>100</v>
      </c>
      <c r="E18" s="46" t="s">
        <v>88</v>
      </c>
      <c r="F18" s="46" t="s">
        <v>89</v>
      </c>
      <c r="G18" s="46">
        <v>1</v>
      </c>
      <c r="H18" s="46" t="s">
        <v>89</v>
      </c>
      <c r="I18" s="46" t="s">
        <v>89</v>
      </c>
      <c r="J18" s="47">
        <f t="shared" si="1"/>
        <v>100</v>
      </c>
      <c r="L18" s="112" t="s">
        <v>279</v>
      </c>
      <c r="M18" s="107" t="s">
        <v>281</v>
      </c>
    </row>
    <row r="19" spans="1:13" ht="32" customHeight="1" x14ac:dyDescent="0.15">
      <c r="A19" s="113">
        <v>65527018</v>
      </c>
      <c r="B19" s="46">
        <v>0</v>
      </c>
      <c r="C19" s="46">
        <v>230</v>
      </c>
      <c r="D19" s="46">
        <v>100</v>
      </c>
      <c r="E19" s="46" t="s">
        <v>88</v>
      </c>
      <c r="F19" s="46" t="s">
        <v>89</v>
      </c>
      <c r="G19" s="46">
        <v>1</v>
      </c>
      <c r="H19" s="46" t="s">
        <v>89</v>
      </c>
      <c r="I19" s="46" t="s">
        <v>89</v>
      </c>
      <c r="J19" s="47">
        <f t="shared" si="1"/>
        <v>100</v>
      </c>
      <c r="L19" s="112" t="s">
        <v>279</v>
      </c>
      <c r="M19" s="107" t="s">
        <v>282</v>
      </c>
    </row>
    <row r="20" spans="1:13" ht="32" customHeight="1" x14ac:dyDescent="0.15">
      <c r="A20" s="113">
        <v>65527019</v>
      </c>
      <c r="B20" s="46">
        <v>0</v>
      </c>
      <c r="C20" s="46">
        <v>220</v>
      </c>
      <c r="D20" s="46">
        <v>100</v>
      </c>
      <c r="E20" s="46" t="s">
        <v>88</v>
      </c>
      <c r="F20" s="46" t="s">
        <v>89</v>
      </c>
      <c r="G20" s="46">
        <v>1</v>
      </c>
      <c r="H20" s="46" t="s">
        <v>89</v>
      </c>
      <c r="I20" s="46" t="s">
        <v>89</v>
      </c>
      <c r="J20" s="47">
        <f t="shared" ref="J20" si="2">D20</f>
        <v>100</v>
      </c>
      <c r="L20" s="112" t="s">
        <v>279</v>
      </c>
      <c r="M20" s="107" t="s">
        <v>282</v>
      </c>
    </row>
    <row r="21" spans="1:13" ht="33" customHeight="1" x14ac:dyDescent="0.15">
      <c r="A21" s="113">
        <v>65527020</v>
      </c>
      <c r="B21" s="46">
        <v>0</v>
      </c>
      <c r="C21" s="46">
        <v>210</v>
      </c>
      <c r="D21" s="46">
        <v>100</v>
      </c>
      <c r="E21" s="46" t="s">
        <v>88</v>
      </c>
      <c r="F21" s="46" t="s">
        <v>89</v>
      </c>
      <c r="G21" s="46">
        <v>1</v>
      </c>
      <c r="H21" s="46" t="s">
        <v>89</v>
      </c>
      <c r="I21" s="46" t="s">
        <v>89</v>
      </c>
      <c r="J21" s="47">
        <f t="shared" si="1"/>
        <v>100</v>
      </c>
      <c r="L21" s="112" t="s">
        <v>279</v>
      </c>
      <c r="M21" s="107" t="s">
        <v>283</v>
      </c>
    </row>
    <row r="22" spans="1:13" ht="21" customHeight="1" x14ac:dyDescent="0.15">
      <c r="A22" s="113">
        <v>65527021</v>
      </c>
      <c r="B22" s="46">
        <v>0</v>
      </c>
      <c r="C22" s="46">
        <v>120</v>
      </c>
      <c r="D22" s="46">
        <v>50</v>
      </c>
      <c r="E22" s="46" t="s">
        <v>88</v>
      </c>
      <c r="F22" s="46" t="s">
        <v>89</v>
      </c>
      <c r="G22" s="46" t="s">
        <v>88</v>
      </c>
      <c r="H22" s="46" t="s">
        <v>89</v>
      </c>
      <c r="I22" s="46" t="s">
        <v>89</v>
      </c>
      <c r="J22" s="47">
        <f t="shared" ref="J22:J28" si="3">D22</f>
        <v>50</v>
      </c>
      <c r="L22" s="112" t="s">
        <v>279</v>
      </c>
      <c r="M22" s="107" t="s">
        <v>284</v>
      </c>
    </row>
    <row r="23" spans="1:13" ht="39" customHeight="1" x14ac:dyDescent="0.15">
      <c r="A23" s="113">
        <v>65527022</v>
      </c>
      <c r="B23" s="46">
        <v>0</v>
      </c>
      <c r="C23" s="46">
        <v>110</v>
      </c>
      <c r="D23" s="46">
        <v>100</v>
      </c>
      <c r="E23" s="46" t="s">
        <v>88</v>
      </c>
      <c r="F23" s="46" t="s">
        <v>89</v>
      </c>
      <c r="G23" s="46" t="s">
        <v>88</v>
      </c>
      <c r="H23" s="46" t="s">
        <v>89</v>
      </c>
      <c r="I23" s="46" t="s">
        <v>89</v>
      </c>
      <c r="J23" s="47">
        <f t="shared" si="3"/>
        <v>100</v>
      </c>
      <c r="L23" s="112" t="s">
        <v>279</v>
      </c>
      <c r="M23" s="107" t="s">
        <v>285</v>
      </c>
    </row>
    <row r="24" spans="1:13" ht="34" customHeight="1" x14ac:dyDescent="0.15">
      <c r="A24" s="114">
        <v>65527023</v>
      </c>
      <c r="B24" s="46">
        <v>1</v>
      </c>
      <c r="C24" s="46">
        <v>500</v>
      </c>
      <c r="D24" s="46">
        <v>100</v>
      </c>
      <c r="E24" s="46" t="s">
        <v>88</v>
      </c>
      <c r="F24" s="46" t="s">
        <v>89</v>
      </c>
      <c r="G24" s="46">
        <v>1</v>
      </c>
      <c r="H24" s="46" t="s">
        <v>89</v>
      </c>
      <c r="I24" s="46" t="s">
        <v>89</v>
      </c>
      <c r="J24" s="47">
        <f t="shared" si="3"/>
        <v>100</v>
      </c>
      <c r="L24" s="116" t="s">
        <v>280</v>
      </c>
      <c r="M24" s="107" t="s">
        <v>286</v>
      </c>
    </row>
    <row r="25" spans="1:13" ht="35" customHeight="1" x14ac:dyDescent="0.15">
      <c r="A25" s="114">
        <v>65527024</v>
      </c>
      <c r="B25" s="46">
        <v>0</v>
      </c>
      <c r="C25" s="46">
        <v>100</v>
      </c>
      <c r="D25" s="46">
        <v>100</v>
      </c>
      <c r="E25" s="46" t="s">
        <v>88</v>
      </c>
      <c r="F25" s="46" t="s">
        <v>89</v>
      </c>
      <c r="G25" s="46" t="s">
        <v>88</v>
      </c>
      <c r="H25" s="46">
        <v>2</v>
      </c>
      <c r="I25" s="46" t="s">
        <v>89</v>
      </c>
      <c r="J25" s="47">
        <f t="shared" si="3"/>
        <v>100</v>
      </c>
      <c r="L25" s="116" t="s">
        <v>280</v>
      </c>
      <c r="M25" s="107" t="s">
        <v>287</v>
      </c>
    </row>
    <row r="26" spans="1:13" ht="46" customHeight="1" x14ac:dyDescent="0.15">
      <c r="A26" s="114">
        <v>65527025</v>
      </c>
      <c r="B26" s="46">
        <v>0</v>
      </c>
      <c r="C26" s="46">
        <v>200</v>
      </c>
      <c r="D26" s="46">
        <v>100</v>
      </c>
      <c r="E26" s="46" t="s">
        <v>88</v>
      </c>
      <c r="F26" s="46" t="s">
        <v>89</v>
      </c>
      <c r="G26" s="46">
        <v>1</v>
      </c>
      <c r="H26" s="46">
        <v>3</v>
      </c>
      <c r="I26" s="46" t="s">
        <v>89</v>
      </c>
      <c r="J26" s="47">
        <f t="shared" si="3"/>
        <v>100</v>
      </c>
      <c r="L26" s="116" t="s">
        <v>280</v>
      </c>
      <c r="M26" s="107" t="s">
        <v>288</v>
      </c>
    </row>
    <row r="27" spans="1:13" ht="33" customHeight="1" x14ac:dyDescent="0.15">
      <c r="A27" s="114">
        <v>65527026</v>
      </c>
      <c r="B27" s="46">
        <v>0</v>
      </c>
      <c r="C27" s="46">
        <v>400</v>
      </c>
      <c r="D27" s="46">
        <v>100</v>
      </c>
      <c r="E27" s="46">
        <v>50</v>
      </c>
      <c r="F27" s="46" t="s">
        <v>89</v>
      </c>
      <c r="G27" s="46">
        <v>1</v>
      </c>
      <c r="H27" s="46" t="s">
        <v>89</v>
      </c>
      <c r="I27" s="46" t="s">
        <v>89</v>
      </c>
      <c r="J27" s="47">
        <f t="shared" si="3"/>
        <v>100</v>
      </c>
      <c r="L27" s="116" t="s">
        <v>280</v>
      </c>
      <c r="M27" s="107" t="s">
        <v>289</v>
      </c>
    </row>
    <row r="28" spans="1:13" ht="33" customHeight="1" x14ac:dyDescent="0.15">
      <c r="A28" s="114">
        <v>65527027</v>
      </c>
      <c r="B28" s="46">
        <v>0</v>
      </c>
      <c r="C28" s="46">
        <v>300</v>
      </c>
      <c r="D28" s="46">
        <v>100</v>
      </c>
      <c r="E28" s="46">
        <v>50</v>
      </c>
      <c r="F28" s="46" t="s">
        <v>89</v>
      </c>
      <c r="G28" s="46" t="s">
        <v>88</v>
      </c>
      <c r="H28" s="46">
        <v>2</v>
      </c>
      <c r="I28" s="46" t="s">
        <v>89</v>
      </c>
      <c r="J28" s="47">
        <f t="shared" si="3"/>
        <v>100</v>
      </c>
      <c r="L28" s="116" t="s">
        <v>280</v>
      </c>
      <c r="M28" s="107" t="s">
        <v>290</v>
      </c>
    </row>
  </sheetData>
  <autoFilter ref="A1:G1"/>
  <phoneticPr fontId="5"/>
  <conditionalFormatting sqref="K21:K1048576 K1:K19">
    <cfRule type="duplicateValues" dxfId="1" priority="3"/>
  </conditionalFormatting>
  <conditionalFormatting sqref="K20">
    <cfRule type="duplicateValues" dxfId="0" priority="2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1"/>
  <sheetViews>
    <sheetView workbookViewId="0">
      <selection activeCell="O16" sqref="O16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150</v>
      </c>
      <c r="B1" s="62" t="s">
        <v>151</v>
      </c>
      <c r="C1" s="63" t="s">
        <v>152</v>
      </c>
      <c r="D1" s="69" t="s">
        <v>153</v>
      </c>
      <c r="E1" s="64" t="s">
        <v>154</v>
      </c>
      <c r="F1" s="62" t="s">
        <v>155</v>
      </c>
      <c r="G1" s="62" t="s">
        <v>156</v>
      </c>
      <c r="H1" s="62" t="s">
        <v>157</v>
      </c>
      <c r="I1" s="62" t="s">
        <v>158</v>
      </c>
      <c r="J1" s="62" t="s">
        <v>159</v>
      </c>
      <c r="K1" s="62" t="s">
        <v>160</v>
      </c>
      <c r="L1" s="62" t="s">
        <v>161</v>
      </c>
      <c r="M1" s="62" t="s">
        <v>162</v>
      </c>
      <c r="N1" s="62" t="s">
        <v>163</v>
      </c>
      <c r="O1" s="62" t="s">
        <v>164</v>
      </c>
      <c r="P1" s="62" t="s">
        <v>165</v>
      </c>
      <c r="Q1" s="62" t="s">
        <v>166</v>
      </c>
      <c r="R1" s="62" t="s">
        <v>167</v>
      </c>
    </row>
    <row r="2" spans="1:18" x14ac:dyDescent="0.15">
      <c r="A2" s="57">
        <v>65527</v>
      </c>
      <c r="B2" s="57">
        <v>1</v>
      </c>
      <c r="C2" s="68" t="str">
        <f>A2&amp; "_"&amp;B2</f>
        <v>65527_1</v>
      </c>
      <c r="D2" s="17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168</v>
      </c>
      <c r="G2" s="57">
        <v>3200</v>
      </c>
      <c r="H2" s="57" t="s">
        <v>88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155</v>
      </c>
      <c r="Q2" s="56" t="s">
        <v>169</v>
      </c>
      <c r="R2" s="56" t="s">
        <v>170</v>
      </c>
    </row>
    <row r="3" spans="1:18" x14ac:dyDescent="0.15">
      <c r="A3" s="57">
        <v>65527</v>
      </c>
      <c r="B3" s="57">
        <v>1</v>
      </c>
      <c r="C3" s="68" t="str">
        <f t="shared" ref="C3:C11" si="0">A3&amp; "_"&amp;B3</f>
        <v>65527_1</v>
      </c>
      <c r="D3" s="17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320</v>
      </c>
      <c r="G3" s="57">
        <v>20</v>
      </c>
      <c r="H3" s="57" t="s">
        <v>88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155</v>
      </c>
      <c r="Q3" s="56" t="s">
        <v>169</v>
      </c>
      <c r="R3" s="56" t="s">
        <v>170</v>
      </c>
    </row>
    <row r="4" spans="1:18" x14ac:dyDescent="0.15">
      <c r="A4" s="57">
        <v>65527</v>
      </c>
      <c r="B4" s="57">
        <v>1</v>
      </c>
      <c r="C4" s="68" t="str">
        <f t="shared" si="0"/>
        <v>65527_1</v>
      </c>
      <c r="D4" s="17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321</v>
      </c>
      <c r="G4" s="57">
        <v>1324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250</v>
      </c>
      <c r="Q4" s="56" t="s">
        <v>169</v>
      </c>
      <c r="R4" s="56" t="s">
        <v>170</v>
      </c>
    </row>
    <row r="5" spans="1:18" x14ac:dyDescent="0.15">
      <c r="A5" s="57">
        <v>65527</v>
      </c>
      <c r="B5" s="57">
        <v>1</v>
      </c>
      <c r="C5" s="68" t="str">
        <f t="shared" si="0"/>
        <v>65527_1</v>
      </c>
      <c r="D5" s="17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321</v>
      </c>
      <c r="G5" s="57">
        <v>336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28</v>
      </c>
      <c r="Q5" s="56" t="s">
        <v>169</v>
      </c>
      <c r="R5" s="56" t="s">
        <v>170</v>
      </c>
    </row>
    <row r="6" spans="1:18" x14ac:dyDescent="0.15">
      <c r="A6" s="57">
        <v>65527</v>
      </c>
      <c r="B6" s="57">
        <v>1</v>
      </c>
      <c r="C6" s="68" t="str">
        <f t="shared" si="0"/>
        <v>65527_1</v>
      </c>
      <c r="D6" s="17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321</v>
      </c>
      <c r="G6" s="57">
        <v>337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56</v>
      </c>
      <c r="Q6" s="56" t="s">
        <v>169</v>
      </c>
      <c r="R6" s="56" t="s">
        <v>170</v>
      </c>
    </row>
    <row r="7" spans="1:18" x14ac:dyDescent="0.15">
      <c r="A7" s="57">
        <v>65527</v>
      </c>
      <c r="B7" s="57">
        <v>1</v>
      </c>
      <c r="C7" s="68" t="str">
        <f t="shared" si="0"/>
        <v>65527_1</v>
      </c>
      <c r="D7" s="17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321</v>
      </c>
      <c r="G7" s="57">
        <v>338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56</v>
      </c>
      <c r="Q7" s="56" t="s">
        <v>169</v>
      </c>
      <c r="R7" s="56" t="s">
        <v>170</v>
      </c>
    </row>
    <row r="8" spans="1:18" x14ac:dyDescent="0.15">
      <c r="A8" s="57">
        <v>65527</v>
      </c>
      <c r="B8" s="57">
        <v>1</v>
      </c>
      <c r="C8" s="68" t="str">
        <f t="shared" si="0"/>
        <v>65527_1</v>
      </c>
      <c r="D8" s="17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321</v>
      </c>
      <c r="G8" s="57">
        <v>121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150</v>
      </c>
      <c r="Q8" s="56" t="s">
        <v>169</v>
      </c>
      <c r="R8" s="56" t="s">
        <v>170</v>
      </c>
    </row>
    <row r="9" spans="1:18" x14ac:dyDescent="0.15">
      <c r="A9" s="57">
        <v>65527</v>
      </c>
      <c r="B9" s="57">
        <v>1</v>
      </c>
      <c r="C9" s="68" t="str">
        <f t="shared" si="0"/>
        <v>65527_1</v>
      </c>
      <c r="D9" s="17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321</v>
      </c>
      <c r="G9" s="57">
        <v>122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50</v>
      </c>
      <c r="Q9" s="56" t="s">
        <v>169</v>
      </c>
      <c r="R9" s="56" t="s">
        <v>170</v>
      </c>
    </row>
    <row r="10" spans="1:18" x14ac:dyDescent="0.15">
      <c r="A10" s="57">
        <v>65527</v>
      </c>
      <c r="B10" s="57">
        <v>1</v>
      </c>
      <c r="C10" s="68" t="str">
        <f t="shared" si="0"/>
        <v>65527_1</v>
      </c>
      <c r="D10" s="17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321</v>
      </c>
      <c r="G10" s="57">
        <v>123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50</v>
      </c>
      <c r="Q10" s="56" t="s">
        <v>169</v>
      </c>
      <c r="R10" s="56" t="s">
        <v>170</v>
      </c>
    </row>
    <row r="11" spans="1:18" ht="16" customHeight="1" x14ac:dyDescent="0.15">
      <c r="A11" s="57">
        <v>65527</v>
      </c>
      <c r="B11" s="57">
        <v>1</v>
      </c>
      <c r="C11" s="68" t="str">
        <f t="shared" si="0"/>
        <v>65527_1</v>
      </c>
      <c r="D11" s="17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7">
        <v>10</v>
      </c>
      <c r="F11" s="57" t="s">
        <v>321</v>
      </c>
      <c r="G11" s="57">
        <v>125</v>
      </c>
      <c r="H11" s="57">
        <v>1</v>
      </c>
      <c r="I11" s="57">
        <v>1</v>
      </c>
      <c r="J11" s="57">
        <v>1</v>
      </c>
      <c r="K11" s="57">
        <v>0</v>
      </c>
      <c r="L11" s="57">
        <v>0</v>
      </c>
      <c r="M11" s="57">
        <v>0</v>
      </c>
      <c r="N11" s="57">
        <v>0</v>
      </c>
      <c r="O11" s="57">
        <v>1</v>
      </c>
      <c r="P11" s="57">
        <v>50</v>
      </c>
      <c r="Q11" s="56" t="s">
        <v>169</v>
      </c>
      <c r="R11" s="56" t="s">
        <v>170</v>
      </c>
    </row>
  </sheetData>
  <phoneticPr fontId="5"/>
  <dataValidations count="1">
    <dataValidation type="list" allowBlank="1" showInputMessage="1" showErrorMessage="1" sqref="F2:F11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6"/>
  <sheetViews>
    <sheetView showGridLines="0" workbookViewId="0">
      <pane ySplit="1" topLeftCell="A2" activePane="bottomLeft" state="frozen"/>
      <selection pane="bottomLeft" activeCell="E22" sqref="E22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3" t="s">
        <v>187</v>
      </c>
      <c r="B1" s="70" t="s">
        <v>188</v>
      </c>
      <c r="C1" s="74" t="s">
        <v>189</v>
      </c>
      <c r="D1" s="74" t="s">
        <v>33</v>
      </c>
      <c r="E1" s="70" t="s">
        <v>190</v>
      </c>
      <c r="F1" s="74" t="s">
        <v>191</v>
      </c>
      <c r="G1" s="74" t="s">
        <v>33</v>
      </c>
      <c r="H1" s="70" t="s">
        <v>192</v>
      </c>
      <c r="I1" s="88" t="s">
        <v>194</v>
      </c>
      <c r="J1" s="76" t="s">
        <v>126</v>
      </c>
      <c r="K1" s="75" t="s">
        <v>186</v>
      </c>
      <c r="L1" s="89" t="s">
        <v>185</v>
      </c>
      <c r="M1" s="77" t="s">
        <v>195</v>
      </c>
    </row>
    <row r="2" spans="1:13" x14ac:dyDescent="0.15">
      <c r="A2" s="78" t="s">
        <v>199</v>
      </c>
      <c r="B2" s="79">
        <f>floors!$C$2</f>
        <v>65527</v>
      </c>
      <c r="C2" s="80" t="str">
        <f ca="1">VLOOKUP($B2,OFFSET([2]quests!$A$1,0,0,COUNTA([2]quests!$A:$A),MATCH(C$1,[2]quests!$1:$1,0)-MATCH($B$1,[2]quests!$1:$1,0)+1),MATCH(C$1,[2]quests!$1:$1,0)-MATCH($B$1,[2]quests!$1:$1,0)+1,FALSE)</f>
        <v>【LB石川】検証クエスト</v>
      </c>
      <c r="D2" s="80" t="str">
        <f ca="1">VLOOKUP($B2,OFFSET([2]quests!$A$1,0,0,COUNTA([2]quests!$A:$A),MATCH(D$1,[2]quests!$1:$1,0)-MATCH($B$1,[2]quests!$1:$1,0)+1),MATCH(D$1,[2]quests!$1:$1,0)-MATCH($B$1,[2]quests!$1:$1,0)+1,FALSE)</f>
        <v>検証</v>
      </c>
      <c r="E2" s="84">
        <v>1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【LB石川】検証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検証</v>
      </c>
      <c r="H2" s="82">
        <v>0</v>
      </c>
      <c r="I2">
        <v>1</v>
      </c>
      <c r="J2" s="81" t="s">
        <v>197</v>
      </c>
      <c r="K2" s="90" t="str">
        <f>VLOOKUP(I2,[6]stage_hints!$A:$C,3,FALSE)</f>
        <v>長くつなげて大ダメージ</v>
      </c>
      <c r="L2" s="91" t="str">
        <f>VLOOKUP(I2,[6]stage_hints!$A:$D,4,FALSE)</f>
        <v>パネルを長くつなげるほど_x000D_大ダメージを与えることができます</v>
      </c>
      <c r="M2" s="56" t="s">
        <v>209</v>
      </c>
    </row>
    <row r="3" spans="1:13" x14ac:dyDescent="0.15">
      <c r="A3" s="78" t="s">
        <v>199</v>
      </c>
      <c r="B3" s="79">
        <f>floors!$C$2</f>
        <v>65527</v>
      </c>
      <c r="C3" s="80" t="str">
        <f ca="1">VLOOKUP($B3,OFFSET([2]quests!$A$1,0,0,COUNTA([2]quests!$A:$A),MATCH(C$1,[2]quests!$1:$1,0)-MATCH($B$1,[2]quests!$1:$1,0)+1),MATCH(C$1,[2]quests!$1:$1,0)-MATCH($B$1,[2]quests!$1:$1,0)+1,FALSE)</f>
        <v>【LB石川】検証クエスト</v>
      </c>
      <c r="D3" s="80" t="str">
        <f ca="1">VLOOKUP($B3,OFFSET([2]quests!$A$1,0,0,COUNTA([2]quests!$A:$A),MATCH(D$1,[2]quests!$1:$1,0)-MATCH($B$1,[2]quests!$1:$1,0)+1),MATCH(D$1,[2]quests!$1:$1,0)-MATCH($B$1,[2]quests!$1:$1,0)+1,FALSE)</f>
        <v>検証</v>
      </c>
      <c r="E3" s="84">
        <v>1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【LB石川】検証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検証</v>
      </c>
      <c r="H3" s="82">
        <v>0</v>
      </c>
      <c r="I3">
        <v>2</v>
      </c>
      <c r="J3" s="81" t="s">
        <v>197</v>
      </c>
      <c r="K3" s="90" t="str">
        <f>VLOOKUP(I3,[6]stage_hints!$A:$C,3,FALSE)</f>
        <v>属性の相性</v>
      </c>
      <c r="L3" s="91" t="str">
        <f>VLOOKUP(I3,[6]stage_hints!$A:$D,4,FALSE)</f>
        <v>赤＞青　青＞黄　黄＞緑　緑＞赤_x000D_敵属性に最適なパーティがオススメです</v>
      </c>
      <c r="M3" s="56" t="s">
        <v>209</v>
      </c>
    </row>
    <row r="4" spans="1:13" x14ac:dyDescent="0.15">
      <c r="A4" s="78" t="s">
        <v>199</v>
      </c>
      <c r="B4" s="79">
        <f>floors!$C$2</f>
        <v>65527</v>
      </c>
      <c r="C4" s="80" t="str">
        <f ca="1">VLOOKUP($B4,OFFSET([2]quests!$A$1,0,0,COUNTA([2]quests!$A:$A),MATCH(C$1,[2]quests!$1:$1,0)-MATCH($B$1,[2]quests!$1:$1,0)+1),MATCH(C$1,[2]quests!$1:$1,0)-MATCH($B$1,[2]quests!$1:$1,0)+1,FALSE)</f>
        <v>【LB石川】検証クエスト</v>
      </c>
      <c r="D4" s="80" t="str">
        <f ca="1">VLOOKUP($B4,OFFSET([2]quests!$A$1,0,0,COUNTA([2]quests!$A:$A),MATCH(D$1,[2]quests!$1:$1,0)-MATCH($B$1,[2]quests!$1:$1,0)+1),MATCH(D$1,[2]quests!$1:$1,0)-MATCH($B$1,[2]quests!$1:$1,0)+1,FALSE)</f>
        <v>検証</v>
      </c>
      <c r="E4" s="84">
        <v>1</v>
      </c>
      <c r="F4" s="80" t="str">
        <f ca="1">VLOOKUP($B4&amp;"_"&amp;$E4,OFFSET([2]stages!$A$1,0,0,COUNTA([2]stages!$A:$A),MATCH(F$1,[2]stages!$2:$2,0)-MATCH("temp_stage",[2]stages!$2:$2,0)+1),MATCH(F$1,[2]stages!$2:$2,0)-MATCH("temp_stage",[2]stages!$2:$2,0)+1,FALSE)</f>
        <v>【LB石川】検証</v>
      </c>
      <c r="G4" s="80" t="str">
        <f ca="1">VLOOKUP($B4&amp;"_"&amp;$E4,OFFSET([2]stages!$A$1,0,0,COUNTA([2]stages!$A:$A),MATCH(G$1,[2]stages!$2:$2,0)-MATCH("temp_stage",[2]stages!$2:$2,0)+1),MATCH(G$1,[2]stages!$2:$2,0)-MATCH("temp_stage",[2]stages!$2:$2,0)+1,FALSE)</f>
        <v>検証</v>
      </c>
      <c r="H4" s="82">
        <v>0</v>
      </c>
      <c r="I4">
        <v>3</v>
      </c>
      <c r="J4" s="81" t="s">
        <v>197</v>
      </c>
      <c r="K4" s="90" t="str">
        <f>VLOOKUP(I4,[6]stage_hints!$A:$C,3,FALSE)</f>
        <v>ターゲット</v>
      </c>
      <c r="L4" s="91" t="str">
        <f>VLOOKUP(I4,[6]stage_hints!$A:$D,4,FALSE)</f>
        <v>敵ユニットをタップすると_x000D_その敵を狙い撃ちできます</v>
      </c>
      <c r="M4" s="56" t="s">
        <v>209</v>
      </c>
    </row>
    <row r="5" spans="1:13" x14ac:dyDescent="0.15">
      <c r="A5" s="78" t="s">
        <v>199</v>
      </c>
      <c r="B5" s="79">
        <f>floors!$C$2</f>
        <v>65527</v>
      </c>
      <c r="C5" s="80" t="str">
        <f ca="1">VLOOKUP($B5,OFFSET([2]quests!$A$1,0,0,COUNTA([2]quests!$A:$A),MATCH(C$1,[2]quests!$1:$1,0)-MATCH($B$1,[2]quests!$1:$1,0)+1),MATCH(C$1,[2]quests!$1:$1,0)-MATCH($B$1,[2]quests!$1:$1,0)+1,FALSE)</f>
        <v>【LB石川】検証クエスト</v>
      </c>
      <c r="D5" s="80" t="str">
        <f ca="1">VLOOKUP($B5,OFFSET([2]quests!$A$1,0,0,COUNTA([2]quests!$A:$A),MATCH(D$1,[2]quests!$1:$1,0)-MATCH($B$1,[2]quests!$1:$1,0)+1),MATCH(D$1,[2]quests!$1:$1,0)-MATCH($B$1,[2]quests!$1:$1,0)+1,FALSE)</f>
        <v>検証</v>
      </c>
      <c r="E5" s="84">
        <v>1</v>
      </c>
      <c r="F5" s="80" t="str">
        <f ca="1">VLOOKUP($B5&amp;"_"&amp;$E5,OFFSET([2]stages!$A$1,0,0,COUNTA([2]stages!$A:$A),MATCH(F$1,[2]stages!$2:$2,0)-MATCH("temp_stage",[2]stages!$2:$2,0)+1),MATCH(F$1,[2]stages!$2:$2,0)-MATCH("temp_stage",[2]stages!$2:$2,0)+1,FALSE)</f>
        <v>【LB石川】検証</v>
      </c>
      <c r="G5" s="80" t="str">
        <f ca="1">VLOOKUP($B5&amp;"_"&amp;$E5,OFFSET([2]stages!$A$1,0,0,COUNTA([2]stages!$A:$A),MATCH(G$1,[2]stages!$2:$2,0)-MATCH("temp_stage",[2]stages!$2:$2,0)+1),MATCH(G$1,[2]stages!$2:$2,0)-MATCH("temp_stage",[2]stages!$2:$2,0)+1,FALSE)</f>
        <v>検証</v>
      </c>
      <c r="H5" s="82">
        <v>0</v>
      </c>
      <c r="I5">
        <v>4</v>
      </c>
      <c r="J5" s="81" t="s">
        <v>197</v>
      </c>
      <c r="K5" s="90" t="str">
        <f>VLOOKUP(I5,[6]stage_hints!$A:$C,3,FALSE)</f>
        <v>ボーナスクエスト</v>
      </c>
      <c r="L5" s="91" t="str">
        <f>VLOOKUP(I5,[6]stage_hints!$A:$D,4,FALSE)</f>
        <v>ノーマルクエストを進めると_x000D_嬉しいボーナスクエストが登場します</v>
      </c>
      <c r="M5" s="56" t="s">
        <v>209</v>
      </c>
    </row>
    <row r="6" spans="1:13" x14ac:dyDescent="0.15">
      <c r="A6" s="78" t="s">
        <v>199</v>
      </c>
      <c r="B6" s="79">
        <f>floors!$C$2</f>
        <v>65527</v>
      </c>
      <c r="C6" s="80" t="str">
        <f ca="1">VLOOKUP($B6,OFFSET([2]quests!$A$1,0,0,COUNTA([2]quests!$A:$A),MATCH(C$1,[2]quests!$1:$1,0)-MATCH($B$1,[2]quests!$1:$1,0)+1),MATCH(C$1,[2]quests!$1:$1,0)-MATCH($B$1,[2]quests!$1:$1,0)+1,FALSE)</f>
        <v>【LB石川】検証クエスト</v>
      </c>
      <c r="D6" s="80" t="str">
        <f ca="1">VLOOKUP($B6,OFFSET([2]quests!$A$1,0,0,COUNTA([2]quests!$A:$A),MATCH(D$1,[2]quests!$1:$1,0)-MATCH($B$1,[2]quests!$1:$1,0)+1),MATCH(D$1,[2]quests!$1:$1,0)-MATCH($B$1,[2]quests!$1:$1,0)+1,FALSE)</f>
        <v>検証</v>
      </c>
      <c r="E6" s="84">
        <v>1</v>
      </c>
      <c r="F6" s="80" t="str">
        <f ca="1">VLOOKUP($B6&amp;"_"&amp;$E6,OFFSET([2]stages!$A$1,0,0,COUNTA([2]stages!$A:$A),MATCH(F$1,[2]stages!$2:$2,0)-MATCH("temp_stage",[2]stages!$2:$2,0)+1),MATCH(F$1,[2]stages!$2:$2,0)-MATCH("temp_stage",[2]stages!$2:$2,0)+1,FALSE)</f>
        <v>【LB石川】検証</v>
      </c>
      <c r="G6" s="80" t="str">
        <f ca="1">VLOOKUP($B6&amp;"_"&amp;$E6,OFFSET([2]stages!$A$1,0,0,COUNTA([2]stages!$A:$A),MATCH(G$1,[2]stages!$2:$2,0)-MATCH("temp_stage",[2]stages!$2:$2,0)+1),MATCH(G$1,[2]stages!$2:$2,0)-MATCH("temp_stage",[2]stages!$2:$2,0)+1,FALSE)</f>
        <v>検証</v>
      </c>
      <c r="H6" s="82">
        <v>0</v>
      </c>
      <c r="I6">
        <v>5</v>
      </c>
      <c r="J6" s="81" t="s">
        <v>197</v>
      </c>
      <c r="K6" s="90" t="str">
        <f>VLOOKUP(I6,[6]stage_hints!$A:$C,3,FALSE)</f>
        <v>ユニット強化でレベルアップ</v>
      </c>
      <c r="L6" s="91" t="str">
        <f>VLOOKUP(I6,[6]stage_hints!$A:$D,4,FALSE)</f>
        <v>「ユニット強化」でレベルアップすると_x000D_勝てない敵にも勝てるようになります</v>
      </c>
      <c r="M6" s="56" t="s">
        <v>209</v>
      </c>
    </row>
    <row r="7" spans="1:13" x14ac:dyDescent="0.15">
      <c r="A7" s="78" t="s">
        <v>199</v>
      </c>
      <c r="B7" s="79">
        <f>floors!$C$2</f>
        <v>65527</v>
      </c>
      <c r="C7" s="80" t="str">
        <f ca="1">VLOOKUP($B7,OFFSET([2]quests!$A$1,0,0,COUNTA([2]quests!$A:$A),MATCH(C$1,[2]quests!$1:$1,0)-MATCH($B$1,[2]quests!$1:$1,0)+1),MATCH(C$1,[2]quests!$1:$1,0)-MATCH($B$1,[2]quests!$1:$1,0)+1,FALSE)</f>
        <v>【LB石川】検証クエスト</v>
      </c>
      <c r="D7" s="80" t="str">
        <f ca="1">VLOOKUP($B7,OFFSET([2]quests!$A$1,0,0,COUNTA([2]quests!$A:$A),MATCH(D$1,[2]quests!$1:$1,0)-MATCH($B$1,[2]quests!$1:$1,0)+1),MATCH(D$1,[2]quests!$1:$1,0)-MATCH($B$1,[2]quests!$1:$1,0)+1,FALSE)</f>
        <v>検証</v>
      </c>
      <c r="E7" s="84">
        <v>1</v>
      </c>
      <c r="F7" s="80" t="str">
        <f ca="1">VLOOKUP($B7&amp;"_"&amp;$E7,OFFSET([2]stages!$A$1,0,0,COUNTA([2]stages!$A:$A),MATCH(F$1,[2]stages!$2:$2,0)-MATCH("temp_stage",[2]stages!$2:$2,0)+1),MATCH(F$1,[2]stages!$2:$2,0)-MATCH("temp_stage",[2]stages!$2:$2,0)+1,FALSE)</f>
        <v>【LB石川】検証</v>
      </c>
      <c r="G7" s="80" t="str">
        <f ca="1">VLOOKUP($B7&amp;"_"&amp;$E7,OFFSET([2]stages!$A$1,0,0,COUNTA([2]stages!$A:$A),MATCH(G$1,[2]stages!$2:$2,0)-MATCH("temp_stage",[2]stages!$2:$2,0)+1),MATCH(G$1,[2]stages!$2:$2,0)-MATCH("temp_stage",[2]stages!$2:$2,0)+1,FALSE)</f>
        <v>検証</v>
      </c>
      <c r="H7" s="82">
        <v>0</v>
      </c>
      <c r="I7">
        <v>6</v>
      </c>
      <c r="J7" s="81" t="s">
        <v>197</v>
      </c>
      <c r="K7" s="90" t="str">
        <f>VLOOKUP(I7,[6]stage_hints!$A:$C,3,FALSE)</f>
        <v>ユニット強化の属性ボーナス</v>
      </c>
      <c r="L7" s="91" t="str">
        <f>VLOOKUP(I7,[6]stage_hints!$A:$D,4,FALSE)</f>
        <v>同属性ユニットを強化素材にすると_x000D_経験値が多くもらえます</v>
      </c>
      <c r="M7" s="56" t="s">
        <v>209</v>
      </c>
    </row>
    <row r="8" spans="1:13" x14ac:dyDescent="0.15">
      <c r="A8" s="78" t="s">
        <v>199</v>
      </c>
      <c r="B8" s="79">
        <f>floors!$C$2</f>
        <v>65527</v>
      </c>
      <c r="C8" s="80" t="str">
        <f ca="1">VLOOKUP($B8,OFFSET([2]quests!$A$1,0,0,COUNTA([2]quests!$A:$A),MATCH(C$1,[2]quests!$1:$1,0)-MATCH($B$1,[2]quests!$1:$1,0)+1),MATCH(C$1,[2]quests!$1:$1,0)-MATCH($B$1,[2]quests!$1:$1,0)+1,FALSE)</f>
        <v>【LB石川】検証クエスト</v>
      </c>
      <c r="D8" s="80" t="str">
        <f ca="1">VLOOKUP($B8,OFFSET([2]quests!$A$1,0,0,COUNTA([2]quests!$A:$A),MATCH(D$1,[2]quests!$1:$1,0)-MATCH($B$1,[2]quests!$1:$1,0)+1),MATCH(D$1,[2]quests!$1:$1,0)-MATCH($B$1,[2]quests!$1:$1,0)+1,FALSE)</f>
        <v>検証</v>
      </c>
      <c r="E8" s="84">
        <v>1</v>
      </c>
      <c r="F8" s="80" t="str">
        <f ca="1">VLOOKUP($B8&amp;"_"&amp;$E8,OFFSET([2]stages!$A$1,0,0,COUNTA([2]stages!$A:$A),MATCH(F$1,[2]stages!$2:$2,0)-MATCH("temp_stage",[2]stages!$2:$2,0)+1),MATCH(F$1,[2]stages!$2:$2,0)-MATCH("temp_stage",[2]stages!$2:$2,0)+1,FALSE)</f>
        <v>【LB石川】検証</v>
      </c>
      <c r="G8" s="80" t="str">
        <f ca="1">VLOOKUP($B8&amp;"_"&amp;$E8,OFFSET([2]stages!$A$1,0,0,COUNTA([2]stages!$A:$A),MATCH(G$1,[2]stages!$2:$2,0)-MATCH("temp_stage",[2]stages!$2:$2,0)+1),MATCH(G$1,[2]stages!$2:$2,0)-MATCH("temp_stage",[2]stages!$2:$2,0)+1,FALSE)</f>
        <v>検証</v>
      </c>
      <c r="H8" s="82">
        <v>0</v>
      </c>
      <c r="I8">
        <v>7</v>
      </c>
      <c r="J8" s="81" t="s">
        <v>197</v>
      </c>
      <c r="K8" s="90" t="str">
        <f>VLOOKUP(I8,[6]stage_hints!$A:$C,3,FALSE)</f>
        <v>メタルダックで経験値を獲得</v>
      </c>
      <c r="L8" s="91" t="str">
        <f>VLOOKUP(I8,[6]stage_hints!$A:$D,4,FALSE)</f>
        <v>「メタルなアヒル」を強化素材にすると_x000D_大量の経験値がもらえます</v>
      </c>
      <c r="M8" s="56" t="s">
        <v>209</v>
      </c>
    </row>
    <row r="9" spans="1:13" x14ac:dyDescent="0.15">
      <c r="A9" s="78" t="s">
        <v>199</v>
      </c>
      <c r="B9" s="79">
        <f>floors!$C$2</f>
        <v>65527</v>
      </c>
      <c r="C9" s="80" t="str">
        <f ca="1">VLOOKUP($B9,OFFSET([2]quests!$A$1,0,0,COUNTA([2]quests!$A:$A),MATCH(C$1,[2]quests!$1:$1,0)-MATCH($B$1,[2]quests!$1:$1,0)+1),MATCH(C$1,[2]quests!$1:$1,0)-MATCH($B$1,[2]quests!$1:$1,0)+1,FALSE)</f>
        <v>【LB石川】検証クエスト</v>
      </c>
      <c r="D9" s="80" t="str">
        <f ca="1">VLOOKUP($B9,OFFSET([2]quests!$A$1,0,0,COUNTA([2]quests!$A:$A),MATCH(D$1,[2]quests!$1:$1,0)-MATCH($B$1,[2]quests!$1:$1,0)+1),MATCH(D$1,[2]quests!$1:$1,0)-MATCH($B$1,[2]quests!$1:$1,0)+1,FALSE)</f>
        <v>検証</v>
      </c>
      <c r="E9" s="84">
        <v>1</v>
      </c>
      <c r="F9" s="80" t="str">
        <f ca="1">VLOOKUP($B9&amp;"_"&amp;$E9,OFFSET([2]stages!$A$1,0,0,COUNTA([2]stages!$A:$A),MATCH(F$1,[2]stages!$2:$2,0)-MATCH("temp_stage",[2]stages!$2:$2,0)+1),MATCH(F$1,[2]stages!$2:$2,0)-MATCH("temp_stage",[2]stages!$2:$2,0)+1,FALSE)</f>
        <v>【LB石川】検証</v>
      </c>
      <c r="G9" s="80" t="str">
        <f ca="1">VLOOKUP($B9&amp;"_"&amp;$E9,OFFSET([2]stages!$A$1,0,0,COUNTA([2]stages!$A:$A),MATCH(G$1,[2]stages!$2:$2,0)-MATCH("temp_stage",[2]stages!$2:$2,0)+1),MATCH(G$1,[2]stages!$2:$2,0)-MATCH("temp_stage",[2]stages!$2:$2,0)+1,FALSE)</f>
        <v>検証</v>
      </c>
      <c r="H9" s="82">
        <v>0</v>
      </c>
      <c r="I9">
        <v>8</v>
      </c>
      <c r="J9" s="81" t="s">
        <v>197</v>
      </c>
      <c r="K9" s="90" t="str">
        <f>VLOOKUP(I9,[6]stage_hints!$A:$C,3,FALSE)</f>
        <v>ゲリラクエストは要チェック</v>
      </c>
      <c r="L9" s="91" t="str">
        <f>VLOOKUP(I9,[6]stage_hints!$A:$D,4,FALSE)</f>
        <v>時間限定の「アヒル捕獲作戦」では_x000D_経験値素材ユニットが多く手に入ります</v>
      </c>
      <c r="M9" s="56" t="s">
        <v>209</v>
      </c>
    </row>
    <row r="10" spans="1:13" x14ac:dyDescent="0.15">
      <c r="A10" s="78" t="s">
        <v>199</v>
      </c>
      <c r="B10" s="79">
        <f>floors!$C$2</f>
        <v>65527</v>
      </c>
      <c r="C10" s="80" t="str">
        <f ca="1">VLOOKUP($B10,OFFSET([2]quests!$A$1,0,0,COUNTA([2]quests!$A:$A),MATCH(C$1,[2]quests!$1:$1,0)-MATCH($B$1,[2]quests!$1:$1,0)+1),MATCH(C$1,[2]quests!$1:$1,0)-MATCH($B$1,[2]quests!$1:$1,0)+1,FALSE)</f>
        <v>【LB石川】検証クエスト</v>
      </c>
      <c r="D10" s="80" t="str">
        <f ca="1">VLOOKUP($B10,OFFSET([2]quests!$A$1,0,0,COUNTA([2]quests!$A:$A),MATCH(D$1,[2]quests!$1:$1,0)-MATCH($B$1,[2]quests!$1:$1,0)+1),MATCH(D$1,[2]quests!$1:$1,0)-MATCH($B$1,[2]quests!$1:$1,0)+1,FALSE)</f>
        <v>検証</v>
      </c>
      <c r="E10" s="84">
        <v>1</v>
      </c>
      <c r="F10" s="80" t="str">
        <f ca="1">VLOOKUP($B10&amp;"_"&amp;$E10,OFFSET([2]stages!$A$1,0,0,COUNTA([2]stages!$A:$A),MATCH(F$1,[2]stages!$2:$2,0)-MATCH("temp_stage",[2]stages!$2:$2,0)+1),MATCH(F$1,[2]stages!$2:$2,0)-MATCH("temp_stage",[2]stages!$2:$2,0)+1,FALSE)</f>
        <v>【LB石川】検証</v>
      </c>
      <c r="G10" s="80" t="str">
        <f ca="1">VLOOKUP($B10&amp;"_"&amp;$E10,OFFSET([2]stages!$A$1,0,0,COUNTA([2]stages!$A:$A),MATCH(G$1,[2]stages!$2:$2,0)-MATCH("temp_stage",[2]stages!$2:$2,0)+1),MATCH(G$1,[2]stages!$2:$2,0)-MATCH("temp_stage",[2]stages!$2:$2,0)+1,FALSE)</f>
        <v>検証</v>
      </c>
      <c r="H10" s="82">
        <v>0</v>
      </c>
      <c r="I10">
        <v>9</v>
      </c>
      <c r="J10" s="81" t="s">
        <v>197</v>
      </c>
      <c r="K10" s="90" t="str">
        <f>VLOOKUP(I10,[6]stage_hints!$A:$C,3,FALSE)</f>
        <v>ゴールドダックでビットを獲得</v>
      </c>
      <c r="L10" s="91" t="str">
        <f>VLOOKUP(I10,[6]stage_hints!$A:$D,4,FALSE)</f>
        <v>「ゴールドなアヒル」を売却すると_x000D_大量のビットがもらえます</v>
      </c>
      <c r="M10" s="56" t="s">
        <v>209</v>
      </c>
    </row>
    <row r="11" spans="1:13" x14ac:dyDescent="0.15">
      <c r="A11" s="78" t="s">
        <v>199</v>
      </c>
      <c r="B11" s="79">
        <f>floors!$C$2</f>
        <v>65527</v>
      </c>
      <c r="C11" s="80" t="str">
        <f ca="1">VLOOKUP($B11,OFFSET([2]quests!$A$1,0,0,COUNTA([2]quests!$A:$A),MATCH(C$1,[2]quests!$1:$1,0)-MATCH($B$1,[2]quests!$1:$1,0)+1),MATCH(C$1,[2]quests!$1:$1,0)-MATCH($B$1,[2]quests!$1:$1,0)+1,FALSE)</f>
        <v>【LB石川】検証クエスト</v>
      </c>
      <c r="D11" s="80" t="str">
        <f ca="1">VLOOKUP($B11,OFFSET([2]quests!$A$1,0,0,COUNTA([2]quests!$A:$A),MATCH(D$1,[2]quests!$1:$1,0)-MATCH($B$1,[2]quests!$1:$1,0)+1),MATCH(D$1,[2]quests!$1:$1,0)-MATCH($B$1,[2]quests!$1:$1,0)+1,FALSE)</f>
        <v>検証</v>
      </c>
      <c r="E11" s="84">
        <v>1</v>
      </c>
      <c r="F11" s="80" t="str">
        <f ca="1">VLOOKUP($B11&amp;"_"&amp;$E11,OFFSET([2]stages!$A$1,0,0,COUNTA([2]stages!$A:$A),MATCH(F$1,[2]stages!$2:$2,0)-MATCH("temp_stage",[2]stages!$2:$2,0)+1),MATCH(F$1,[2]stages!$2:$2,0)-MATCH("temp_stage",[2]stages!$2:$2,0)+1,FALSE)</f>
        <v>【LB石川】検証</v>
      </c>
      <c r="G11" s="80" t="str">
        <f ca="1">VLOOKUP($B11&amp;"_"&amp;$E11,OFFSET([2]stages!$A$1,0,0,COUNTA([2]stages!$A:$A),MATCH(G$1,[2]stages!$2:$2,0)-MATCH("temp_stage",[2]stages!$2:$2,0)+1),MATCH(G$1,[2]stages!$2:$2,0)-MATCH("temp_stage",[2]stages!$2:$2,0)+1,FALSE)</f>
        <v>検証</v>
      </c>
      <c r="H11" s="82">
        <v>0</v>
      </c>
      <c r="I11">
        <v>10</v>
      </c>
      <c r="J11" s="81" t="s">
        <v>197</v>
      </c>
      <c r="K11" s="90" t="str">
        <f>VLOOKUP(I11,[6]stage_hints!$A:$C,3,FALSE)</f>
        <v>土日に大量のビットを獲得</v>
      </c>
      <c r="L11" s="91" t="str">
        <f>VLOOKUP(I11,[6]stage_hints!$A:$D,4,FALSE)</f>
        <v>土日限定の「ゴールドカジノ」では_x000D_売却素材ユニットが多く手に入ります</v>
      </c>
      <c r="M11" s="56" t="s">
        <v>209</v>
      </c>
    </row>
    <row r="12" spans="1:13" x14ac:dyDescent="0.15">
      <c r="A12" s="78" t="s">
        <v>199</v>
      </c>
      <c r="B12" s="79">
        <f>floors!$C$2</f>
        <v>65527</v>
      </c>
      <c r="C12" s="80" t="str">
        <f ca="1">VLOOKUP($B12,OFFSET([2]quests!$A$1,0,0,COUNTA([2]quests!$A:$A),MATCH(C$1,[2]quests!$1:$1,0)-MATCH($B$1,[2]quests!$1:$1,0)+1),MATCH(C$1,[2]quests!$1:$1,0)-MATCH($B$1,[2]quests!$1:$1,0)+1,FALSE)</f>
        <v>【LB石川】検証クエスト</v>
      </c>
      <c r="D12" s="80" t="str">
        <f ca="1">VLOOKUP($B12,OFFSET([2]quests!$A$1,0,0,COUNTA([2]quests!$A:$A),MATCH(D$1,[2]quests!$1:$1,0)-MATCH($B$1,[2]quests!$1:$1,0)+1),MATCH(D$1,[2]quests!$1:$1,0)-MATCH($B$1,[2]quests!$1:$1,0)+1,FALSE)</f>
        <v>検証</v>
      </c>
      <c r="E12" s="84">
        <v>1</v>
      </c>
      <c r="F12" s="80" t="str">
        <f ca="1">VLOOKUP($B12&amp;"_"&amp;$E12,OFFSET([2]stages!$A$1,0,0,COUNTA([2]stages!$A:$A),MATCH(F$1,[2]stages!$2:$2,0)-MATCH("temp_stage",[2]stages!$2:$2,0)+1),MATCH(F$1,[2]stages!$2:$2,0)-MATCH("temp_stage",[2]stages!$2:$2,0)+1,FALSE)</f>
        <v>【LB石川】検証</v>
      </c>
      <c r="G12" s="80" t="str">
        <f ca="1">VLOOKUP($B12&amp;"_"&amp;$E12,OFFSET([2]stages!$A$1,0,0,COUNTA([2]stages!$A:$A),MATCH(G$1,[2]stages!$2:$2,0)-MATCH("temp_stage",[2]stages!$2:$2,0)+1),MATCH(G$1,[2]stages!$2:$2,0)-MATCH("temp_stage",[2]stages!$2:$2,0)+1,FALSE)</f>
        <v>検証</v>
      </c>
      <c r="H12" s="82">
        <v>0</v>
      </c>
      <c r="I12">
        <v>11</v>
      </c>
      <c r="J12" s="81" t="s">
        <v>197</v>
      </c>
      <c r="K12" s="90" t="str">
        <f>VLOOKUP(I12,[6]stage_hints!$A:$C,3,FALSE)</f>
        <v>ゲリラクエストは要チェック</v>
      </c>
      <c r="L12" s="91" t="str">
        <f>VLOOKUP(I12,[6]stage_hints!$A:$D,4,FALSE)</f>
        <v>時間限定の「アヒル捕獲作戦」では_x000D_経験値素材ユニットが多く手に入ります</v>
      </c>
      <c r="M12" s="56" t="s">
        <v>209</v>
      </c>
    </row>
    <row r="13" spans="1:13" x14ac:dyDescent="0.15">
      <c r="A13" s="78" t="s">
        <v>199</v>
      </c>
      <c r="B13" s="79">
        <f>floors!$C$2</f>
        <v>65527</v>
      </c>
      <c r="C13" s="80" t="str">
        <f ca="1">VLOOKUP($B13,OFFSET([2]quests!$A$1,0,0,COUNTA([2]quests!$A:$A),MATCH(C$1,[2]quests!$1:$1,0)-MATCH($B$1,[2]quests!$1:$1,0)+1),MATCH(C$1,[2]quests!$1:$1,0)-MATCH($B$1,[2]quests!$1:$1,0)+1,FALSE)</f>
        <v>【LB石川】検証クエスト</v>
      </c>
      <c r="D13" s="80" t="str">
        <f ca="1">VLOOKUP($B13,OFFSET([2]quests!$A$1,0,0,COUNTA([2]quests!$A:$A),MATCH(D$1,[2]quests!$1:$1,0)-MATCH($B$1,[2]quests!$1:$1,0)+1),MATCH(D$1,[2]quests!$1:$1,0)-MATCH($B$1,[2]quests!$1:$1,0)+1,FALSE)</f>
        <v>検証</v>
      </c>
      <c r="E13" s="84">
        <v>1</v>
      </c>
      <c r="F13" s="80" t="str">
        <f ca="1">VLOOKUP($B13&amp;"_"&amp;$E13,OFFSET([2]stages!$A$1,0,0,COUNTA([2]stages!$A:$A),MATCH(F$1,[2]stages!$2:$2,0)-MATCH("temp_stage",[2]stages!$2:$2,0)+1),MATCH(F$1,[2]stages!$2:$2,0)-MATCH("temp_stage",[2]stages!$2:$2,0)+1,FALSE)</f>
        <v>【LB石川】検証</v>
      </c>
      <c r="G13" s="80" t="str">
        <f ca="1">VLOOKUP($B13&amp;"_"&amp;$E13,OFFSET([2]stages!$A$1,0,0,COUNTA([2]stages!$A:$A),MATCH(G$1,[2]stages!$2:$2,0)-MATCH("temp_stage",[2]stages!$2:$2,0)+1),MATCH(G$1,[2]stages!$2:$2,0)-MATCH("temp_stage",[2]stages!$2:$2,0)+1,FALSE)</f>
        <v>検証</v>
      </c>
      <c r="H13" s="82">
        <v>0</v>
      </c>
      <c r="I13">
        <v>12</v>
      </c>
      <c r="J13" s="81" t="s">
        <v>197</v>
      </c>
      <c r="K13" s="90" t="str">
        <f>VLOOKUP(I13,[6]stage_hints!$A:$C,3,FALSE)</f>
        <v>ユニットのお気に入り登録</v>
      </c>
      <c r="L13" s="91" t="str">
        <f>VLOOKUP(I13,[6]stage_hints!$A:$D,4,FALSE)</f>
        <v>大事なユニットを誤って消さないように_x000D_フォルダから「お気に入り登録」しましょう</v>
      </c>
      <c r="M13" s="56" t="s">
        <v>209</v>
      </c>
    </row>
    <row r="14" spans="1:13" x14ac:dyDescent="0.15">
      <c r="A14" s="78" t="s">
        <v>199</v>
      </c>
      <c r="B14" s="79">
        <f>floors!$C$2</f>
        <v>65527</v>
      </c>
      <c r="C14" s="80" t="str">
        <f ca="1">VLOOKUP($B14,OFFSET([2]quests!$A$1,0,0,COUNTA([2]quests!$A:$A),MATCH(C$1,[2]quests!$1:$1,0)-MATCH($B$1,[2]quests!$1:$1,0)+1),MATCH(C$1,[2]quests!$1:$1,0)-MATCH($B$1,[2]quests!$1:$1,0)+1,FALSE)</f>
        <v>【LB石川】検証クエスト</v>
      </c>
      <c r="D14" s="80" t="str">
        <f ca="1">VLOOKUP($B14,OFFSET([2]quests!$A$1,0,0,COUNTA([2]quests!$A:$A),MATCH(D$1,[2]quests!$1:$1,0)-MATCH($B$1,[2]quests!$1:$1,0)+1),MATCH(D$1,[2]quests!$1:$1,0)-MATCH($B$1,[2]quests!$1:$1,0)+1,FALSE)</f>
        <v>検証</v>
      </c>
      <c r="E14" s="84">
        <v>1</v>
      </c>
      <c r="F14" s="80" t="str">
        <f ca="1">VLOOKUP($B14&amp;"_"&amp;$E14,OFFSET([2]stages!$A$1,0,0,COUNTA([2]stages!$A:$A),MATCH(F$1,[2]stages!$2:$2,0)-MATCH("temp_stage",[2]stages!$2:$2,0)+1),MATCH(F$1,[2]stages!$2:$2,0)-MATCH("temp_stage",[2]stages!$2:$2,0)+1,FALSE)</f>
        <v>【LB石川】検証</v>
      </c>
      <c r="G14" s="80" t="str">
        <f ca="1">VLOOKUP($B14&amp;"_"&amp;$E14,OFFSET([2]stages!$A$1,0,0,COUNTA([2]stages!$A:$A),MATCH(G$1,[2]stages!$2:$2,0)-MATCH("temp_stage",[2]stages!$2:$2,0)+1),MATCH(G$1,[2]stages!$2:$2,0)-MATCH("temp_stage",[2]stages!$2:$2,0)+1,FALSE)</f>
        <v>検証</v>
      </c>
      <c r="H14" s="82">
        <v>0</v>
      </c>
      <c r="I14">
        <v>13</v>
      </c>
      <c r="J14" s="81" t="s">
        <v>197</v>
      </c>
      <c r="K14" s="90" t="str">
        <f>VLOOKUP(I14,[6]stage_hints!$A:$C,3,FALSE)</f>
        <v>ユニットの覚醒</v>
      </c>
      <c r="L14" s="91" t="str">
        <f>VLOOKUP(I14,[6]stage_hints!$A:$D,4,FALSE)</f>
        <v>ユニットを覚醒させると_x000D_比べものにならない強さが手に入ります</v>
      </c>
      <c r="M14" s="56" t="s">
        <v>209</v>
      </c>
    </row>
    <row r="15" spans="1:13" x14ac:dyDescent="0.15">
      <c r="A15" s="78" t="s">
        <v>199</v>
      </c>
      <c r="B15" s="79">
        <f>floors!$C$2</f>
        <v>65527</v>
      </c>
      <c r="C15" s="80" t="str">
        <f ca="1">VLOOKUP($B15,OFFSET([2]quests!$A$1,0,0,COUNTA([2]quests!$A:$A),MATCH(C$1,[2]quests!$1:$1,0)-MATCH($B$1,[2]quests!$1:$1,0)+1),MATCH(C$1,[2]quests!$1:$1,0)-MATCH($B$1,[2]quests!$1:$1,0)+1,FALSE)</f>
        <v>【LB石川】検証クエスト</v>
      </c>
      <c r="D15" s="80" t="str">
        <f ca="1">VLOOKUP($B15,OFFSET([2]quests!$A$1,0,0,COUNTA([2]quests!$A:$A),MATCH(D$1,[2]quests!$1:$1,0)-MATCH($B$1,[2]quests!$1:$1,0)+1),MATCH(D$1,[2]quests!$1:$1,0)-MATCH($B$1,[2]quests!$1:$1,0)+1,FALSE)</f>
        <v>検証</v>
      </c>
      <c r="E15" s="84">
        <v>1</v>
      </c>
      <c r="F15" s="80" t="str">
        <f ca="1">VLOOKUP($B15&amp;"_"&amp;$E15,OFFSET([2]stages!$A$1,0,0,COUNTA([2]stages!$A:$A),MATCH(F$1,[2]stages!$2:$2,0)-MATCH("temp_stage",[2]stages!$2:$2,0)+1),MATCH(F$1,[2]stages!$2:$2,0)-MATCH("temp_stage",[2]stages!$2:$2,0)+1,FALSE)</f>
        <v>【LB石川】検証</v>
      </c>
      <c r="G15" s="80" t="str">
        <f ca="1">VLOOKUP($B15&amp;"_"&amp;$E15,OFFSET([2]stages!$A$1,0,0,COUNTA([2]stages!$A:$A),MATCH(G$1,[2]stages!$2:$2,0)-MATCH("temp_stage",[2]stages!$2:$2,0)+1),MATCH(G$1,[2]stages!$2:$2,0)-MATCH("temp_stage",[2]stages!$2:$2,0)+1,FALSE)</f>
        <v>検証</v>
      </c>
      <c r="H15" s="82">
        <v>0</v>
      </c>
      <c r="I15">
        <v>14</v>
      </c>
      <c r="J15" s="81" t="s">
        <v>197</v>
      </c>
      <c r="K15" s="90" t="str">
        <f>VLOOKUP(I15,[6]stage_hints!$A:$C,3,FALSE)</f>
        <v>覚醒するにはレベルを最大に</v>
      </c>
      <c r="L15" s="91" t="str">
        <f>VLOOKUP(I15,[6]stage_hints!$A:$D,4,FALSE)</f>
        <v>覚醒するにはユニットのレベルを_x000D_最大まで上げる必要があります</v>
      </c>
      <c r="M15" s="56" t="s">
        <v>209</v>
      </c>
    </row>
    <row r="16" spans="1:13" x14ac:dyDescent="0.15">
      <c r="A16" s="78" t="s">
        <v>199</v>
      </c>
      <c r="B16" s="79">
        <f>floors!$C$2</f>
        <v>65527</v>
      </c>
      <c r="C16" s="80" t="str">
        <f ca="1">VLOOKUP($B16,OFFSET([2]quests!$A$1,0,0,COUNTA([2]quests!$A:$A),MATCH(C$1,[2]quests!$1:$1,0)-MATCH($B$1,[2]quests!$1:$1,0)+1),MATCH(C$1,[2]quests!$1:$1,0)-MATCH($B$1,[2]quests!$1:$1,0)+1,FALSE)</f>
        <v>【LB石川】検証クエスト</v>
      </c>
      <c r="D16" s="80" t="str">
        <f ca="1">VLOOKUP($B16,OFFSET([2]quests!$A$1,0,0,COUNTA([2]quests!$A:$A),MATCH(D$1,[2]quests!$1:$1,0)-MATCH($B$1,[2]quests!$1:$1,0)+1),MATCH(D$1,[2]quests!$1:$1,0)-MATCH($B$1,[2]quests!$1:$1,0)+1,FALSE)</f>
        <v>検証</v>
      </c>
      <c r="E16" s="84">
        <v>1</v>
      </c>
      <c r="F16" s="80" t="str">
        <f ca="1">VLOOKUP($B16&amp;"_"&amp;$E16,OFFSET([2]stages!$A$1,0,0,COUNTA([2]stages!$A:$A),MATCH(F$1,[2]stages!$2:$2,0)-MATCH("temp_stage",[2]stages!$2:$2,0)+1),MATCH(F$1,[2]stages!$2:$2,0)-MATCH("temp_stage",[2]stages!$2:$2,0)+1,FALSE)</f>
        <v>【LB石川】検証</v>
      </c>
      <c r="G16" s="80" t="str">
        <f ca="1">VLOOKUP($B16&amp;"_"&amp;$E16,OFFSET([2]stages!$A$1,0,0,COUNTA([2]stages!$A:$A),MATCH(G$1,[2]stages!$2:$2,0)-MATCH("temp_stage",[2]stages!$2:$2,0)+1),MATCH(G$1,[2]stages!$2:$2,0)-MATCH("temp_stage",[2]stages!$2:$2,0)+1,FALSE)</f>
        <v>検証</v>
      </c>
      <c r="H16" s="82">
        <v>0</v>
      </c>
      <c r="I16">
        <v>15</v>
      </c>
      <c r="J16" s="81" t="s">
        <v>197</v>
      </c>
      <c r="K16" s="90" t="str">
        <f>VLOOKUP(I16,[6]stage_hints!$A:$C,3,FALSE)</f>
        <v>覚醒素材を獲得</v>
      </c>
      <c r="L16" s="91" t="str">
        <f>VLOOKUP(I16,[6]stage_hints!$A:$D,4,FALSE)</f>
        <v>「曜日クエスト」では_x000D_ユニットの覚醒に必要な素材が手に入ります</v>
      </c>
      <c r="M16" s="56" t="s">
        <v>209</v>
      </c>
    </row>
  </sheetData>
  <phoneticPr fontId="5"/>
  <dataValidations count="1">
    <dataValidation type="list" allowBlank="1" showInputMessage="1" showErrorMessage="1" sqref="A2:A1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6"/>
  <sheetViews>
    <sheetView showGridLines="0" workbookViewId="0">
      <pane ySplit="1" topLeftCell="A2" activePane="bottomLeft" state="frozen"/>
      <selection pane="bottomLeft" activeCell="L10" sqref="L10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3" t="s">
        <v>187</v>
      </c>
      <c r="B1" s="70" t="s">
        <v>150</v>
      </c>
      <c r="C1" s="74" t="s">
        <v>189</v>
      </c>
      <c r="D1" s="74" t="s">
        <v>33</v>
      </c>
      <c r="E1" s="70" t="s">
        <v>190</v>
      </c>
      <c r="F1" s="74" t="s">
        <v>18</v>
      </c>
      <c r="G1" s="74" t="s">
        <v>33</v>
      </c>
      <c r="H1" s="70" t="s">
        <v>192</v>
      </c>
      <c r="I1" s="86" t="s">
        <v>193</v>
      </c>
      <c r="J1" s="88" t="s">
        <v>194</v>
      </c>
      <c r="K1" s="76" t="s">
        <v>126</v>
      </c>
      <c r="L1" s="75" t="s">
        <v>186</v>
      </c>
      <c r="M1" s="89" t="s">
        <v>185</v>
      </c>
      <c r="N1" s="77" t="s">
        <v>195</v>
      </c>
    </row>
    <row r="2" spans="1:14" ht="45" customHeight="1" x14ac:dyDescent="0.15">
      <c r="A2" s="78" t="s">
        <v>196</v>
      </c>
      <c r="B2" s="79">
        <f>floors!$C$2</f>
        <v>65527</v>
      </c>
      <c r="C2" s="80" t="str">
        <f ca="1">VLOOKUP($B2,OFFSET([2]quests!$A$1,0,0,COUNTA([2]quests!$A:$A),MATCH(C$1,[2]quests!$1:$1,0)-MATCH($B$1,[2]quests!$1:$1,0)+1),MATCH(C$1,[2]quests!$1:$1,0)-MATCH($B$1,[2]quests!$1:$1,0)+1,FALSE)</f>
        <v>【LB石川】検証クエスト</v>
      </c>
      <c r="D2" s="80" t="str">
        <f ca="1">VLOOKUP($B2,OFFSET([2]quests!$A$1,0,0,COUNTA([2]quests!$A:$A),MATCH(D$1,[2]quests!$1:$1,0)-MATCH($B$1,[2]quests!$1:$1,0)+1),MATCH(D$1,[2]quests!$1:$1,0)-MATCH($B$1,[2]quests!$1:$1,0)+1,FALSE)</f>
        <v>検証</v>
      </c>
      <c r="E2" s="81">
        <v>1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【LB石川】検証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検証</v>
      </c>
      <c r="H2" s="82">
        <v>1</v>
      </c>
      <c r="I2" s="87">
        <f>ROW()-1</f>
        <v>1</v>
      </c>
      <c r="J2" s="83" t="str">
        <f>B2&amp;TEXT(I2,"00")</f>
        <v>6552701</v>
      </c>
      <c r="K2" s="81" t="s">
        <v>197</v>
      </c>
      <c r="L2" s="84" t="s">
        <v>250</v>
      </c>
      <c r="M2" s="117" t="s">
        <v>324</v>
      </c>
      <c r="N2" s="56" t="s">
        <v>198</v>
      </c>
    </row>
    <row r="3" spans="1:14" ht="45" customHeight="1" x14ac:dyDescent="0.15">
      <c r="A3" s="78" t="s">
        <v>196</v>
      </c>
      <c r="B3" s="79">
        <f>floors!$C$2</f>
        <v>65527</v>
      </c>
      <c r="C3" s="80" t="str">
        <f ca="1">VLOOKUP($B3,OFFSET([2]quests!$A$1,0,0,COUNTA([2]quests!$A:$A),MATCH(C$1,[2]quests!$1:$1,0)-MATCH($B$1,[2]quests!$1:$1,0)+1),MATCH(C$1,[2]quests!$1:$1,0)-MATCH($B$1,[2]quests!$1:$1,0)+1,FALSE)</f>
        <v>【LB石川】検証クエスト</v>
      </c>
      <c r="D3" s="80" t="str">
        <f ca="1">VLOOKUP($B3,OFFSET([2]quests!$A$1,0,0,COUNTA([2]quests!$A:$A),MATCH(D$1,[2]quests!$1:$1,0)-MATCH($B$1,[2]quests!$1:$1,0)+1),MATCH(D$1,[2]quests!$1:$1,0)-MATCH($B$1,[2]quests!$1:$1,0)+1,FALSE)</f>
        <v>検証</v>
      </c>
      <c r="E3" s="81">
        <v>1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【LB石川】検証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検証</v>
      </c>
      <c r="H3" s="82">
        <v>2</v>
      </c>
      <c r="I3" s="87">
        <f t="shared" ref="I3:I6" si="0">ROW()-1</f>
        <v>2</v>
      </c>
      <c r="J3" s="83" t="str">
        <f t="shared" ref="J3:J5" si="1">B3&amp;TEXT(I3,"00")</f>
        <v>6552702</v>
      </c>
      <c r="K3" s="81" t="s">
        <v>197</v>
      </c>
      <c r="L3" s="84" t="s">
        <v>250</v>
      </c>
      <c r="M3" s="117" t="s">
        <v>325</v>
      </c>
      <c r="N3" s="56" t="s">
        <v>198</v>
      </c>
    </row>
    <row r="4" spans="1:14" ht="45" customHeight="1" x14ac:dyDescent="0.15">
      <c r="A4" s="78" t="s">
        <v>196</v>
      </c>
      <c r="B4" s="79">
        <f>floors!$C$2</f>
        <v>65527</v>
      </c>
      <c r="C4" s="80" t="str">
        <f ca="1">VLOOKUP($B4,OFFSET([2]quests!$A$1,0,0,COUNTA([2]quests!$A:$A),MATCH(C$1,[2]quests!$1:$1,0)-MATCH($B$1,[2]quests!$1:$1,0)+1),MATCH(C$1,[2]quests!$1:$1,0)-MATCH($B$1,[2]quests!$1:$1,0)+1,FALSE)</f>
        <v>【LB石川】検証クエスト</v>
      </c>
      <c r="D4" s="80" t="str">
        <f ca="1">VLOOKUP($B4,OFFSET([2]quests!$A$1,0,0,COUNTA([2]quests!$A:$A),MATCH(D$1,[2]quests!$1:$1,0)-MATCH($B$1,[2]quests!$1:$1,0)+1),MATCH(D$1,[2]quests!$1:$1,0)-MATCH($B$1,[2]quests!$1:$1,0)+1,FALSE)</f>
        <v>検証</v>
      </c>
      <c r="E4" s="81">
        <v>1</v>
      </c>
      <c r="F4" s="80" t="str">
        <f ca="1">VLOOKUP($B4&amp;"_"&amp;$E4,OFFSET([2]stages!$A$1,0,0,COUNTA([2]stages!$A:$A),MATCH(F$1,[2]stages!$2:$2,0)-MATCH("temp_stage",[2]stages!$2:$2,0)+1),MATCH(F$1,[2]stages!$2:$2,0)-MATCH("temp_stage",[2]stages!$2:$2,0)+1,FALSE)</f>
        <v>【LB石川】検証</v>
      </c>
      <c r="G4" s="80" t="str">
        <f ca="1">VLOOKUP($B4&amp;"_"&amp;$E4,OFFSET([2]stages!$A$1,0,0,COUNTA([2]stages!$A:$A),MATCH(G$1,[2]stages!$2:$2,0)-MATCH("temp_stage",[2]stages!$2:$2,0)+1),MATCH(G$1,[2]stages!$2:$2,0)-MATCH("temp_stage",[2]stages!$2:$2,0)+1,FALSE)</f>
        <v>検証</v>
      </c>
      <c r="H4" s="82">
        <v>3</v>
      </c>
      <c r="I4" s="87">
        <f t="shared" si="0"/>
        <v>3</v>
      </c>
      <c r="J4" s="83" t="str">
        <f t="shared" si="1"/>
        <v>6552703</v>
      </c>
      <c r="K4" s="81" t="s">
        <v>197</v>
      </c>
      <c r="L4" s="84" t="s">
        <v>250</v>
      </c>
      <c r="M4" s="117" t="s">
        <v>326</v>
      </c>
      <c r="N4" s="56" t="s">
        <v>198</v>
      </c>
    </row>
    <row r="5" spans="1:14" ht="45" customHeight="1" x14ac:dyDescent="0.15">
      <c r="A5" s="78" t="s">
        <v>196</v>
      </c>
      <c r="B5" s="79">
        <f>floors!$C$2</f>
        <v>65527</v>
      </c>
      <c r="C5" s="80" t="str">
        <f ca="1">VLOOKUP($B5,OFFSET([2]quests!$A$1,0,0,COUNTA([2]quests!$A:$A),MATCH(C$1,[2]quests!$1:$1,0)-MATCH($B$1,[2]quests!$1:$1,0)+1),MATCH(C$1,[2]quests!$1:$1,0)-MATCH($B$1,[2]quests!$1:$1,0)+1,FALSE)</f>
        <v>【LB石川】検証クエスト</v>
      </c>
      <c r="D5" s="80" t="str">
        <f ca="1">VLOOKUP($B5,OFFSET([2]quests!$A$1,0,0,COUNTA([2]quests!$A:$A),MATCH(D$1,[2]quests!$1:$1,0)-MATCH($B$1,[2]quests!$1:$1,0)+1),MATCH(D$1,[2]quests!$1:$1,0)-MATCH($B$1,[2]quests!$1:$1,0)+1,FALSE)</f>
        <v>検証</v>
      </c>
      <c r="E5" s="81">
        <v>1</v>
      </c>
      <c r="F5" s="80" t="str">
        <f ca="1">VLOOKUP($B5&amp;"_"&amp;$E5,OFFSET([2]stages!$A$1,0,0,COUNTA([2]stages!$A:$A),MATCH(F$1,[2]stages!$2:$2,0)-MATCH("temp_stage",[2]stages!$2:$2,0)+1),MATCH(F$1,[2]stages!$2:$2,0)-MATCH("temp_stage",[2]stages!$2:$2,0)+1,FALSE)</f>
        <v>【LB石川】検証</v>
      </c>
      <c r="G5" s="80" t="str">
        <f ca="1">VLOOKUP($B5&amp;"_"&amp;$E5,OFFSET([2]stages!$A$1,0,0,COUNTA([2]stages!$A:$A),MATCH(G$1,[2]stages!$2:$2,0)-MATCH("temp_stage",[2]stages!$2:$2,0)+1),MATCH(G$1,[2]stages!$2:$2,0)-MATCH("temp_stage",[2]stages!$2:$2,0)+1,FALSE)</f>
        <v>検証</v>
      </c>
      <c r="H5" s="82">
        <v>4</v>
      </c>
      <c r="I5" s="87">
        <f t="shared" si="0"/>
        <v>4</v>
      </c>
      <c r="J5" s="83" t="str">
        <f t="shared" si="1"/>
        <v>6552704</v>
      </c>
      <c r="K5" s="81" t="s">
        <v>197</v>
      </c>
      <c r="L5" s="84" t="s">
        <v>250</v>
      </c>
      <c r="M5" s="117" t="s">
        <v>322</v>
      </c>
      <c r="N5" s="56" t="s">
        <v>198</v>
      </c>
    </row>
    <row r="6" spans="1:14" ht="45" customHeight="1" x14ac:dyDescent="0.15">
      <c r="A6" s="78" t="s">
        <v>196</v>
      </c>
      <c r="B6" s="79">
        <f>floors!$C$2</f>
        <v>65527</v>
      </c>
      <c r="C6" s="80" t="str">
        <f ca="1">VLOOKUP($B6,OFFSET([2]quests!$A$1,0,0,COUNTA([2]quests!$A:$A),MATCH(C$1,[2]quests!$1:$1,0)-MATCH($B$1,[2]quests!$1:$1,0)+1),MATCH(C$1,[2]quests!$1:$1,0)-MATCH($B$1,[2]quests!$1:$1,0)+1,FALSE)</f>
        <v>【LB石川】検証クエスト</v>
      </c>
      <c r="D6" s="80" t="str">
        <f ca="1">VLOOKUP($B6,OFFSET([2]quests!$A$1,0,0,COUNTA([2]quests!$A:$A),MATCH(D$1,[2]quests!$1:$1,0)-MATCH($B$1,[2]quests!$1:$1,0)+1),MATCH(D$1,[2]quests!$1:$1,0)-MATCH($B$1,[2]quests!$1:$1,0)+1,FALSE)</f>
        <v>検証</v>
      </c>
      <c r="E6" s="81">
        <v>1</v>
      </c>
      <c r="F6" s="80" t="str">
        <f ca="1">VLOOKUP($B6&amp;"_"&amp;$E6,OFFSET([2]stages!$A$1,0,0,COUNTA([2]stages!$A:$A),MATCH(F$1,[2]stages!$2:$2,0)-MATCH("temp_stage",[2]stages!$2:$2,0)+1),MATCH(F$1,[2]stages!$2:$2,0)-MATCH("temp_stage",[2]stages!$2:$2,0)+1,FALSE)</f>
        <v>【LB石川】検証</v>
      </c>
      <c r="G6" s="80" t="str">
        <f ca="1">VLOOKUP($B6&amp;"_"&amp;$E6,OFFSET([2]stages!$A$1,0,0,COUNTA([2]stages!$A:$A),MATCH(G$1,[2]stages!$2:$2,0)-MATCH("temp_stage",[2]stages!$2:$2,0)+1),MATCH(G$1,[2]stages!$2:$2,0)-MATCH("temp_stage",[2]stages!$2:$2,0)+1,FALSE)</f>
        <v>検証</v>
      </c>
      <c r="H6" s="82">
        <v>4</v>
      </c>
      <c r="I6" s="87">
        <f t="shared" si="0"/>
        <v>5</v>
      </c>
      <c r="J6" s="83" t="str">
        <f t="shared" ref="J6" si="2">B6&amp;TEXT(I6,"00")</f>
        <v>6552705</v>
      </c>
      <c r="K6" s="81" t="s">
        <v>197</v>
      </c>
      <c r="L6" s="84" t="s">
        <v>250</v>
      </c>
      <c r="M6" s="117" t="s">
        <v>323</v>
      </c>
      <c r="N6" s="56" t="s">
        <v>198</v>
      </c>
    </row>
  </sheetData>
  <phoneticPr fontId="5"/>
  <dataValidations count="1">
    <dataValidation type="list" allowBlank="1" showInputMessage="1" showErrorMessage="1" sqref="A2:A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1"/>
  <sheetViews>
    <sheetView showGridLines="0" workbookViewId="0">
      <pane ySplit="1" topLeftCell="A2" activePane="bottomLeft" state="frozen"/>
      <selection pane="bottomLeft" activeCell="F22" sqref="F2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212</v>
      </c>
      <c r="B1" s="94" t="s">
        <v>213</v>
      </c>
      <c r="C1" s="74" t="s">
        <v>214</v>
      </c>
      <c r="D1" s="74" t="s">
        <v>33</v>
      </c>
      <c r="E1" s="94" t="s">
        <v>215</v>
      </c>
      <c r="F1" s="74" t="s">
        <v>216</v>
      </c>
      <c r="G1" s="74" t="s">
        <v>33</v>
      </c>
      <c r="H1" s="94" t="s">
        <v>217</v>
      </c>
      <c r="I1" s="94" t="s">
        <v>218</v>
      </c>
      <c r="J1" s="94" t="s">
        <v>219</v>
      </c>
      <c r="K1" s="70" t="s">
        <v>220</v>
      </c>
      <c r="L1" s="70" t="s">
        <v>221</v>
      </c>
      <c r="M1" s="70" t="s">
        <v>156</v>
      </c>
      <c r="N1" s="74" t="s">
        <v>16</v>
      </c>
      <c r="O1" s="70" t="s">
        <v>222</v>
      </c>
      <c r="P1" s="70" t="s">
        <v>56</v>
      </c>
      <c r="Q1" s="70" t="s">
        <v>223</v>
      </c>
      <c r="R1" s="70" t="s">
        <v>38</v>
      </c>
      <c r="S1" s="70" t="s">
        <v>40</v>
      </c>
      <c r="T1" s="70" t="s">
        <v>42</v>
      </c>
      <c r="U1" s="70" t="s">
        <v>44</v>
      </c>
      <c r="V1" s="70" t="s">
        <v>46</v>
      </c>
      <c r="W1" s="70" t="s">
        <v>224</v>
      </c>
      <c r="X1" s="70" t="s">
        <v>225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2017-05-29T02:50:24Z</dcterms:modified>
</cp:coreProperties>
</file>