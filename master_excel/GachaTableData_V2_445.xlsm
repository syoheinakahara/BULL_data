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6"/>
  </bookViews>
  <sheets>
    <sheet name="確率の考え方" sheetId="110" r:id="rId1"/>
    <sheet name="Sheet1" sheetId="107" r:id="rId2"/>
    <sheet name="output" sheetId="103" r:id="rId3"/>
    <sheet name="input_445010" sheetId="157" r:id="rId4"/>
    <sheet name="tables_445010" sheetId="158" r:id="rId5"/>
    <sheet name="input_445100" sheetId="153" r:id="rId6"/>
    <sheet name="tables_445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tables_445010!$A$1:$V$294</definedName>
    <definedName name="_xlnm._FilterDatabase" localSheetId="6" hidden="1">tables_445100!$A$1:$V$294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B18" i="157"/>
  <c r="G18" i="157"/>
  <c r="H18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F41" i="157"/>
  <c r="G41" i="157"/>
  <c r="F34" i="157"/>
  <c r="A2" i="153"/>
  <c r="I3" i="154"/>
  <c r="J3" i="154"/>
  <c r="D3" i="154"/>
  <c r="E3" i="154"/>
  <c r="C3" i="154"/>
  <c r="I2" i="154"/>
  <c r="J2" i="154"/>
  <c r="D2" i="154"/>
  <c r="E2" i="154"/>
  <c r="C2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R6" i="153"/>
  <c r="O334" i="154"/>
  <c r="F41" i="153"/>
  <c r="G41" i="153"/>
  <c r="R3" i="153"/>
  <c r="O331" i="154"/>
  <c r="R4" i="153"/>
  <c r="O332" i="154"/>
  <c r="R5" i="153"/>
  <c r="O333" i="154"/>
  <c r="R7" i="153"/>
  <c r="O335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B30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E22" i="157"/>
  <c r="B22" i="157"/>
  <c r="A36" i="157"/>
  <c r="E27" i="157"/>
  <c r="B27" i="157"/>
  <c r="G27" i="157"/>
  <c r="H27" i="157"/>
  <c r="G17" i="157"/>
  <c r="E17" i="157"/>
  <c r="H17" i="157"/>
  <c r="G24" i="157"/>
  <c r="H24" i="157"/>
  <c r="E25" i="157"/>
  <c r="B25" i="157"/>
  <c r="G25" i="157"/>
  <c r="H25" i="157"/>
  <c r="G26" i="157"/>
  <c r="H26" i="157"/>
  <c r="G19" i="157"/>
  <c r="H19" i="157"/>
  <c r="G20" i="157"/>
  <c r="H20" i="157"/>
  <c r="G21" i="157"/>
  <c r="E21" i="157"/>
  <c r="H21" i="157"/>
  <c r="G28" i="157"/>
  <c r="H28" i="157"/>
  <c r="G23" i="157"/>
  <c r="H23" i="157"/>
  <c r="G22" i="157"/>
  <c r="H22" i="157"/>
  <c r="G29" i="157"/>
  <c r="H29" i="157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<sst xmlns="http://schemas.openxmlformats.org/spreadsheetml/2006/main" count="513" uniqueCount="256">
  <si>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</si>
  <si>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</si>
  <si>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</si>
  <si>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</si>
  <si>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</si>
  <si>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</si>
  <si>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</si>
  <si>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</si>
  <si>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</si>
  <si>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</si>
  <si>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</si>
  <si>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</si>
  <si>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</si>
  <si>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</si>
  <si>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</si>
  <si>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</si>
  <si>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</si>
  <si>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</si>
  <si>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</si>
  <si>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</si>
  <si>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</si>
  <si>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</si>
  <si>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</si>
  <si>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</si>
  <si>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</si>
  <si>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</si>
  <si>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</si>
  <si>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</si>
  <si>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</si>
  <si>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</si>
  <si>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</si>
  <si>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</si>
  <si>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</si>
  <si>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</si>
  <si>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</si>
  <si>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</si>
  <si>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</si>
  <si>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</si>
  <si>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</si>
  <si>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</si>
  <si>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</si>
  <si>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</si>
  <si>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</si>
  <si>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</si>
  <si>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</si>
  <si>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</si>
  <si>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</si>
  <si>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</si>
  <si>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</si>
  <si>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</si>
  <si>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</si>
  <si>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</si>
  <si>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</si>
  <si>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</si>
  <si>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</si>
  <si>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</si>
  <si>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</si>
  <si>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</si>
  <si>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</si>
  <si>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</si>
  <si>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</si>
  <si>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</si>
  <si>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</si>
  <si>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</si>
  <si>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</si>
  <si>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</si>
  <si>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</si>
  <si>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</si>
  <si>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</si>
  <si>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</si>
  <si>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</si>
  <si>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</si>
  <si>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</si>
  <si>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</si>
  <si>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</si>
  <si>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</si>
  <si>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</si>
  <si>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</si>
  <si>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</si>
  <si>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</si>
  <si>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</si>
  <si>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</si>
  <si>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</si>
  <si>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</si>
  <si>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</si>
  <si>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</si>
  <si>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</si>
  <si>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</si>
  <si>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</si>
  <si>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</si>
  <si>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</si>
  <si>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</si>
  <si>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</si>
  <si>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</si>
  <si>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</si>
  <si>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</si>
  <si>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</si>
  <si>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</si>
  <si>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</si>
  <si>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</si>
  <si>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</si>
  <si>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</si>
  <si>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</si>
  <si>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</si>
  <si>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</si>
  <si>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</si>
  <si>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</si>
  <si>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</si>
  <si>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</si>
  <si>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</si>
  <si>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</si>
  <si>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</si>
  <si>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</si>
  <si>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</si>
  <si>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</si>
  <si>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</si>
  <si>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</si>
  <si>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</si>
  <si>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</si>
  <si>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</si>
  <si>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</si>
  <si>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</si>
  <si>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</si>
  <si>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</si>
  <si>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</si>
  <si>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</si>
  <si>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</si>
  <si>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</si>
  <si>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</si>
  <si>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</si>
  <si>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</si>
  <si>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</si>
  <si>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</si>
  <si>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</si>
  <si>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</si>
  <si>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</si>
  <si>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</si>
  <si>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</si>
  <si>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</si>
  <si>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</si>
  <si>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</si>
  <si>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</si>
  <si>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</si>
  <si>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</si>
  <si>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</si>
  <si>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</si>
  <si>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</si>
  <si>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</si>
  <si>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</si>
  <si>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</si>
  <si>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</si>
  <si>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</si>
  <si>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</si>
  <si>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</si>
  <si>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</si>
  <si>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</si>
  <si>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</si>
  <si>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</si>
  <si>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</si>
  <si>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</si>
  <si>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</si>
  <si>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</si>
  <si>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</si>
  <si>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</si>
  <si>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</si>
  <si>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</si>
  <si>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</si>
  <si>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</si>
  <si>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</si>
  <si>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</si>
  <si>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</si>
  <si>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</si>
  <si>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</si>
  <si>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</si>
  <si>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</si>
  <si>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</si>
  <si>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</si>
  <si>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</si>
  <si>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</si>
  <si>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</si>
  <si>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</si>
  <si>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</si>
  <si>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</si>
  <si>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</si>
  <si>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</si>
  <si>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</si>
  <si>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</si>
  <si>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</si>
  <si>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</si>
  <si>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</si>
  <si>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</si>
  <si>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</si>
  <si>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</si>
  <si>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</si>
  <si>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</si>
  <si>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</si>
  <si>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</si>
  <si>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</si>
  <si>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</si>
  <si>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</si>
  <si>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</si>
  <si>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</si>
  <si>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</si>
  <si>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</si>
  <si>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</si>
  <si>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</si>
  <si>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</si>
  <si>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</si>
  <si>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</si>
  <si>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</si>
  <si>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</si>
  <si>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</si>
  <si>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</si>
  <si>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</si>
  <si>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</si>
  <si>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</si>
  <si>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</si>
  <si>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</si>
  <si>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</si>
  <si>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</si>
  <si>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</si>
  <si>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</si>
  <si>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</si>
  <si>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</si>
  <si>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</si>
  <si>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</si>
  <si>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</si>
  <si>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</si>
  <si>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</si>
  <si>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</si>
  <si>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</si>
  <si>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</si>
  <si>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</si>
  <si>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</si>
  <si>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</si>
  <si>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</si>
  <si>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</si>
  <si>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</si>
  <si>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</si>
  <si>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</si>
  <si>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</si>
  <si>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</si>
  <si>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</si>
  <si>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</si>
  <si>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</si>
  <si>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</si>
  <si>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</si>
  <si>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</si>
  <si>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</si>
  <si>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</si>
  <si>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tables_settle_443100</t>
    <phoneticPr fontId="21"/>
  </si>
  <si>
    <t>PremiumSSw</t>
    <phoneticPr fontId="21"/>
  </si>
  <si>
    <t>PremiumSSw</t>
    <phoneticPr fontId="21"/>
  </si>
  <si>
    <t>skip</t>
    <phoneticPr fontId="21"/>
  </si>
  <si>
    <t>tables_445100</t>
    <phoneticPr fontId="21"/>
  </si>
  <si>
    <t>tables_445010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</si>
</sst>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1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attack</v>
          </cell>
          <cell r="L1084" t="str">
            <v>攻撃タイプ</v>
          </cell>
          <cell r="M1084" t="str">
            <v>academia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attack</v>
          </cell>
          <cell r="L1085" t="str">
            <v>攻撃タイプ</v>
          </cell>
          <cell r="M1085" t="str">
            <v>academia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1299</v>
          </cell>
          <cell r="B1300" t="str">
            <v>ja</v>
          </cell>
          <cell r="C1300" t="str">
            <v>旧ラプラス</v>
          </cell>
          <cell r="H1300" t="str">
            <v>red</v>
          </cell>
          <cell r="I1300">
            <v>5</v>
          </cell>
          <cell r="J1300" t="str">
            <v>PremiumSS</v>
          </cell>
          <cell r="K1300" t="str">
            <v>heal</v>
          </cell>
          <cell r="L1300" t="str">
            <v>回復タイプ</v>
          </cell>
          <cell r="M1300" t="str">
            <v>academia</v>
          </cell>
        </row>
        <row r="1301">
          <cell r="A1301">
            <v>1300</v>
          </cell>
          <cell r="B1301" t="str">
            <v>ja</v>
          </cell>
          <cell r="C1301" t="str">
            <v>旧ラプラス</v>
          </cell>
          <cell r="H1301" t="str">
            <v>red</v>
          </cell>
          <cell r="I1301">
            <v>6</v>
          </cell>
          <cell r="J1301" t="str">
            <v>PremiumSS</v>
          </cell>
          <cell r="K1301" t="str">
            <v>heal</v>
          </cell>
          <cell r="L1301" t="str">
            <v>回復タイプ</v>
          </cell>
          <cell r="M1301" t="str">
            <v>academia</v>
          </cell>
        </row>
        <row r="1302">
          <cell r="A1302">
            <v>6001</v>
          </cell>
          <cell r="B1302" t="str">
            <v>ja</v>
          </cell>
          <cell r="C1302" t="str">
            <v>ジェリー</v>
          </cell>
          <cell r="D1302" t="str">
            <v>ノーマルクエスト</v>
          </cell>
          <cell r="E1302" t="str">
            <v>QoH</v>
          </cell>
          <cell r="F1302" t="str">
            <v>世界観</v>
          </cell>
          <cell r="G1302" t="str">
            <v>不明</v>
          </cell>
          <cell r="H1302" t="str">
            <v>red</v>
          </cell>
          <cell r="I1302">
            <v>1</v>
          </cell>
          <cell r="J1302" t="str">
            <v>Drop1T</v>
          </cell>
          <cell r="K1302" t="str">
            <v>ra</v>
          </cell>
          <cell r="L1302" t="str">
            <v>ラグランジュチャレンジ</v>
          </cell>
          <cell r="M1302" t="str">
            <v>unknown</v>
          </cell>
        </row>
        <row r="1303">
          <cell r="A1303">
            <v>6002</v>
          </cell>
          <cell r="B1303" t="str">
            <v>ja</v>
          </cell>
          <cell r="C1303" t="str">
            <v>ヨシタカ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男性</v>
          </cell>
          <cell r="H1303" t="str">
            <v>red</v>
          </cell>
          <cell r="I1303">
            <v>2</v>
          </cell>
          <cell r="J1303" t="str">
            <v>Drop1N</v>
          </cell>
          <cell r="K1303" t="str">
            <v>ra</v>
          </cell>
          <cell r="L1303" t="str">
            <v>ラグランジュチャレンジ</v>
          </cell>
          <cell r="M1303" t="str">
            <v>human</v>
          </cell>
        </row>
        <row r="1304">
          <cell r="A1304">
            <v>6003</v>
          </cell>
          <cell r="B1304" t="str">
            <v>ja</v>
          </cell>
          <cell r="C1304" t="str">
            <v>朱雀</v>
          </cell>
          <cell r="D1304" t="str">
            <v>リンクガチャ:4神</v>
          </cell>
          <cell r="E1304" t="str">
            <v>守護神</v>
          </cell>
          <cell r="F1304" t="str">
            <v>格好いい</v>
          </cell>
          <cell r="G1304" t="str">
            <v>不明</v>
          </cell>
          <cell r="H1304" t="str">
            <v>red</v>
          </cell>
          <cell r="I1304">
            <v>3</v>
          </cell>
          <cell r="J1304" t="str">
            <v>Drop2N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6004</v>
          </cell>
          <cell r="B1305" t="str">
            <v>ja</v>
          </cell>
          <cell r="C1305" t="str">
            <v>ブレット</v>
          </cell>
          <cell r="D1305" t="str">
            <v>ノーマルクエスト</v>
          </cell>
          <cell r="E1305" t="str">
            <v>アバター</v>
          </cell>
          <cell r="F1305" t="str">
            <v>世界観</v>
          </cell>
          <cell r="G1305" t="str">
            <v>不明</v>
          </cell>
          <cell r="H1305" t="str">
            <v>red</v>
          </cell>
          <cell r="I1305">
            <v>1</v>
          </cell>
          <cell r="J1305" t="str">
            <v>Drop1W</v>
          </cell>
          <cell r="K1305" t="str">
            <v>ra</v>
          </cell>
          <cell r="L1305" t="str">
            <v>ラグランジュチャレンジ</v>
          </cell>
          <cell r="M1305" t="str">
            <v>animal</v>
          </cell>
        </row>
        <row r="1306">
          <cell r="A1306">
            <v>6005</v>
          </cell>
          <cell r="B1306" t="str">
            <v>ja</v>
          </cell>
          <cell r="C1306" t="str">
            <v>孤神 テティス</v>
          </cell>
          <cell r="D1306" t="str">
            <v>初期ガチャ</v>
          </cell>
          <cell r="E1306" t="str">
            <v>管理者</v>
          </cell>
          <cell r="F1306" t="str">
            <v>美しい</v>
          </cell>
          <cell r="G1306" t="str">
            <v>女性</v>
          </cell>
          <cell r="H1306" t="str">
            <v>blue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god</v>
          </cell>
        </row>
        <row r="1307">
          <cell r="A1307">
            <v>6006</v>
          </cell>
          <cell r="B1307" t="str">
            <v>ja</v>
          </cell>
          <cell r="C1307" t="str">
            <v>海底の孤高神 テティス</v>
          </cell>
          <cell r="D1307" t="str">
            <v>初期ガチャ</v>
          </cell>
          <cell r="E1307" t="str">
            <v>管理者</v>
          </cell>
          <cell r="F1307" t="str">
            <v>美しい</v>
          </cell>
          <cell r="G1307" t="str">
            <v>女性</v>
          </cell>
          <cell r="H1307" t="str">
            <v>blue</v>
          </cell>
          <cell r="I1307">
            <v>5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6007</v>
          </cell>
          <cell r="B1308" t="str">
            <v>ja</v>
          </cell>
          <cell r="C1308" t="str">
            <v>番犬 ケルベロス</v>
          </cell>
          <cell r="D1308" t="str">
            <v>初期ガチャ</v>
          </cell>
          <cell r="E1308" t="str">
            <v>破界者</v>
          </cell>
          <cell r="F1308" t="str">
            <v>可愛い</v>
          </cell>
          <cell r="G1308" t="str">
            <v>女性</v>
          </cell>
          <cell r="H1308" t="str">
            <v>red</v>
          </cell>
          <cell r="I1308">
            <v>4</v>
          </cell>
          <cell r="J1308" t="str">
            <v>PremiumN</v>
          </cell>
          <cell r="K1308" t="str">
            <v>ra</v>
          </cell>
          <cell r="L1308" t="str">
            <v>ラグランジュチャレンジ</v>
          </cell>
          <cell r="M1308" t="str">
            <v>animal</v>
          </cell>
        </row>
        <row r="1309">
          <cell r="A1309">
            <v>6008</v>
          </cell>
          <cell r="B1309" t="str">
            <v>ja</v>
          </cell>
          <cell r="C1309" t="str">
            <v>焔神 プロメテウス</v>
          </cell>
          <cell r="D1309" t="str">
            <v>初期ガチャ</v>
          </cell>
          <cell r="E1309" t="str">
            <v>管理者</v>
          </cell>
          <cell r="F1309" t="str">
            <v>格好いい</v>
          </cell>
          <cell r="G1309" t="str">
            <v>男性</v>
          </cell>
          <cell r="H1309" t="str">
            <v>red</v>
          </cell>
          <cell r="I1309">
            <v>4</v>
          </cell>
          <cell r="J1309" t="str">
            <v>PremiumN</v>
          </cell>
          <cell r="K1309" t="str">
            <v>ra</v>
          </cell>
          <cell r="L1309" t="str">
            <v>ラグランジュチャレンジ</v>
          </cell>
          <cell r="M1309" t="str">
            <v>god</v>
          </cell>
        </row>
        <row r="1310">
          <cell r="A1310">
            <v>6009</v>
          </cell>
          <cell r="B1310" t="str">
            <v>ja</v>
          </cell>
          <cell r="C1310" t="str">
            <v>超越自我 ラグランジュ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女性</v>
          </cell>
          <cell r="H1310" t="str">
            <v>red</v>
          </cell>
          <cell r="I1310">
            <v>5</v>
          </cell>
          <cell r="J1310" t="str">
            <v>PremiumSSS</v>
          </cell>
          <cell r="K1310" t="str">
            <v>ra</v>
          </cell>
          <cell r="L1310" t="str">
            <v>ラグランジュチャレンジ</v>
          </cell>
          <cell r="M1310" t="str">
            <v>human</v>
          </cell>
        </row>
        <row r="1311">
          <cell r="A1311">
            <v>6010</v>
          </cell>
          <cell r="B1311" t="str">
            <v>ja</v>
          </cell>
          <cell r="C1311" t="str">
            <v>超越凌駕 ラグランジュ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女性</v>
          </cell>
          <cell r="H1311" t="str">
            <v>red</v>
          </cell>
          <cell r="I1311">
            <v>6</v>
          </cell>
          <cell r="J1311" t="str">
            <v>PremiumSSS</v>
          </cell>
          <cell r="K1311" t="str">
            <v>ra</v>
          </cell>
          <cell r="L1311" t="str">
            <v>ラグランジュチャレンジ</v>
          </cell>
          <cell r="M1311" t="str">
            <v>human</v>
          </cell>
        </row>
        <row r="1312">
          <cell r="A1312">
            <v>6011</v>
          </cell>
          <cell r="B1312" t="str">
            <v>ja</v>
          </cell>
          <cell r="C1312" t="str">
            <v>パトドッグリーダー ポチ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Drop1T</v>
          </cell>
          <cell r="K1312" t="str">
            <v>ra002</v>
          </cell>
          <cell r="L1312" t="str">
            <v>ユークリッドチャレンジ</v>
          </cell>
          <cell r="M1312" t="str">
            <v>unknown</v>
          </cell>
        </row>
        <row r="1313">
          <cell r="A1313">
            <v>6012</v>
          </cell>
          <cell r="B1313" t="str">
            <v>ja</v>
          </cell>
          <cell r="C1313" t="str">
            <v>ミミ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yellow</v>
          </cell>
          <cell r="I1313">
            <v>1</v>
          </cell>
          <cell r="J1313" t="str">
            <v>Drop1W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6013</v>
          </cell>
          <cell r="B1314" t="str">
            <v>ja</v>
          </cell>
          <cell r="C1314" t="str">
            <v>護衛機人 スケアクロウ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2</v>
          </cell>
          <cell r="J1314" t="str">
            <v>Drop1N</v>
          </cell>
          <cell r="K1314" t="str">
            <v>ra002</v>
          </cell>
          <cell r="L1314" t="str">
            <v>ユークリッドチャレンジ</v>
          </cell>
          <cell r="M1314" t="str">
            <v>machine</v>
          </cell>
        </row>
        <row r="1315">
          <cell r="A1315">
            <v>6014</v>
          </cell>
          <cell r="B1315" t="str">
            <v>ja</v>
          </cell>
          <cell r="C1315" t="str">
            <v>月下の人狼 ローレンス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PremiumW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6015</v>
          </cell>
          <cell r="B1316" t="str">
            <v>ja</v>
          </cell>
          <cell r="C1316" t="str">
            <v>フレイヤ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4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6016</v>
          </cell>
          <cell r="B1317" t="str">
            <v>ja</v>
          </cell>
          <cell r="C1317" t="str">
            <v>根原論理 ユークリッド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5</v>
          </cell>
          <cell r="J1317" t="str">
            <v>PremiumSSS</v>
          </cell>
          <cell r="K1317" t="str">
            <v>ra002</v>
          </cell>
          <cell r="L1317" t="str">
            <v>ユークリッドチャレンジ</v>
          </cell>
          <cell r="M1317" t="str">
            <v>human</v>
          </cell>
        </row>
        <row r="1318">
          <cell r="A1318">
            <v>6017</v>
          </cell>
          <cell r="B1318" t="str">
            <v>ja</v>
          </cell>
          <cell r="C1318" t="str">
            <v>不朽の極論 ユークリッド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blue</v>
          </cell>
          <cell r="I1318">
            <v>6</v>
          </cell>
          <cell r="J1318" t="str">
            <v>PremiumSSS</v>
          </cell>
          <cell r="K1318" t="str">
            <v>ra002</v>
          </cell>
          <cell r="L1318" t="str">
            <v>ユークリッドチャレンジ</v>
          </cell>
          <cell r="M1318" t="str">
            <v>human</v>
          </cell>
        </row>
        <row r="1319">
          <cell r="A1319">
            <v>6018</v>
          </cell>
          <cell r="B1319" t="str">
            <v>ja</v>
          </cell>
          <cell r="C1319" t="str">
            <v>ハヅル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red</v>
          </cell>
          <cell r="I1319">
            <v>4</v>
          </cell>
          <cell r="J1319" t="str">
            <v>PremiumSS</v>
          </cell>
          <cell r="K1319" t="str">
            <v>ra002</v>
          </cell>
          <cell r="L1319" t="str">
            <v>ユークリッドチャレンジ</v>
          </cell>
          <cell r="M1319" t="str">
            <v>animal</v>
          </cell>
        </row>
        <row r="1320">
          <cell r="A1320">
            <v>6019</v>
          </cell>
          <cell r="B1320" t="str">
            <v>ja</v>
          </cell>
          <cell r="C1320" t="str">
            <v>天織羽鶴 ハヅル</v>
          </cell>
          <cell r="D1320" t="str">
            <v>ガチャ:フィーバーフェス02</v>
          </cell>
          <cell r="E1320" t="str">
            <v>執行者</v>
          </cell>
          <cell r="F1320" t="str">
            <v>格好いい</v>
          </cell>
          <cell r="G1320" t="str">
            <v>男性</v>
          </cell>
          <cell r="H1320" t="str">
            <v>red</v>
          </cell>
          <cell r="I1320">
            <v>5</v>
          </cell>
          <cell r="J1320" t="str">
            <v>PremiumSS</v>
          </cell>
          <cell r="K1320" t="str">
            <v>ra002</v>
          </cell>
          <cell r="L1320" t="str">
            <v>ユークリッドチャレンジ</v>
          </cell>
          <cell r="M1320" t="str">
            <v>animal</v>
          </cell>
        </row>
        <row r="1321">
          <cell r="A1321">
            <v>6020</v>
          </cell>
          <cell r="B1321" t="str">
            <v>ja</v>
          </cell>
          <cell r="C1321" t="str">
            <v>ミズチ</v>
          </cell>
          <cell r="D1321" t="str">
            <v>ガチャ:フィーバーフェス02</v>
          </cell>
          <cell r="E1321" t="str">
            <v>執行者</v>
          </cell>
          <cell r="F1321" t="str">
            <v>格好いい</v>
          </cell>
          <cell r="G1321" t="str">
            <v>男性</v>
          </cell>
          <cell r="H1321" t="str">
            <v>blue</v>
          </cell>
          <cell r="I1321">
            <v>4</v>
          </cell>
          <cell r="J1321" t="str">
            <v>PremiumS</v>
          </cell>
          <cell r="K1321" t="str">
            <v>ra002</v>
          </cell>
          <cell r="L1321" t="str">
            <v>ユークリッドチャレンジ</v>
          </cell>
          <cell r="M1321" t="str">
            <v>dragon</v>
          </cell>
        </row>
        <row r="1322">
          <cell r="A1322">
            <v>8001</v>
          </cell>
          <cell r="B1322" t="str">
            <v>ja</v>
          </cell>
          <cell r="C1322" t="str">
            <v>媽祖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女性</v>
          </cell>
          <cell r="H1322" t="str">
            <v>yellow</v>
          </cell>
          <cell r="I1322">
            <v>5</v>
          </cell>
          <cell r="J1322" t="str">
            <v>PremiumSS</v>
          </cell>
          <cell r="K1322" t="str">
            <v>attack</v>
          </cell>
          <cell r="L1322" t="str">
            <v>攻撃タイプ</v>
          </cell>
          <cell r="M1322" t="str">
            <v>god</v>
          </cell>
        </row>
        <row r="1323">
          <cell r="A1323">
            <v>8002</v>
          </cell>
          <cell r="B1323" t="str">
            <v>ja</v>
          </cell>
          <cell r="C1323" t="str">
            <v>天后 媽祖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女性</v>
          </cell>
          <cell r="H1323" t="str">
            <v>yellow</v>
          </cell>
          <cell r="I1323">
            <v>6</v>
          </cell>
          <cell r="J1323" t="str">
            <v>PremiumSS</v>
          </cell>
          <cell r="K1323" t="str">
            <v>attack</v>
          </cell>
          <cell r="L1323" t="str">
            <v>攻撃タイプ</v>
          </cell>
          <cell r="M1323" t="str">
            <v>god</v>
          </cell>
        </row>
        <row r="1324">
          <cell r="A1324">
            <v>8003</v>
          </cell>
          <cell r="B1324" t="str">
            <v>ja</v>
          </cell>
          <cell r="C1324" t="str">
            <v>蛟龍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DropWizS</v>
          </cell>
          <cell r="K1324" t="str">
            <v>hp</v>
          </cell>
          <cell r="L1324" t="str">
            <v>体力タイプ</v>
          </cell>
          <cell r="M1324" t="str">
            <v>dragon</v>
          </cell>
        </row>
        <row r="1325">
          <cell r="A1325">
            <v>8004</v>
          </cell>
          <cell r="B1325" t="str">
            <v>ja</v>
          </cell>
          <cell r="C1325" t="str">
            <v>深海蛟龍怪‧晏公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DropWizS</v>
          </cell>
          <cell r="K1325" t="str">
            <v>hp</v>
          </cell>
          <cell r="L1325" t="str">
            <v>体力タイプ</v>
          </cell>
          <cell r="M1325" t="str">
            <v>dragon</v>
          </cell>
        </row>
        <row r="1326">
          <cell r="A1326">
            <v>8005</v>
          </cell>
          <cell r="B1326" t="str">
            <v>ja</v>
          </cell>
          <cell r="C1326" t="str">
            <v>三蔵法師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blue</v>
          </cell>
          <cell r="I1326">
            <v>5</v>
          </cell>
          <cell r="J1326" t="str">
            <v>PremiumSS</v>
          </cell>
          <cell r="K1326" t="str">
            <v>balance</v>
          </cell>
          <cell r="L1326" t="str">
            <v>バランスタイプ</v>
          </cell>
          <cell r="M1326" t="str">
            <v>human</v>
          </cell>
        </row>
        <row r="1327">
          <cell r="A1327">
            <v>8006</v>
          </cell>
          <cell r="B1327" t="str">
            <v>ja</v>
          </cell>
          <cell r="C1327" t="str">
            <v>三蔵法師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blue</v>
          </cell>
          <cell r="I1327">
            <v>6</v>
          </cell>
          <cell r="J1327" t="str">
            <v>PremiumSS</v>
          </cell>
          <cell r="K1327" t="str">
            <v>balance</v>
          </cell>
          <cell r="L1327" t="str">
            <v>バランスタイプ</v>
          </cell>
          <cell r="M1327" t="str">
            <v>human</v>
          </cell>
        </row>
        <row r="1328">
          <cell r="A1328">
            <v>8007</v>
          </cell>
          <cell r="B1328" t="str">
            <v>ja</v>
          </cell>
          <cell r="C1328" t="str">
            <v>孫悟空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red</v>
          </cell>
          <cell r="I1328">
            <v>5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animal</v>
          </cell>
        </row>
        <row r="1329">
          <cell r="A1329">
            <v>8008</v>
          </cell>
          <cell r="B1329" t="str">
            <v>ja</v>
          </cell>
          <cell r="C1329" t="str">
            <v>孫悟空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red</v>
          </cell>
          <cell r="I1329">
            <v>6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animal</v>
          </cell>
        </row>
        <row r="1330">
          <cell r="A1330">
            <v>8009</v>
          </cell>
          <cell r="B1330" t="str">
            <v>ja</v>
          </cell>
          <cell r="C1330" t="str">
            <v>西王娘娘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不明</v>
          </cell>
          <cell r="H1330" t="str">
            <v>green</v>
          </cell>
          <cell r="I1330">
            <v>5</v>
          </cell>
          <cell r="J1330" t="str">
            <v>PremiumSS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8010</v>
          </cell>
          <cell r="B1331" t="str">
            <v>ja</v>
          </cell>
          <cell r="C1331" t="str">
            <v>西王娘娘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不明</v>
          </cell>
          <cell r="H1331" t="str">
            <v>green</v>
          </cell>
          <cell r="I1331">
            <v>6</v>
          </cell>
          <cell r="J1331" t="str">
            <v>PremiumSS</v>
          </cell>
          <cell r="K1331" t="str">
            <v>attack</v>
          </cell>
          <cell r="L1331" t="str">
            <v>攻撃タイプ</v>
          </cell>
          <cell r="M1331" t="str">
            <v>god</v>
          </cell>
        </row>
        <row r="1332">
          <cell r="A1332">
            <v>8011</v>
          </cell>
          <cell r="B1332" t="str">
            <v>ja</v>
          </cell>
          <cell r="C1332" t="str">
            <v>月下老人</v>
          </cell>
          <cell r="D1332" t="str">
            <v>イベント:ミクコラボ01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5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god</v>
          </cell>
        </row>
        <row r="1333">
          <cell r="A1333">
            <v>8012</v>
          </cell>
          <cell r="B1333" t="str">
            <v>ja</v>
          </cell>
          <cell r="C1333" t="str">
            <v>良緣祈福 月下老人</v>
          </cell>
          <cell r="D1333" t="str">
            <v>イベント:ミクコラボ01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6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god</v>
          </cell>
        </row>
        <row r="1334">
          <cell r="A1334">
            <v>8013</v>
          </cell>
          <cell r="B1334" t="str">
            <v>ja</v>
          </cell>
          <cell r="C1334" t="str">
            <v>初音ミクV3</v>
          </cell>
          <cell r="D1334" t="str">
            <v>初音ミクV3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yellow</v>
          </cell>
          <cell r="I1334">
            <v>4</v>
          </cell>
          <cell r="J1334" t="str">
            <v>DropWizS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8014</v>
          </cell>
          <cell r="B1335" t="str">
            <v>ja</v>
          </cell>
          <cell r="C1335" t="str">
            <v>初音ミクV3</v>
          </cell>
          <cell r="D1335" t="str">
            <v>初音ミクV3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yellow</v>
          </cell>
          <cell r="I1335">
            <v>5</v>
          </cell>
          <cell r="J1335" t="str">
            <v>DropWizS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8015</v>
          </cell>
          <cell r="B1336" t="str">
            <v>ja</v>
          </cell>
          <cell r="C1336" t="str">
            <v>初音ミク・アペンド</v>
          </cell>
          <cell r="D1336" t="str">
            <v>初音ミク・アペンド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technical</v>
          </cell>
          <cell r="L1336" t="str">
            <v>テクニカルタイプ</v>
          </cell>
          <cell r="M1336" t="str">
            <v>unknown</v>
          </cell>
        </row>
        <row r="1337">
          <cell r="A1337">
            <v>8016</v>
          </cell>
          <cell r="B1337" t="str">
            <v>ja</v>
          </cell>
          <cell r="C1337" t="str">
            <v>初音ミク・アペンド</v>
          </cell>
          <cell r="D1337" t="str">
            <v>初音ミク・アペンド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technical</v>
          </cell>
          <cell r="L1337" t="str">
            <v>テクニカルタイプ</v>
          </cell>
          <cell r="M1337" t="str">
            <v>unknown</v>
          </cell>
        </row>
        <row r="1338">
          <cell r="A1338">
            <v>8017</v>
          </cell>
          <cell r="B1338" t="str">
            <v>ja</v>
          </cell>
          <cell r="C1338" t="str">
            <v>初音ミク</v>
          </cell>
          <cell r="D1338" t="str">
            <v>初音ミク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green</v>
          </cell>
          <cell r="I1338">
            <v>4</v>
          </cell>
          <cell r="J1338" t="str">
            <v>PremiumSSS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8018</v>
          </cell>
          <cell r="B1339" t="str">
            <v>ja</v>
          </cell>
          <cell r="C1339" t="str">
            <v>初音ミク</v>
          </cell>
          <cell r="D1339" t="str">
            <v>初音ミク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green</v>
          </cell>
          <cell r="I1339">
            <v>5</v>
          </cell>
          <cell r="J1339" t="str">
            <v>PremiumSSS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8019</v>
          </cell>
          <cell r="B1340" t="str">
            <v>ja</v>
          </cell>
          <cell r="C1340" t="str">
            <v>鏡音リン</v>
          </cell>
          <cell r="D1340" t="str">
            <v>鏡音リン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balance</v>
          </cell>
          <cell r="L1340" t="str">
            <v>バランスタイプ</v>
          </cell>
          <cell r="M1340" t="str">
            <v>unknown</v>
          </cell>
        </row>
        <row r="1341">
          <cell r="A1341">
            <v>8020</v>
          </cell>
          <cell r="B1341" t="str">
            <v>ja</v>
          </cell>
          <cell r="C1341" t="str">
            <v>鏡音リン</v>
          </cell>
          <cell r="D1341" t="str">
            <v>鏡音リン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balance</v>
          </cell>
          <cell r="L1341" t="str">
            <v>バランスタイプ</v>
          </cell>
          <cell r="M1341" t="str">
            <v>unknown</v>
          </cell>
        </row>
        <row r="1342">
          <cell r="A1342">
            <v>8021</v>
          </cell>
          <cell r="B1342" t="str">
            <v>ja</v>
          </cell>
          <cell r="C1342" t="str">
            <v>鏡音レン</v>
          </cell>
          <cell r="D1342" t="str">
            <v>鏡音レン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yellow</v>
          </cell>
          <cell r="I1342">
            <v>4</v>
          </cell>
          <cell r="J1342" t="str">
            <v>PremiumSS</v>
          </cell>
          <cell r="K1342" t="str">
            <v>heal</v>
          </cell>
          <cell r="L1342" t="str">
            <v>回復タイプ</v>
          </cell>
          <cell r="M1342" t="str">
            <v>unknown</v>
          </cell>
        </row>
        <row r="1343">
          <cell r="A1343">
            <v>8022</v>
          </cell>
          <cell r="B1343" t="str">
            <v>ja</v>
          </cell>
          <cell r="C1343" t="str">
            <v>鏡音レン</v>
          </cell>
          <cell r="D1343" t="str">
            <v>鏡音レン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yellow</v>
          </cell>
          <cell r="I1343">
            <v>5</v>
          </cell>
          <cell r="J1343" t="str">
            <v>PremiumSS</v>
          </cell>
          <cell r="K1343" t="str">
            <v>heal</v>
          </cell>
          <cell r="L1343" t="str">
            <v>回復タイプ</v>
          </cell>
          <cell r="M1343" t="str">
            <v>unknown</v>
          </cell>
        </row>
        <row r="1344">
          <cell r="A1344">
            <v>8023</v>
          </cell>
          <cell r="B1344" t="str">
            <v>ja</v>
          </cell>
          <cell r="C1344" t="str">
            <v>巡音ルカ</v>
          </cell>
          <cell r="D1344" t="str">
            <v>巡音ルカ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attack</v>
          </cell>
          <cell r="L1344" t="str">
            <v>攻撃タイプ</v>
          </cell>
          <cell r="M1344" t="str">
            <v>unknown</v>
          </cell>
        </row>
        <row r="1345">
          <cell r="A1345">
            <v>8024</v>
          </cell>
          <cell r="B1345" t="str">
            <v>ja</v>
          </cell>
          <cell r="C1345" t="str">
            <v>巡音ルカ</v>
          </cell>
          <cell r="D1345" t="str">
            <v>巡音ルカ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attack</v>
          </cell>
          <cell r="L1345" t="str">
            <v>攻撃タイプ</v>
          </cell>
          <cell r="M1345" t="str">
            <v>unknown</v>
          </cell>
        </row>
        <row r="1346">
          <cell r="A1346">
            <v>8025</v>
          </cell>
          <cell r="B1346" t="str">
            <v>ja</v>
          </cell>
          <cell r="C1346" t="str">
            <v>MEIKO</v>
          </cell>
          <cell r="D1346" t="str">
            <v>MEIKO</v>
          </cell>
          <cell r="E1346" t="str">
            <v>執行者</v>
          </cell>
          <cell r="F1346" t="str">
            <v>格好いい</v>
          </cell>
          <cell r="G1346" t="str">
            <v>男性</v>
          </cell>
          <cell r="H1346" t="str">
            <v>red</v>
          </cell>
          <cell r="I1346">
            <v>3</v>
          </cell>
          <cell r="J1346" t="str">
            <v>PremiumS</v>
          </cell>
          <cell r="K1346" t="str">
            <v>hp</v>
          </cell>
          <cell r="L1346" t="str">
            <v>体力タイプ</v>
          </cell>
          <cell r="M1346" t="str">
            <v>unknown</v>
          </cell>
        </row>
        <row r="1347">
          <cell r="A1347">
            <v>8026</v>
          </cell>
          <cell r="B1347" t="str">
            <v>ja</v>
          </cell>
          <cell r="C1347" t="str">
            <v>MEIKO</v>
          </cell>
          <cell r="D1347" t="str">
            <v>MEIKO</v>
          </cell>
          <cell r="E1347" t="str">
            <v>執行者</v>
          </cell>
          <cell r="F1347" t="str">
            <v>格好いい</v>
          </cell>
          <cell r="G1347" t="str">
            <v>男性</v>
          </cell>
          <cell r="H1347" t="str">
            <v>red</v>
          </cell>
          <cell r="I1347">
            <v>4</v>
          </cell>
          <cell r="J1347" t="str">
            <v>PremiumS</v>
          </cell>
          <cell r="K1347" t="str">
            <v>hp</v>
          </cell>
          <cell r="L1347" t="str">
            <v>体力タイプ</v>
          </cell>
          <cell r="M1347" t="str">
            <v>unknown</v>
          </cell>
        </row>
        <row r="1348">
          <cell r="A1348">
            <v>8027</v>
          </cell>
          <cell r="B1348" t="str">
            <v>ja</v>
          </cell>
          <cell r="C1348" t="str">
            <v>KAITO</v>
          </cell>
          <cell r="D1348" t="str">
            <v>KAITO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3</v>
          </cell>
          <cell r="J1348" t="str">
            <v>PremiumS</v>
          </cell>
          <cell r="K1348" t="str">
            <v>technical</v>
          </cell>
          <cell r="L1348" t="str">
            <v>テクニカルタイプ</v>
          </cell>
          <cell r="M1348" t="str">
            <v>unknown</v>
          </cell>
        </row>
        <row r="1349">
          <cell r="A1349">
            <v>8028</v>
          </cell>
          <cell r="B1349" t="str">
            <v>ja</v>
          </cell>
          <cell r="C1349" t="str">
            <v>KAITO</v>
          </cell>
          <cell r="D1349" t="str">
            <v>KAITO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PremiumS</v>
          </cell>
          <cell r="K1349" t="str">
            <v>technical</v>
          </cell>
          <cell r="L1349" t="str">
            <v>テクニカルタイプ</v>
          </cell>
          <cell r="M1349" t="str">
            <v>unknown</v>
          </cell>
        </row>
        <row r="1350">
          <cell r="A1350">
            <v>8029</v>
          </cell>
          <cell r="B1350" t="str">
            <v>ja</v>
          </cell>
          <cell r="C1350" t="str">
            <v>Expoミク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8030</v>
          </cell>
          <cell r="B1351" t="str">
            <v>ja</v>
          </cell>
          <cell r="C1351" t="str">
            <v>Expoミク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8031</v>
          </cell>
          <cell r="B1352" t="str">
            <v>ja</v>
          </cell>
          <cell r="C1352" t="str">
            <v>閻羅王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red</v>
          </cell>
          <cell r="I1352">
            <v>5</v>
          </cell>
          <cell r="J1352" t="str">
            <v>PremiumSS</v>
          </cell>
          <cell r="K1352" t="str">
            <v>balance</v>
          </cell>
          <cell r="L1352" t="str">
            <v>バランスタイプ</v>
          </cell>
          <cell r="M1352" t="str">
            <v>god</v>
          </cell>
        </row>
        <row r="1353">
          <cell r="A1353">
            <v>8032</v>
          </cell>
          <cell r="B1353" t="str">
            <v>ja</v>
          </cell>
          <cell r="C1353" t="str">
            <v>十殿閻羅王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red</v>
          </cell>
          <cell r="I1353">
            <v>6</v>
          </cell>
          <cell r="J1353" t="str">
            <v>PremiumSS</v>
          </cell>
          <cell r="K1353" t="str">
            <v>balance</v>
          </cell>
          <cell r="L1353" t="str">
            <v>バランスタイプ</v>
          </cell>
          <cell r="M1353" t="str">
            <v>god</v>
          </cell>
        </row>
        <row r="1354">
          <cell r="A1354">
            <v>8033</v>
          </cell>
          <cell r="B1354" t="str">
            <v>ja</v>
          </cell>
          <cell r="C1354" t="str">
            <v>牛頭馬面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green</v>
          </cell>
          <cell r="I1354">
            <v>5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god</v>
          </cell>
        </row>
        <row r="1355">
          <cell r="A1355">
            <v>8034</v>
          </cell>
          <cell r="B1355" t="str">
            <v>ja</v>
          </cell>
          <cell r="C1355" t="str">
            <v>牛頭馬面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god</v>
          </cell>
        </row>
        <row r="1356">
          <cell r="A1356">
            <v>8035</v>
          </cell>
          <cell r="B1356" t="str">
            <v>ja</v>
          </cell>
          <cell r="C1356" t="str">
            <v>嫦娥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8036</v>
          </cell>
          <cell r="B1357" t="str">
            <v>ja</v>
          </cell>
          <cell r="C1357" t="str">
            <v>嫦娥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8037</v>
          </cell>
          <cell r="B1358" t="str">
            <v>ja</v>
          </cell>
          <cell r="C1358" t="str">
            <v>后羿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8038</v>
          </cell>
          <cell r="B1359" t="str">
            <v>ja</v>
          </cell>
          <cell r="C1359" t="str">
            <v>后羿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8039</v>
          </cell>
          <cell r="B1360" t="str">
            <v>ja</v>
          </cell>
          <cell r="C1360" t="str">
            <v>何仙姑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8040</v>
          </cell>
          <cell r="B1361" t="str">
            <v>ja</v>
          </cell>
          <cell r="C1361" t="str">
            <v>何仙姑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8041</v>
          </cell>
          <cell r="B1362" t="str">
            <v>ja</v>
          </cell>
          <cell r="C1362" t="str">
            <v>藍采和</v>
          </cell>
          <cell r="D1362" t="str">
            <v>Expoミク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blue</v>
          </cell>
          <cell r="I1362">
            <v>4</v>
          </cell>
          <cell r="J1362" t="str">
            <v>Drop2N</v>
          </cell>
          <cell r="K1362" t="str">
            <v>heal</v>
          </cell>
          <cell r="L1362" t="str">
            <v>回復タイプ</v>
          </cell>
          <cell r="M1362" t="str">
            <v>unknown</v>
          </cell>
        </row>
        <row r="1363">
          <cell r="A1363">
            <v>8042</v>
          </cell>
          <cell r="B1363" t="str">
            <v>ja</v>
          </cell>
          <cell r="C1363" t="str">
            <v>藍采和</v>
          </cell>
          <cell r="D1363" t="str">
            <v>Expoミク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blue</v>
          </cell>
          <cell r="I1363">
            <v>4</v>
          </cell>
          <cell r="J1363" t="str">
            <v>Drop2N</v>
          </cell>
          <cell r="K1363" t="str">
            <v>heal</v>
          </cell>
          <cell r="L1363" t="str">
            <v>回復タイプ</v>
          </cell>
          <cell r="M1363" t="str">
            <v>unknown</v>
          </cell>
        </row>
        <row r="1364">
          <cell r="A1364">
            <v>8043</v>
          </cell>
          <cell r="B1364" t="str">
            <v>ja</v>
          </cell>
          <cell r="C1364" t="str">
            <v>サンリオキャラ大集合+アザゼル</v>
          </cell>
          <cell r="D1364" t="str">
            <v>サンリオキャラ大集合+アザゼル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green</v>
          </cell>
          <cell r="I1364">
            <v>5</v>
          </cell>
          <cell r="J1364" t="str">
            <v>DropWizS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8044</v>
          </cell>
          <cell r="B1365" t="str">
            <v>ja</v>
          </cell>
          <cell r="C1365" t="str">
            <v>サンリオキャラ大集合+アザゼル</v>
          </cell>
          <cell r="D1365" t="str">
            <v>サンリオキャラ大集合+アザゼル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8045</v>
          </cell>
          <cell r="B1366" t="str">
            <v>ja</v>
          </cell>
          <cell r="C1366" t="str">
            <v>ニムダ_サンリオキャラ混じり</v>
          </cell>
          <cell r="D1366" t="str">
            <v>ニムダ_サンリオキャラ混じり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yellow</v>
          </cell>
          <cell r="I1366">
            <v>4</v>
          </cell>
          <cell r="J1366" t="str">
            <v>Drop2N</v>
          </cell>
          <cell r="K1366" t="str">
            <v>technical</v>
          </cell>
          <cell r="L1366" t="str">
            <v>テクニカルタイプ</v>
          </cell>
          <cell r="M1366" t="str">
            <v>ss</v>
          </cell>
        </row>
        <row r="1367">
          <cell r="A1367">
            <v>8046</v>
          </cell>
          <cell r="B1367" t="str">
            <v>ja</v>
          </cell>
          <cell r="C1367" t="str">
            <v>ニムダ_サンリオキャラ混じり</v>
          </cell>
          <cell r="D1367" t="str">
            <v>ニムダ_サンリオキャラ混じり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yellow</v>
          </cell>
          <cell r="I1367">
            <v>5</v>
          </cell>
          <cell r="J1367" t="str">
            <v>Drop2N</v>
          </cell>
          <cell r="K1367" t="str">
            <v>technical</v>
          </cell>
          <cell r="L1367" t="str">
            <v>テクニカルタイプ</v>
          </cell>
          <cell r="M1367" t="str">
            <v>ss</v>
          </cell>
        </row>
        <row r="1368">
          <cell r="A1368">
            <v>8047</v>
          </cell>
          <cell r="B1368" t="str">
            <v>ja</v>
          </cell>
          <cell r="C1368" t="str">
            <v>ハローキティ</v>
          </cell>
          <cell r="D1368" t="str">
            <v>ハローキティ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8048</v>
          </cell>
          <cell r="B1369" t="str">
            <v>ja</v>
          </cell>
          <cell r="C1369" t="str">
            <v>ハローキティ</v>
          </cell>
          <cell r="D1369" t="str">
            <v>ハローキティ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8049</v>
          </cell>
          <cell r="B1370" t="str">
            <v>ja</v>
          </cell>
          <cell r="C1370" t="str">
            <v>KIRIMIちゃん</v>
          </cell>
          <cell r="D1370" t="str">
            <v>KIRIMIちゃん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Drop2N</v>
          </cell>
          <cell r="K1370" t="str">
            <v>hp</v>
          </cell>
          <cell r="L1370" t="str">
            <v>体力タイプ</v>
          </cell>
          <cell r="M1370" t="str">
            <v>ss</v>
          </cell>
        </row>
        <row r="1371">
          <cell r="A1371">
            <v>8050</v>
          </cell>
          <cell r="B1371" t="str">
            <v>ja</v>
          </cell>
          <cell r="C1371" t="str">
            <v>KIRIMIちゃん</v>
          </cell>
          <cell r="D1371" t="str">
            <v>KIRIMIちゃん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Drop2N</v>
          </cell>
          <cell r="K1371" t="str">
            <v>hp</v>
          </cell>
          <cell r="L1371" t="str">
            <v>体力タイプ</v>
          </cell>
          <cell r="M1371" t="str">
            <v>ss</v>
          </cell>
        </row>
        <row r="1372">
          <cell r="A1372">
            <v>8051</v>
          </cell>
          <cell r="B1372" t="str">
            <v>ja</v>
          </cell>
          <cell r="C1372" t="str">
            <v>ハローキティのリボン</v>
          </cell>
          <cell r="D1372" t="str">
            <v>ハローキティのリボン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Drop2N</v>
          </cell>
          <cell r="K1372" t="str">
            <v>evolution</v>
          </cell>
          <cell r="L1372" t="str">
            <v>覚醒素材タイプ</v>
          </cell>
          <cell r="M1372" t="str">
            <v>ss</v>
          </cell>
        </row>
        <row r="1373">
          <cell r="A1373">
            <v>8052</v>
          </cell>
          <cell r="B1373" t="str">
            <v>ja</v>
          </cell>
          <cell r="C1373" t="str">
            <v>ママの作ったアップルパイ</v>
          </cell>
          <cell r="D1373" t="str">
            <v>ママの作ったアップルパイ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4</v>
          </cell>
          <cell r="J1373" t="str">
            <v>Drop2N</v>
          </cell>
          <cell r="K1373" t="str">
            <v>evolution</v>
          </cell>
          <cell r="L1373" t="str">
            <v>覚醒素材タイプ</v>
          </cell>
          <cell r="M1373" t="str">
            <v>ss</v>
          </cell>
        </row>
        <row r="1374">
          <cell r="A1374">
            <v>8053</v>
          </cell>
          <cell r="B1374" t="str">
            <v>ja</v>
          </cell>
          <cell r="C1374" t="str">
            <v>D.R.T.H__キティコスプレ</v>
          </cell>
          <cell r="D1374" t="str">
            <v>D.R.T.H__キティコスプレ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5</v>
          </cell>
          <cell r="J1374" t="str">
            <v>PremiumSS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8054</v>
          </cell>
          <cell r="B1375" t="str">
            <v>ja</v>
          </cell>
          <cell r="C1375" t="str">
            <v>D.R.T.H__キティコスプレ</v>
          </cell>
          <cell r="D1375" t="str">
            <v>D.R.T.H__キティコスプレ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6</v>
          </cell>
          <cell r="J1375" t="str">
            <v>PremiumSS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8055</v>
          </cell>
          <cell r="B1376" t="str">
            <v>ja</v>
          </cell>
          <cell r="C1376" t="str">
            <v>マイメロディ</v>
          </cell>
          <cell r="D1376" t="str">
            <v>マイメロディ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red</v>
          </cell>
          <cell r="I1376">
            <v>4</v>
          </cell>
          <cell r="J1376" t="str">
            <v>PremiumS</v>
          </cell>
          <cell r="K1376" t="str">
            <v>attack</v>
          </cell>
          <cell r="L1376" t="str">
            <v>攻撃タイプ</v>
          </cell>
          <cell r="M1376" t="str">
            <v>ss</v>
          </cell>
        </row>
        <row r="1377">
          <cell r="A1377">
            <v>8056</v>
          </cell>
          <cell r="B1377" t="str">
            <v>ja</v>
          </cell>
          <cell r="C1377" t="str">
            <v>マイメロディ</v>
          </cell>
          <cell r="D1377" t="str">
            <v>マイメロディ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red</v>
          </cell>
          <cell r="I1377">
            <v>5</v>
          </cell>
          <cell r="J1377" t="str">
            <v>PremiumS</v>
          </cell>
          <cell r="K1377" t="str">
            <v>attack</v>
          </cell>
          <cell r="L1377" t="str">
            <v>攻撃タイプ</v>
          </cell>
          <cell r="M1377" t="str">
            <v>ss</v>
          </cell>
        </row>
        <row r="1378">
          <cell r="A1378">
            <v>8057</v>
          </cell>
          <cell r="B1378" t="str">
            <v>ja</v>
          </cell>
          <cell r="C1378" t="str">
            <v>ニーベルゲン_シナモロールコスプレ</v>
          </cell>
          <cell r="D1378" t="str">
            <v>ニーベルゲン_シナモロールコスプレ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8058</v>
          </cell>
          <cell r="B1379" t="str">
            <v>ja</v>
          </cell>
          <cell r="C1379" t="str">
            <v>ニーベルゲン_シナモロールコスプレ</v>
          </cell>
          <cell r="D1379" t="str">
            <v>ニーベルゲン_シナモロールコスプレ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8059</v>
          </cell>
          <cell r="B1380" t="str">
            <v>ja</v>
          </cell>
          <cell r="C1380" t="str">
            <v>カカシ_マイメロディコスプレ</v>
          </cell>
          <cell r="D1380" t="str">
            <v>カカシ_マイメロディコスプレ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4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8060</v>
          </cell>
          <cell r="B1381" t="str">
            <v>ja</v>
          </cell>
          <cell r="C1381" t="str">
            <v>カカシ_マイメロディコスプレ</v>
          </cell>
          <cell r="D1381" t="str">
            <v>カカシ_マイメロディコスプレ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5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8061</v>
          </cell>
          <cell r="B1382" t="str">
            <v>ja</v>
          </cell>
          <cell r="C1382" t="str">
            <v>ケロケロけろっぴ</v>
          </cell>
          <cell r="D1382" t="str">
            <v>ケロケロけろっぴ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green</v>
          </cell>
          <cell r="I1382">
            <v>3</v>
          </cell>
          <cell r="J1382" t="str">
            <v>PremiumS</v>
          </cell>
          <cell r="K1382" t="str">
            <v>balance</v>
          </cell>
          <cell r="L1382" t="str">
            <v>バランスタイプ</v>
          </cell>
          <cell r="M1382" t="str">
            <v>ss</v>
          </cell>
        </row>
        <row r="1383">
          <cell r="A1383">
            <v>8062</v>
          </cell>
          <cell r="B1383" t="str">
            <v>ja</v>
          </cell>
          <cell r="C1383" t="str">
            <v>ケロケロけろっぴ</v>
          </cell>
          <cell r="D1383" t="str">
            <v>ケロケロけろっぴ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green</v>
          </cell>
          <cell r="I1383">
            <v>4</v>
          </cell>
          <cell r="J1383" t="str">
            <v>PremiumS</v>
          </cell>
          <cell r="K1383" t="str">
            <v>balance</v>
          </cell>
          <cell r="L1383" t="str">
            <v>バランスタイプ</v>
          </cell>
          <cell r="M1383" t="str">
            <v>ss</v>
          </cell>
        </row>
        <row r="1384">
          <cell r="A1384">
            <v>8063</v>
          </cell>
          <cell r="B1384" t="str">
            <v>ja</v>
          </cell>
          <cell r="C1384" t="str">
            <v>モルドレッド_ポムポムプリンコスプレ</v>
          </cell>
          <cell r="D1384" t="str">
            <v>モルドレッド_ポムポムプリンコスプレ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8064</v>
          </cell>
          <cell r="B1385" t="str">
            <v>ja</v>
          </cell>
          <cell r="C1385" t="str">
            <v>モルドレッド_ポムポムプリンコスプレ</v>
          </cell>
          <cell r="D1385" t="str">
            <v>モルドレッド_ポムポムプリンコスプレ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8065</v>
          </cell>
          <cell r="B1386" t="str">
            <v>ja</v>
          </cell>
          <cell r="C1386" t="str">
            <v>クロミ</v>
          </cell>
          <cell r="D1386" t="str">
            <v>クロミ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technical</v>
          </cell>
          <cell r="L1386" t="str">
            <v>テクニカルタイプ</v>
          </cell>
          <cell r="M1386" t="str">
            <v>ss</v>
          </cell>
        </row>
        <row r="1387">
          <cell r="A1387">
            <v>8066</v>
          </cell>
          <cell r="B1387" t="str">
            <v>ja</v>
          </cell>
          <cell r="C1387" t="str">
            <v>クロミ</v>
          </cell>
          <cell r="D1387" t="str">
            <v>クロミ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technical</v>
          </cell>
          <cell r="L1387" t="str">
            <v>テクニカルタイプ</v>
          </cell>
          <cell r="M1387" t="str">
            <v>ss</v>
          </cell>
        </row>
        <row r="1388">
          <cell r="A1388">
            <v>8067</v>
          </cell>
          <cell r="B1388" t="str">
            <v>ja</v>
          </cell>
          <cell r="C1388" t="str">
            <v>バッドばつ丸</v>
          </cell>
          <cell r="D1388" t="str">
            <v>バッドばつ丸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3</v>
          </cell>
          <cell r="J1388" t="str">
            <v>PremiumS</v>
          </cell>
          <cell r="K1388" t="str">
            <v>attack</v>
          </cell>
          <cell r="L1388" t="str">
            <v>攻撃タイプ</v>
          </cell>
          <cell r="M1388" t="str">
            <v>ss</v>
          </cell>
        </row>
        <row r="1389">
          <cell r="A1389">
            <v>8068</v>
          </cell>
          <cell r="B1389" t="str">
            <v>ja</v>
          </cell>
          <cell r="C1389" t="str">
            <v>バッドばつ丸</v>
          </cell>
          <cell r="D1389" t="str">
            <v>バッドばつ丸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PremiumS</v>
          </cell>
          <cell r="K1389" t="str">
            <v>attack</v>
          </cell>
          <cell r="L1389" t="str">
            <v>攻撃タイプ</v>
          </cell>
          <cell r="M1389" t="str">
            <v>ss</v>
          </cell>
        </row>
        <row r="1390">
          <cell r="A1390">
            <v>8069</v>
          </cell>
          <cell r="B1390" t="str">
            <v>ja</v>
          </cell>
          <cell r="C1390" t="str">
            <v>シナモロール</v>
          </cell>
          <cell r="D1390" t="str">
            <v>シナモロール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4</v>
          </cell>
          <cell r="J1390" t="str">
            <v>PremiumS</v>
          </cell>
          <cell r="K1390" t="str">
            <v>heal</v>
          </cell>
          <cell r="L1390" t="str">
            <v>回復タイプ</v>
          </cell>
          <cell r="M1390" t="str">
            <v>ss</v>
          </cell>
        </row>
        <row r="1391">
          <cell r="A1391">
            <v>8070</v>
          </cell>
          <cell r="B1391" t="str">
            <v>ja</v>
          </cell>
          <cell r="C1391" t="str">
            <v>シナモロール</v>
          </cell>
          <cell r="D1391" t="str">
            <v>シナモロール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5</v>
          </cell>
          <cell r="J1391" t="str">
            <v>PremiumS</v>
          </cell>
          <cell r="K1391" t="str">
            <v>heal</v>
          </cell>
          <cell r="L1391" t="str">
            <v>回復タイプ</v>
          </cell>
          <cell r="M1391" t="str">
            <v>ss</v>
          </cell>
        </row>
        <row r="1392">
          <cell r="A1392">
            <v>8071</v>
          </cell>
          <cell r="B1392" t="str">
            <v>ja</v>
          </cell>
          <cell r="C1392" t="str">
            <v>ポムポムプリン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3</v>
          </cell>
          <cell r="J1392" t="str">
            <v>PremiumS</v>
          </cell>
          <cell r="K1392" t="str">
            <v>hp</v>
          </cell>
          <cell r="L1392" t="str">
            <v>体力タイプ</v>
          </cell>
          <cell r="M1392" t="str">
            <v>ss</v>
          </cell>
        </row>
        <row r="1393">
          <cell r="A1393">
            <v>8072</v>
          </cell>
          <cell r="B1393" t="str">
            <v>ja</v>
          </cell>
          <cell r="C1393" t="str">
            <v>ポムポムプリン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4</v>
          </cell>
          <cell r="J1393" t="str">
            <v>PremiumS</v>
          </cell>
          <cell r="K1393" t="str">
            <v>hp</v>
          </cell>
          <cell r="L1393" t="str">
            <v>体力タイプ</v>
          </cell>
          <cell r="M1393" t="str">
            <v>ss</v>
          </cell>
        </row>
        <row r="1394">
          <cell r="A1394">
            <v>8077</v>
          </cell>
          <cell r="B1394" t="str">
            <v>ja</v>
          </cell>
          <cell r="C1394" t="str">
            <v>鄭成功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PremiumSS</v>
          </cell>
          <cell r="K1394" t="str">
            <v>attack</v>
          </cell>
          <cell r="L1394" t="str">
            <v>攻撃タイプ</v>
          </cell>
          <cell r="M1394" t="str">
            <v>human</v>
          </cell>
        </row>
        <row r="1395">
          <cell r="A1395">
            <v>8078</v>
          </cell>
          <cell r="B1395" t="str">
            <v>ja</v>
          </cell>
          <cell r="C1395" t="str">
            <v>レア６鄭成功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blue</v>
          </cell>
          <cell r="I1395">
            <v>6</v>
          </cell>
          <cell r="J1395" t="str">
            <v>PremiumSS</v>
          </cell>
          <cell r="K1395" t="str">
            <v>attack</v>
          </cell>
          <cell r="L1395" t="str">
            <v>攻撃タイプ</v>
          </cell>
          <cell r="M1395" t="str">
            <v>human</v>
          </cell>
        </row>
        <row r="1396">
          <cell r="A1396">
            <v>8079</v>
          </cell>
          <cell r="B1396" t="str">
            <v>ja</v>
          </cell>
          <cell r="C1396" t="str">
            <v>赤鬼</v>
          </cell>
          <cell r="D1396" t="str">
            <v>ポムポムプリン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red</v>
          </cell>
          <cell r="I1396">
            <v>5</v>
          </cell>
          <cell r="J1396" t="str">
            <v>DropWizS</v>
          </cell>
          <cell r="K1396" t="str">
            <v>hp</v>
          </cell>
          <cell r="L1396" t="str">
            <v>体力タイプ</v>
          </cell>
          <cell r="M1396" t="str">
            <v>dragon</v>
          </cell>
        </row>
        <row r="1397">
          <cell r="A1397">
            <v>8080</v>
          </cell>
          <cell r="B1397" t="str">
            <v>ja</v>
          </cell>
          <cell r="C1397" t="str">
            <v>レア６赤鬼</v>
          </cell>
          <cell r="D1397" t="str">
            <v>ポムポムプリン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6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445100</v>
      </c>
      <c r="D2" s="19" t="s">
        <v>45</v>
      </c>
      <c r="E2" s="17" t="str">
        <f t="shared" ref="E2" si="1">B2&amp;C2&amp;D2</f>
        <v>gacha_select_tables_445100.tmp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445010</v>
      </c>
      <c r="D3" s="19" t="s">
        <v>45</v>
      </c>
      <c r="E3" s="17" t="str">
        <f t="shared" ref="E3:E10" si="3">B3&amp;C3&amp;D3</f>
        <v>gacha_select_tables_445010.tmp</v>
      </c>
      <c r="F3" s="100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253</v>
      </c>
      <c r="B4" s="95" t="s">
        <v>248</v>
      </c>
      <c r="C4" s="96" t="str">
        <f t="shared" si="2"/>
        <v>443100</v>
      </c>
      <c r="D4" s="19" t="s">
        <v>249</v>
      </c>
      <c r="E4" s="17" t="str">
        <f t="shared" si="3"/>
        <v>gacha_settle_tables_443100.tmp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35" sqref="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8.3333333333333339E-4</v>
      </c>
      <c r="F5">
        <f>(COUNTIF(tables_445010!C:C,input_445010!A28)+COUNTIF(tables_445010!C:C,input_445010!A29))</f>
        <v>60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1.0326086956521738E-2</v>
      </c>
      <c r="F6">
        <f>(COUNTIF(tables_445010!C:C,input_445010!A25)+COUNTIF(tables_445010!C:C,input_445010!A18)+COUNTIF(tables_445010!C:C,input_445010!A20)+COUNTIF(tables_445010!C:C,input_445010!A22))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0.21086956521739131</v>
      </c>
      <c r="C17" s="85">
        <f t="shared" ref="C17:C31" si="2">SUMIF(Q:Q,A17,N:N)</f>
        <v>0</v>
      </c>
      <c r="D17" s="74">
        <f t="shared" ref="D17:D32" si="3">B17-C17</f>
        <v>0.21086956521739131</v>
      </c>
      <c r="E17">
        <f>COUNTIF(tables_445010!C:C,input_445010!A17)-COUNTIF(Q:Q,A17)</f>
        <v>20</v>
      </c>
      <c r="F17" s="43">
        <f>IFERROR(B17/E17,0)</f>
        <v>1.0543478260869566E-2</v>
      </c>
      <c r="G17">
        <f t="shared" ref="G17:G31" si="4">A$36*B17</f>
        <v>5820000</v>
      </c>
      <c r="H17">
        <f t="shared" ref="H17:H31" si="5">IFERROR(ROUND(G17/E17,5),0)</f>
        <v>291000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3.375724638550702E-2</v>
      </c>
      <c r="C18" s="85">
        <f t="shared" si="2"/>
        <v>0</v>
      </c>
      <c r="D18" s="74">
        <f t="shared" si="3"/>
        <v>3.375724638550702E-2</v>
      </c>
      <c r="E18">
        <f>COUNTIF(tables_445010!C:C,input_445010!A18)-COUNTIF(Q:Q,A18)</f>
        <v>20</v>
      </c>
      <c r="F18" s="43">
        <f>IFERROR(B18/E18,0)</f>
        <v>1.687862319275351E-3</v>
      </c>
      <c r="G18">
        <f t="shared" si="4"/>
        <v>931700.00023999379</v>
      </c>
      <c r="H18">
        <f t="shared" si="5"/>
        <v>46585.000010000003</v>
      </c>
      <c r="I18">
        <f t="shared" si="6"/>
        <v>1.0000003385357559E-5</v>
      </c>
      <c r="J18">
        <f t="shared" si="7"/>
        <v>99999.96614643588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0.26847826086956522</v>
      </c>
      <c r="C19" s="85">
        <f t="shared" si="2"/>
        <v>0</v>
      </c>
      <c r="D19" s="74">
        <f t="shared" si="3"/>
        <v>0.26847826086956522</v>
      </c>
      <c r="E19">
        <f>COUNTIF(tables_445010!C:C,input_445010!A19)-COUNTIF(Q:Q,A19)</f>
        <v>52</v>
      </c>
      <c r="F19" s="43">
        <f t="shared" ref="F19:F31" si="8">IFERROR(B19/E19,0)</f>
        <v>5.1630434782608692E-3</v>
      </c>
      <c r="G19">
        <f t="shared" si="4"/>
        <v>7410000</v>
      </c>
      <c r="H19">
        <f t="shared" si="5"/>
        <v>142500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0.22163043478260872</v>
      </c>
      <c r="C20" s="85">
        <f t="shared" si="2"/>
        <v>0</v>
      </c>
      <c r="D20" s="74">
        <f t="shared" si="3"/>
        <v>0.22163043478260872</v>
      </c>
      <c r="E20">
        <f>COUNTIF(tables_445010!C:C,input_445010!A20)-COUNTIF(Q:Q,A20)</f>
        <v>52</v>
      </c>
      <c r="F20" s="43">
        <f t="shared" si="8"/>
        <v>4.262123745819398E-3</v>
      </c>
      <c r="G20">
        <f t="shared" si="4"/>
        <v>6117000.0000000009</v>
      </c>
      <c r="H20">
        <f t="shared" si="5"/>
        <v>117634.61538</v>
      </c>
      <c r="I20">
        <f t="shared" si="6"/>
        <v>0.61538000000291504</v>
      </c>
      <c r="J20">
        <f t="shared" si="7"/>
        <v>1.6250121875837094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8.7427536231884061E-3</v>
      </c>
      <c r="C21" s="85">
        <f t="shared" si="2"/>
        <v>0</v>
      </c>
      <c r="D21" s="74">
        <f t="shared" si="3"/>
        <v>8.7427536231884061E-3</v>
      </c>
      <c r="E21">
        <f>COUNTIF(tables_445010!C:C,input_445010!A21)-COUNTIF(Q:Q,A21)</f>
        <v>52</v>
      </c>
      <c r="F21" s="43">
        <f t="shared" si="8"/>
        <v>1.6812987736900781E-4</v>
      </c>
      <c r="G21">
        <f t="shared" si="4"/>
        <v>241300</v>
      </c>
      <c r="H21">
        <f t="shared" si="5"/>
        <v>4640.3846199999998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0.15385869565217392</v>
      </c>
      <c r="C22" s="85">
        <f t="shared" si="2"/>
        <v>0</v>
      </c>
      <c r="D22" s="74">
        <f t="shared" si="3"/>
        <v>0.15385869565217392</v>
      </c>
      <c r="E22">
        <f>COUNTIF(tables_445010!C:C,input_445010!A22)-COUNTIF(Q:Q,A22)</f>
        <v>16</v>
      </c>
      <c r="F22" s="43">
        <f t="shared" si="8"/>
        <v>9.6161684782608697E-3</v>
      </c>
      <c r="G22">
        <f t="shared" si="4"/>
        <v>4246500</v>
      </c>
      <c r="H22">
        <f t="shared" si="5"/>
        <v>265406.25</v>
      </c>
      <c r="I22">
        <f t="shared" si="6"/>
        <v>0.25</v>
      </c>
      <c r="J22">
        <f t="shared" si="7"/>
        <v>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1.1358695652173914E-2</v>
      </c>
      <c r="C23" s="85">
        <f t="shared" si="2"/>
        <v>0</v>
      </c>
      <c r="D23" s="74">
        <f t="shared" si="3"/>
        <v>1.1358695652173914E-2</v>
      </c>
      <c r="E23">
        <f>COUNTIF(tables_445010!C:C,input_445010!A23)-COUNTIF(Q:Q,A23)</f>
        <v>22</v>
      </c>
      <c r="F23" s="43">
        <f t="shared" si="8"/>
        <v>5.1630434782608703E-4</v>
      </c>
      <c r="G23">
        <f t="shared" si="4"/>
        <v>313500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2.0652173913043477E-2</v>
      </c>
      <c r="C24" s="85">
        <f t="shared" si="2"/>
        <v>0</v>
      </c>
      <c r="D24" s="74">
        <f t="shared" si="3"/>
        <v>2.0652173913043477E-2</v>
      </c>
      <c r="E24">
        <f>COUNTIF(tables_445010!C:C,input_445010!A24)-COUNTIF(Q:Q,A24)</f>
        <v>4</v>
      </c>
      <c r="F24" s="43">
        <f t="shared" si="8"/>
        <v>5.1630434782608692E-3</v>
      </c>
      <c r="G24">
        <f t="shared" si="4"/>
        <v>570000</v>
      </c>
      <c r="H24">
        <f t="shared" si="5"/>
        <v>142500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1.8586956521739129E-2</v>
      </c>
      <c r="C25" s="85">
        <f t="shared" si="2"/>
        <v>0</v>
      </c>
      <c r="D25" s="74">
        <f t="shared" si="3"/>
        <v>1.8586956521739129E-2</v>
      </c>
      <c r="E25">
        <f>COUNTIF(tables_445010!C:C,input_445010!A25)-COUNTIF(Q:Q,A25)</f>
        <v>4</v>
      </c>
      <c r="F25" s="43">
        <f t="shared" si="8"/>
        <v>4.6467391304347823E-3</v>
      </c>
      <c r="G25">
        <f t="shared" si="4"/>
        <v>512999.99999999994</v>
      </c>
      <c r="H25">
        <f t="shared" si="5"/>
        <v>128250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COUNTIF(tables_445010!C:C,input_445010!A26)-COUNTIF(Q:Q,A26)</f>
        <v>4</v>
      </c>
      <c r="F26" s="43">
        <f t="shared" si="8"/>
        <v>5.1630434782608692E-4</v>
      </c>
      <c r="G26">
        <f t="shared" si="4"/>
        <v>57000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2.2166666666666668E-2</v>
      </c>
      <c r="C27" s="85">
        <f t="shared" si="2"/>
        <v>0</v>
      </c>
      <c r="D27" s="74">
        <f t="shared" si="3"/>
        <v>2.2166666666666668E-2</v>
      </c>
      <c r="E27">
        <f>COUNTIF(tables_445010!C:C,input_445010!A27)-COUNTIF(Q:Q,A27)</f>
        <v>28</v>
      </c>
      <c r="F27" s="43">
        <f>IFERROR(B27/E27,0)</f>
        <v>7.9166666666666676E-4</v>
      </c>
      <c r="G27">
        <f t="shared" si="4"/>
        <v>611800</v>
      </c>
      <c r="H27">
        <f t="shared" si="5"/>
        <v>21850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1.1666666666666668E-3</v>
      </c>
      <c r="C28" s="85">
        <f t="shared" si="2"/>
        <v>0</v>
      </c>
      <c r="D28" s="74">
        <f t="shared" si="3"/>
        <v>1.1666666666666668E-3</v>
      </c>
      <c r="E28">
        <f>COUNTIF(tables_445010!C:C,input_445010!A28)-COUNTIF(Q:Q,A28)</f>
        <v>28</v>
      </c>
      <c r="F28" s="43">
        <f t="shared" si="8"/>
        <v>4.1666666666666672E-5</v>
      </c>
      <c r="G28">
        <f t="shared" si="4"/>
        <v>32200.000000000004</v>
      </c>
      <c r="H28">
        <f t="shared" si="5"/>
        <v>1150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2.6666666666666668E-2</v>
      </c>
      <c r="C29" s="85">
        <f t="shared" si="2"/>
        <v>0</v>
      </c>
      <c r="D29" s="74">
        <f t="shared" si="3"/>
        <v>2.6666666666666668E-2</v>
      </c>
      <c r="E29">
        <f>COUNTIF(tables_445010!C:C,input_445010!A29)-COUNTIF(Q:Q,A29)</f>
        <v>32</v>
      </c>
      <c r="F29" s="43">
        <f t="shared" si="8"/>
        <v>8.3333333333333339E-4</v>
      </c>
      <c r="G29">
        <f t="shared" si="4"/>
        <v>736000</v>
      </c>
      <c r="H29">
        <f t="shared" si="5"/>
        <v>23000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COUNTIF(tables_445010!C:C,input_445010!A30)-COUNTIF(Q:Q,A30)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COUNTIF(tables_445010!C:C,input_445010!A31)-COUNTIF(Q:Q,A31)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1.0000000000086955</v>
      </c>
      <c r="C32" s="41">
        <f>SUM(C19:C31)</f>
        <v>0</v>
      </c>
      <c r="D32" s="42">
        <f t="shared" si="3"/>
        <v>1.0000000000086955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1.8105072472463568E-2</v>
      </c>
      <c r="F34" s="55">
        <f ca="1">0.45-G41</f>
        <v>1.4490075805895231E-12</v>
      </c>
    </row>
    <row r="35" spans="1:7" x14ac:dyDescent="0.15">
      <c r="A35" t="s">
        <v>73</v>
      </c>
    </row>
    <row r="36" spans="1:7" x14ac:dyDescent="0.15">
      <c r="A36" s="31">
        <f>LCM(F5-I5,F6-I6)*1000*2*2*5</f>
        <v>27600000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SUMIF(tables_445010!C:C,input_445010!A40,tables_445010!O:O)</f>
        <v>7410000</v>
      </c>
      <c r="C40" s="54">
        <f t="shared" ref="C40:C46" ca="1" si="9">B40/B$47</f>
        <v>0.51414416852272005</v>
      </c>
      <c r="E40">
        <v>3</v>
      </c>
      <c r="F40">
        <f ca="1">SUMIF(tables_445010!J:J,input_445010!E40,tables_445010!O:O)</f>
        <v>13800000</v>
      </c>
      <c r="G40">
        <f ca="1">F40/A36</f>
        <v>0.5</v>
      </c>
    </row>
    <row r="41" spans="1:7" x14ac:dyDescent="0.15">
      <c r="A41" s="33" t="s">
        <v>104</v>
      </c>
      <c r="B41">
        <f ca="1">SUMIF(tables_445010!C:C,input_445010!A41,tables_445010!O:O)</f>
        <v>6116999.9997600038</v>
      </c>
      <c r="C41" s="54">
        <f t="shared" ca="1" si="9"/>
        <v>0.42442913343186045</v>
      </c>
      <c r="E41">
        <v>4</v>
      </c>
      <c r="F41">
        <f ca="1">SUMIF(tables_445010!J:J,input_445010!E41,tables_445010!O:O)</f>
        <v>12419999.999960007</v>
      </c>
      <c r="G41">
        <f ca="1">F41/A36</f>
        <v>0.449999999998551</v>
      </c>
    </row>
    <row r="42" spans="1:7" x14ac:dyDescent="0.15">
      <c r="A42" s="33" t="s">
        <v>106</v>
      </c>
      <c r="B42">
        <f ca="1">SUMIF(tables_445010!C:C,input_445010!A42,tables_445010!O:O)</f>
        <v>611800</v>
      </c>
      <c r="C42" s="54">
        <f t="shared" ca="1" si="9"/>
        <v>4.2449851862645091E-2</v>
      </c>
      <c r="E42">
        <v>5</v>
      </c>
      <c r="F42">
        <f ca="1">SUMIF(tables_445010!J:J,input_445010!E42,tables_445010!O:O)</f>
        <v>1380000.0002400002</v>
      </c>
      <c r="G42">
        <f ca="1">F42/A36</f>
        <v>5.0000000008695658E-2</v>
      </c>
    </row>
    <row r="43" spans="1:7" x14ac:dyDescent="0.15">
      <c r="A43" s="33" t="s">
        <v>109</v>
      </c>
      <c r="B43">
        <f>SUMIF(tables_445010!C:C,input_445010!A43,tables_445010!O:O)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SUMIF(tables_445010!C:C,input_445010!A44,tables_445010!O:O)</f>
        <v>241300.00023999988</v>
      </c>
      <c r="C44" s="54">
        <f t="shared" ca="1" si="9"/>
        <v>1.6742643453161524E-2</v>
      </c>
      <c r="E44" t="s">
        <v>54</v>
      </c>
      <c r="F44" s="55"/>
    </row>
    <row r="45" spans="1:7" x14ac:dyDescent="0.15">
      <c r="A45" s="33" t="s">
        <v>107</v>
      </c>
      <c r="B45">
        <f ca="1">SUMIF(tables_445010!C:C,input_445010!A45,tables_445010!O:O)</f>
        <v>32200</v>
      </c>
      <c r="C45" s="54">
        <f t="shared" ca="1" si="9"/>
        <v>2.2342027296128994E-3</v>
      </c>
      <c r="E45" t="s">
        <v>204</v>
      </c>
      <c r="F45" s="55">
        <f ca="1">SUMIF(tables_445010!I:I,input_445010!E45,tables_445010!P:P)</f>
        <v>0.2477246376866106</v>
      </c>
    </row>
    <row r="46" spans="1:7" x14ac:dyDescent="0.15">
      <c r="A46" s="33" t="s">
        <v>108</v>
      </c>
      <c r="B46">
        <f>SUMIF(tables_445010!C:C,input_445010!A46,tables_445010!O:O)</f>
        <v>0</v>
      </c>
      <c r="C46" s="54">
        <f t="shared" ca="1" si="9"/>
        <v>0</v>
      </c>
      <c r="E46" t="s">
        <v>205</v>
      </c>
      <c r="F46" s="55">
        <f ca="1">SUMIF(tables_445010!I:I,input_445010!E46,tables_445010!P:P)</f>
        <v>0.19406431159279675</v>
      </c>
    </row>
    <row r="47" spans="1:7" x14ac:dyDescent="0.15">
      <c r="A47" s="39" t="s">
        <v>59</v>
      </c>
      <c r="B47">
        <f ca="1">SUM(B40:B46)</f>
        <v>14412300.000000004</v>
      </c>
      <c r="C47" s="55">
        <f ca="1">SUM(C40:C46)</f>
        <v>1</v>
      </c>
      <c r="E47" t="s">
        <v>206</v>
      </c>
      <c r="F47" s="55">
        <f ca="1">SUMIF(tables_445010!I:I,input_445010!E47,tables_445010!P:P)</f>
        <v>0.50821105072095507</v>
      </c>
    </row>
    <row r="48" spans="1:7" x14ac:dyDescent="0.15">
      <c r="E48" t="s">
        <v>207</v>
      </c>
      <c r="F48" s="55">
        <f ca="1">SUMIF(tables_445010!I:I,input_445010!E48,tables_445010!P:P)</f>
        <v>4.5833333333001221E-2</v>
      </c>
      <c r="G48" s="55"/>
    </row>
    <row r="49" spans="5:6" x14ac:dyDescent="0.15">
      <c r="E49" t="s">
        <v>251</v>
      </c>
      <c r="F49" s="55">
        <f ca="1">SUMIF(tables_445010!I:I,input_445010!E49,tables_445010!P:P)</f>
        <v>4.1666666666364737E-3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5"/>
  <sheetViews>
    <sheetView showGridLines="0" zoomScale="75" zoomScaleNormal="75" zoomScalePageLayoutView="75" workbookViewId="0">
      <pane ySplit="1" topLeftCell="A287" activePane="bottomLeft" state="frozen"/>
      <selection activeCell="H276" sqref="H276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input_445010!A$2</f>
        <v>445010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IFERROR(VLOOKUP(B2,input_445010!L:R,7,FALSE),VLOOKUP(tables_445010!C2,input_445010!A:H,8,FALSE))</f>
        <v>291000</v>
      </c>
      <c r="P2" s="46">
        <f t="shared" ref="P2:P65" ca="1" si="1">O2/SUM(O:O)</f>
        <v>1.0543478260793165E-2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input_445010!A$2</f>
        <v>445010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IFERROR(VLOOKUP(B3,input_445010!L:R,7,FALSE),VLOOKUP(tables_445010!C3,input_445010!A:H,8,FALSE))</f>
        <v>46585.000010000003</v>
      </c>
      <c r="P3" s="46">
        <f t="shared" ca="1" si="1"/>
        <v>1.6878623191906681E-3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input_445010!A$2</f>
        <v>445010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IFERROR(VLOOKUP(B4,input_445010!L:R,7,FALSE),VLOOKUP(tables_445010!C4,input_445010!A:H,8,FALSE))</f>
        <v>291000</v>
      </c>
      <c r="P4" s="46">
        <f t="shared" ca="1" si="1"/>
        <v>1.0543478260793165E-2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input_445010!A$2</f>
        <v>445010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IFERROR(VLOOKUP(B5,input_445010!L:R,7,FALSE),VLOOKUP(tables_445010!C5,input_445010!A:H,8,FALSE))</f>
        <v>46585.000010000003</v>
      </c>
      <c r="P5" s="46">
        <f t="shared" ca="1" si="1"/>
        <v>1.6878623191906681E-3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input_445010!A$2</f>
        <v>445010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IFERROR(VLOOKUP(B6,input_445010!L:R,7,FALSE),VLOOKUP(tables_445010!C6,input_445010!A:H,8,FALSE))</f>
        <v>291000</v>
      </c>
      <c r="P6" s="46">
        <f t="shared" ca="1" si="1"/>
        <v>1.0543478260793165E-2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input_445010!A$2</f>
        <v>445010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IFERROR(VLOOKUP(B7,input_445010!L:R,7,FALSE),VLOOKUP(tables_445010!C7,input_445010!A:H,8,FALSE))</f>
        <v>46585.000010000003</v>
      </c>
      <c r="P7" s="46">
        <f t="shared" ca="1" si="1"/>
        <v>1.6878623191906681E-3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input_445010!A$2</f>
        <v>445010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IFERROR(VLOOKUP(B8,input_445010!L:R,7,FALSE),VLOOKUP(tables_445010!C8,input_445010!A:H,8,FALSE))</f>
        <v>291000</v>
      </c>
      <c r="P8" s="46">
        <f t="shared" ca="1" si="1"/>
        <v>1.0543478260793165E-2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input_445010!A$2</f>
        <v>445010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IFERROR(VLOOKUP(B9,input_445010!L:R,7,FALSE),VLOOKUP(tables_445010!C9,input_445010!A:H,8,FALSE))</f>
        <v>46585.000010000003</v>
      </c>
      <c r="P9" s="46">
        <f t="shared" ca="1" si="1"/>
        <v>1.6878623191906681E-3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input_445010!A$2</f>
        <v>445010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IFERROR(VLOOKUP(B10,input_445010!L:R,7,FALSE),VLOOKUP(tables_445010!C10,input_445010!A:H,8,FALSE))</f>
        <v>291000</v>
      </c>
      <c r="P10" s="46">
        <f t="shared" ca="1" si="1"/>
        <v>1.0543478260793165E-2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input_445010!A$2</f>
        <v>445010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IFERROR(VLOOKUP(B11,input_445010!L:R,7,FALSE),VLOOKUP(tables_445010!C11,input_445010!A:H,8,FALSE))</f>
        <v>46585.000010000003</v>
      </c>
      <c r="P11" s="46">
        <f t="shared" ca="1" si="1"/>
        <v>1.6878623191906681E-3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input_445010!A$2</f>
        <v>445010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IFERROR(VLOOKUP(B12,input_445010!L:R,7,FALSE),VLOOKUP(tables_445010!C12,input_445010!A:H,8,FALSE))</f>
        <v>291000</v>
      </c>
      <c r="P12" s="46">
        <f t="shared" ca="1" si="1"/>
        <v>1.0543478260793165E-2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input_445010!A$2</f>
        <v>445010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IFERROR(VLOOKUP(B13,input_445010!L:R,7,FALSE),VLOOKUP(tables_445010!C13,input_445010!A:H,8,FALSE))</f>
        <v>46585.000010000003</v>
      </c>
      <c r="P13" s="46">
        <f t="shared" ca="1" si="1"/>
        <v>1.6878623191906681E-3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input_445010!A$2</f>
        <v>445010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IFERROR(VLOOKUP(B14,input_445010!L:R,7,FALSE),VLOOKUP(tables_445010!C14,input_445010!A:H,8,FALSE))</f>
        <v>291000</v>
      </c>
      <c r="P14" s="46">
        <f t="shared" ca="1" si="1"/>
        <v>1.0543478260793165E-2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input_445010!A$2</f>
        <v>445010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IFERROR(VLOOKUP(B15,input_445010!L:R,7,FALSE),VLOOKUP(tables_445010!C15,input_445010!A:H,8,FALSE))</f>
        <v>46585.000010000003</v>
      </c>
      <c r="P15" s="46">
        <f t="shared" ca="1" si="1"/>
        <v>1.6878623191906681E-3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input_445010!A$2</f>
        <v>445010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IFERROR(VLOOKUP(B16,input_445010!L:R,7,FALSE),VLOOKUP(tables_445010!C16,input_445010!A:H,8,FALSE))</f>
        <v>291000</v>
      </c>
      <c r="P16" s="46">
        <f t="shared" ca="1" si="1"/>
        <v>1.0543478260793165E-2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input_445010!A$2</f>
        <v>445010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IFERROR(VLOOKUP(B17,input_445010!L:R,7,FALSE),VLOOKUP(tables_445010!C17,input_445010!A:H,8,FALSE))</f>
        <v>46585.000010000003</v>
      </c>
      <c r="P17" s="46">
        <f t="shared" ca="1" si="1"/>
        <v>1.6878623191906681E-3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input_445010!A$2</f>
        <v>445010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IFERROR(VLOOKUP(B18,input_445010!L:R,7,FALSE),VLOOKUP(tables_445010!C18,input_445010!A:H,8,FALSE))</f>
        <v>291000</v>
      </c>
      <c r="P18" s="46">
        <f t="shared" ca="1" si="1"/>
        <v>1.0543478260793165E-2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input_445010!A$2</f>
        <v>445010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IFERROR(VLOOKUP(B19,input_445010!L:R,7,FALSE),VLOOKUP(tables_445010!C19,input_445010!A:H,8,FALSE))</f>
        <v>46585.000010000003</v>
      </c>
      <c r="P19" s="46">
        <f t="shared" ca="1" si="1"/>
        <v>1.6878623191906681E-3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input_445010!A$2</f>
        <v>445010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IFERROR(VLOOKUP(B20,input_445010!L:R,7,FALSE),VLOOKUP(tables_445010!C20,input_445010!A:H,8,FALSE))</f>
        <v>291000</v>
      </c>
      <c r="P20" s="46">
        <f t="shared" ca="1" si="1"/>
        <v>1.0543478260793165E-2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input_445010!A$2</f>
        <v>445010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IFERROR(VLOOKUP(B21,input_445010!L:R,7,FALSE),VLOOKUP(tables_445010!C21,input_445010!A:H,8,FALSE))</f>
        <v>46585.000010000003</v>
      </c>
      <c r="P21" s="46">
        <f t="shared" ca="1" si="1"/>
        <v>1.6878623191906681E-3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input_445010!A$2</f>
        <v>445010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IFERROR(VLOOKUP(B22,input_445010!L:R,7,FALSE),VLOOKUP(tables_445010!C22,input_445010!A:H,8,FALSE))</f>
        <v>291000</v>
      </c>
      <c r="P22" s="46">
        <f t="shared" ca="1" si="1"/>
        <v>1.0543478260793165E-2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input_445010!A$2</f>
        <v>445010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IFERROR(VLOOKUP(B23,input_445010!L:R,7,FALSE),VLOOKUP(tables_445010!C23,input_445010!A:H,8,FALSE))</f>
        <v>46585.000010000003</v>
      </c>
      <c r="P23" s="46">
        <f t="shared" ca="1" si="1"/>
        <v>1.6878623191906681E-3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input_445010!A$2</f>
        <v>445010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IFERROR(VLOOKUP(B24,input_445010!L:R,7,FALSE),VLOOKUP(tables_445010!C24,input_445010!A:H,8,FALSE))</f>
        <v>291000</v>
      </c>
      <c r="P24" s="46">
        <f t="shared" ca="1" si="1"/>
        <v>1.0543478260793165E-2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input_445010!A$2</f>
        <v>445010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IFERROR(VLOOKUP(B25,input_445010!L:R,7,FALSE),VLOOKUP(tables_445010!C25,input_445010!A:H,8,FALSE))</f>
        <v>46585.000010000003</v>
      </c>
      <c r="P25" s="46">
        <f t="shared" ca="1" si="1"/>
        <v>1.6878623191906681E-3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input_445010!A$2</f>
        <v>445010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IFERROR(VLOOKUP(B26,input_445010!L:R,7,FALSE),VLOOKUP(tables_445010!C26,input_445010!A:H,8,FALSE))</f>
        <v>291000</v>
      </c>
      <c r="P26" s="46">
        <f t="shared" ca="1" si="1"/>
        <v>1.0543478260793165E-2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input_445010!A$2</f>
        <v>445010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IFERROR(VLOOKUP(B27,input_445010!L:R,7,FALSE),VLOOKUP(tables_445010!C27,input_445010!A:H,8,FALSE))</f>
        <v>46585.000010000003</v>
      </c>
      <c r="P27" s="46">
        <f t="shared" ca="1" si="1"/>
        <v>1.6878623191906681E-3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input_445010!A$2</f>
        <v>445010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IFERROR(VLOOKUP(B28,input_445010!L:R,7,FALSE),VLOOKUP(tables_445010!C28,input_445010!A:H,8,FALSE))</f>
        <v>291000</v>
      </c>
      <c r="P28" s="46">
        <f t="shared" ca="1" si="1"/>
        <v>1.0543478260793165E-2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input_445010!A$2</f>
        <v>445010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IFERROR(VLOOKUP(B29,input_445010!L:R,7,FALSE),VLOOKUP(tables_445010!C29,input_445010!A:H,8,FALSE))</f>
        <v>46585.000010000003</v>
      </c>
      <c r="P29" s="46">
        <f t="shared" ca="1" si="1"/>
        <v>1.6878623191906681E-3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input_445010!A$2</f>
        <v>445010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IFERROR(VLOOKUP(B30,input_445010!L:R,7,FALSE),VLOOKUP(tables_445010!C30,input_445010!A:H,8,FALSE))</f>
        <v>291000</v>
      </c>
      <c r="P30" s="46">
        <f t="shared" ca="1" si="1"/>
        <v>1.0543478260793165E-2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input_445010!A$2</f>
        <v>445010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IFERROR(VLOOKUP(B31,input_445010!L:R,7,FALSE),VLOOKUP(tables_445010!C31,input_445010!A:H,8,FALSE))</f>
        <v>46585.000010000003</v>
      </c>
      <c r="P31" s="46">
        <f t="shared" ca="1" si="1"/>
        <v>1.6878623191906681E-3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input_445010!A$2</f>
        <v>445010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IFERROR(VLOOKUP(B32,input_445010!L:R,7,FALSE),VLOOKUP(tables_445010!C32,input_445010!A:H,8,FALSE))</f>
        <v>291000</v>
      </c>
      <c r="P32" s="46">
        <f t="shared" ca="1" si="1"/>
        <v>1.0543478260793165E-2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input_445010!A$2</f>
        <v>445010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IFERROR(VLOOKUP(B33,input_445010!L:R,7,FALSE),VLOOKUP(tables_445010!C33,input_445010!A:H,8,FALSE))</f>
        <v>46585.000010000003</v>
      </c>
      <c r="P33" s="46">
        <f t="shared" ca="1" si="1"/>
        <v>1.6878623191906681E-3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input_445010!A$2</f>
        <v>445010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IFERROR(VLOOKUP(B34,input_445010!L:R,7,FALSE),VLOOKUP(tables_445010!C34,input_445010!A:H,8,FALSE))</f>
        <v>291000</v>
      </c>
      <c r="P34" s="46">
        <f t="shared" ca="1" si="1"/>
        <v>1.0543478260793165E-2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input_445010!A$2</f>
        <v>445010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IFERROR(VLOOKUP(B35,input_445010!L:R,7,FALSE),VLOOKUP(tables_445010!C35,input_445010!A:H,8,FALSE))</f>
        <v>46585.000010000003</v>
      </c>
      <c r="P35" s="46">
        <f t="shared" ca="1" si="1"/>
        <v>1.6878623191906681E-3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input_445010!A$2</f>
        <v>445010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IFERROR(VLOOKUP(B36,input_445010!L:R,7,FALSE),VLOOKUP(tables_445010!C36,input_445010!A:H,8,FALSE))</f>
        <v>291000</v>
      </c>
      <c r="P36" s="46">
        <f t="shared" ca="1" si="1"/>
        <v>1.0543478260793165E-2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input_445010!A$2</f>
        <v>445010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IFERROR(VLOOKUP(B37,input_445010!L:R,7,FALSE),VLOOKUP(tables_445010!C37,input_445010!A:H,8,FALSE))</f>
        <v>46585.000010000003</v>
      </c>
      <c r="P37" s="46">
        <f t="shared" ca="1" si="1"/>
        <v>1.6878623191906681E-3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input_445010!A$2</f>
        <v>445010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IFERROR(VLOOKUP(B38,input_445010!L:R,7,FALSE),VLOOKUP(tables_445010!C38,input_445010!A:H,8,FALSE))</f>
        <v>291000</v>
      </c>
      <c r="P38" s="46">
        <f t="shared" ca="1" si="1"/>
        <v>1.0543478260793165E-2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input_445010!A$2</f>
        <v>445010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IFERROR(VLOOKUP(B39,input_445010!L:R,7,FALSE),VLOOKUP(tables_445010!C39,input_445010!A:H,8,FALSE))</f>
        <v>46585.000010000003</v>
      </c>
      <c r="P39" s="46">
        <f t="shared" ca="1" si="1"/>
        <v>1.6878623191906681E-3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input_445010!A$2</f>
        <v>445010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IFERROR(VLOOKUP(B40,input_445010!L:R,7,FALSE),VLOOKUP(tables_445010!C40,input_445010!A:H,8,FALSE))</f>
        <v>291000</v>
      </c>
      <c r="P40" s="46">
        <f t="shared" ca="1" si="1"/>
        <v>1.0543478260793165E-2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input_445010!A$2</f>
        <v>445010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IFERROR(VLOOKUP(B41,input_445010!L:R,7,FALSE),VLOOKUP(tables_445010!C41,input_445010!A:H,8,FALSE))</f>
        <v>46585.000010000003</v>
      </c>
      <c r="P41" s="46">
        <f t="shared" ca="1" si="1"/>
        <v>1.6878623191906681E-3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input_445010!A$2</f>
        <v>445010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IFERROR(VLOOKUP(B42,input_445010!L:R,7,FALSE),VLOOKUP(tables_445010!C42,input_445010!A:H,8,FALSE))</f>
        <v>142500</v>
      </c>
      <c r="P42" s="46">
        <f t="shared" ca="1" si="1"/>
        <v>5.1630434782234573E-3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input_445010!A$2</f>
        <v>445010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IFERROR(VLOOKUP(B43,input_445010!L:R,7,FALSE),VLOOKUP(tables_445010!C43,input_445010!A:H,8,FALSE))</f>
        <v>128250</v>
      </c>
      <c r="P43" s="46">
        <f t="shared" ca="1" si="1"/>
        <v>4.6467391304011113E-3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input_445010!A$2</f>
        <v>445010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IFERROR(VLOOKUP(B44,input_445010!L:R,7,FALSE),VLOOKUP(tables_445010!C44,input_445010!A:H,8,FALSE))</f>
        <v>14250</v>
      </c>
      <c r="P44" s="46">
        <f t="shared" ca="1" si="1"/>
        <v>5.1630434782234567E-4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input_445010!A$2</f>
        <v>445010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IFERROR(VLOOKUP(B45,input_445010!L:R,7,FALSE),VLOOKUP(tables_445010!C45,input_445010!A:H,8,FALSE))</f>
        <v>142500</v>
      </c>
      <c r="P45" s="46">
        <f t="shared" ca="1" si="1"/>
        <v>5.1630434782234573E-3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input_445010!A$2</f>
        <v>445010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IFERROR(VLOOKUP(B46,input_445010!L:R,7,FALSE),VLOOKUP(tables_445010!C46,input_445010!A:H,8,FALSE))</f>
        <v>128250</v>
      </c>
      <c r="P46" s="46">
        <f t="shared" ca="1" si="1"/>
        <v>4.6467391304011113E-3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input_445010!A$2</f>
        <v>445010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IFERROR(VLOOKUP(B47,input_445010!L:R,7,FALSE),VLOOKUP(tables_445010!C47,input_445010!A:H,8,FALSE))</f>
        <v>14250</v>
      </c>
      <c r="P47" s="46">
        <f t="shared" ca="1" si="1"/>
        <v>5.1630434782234567E-4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input_445010!A$2</f>
        <v>445010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IFERROR(VLOOKUP(B48,input_445010!L:R,7,FALSE),VLOOKUP(tables_445010!C48,input_445010!A:H,8,FALSE))</f>
        <v>142500</v>
      </c>
      <c r="P48" s="46">
        <f t="shared" ca="1" si="1"/>
        <v>5.1630434782234573E-3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input_445010!A$2</f>
        <v>445010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IFERROR(VLOOKUP(B49,input_445010!L:R,7,FALSE),VLOOKUP(tables_445010!C49,input_445010!A:H,8,FALSE))</f>
        <v>128250</v>
      </c>
      <c r="P49" s="46">
        <f t="shared" ca="1" si="1"/>
        <v>4.6467391304011113E-3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input_445010!A$2</f>
        <v>445010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IFERROR(VLOOKUP(B50,input_445010!L:R,7,FALSE),VLOOKUP(tables_445010!C50,input_445010!A:H,8,FALSE))</f>
        <v>14250</v>
      </c>
      <c r="P50" s="46">
        <f t="shared" ca="1" si="1"/>
        <v>5.1630434782234567E-4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input_445010!A$2</f>
        <v>445010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IFERROR(VLOOKUP(B51,input_445010!L:R,7,FALSE),VLOOKUP(tables_445010!C51,input_445010!A:H,8,FALSE))</f>
        <v>142500</v>
      </c>
      <c r="P51" s="46">
        <f t="shared" ca="1" si="1"/>
        <v>5.1630434782234573E-3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input_445010!A$2</f>
        <v>445010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IFERROR(VLOOKUP(B52,input_445010!L:R,7,FALSE),VLOOKUP(tables_445010!C52,input_445010!A:H,8,FALSE))</f>
        <v>117634.61538</v>
      </c>
      <c r="P52" s="46">
        <f t="shared" ca="1" si="1"/>
        <v>4.26212374562129E-3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input_445010!A$2</f>
        <v>445010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IFERROR(VLOOKUP(B53,input_445010!L:R,7,FALSE),VLOOKUP(tables_445010!C53,input_445010!A:H,8,FALSE))</f>
        <v>4640.3846199999998</v>
      </c>
      <c r="P53" s="46">
        <f t="shared" ca="1" si="1"/>
        <v>1.6812987753501356E-4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input_445010!A$2</f>
        <v>445010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IFERROR(VLOOKUP(B54,input_445010!L:R,7,FALSE),VLOOKUP(tables_445010!C54,input_445010!A:H,8,FALSE))</f>
        <v>142500</v>
      </c>
      <c r="P54" s="46">
        <f t="shared" ca="1" si="1"/>
        <v>5.1630434782234573E-3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input_445010!A$2</f>
        <v>445010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IFERROR(VLOOKUP(B55,input_445010!L:R,7,FALSE),VLOOKUP(tables_445010!C55,input_445010!A:H,8,FALSE))</f>
        <v>117634.61538</v>
      </c>
      <c r="P55" s="46">
        <f t="shared" ca="1" si="1"/>
        <v>4.26212374562129E-3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input_445010!A$2</f>
        <v>445010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IFERROR(VLOOKUP(B56,input_445010!L:R,7,FALSE),VLOOKUP(tables_445010!C56,input_445010!A:H,8,FALSE))</f>
        <v>4640.3846199999998</v>
      </c>
      <c r="P56" s="46">
        <f t="shared" ca="1" si="1"/>
        <v>1.6812987753501356E-4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input_445010!A$2</f>
        <v>445010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IFERROR(VLOOKUP(B57,input_445010!L:R,7,FALSE),VLOOKUP(tables_445010!C57,input_445010!A:H,8,FALSE))</f>
        <v>142500</v>
      </c>
      <c r="P57" s="46">
        <f t="shared" ca="1" si="1"/>
        <v>5.1630434782234573E-3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input_445010!A$2</f>
        <v>445010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IFERROR(VLOOKUP(B58,input_445010!L:R,7,FALSE),VLOOKUP(tables_445010!C58,input_445010!A:H,8,FALSE))</f>
        <v>117634.61538</v>
      </c>
      <c r="P58" s="46">
        <f t="shared" ca="1" si="1"/>
        <v>4.26212374562129E-3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input_445010!A$2</f>
        <v>445010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IFERROR(VLOOKUP(B59,input_445010!L:R,7,FALSE),VLOOKUP(tables_445010!C59,input_445010!A:H,8,FALSE))</f>
        <v>4640.3846199999998</v>
      </c>
      <c r="P59" s="46">
        <f t="shared" ca="1" si="1"/>
        <v>1.6812987753501356E-4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input_445010!A$2</f>
        <v>445010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IFERROR(VLOOKUP(B60,input_445010!L:R,7,FALSE),VLOOKUP(tables_445010!C60,input_445010!A:H,8,FALSE))</f>
        <v>142500</v>
      </c>
      <c r="P60" s="46">
        <f t="shared" ca="1" si="1"/>
        <v>5.1630434782234573E-3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input_445010!A$2</f>
        <v>445010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IFERROR(VLOOKUP(B61,input_445010!L:R,7,FALSE),VLOOKUP(tables_445010!C61,input_445010!A:H,8,FALSE))</f>
        <v>117634.61538</v>
      </c>
      <c r="P61" s="46">
        <f t="shared" ca="1" si="1"/>
        <v>4.26212374562129E-3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input_445010!A$2</f>
        <v>445010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IFERROR(VLOOKUP(B62,input_445010!L:R,7,FALSE),VLOOKUP(tables_445010!C62,input_445010!A:H,8,FALSE))</f>
        <v>4640.3846199999998</v>
      </c>
      <c r="P62" s="46">
        <f t="shared" ca="1" si="1"/>
        <v>1.6812987753501356E-4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input_445010!A$2</f>
        <v>445010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IFERROR(VLOOKUP(B63,input_445010!L:R,7,FALSE),VLOOKUP(tables_445010!C63,input_445010!A:H,8,FALSE))</f>
        <v>142500</v>
      </c>
      <c r="P63" s="46">
        <f t="shared" ca="1" si="1"/>
        <v>5.1630434782234573E-3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input_445010!A$2</f>
        <v>445010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IFERROR(VLOOKUP(B64,input_445010!L:R,7,FALSE),VLOOKUP(tables_445010!C64,input_445010!A:H,8,FALSE))</f>
        <v>117634.61538</v>
      </c>
      <c r="P64" s="46">
        <f t="shared" ca="1" si="1"/>
        <v>4.26212374562129E-3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input_445010!A$2</f>
        <v>445010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IFERROR(VLOOKUP(B65,input_445010!L:R,7,FALSE),VLOOKUP(tables_445010!C65,input_445010!A:H,8,FALSE))</f>
        <v>4640.3846199999998</v>
      </c>
      <c r="P65" s="46">
        <f t="shared" ca="1" si="1"/>
        <v>1.6812987753501356E-4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input_445010!A$2</f>
        <v>445010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IFERROR(VLOOKUP(B66,input_445010!L:R,7,FALSE),VLOOKUP(tables_445010!C66,input_445010!A:H,8,FALSE))</f>
        <v>142500</v>
      </c>
      <c r="P66" s="46">
        <f t="shared" ref="P66:P129" ca="1" si="4">O66/SUM(O:O)</f>
        <v>5.1630434782234573E-3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input_445010!A$2</f>
        <v>445010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IFERROR(VLOOKUP(B67,input_445010!L:R,7,FALSE),VLOOKUP(tables_445010!C67,input_445010!A:H,8,FALSE))</f>
        <v>117634.61538</v>
      </c>
      <c r="P67" s="46">
        <f t="shared" ca="1" si="4"/>
        <v>4.26212374562129E-3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input_445010!A$2</f>
        <v>445010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IFERROR(VLOOKUP(B68,input_445010!L:R,7,FALSE),VLOOKUP(tables_445010!C68,input_445010!A:H,8,FALSE))</f>
        <v>4640.3846199999998</v>
      </c>
      <c r="P68" s="46">
        <f t="shared" ca="1" si="4"/>
        <v>1.6812987753501356E-4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input_445010!A$2</f>
        <v>445010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IFERROR(VLOOKUP(B69,input_445010!L:R,7,FALSE),VLOOKUP(tables_445010!C69,input_445010!A:H,8,FALSE))</f>
        <v>142500</v>
      </c>
      <c r="P69" s="46">
        <f t="shared" ca="1" si="4"/>
        <v>5.1630434782234573E-3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input_445010!A$2</f>
        <v>445010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IFERROR(VLOOKUP(B70,input_445010!L:R,7,FALSE),VLOOKUP(tables_445010!C70,input_445010!A:H,8,FALSE))</f>
        <v>117634.61538</v>
      </c>
      <c r="P70" s="46">
        <f t="shared" ca="1" si="4"/>
        <v>4.26212374562129E-3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input_445010!A$2</f>
        <v>445010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IFERROR(VLOOKUP(B71,input_445010!L:R,7,FALSE),VLOOKUP(tables_445010!C71,input_445010!A:H,8,FALSE))</f>
        <v>4640.3846199999998</v>
      </c>
      <c r="P71" s="46">
        <f t="shared" ca="1" si="4"/>
        <v>1.6812987753501356E-4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input_445010!A$2</f>
        <v>445010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IFERROR(VLOOKUP(B72,input_445010!L:R,7,FALSE),VLOOKUP(tables_445010!C72,input_445010!A:H,8,FALSE))</f>
        <v>142500</v>
      </c>
      <c r="P72" s="46">
        <f t="shared" ca="1" si="4"/>
        <v>5.1630434782234573E-3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input_445010!A$2</f>
        <v>445010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IFERROR(VLOOKUP(B73,input_445010!L:R,7,FALSE),VLOOKUP(tables_445010!C73,input_445010!A:H,8,FALSE))</f>
        <v>117634.61538</v>
      </c>
      <c r="P73" s="46">
        <f t="shared" ca="1" si="4"/>
        <v>4.26212374562129E-3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input_445010!A$2</f>
        <v>445010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IFERROR(VLOOKUP(B74,input_445010!L:R,7,FALSE),VLOOKUP(tables_445010!C74,input_445010!A:H,8,FALSE))</f>
        <v>4640.3846199999998</v>
      </c>
      <c r="P74" s="46">
        <f t="shared" ca="1" si="4"/>
        <v>1.6812987753501356E-4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input_445010!A$2</f>
        <v>445010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IFERROR(VLOOKUP(B75,input_445010!L:R,7,FALSE),VLOOKUP(tables_445010!C75,input_445010!A:H,8,FALSE))</f>
        <v>142500</v>
      </c>
      <c r="P75" s="46">
        <f t="shared" ca="1" si="4"/>
        <v>5.1630434782234573E-3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input_445010!A$2</f>
        <v>445010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IFERROR(VLOOKUP(B76,input_445010!L:R,7,FALSE),VLOOKUP(tables_445010!C76,input_445010!A:H,8,FALSE))</f>
        <v>117634.61538</v>
      </c>
      <c r="P76" s="46">
        <f t="shared" ca="1" si="4"/>
        <v>4.26212374562129E-3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input_445010!A$2</f>
        <v>445010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IFERROR(VLOOKUP(B77,input_445010!L:R,7,FALSE),VLOOKUP(tables_445010!C77,input_445010!A:H,8,FALSE))</f>
        <v>4640.3846199999998</v>
      </c>
      <c r="P77" s="46">
        <f t="shared" ca="1" si="4"/>
        <v>1.6812987753501356E-4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input_445010!A$2</f>
        <v>445010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IFERROR(VLOOKUP(B78,input_445010!L:R,7,FALSE),VLOOKUP(tables_445010!C78,input_445010!A:H,8,FALSE))</f>
        <v>142500</v>
      </c>
      <c r="P78" s="46">
        <f t="shared" ca="1" si="4"/>
        <v>5.1630434782234573E-3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input_445010!A$2</f>
        <v>445010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IFERROR(VLOOKUP(B79,input_445010!L:R,7,FALSE),VLOOKUP(tables_445010!C79,input_445010!A:H,8,FALSE))</f>
        <v>117634.61538</v>
      </c>
      <c r="P79" s="46">
        <f t="shared" ca="1" si="4"/>
        <v>4.26212374562129E-3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input_445010!A$2</f>
        <v>445010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IFERROR(VLOOKUP(B80,input_445010!L:R,7,FALSE),VLOOKUP(tables_445010!C80,input_445010!A:H,8,FALSE))</f>
        <v>4640.3846199999998</v>
      </c>
      <c r="P80" s="46">
        <f t="shared" ca="1" si="4"/>
        <v>1.6812987753501356E-4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input_445010!A$2</f>
        <v>445010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IFERROR(VLOOKUP(B81,input_445010!L:R,7,FALSE),VLOOKUP(tables_445010!C81,input_445010!A:H,8,FALSE))</f>
        <v>142500</v>
      </c>
      <c r="P81" s="46">
        <f t="shared" ca="1" si="4"/>
        <v>5.1630434782234573E-3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input_445010!A$2</f>
        <v>445010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IFERROR(VLOOKUP(B82,input_445010!L:R,7,FALSE),VLOOKUP(tables_445010!C82,input_445010!A:H,8,FALSE))</f>
        <v>117634.61538</v>
      </c>
      <c r="P82" s="46">
        <f t="shared" ca="1" si="4"/>
        <v>4.26212374562129E-3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input_445010!A$2</f>
        <v>445010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IFERROR(VLOOKUP(B83,input_445010!L:R,7,FALSE),VLOOKUP(tables_445010!C83,input_445010!A:H,8,FALSE))</f>
        <v>4640.3846199999998</v>
      </c>
      <c r="P83" s="46">
        <f t="shared" ca="1" si="4"/>
        <v>1.6812987753501356E-4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input_445010!A$2</f>
        <v>445010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IFERROR(VLOOKUP(B84,input_445010!L:R,7,FALSE),VLOOKUP(tables_445010!C84,input_445010!A:H,8,FALSE))</f>
        <v>142500</v>
      </c>
      <c r="P84" s="46">
        <f t="shared" ca="1" si="4"/>
        <v>5.1630434782234573E-3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input_445010!A$2</f>
        <v>445010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IFERROR(VLOOKUP(B85,input_445010!L:R,7,FALSE),VLOOKUP(tables_445010!C85,input_445010!A:H,8,FALSE))</f>
        <v>117634.61538</v>
      </c>
      <c r="P85" s="46">
        <f t="shared" ca="1" si="4"/>
        <v>4.26212374562129E-3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input_445010!A$2</f>
        <v>445010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IFERROR(VLOOKUP(B86,input_445010!L:R,7,FALSE),VLOOKUP(tables_445010!C86,input_445010!A:H,8,FALSE))</f>
        <v>4640.3846199999998</v>
      </c>
      <c r="P86" s="46">
        <f t="shared" ca="1" si="4"/>
        <v>1.6812987753501356E-4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input_445010!A$2</f>
        <v>445010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IFERROR(VLOOKUP(B87,input_445010!L:R,7,FALSE),VLOOKUP(tables_445010!C87,input_445010!A:H,8,FALSE))</f>
        <v>142500</v>
      </c>
      <c r="P87" s="46">
        <f t="shared" ca="1" si="4"/>
        <v>5.1630434782234573E-3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input_445010!A$2</f>
        <v>445010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IFERROR(VLOOKUP(B88,input_445010!L:R,7,FALSE),VLOOKUP(tables_445010!C88,input_445010!A:H,8,FALSE))</f>
        <v>117634.61538</v>
      </c>
      <c r="P88" s="46">
        <f t="shared" ca="1" si="4"/>
        <v>4.26212374562129E-3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input_445010!A$2</f>
        <v>445010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IFERROR(VLOOKUP(B89,input_445010!L:R,7,FALSE),VLOOKUP(tables_445010!C89,input_445010!A:H,8,FALSE))</f>
        <v>4640.3846199999998</v>
      </c>
      <c r="P89" s="46">
        <f t="shared" ca="1" si="4"/>
        <v>1.6812987753501356E-4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input_445010!A$2</f>
        <v>445010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IFERROR(VLOOKUP(B90,input_445010!L:R,7,FALSE),VLOOKUP(tables_445010!C90,input_445010!A:H,8,FALSE))</f>
        <v>142500</v>
      </c>
      <c r="P90" s="46">
        <f t="shared" ca="1" si="4"/>
        <v>5.1630434782234573E-3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input_445010!A$2</f>
        <v>445010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IFERROR(VLOOKUP(B91,input_445010!L:R,7,FALSE),VLOOKUP(tables_445010!C91,input_445010!A:H,8,FALSE))</f>
        <v>117634.61538</v>
      </c>
      <c r="P91" s="46">
        <f t="shared" ca="1" si="4"/>
        <v>4.26212374562129E-3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input_445010!A$2</f>
        <v>445010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IFERROR(VLOOKUP(B92,input_445010!L:R,7,FALSE),VLOOKUP(tables_445010!C92,input_445010!A:H,8,FALSE))</f>
        <v>4640.3846199999998</v>
      </c>
      <c r="P92" s="46">
        <f t="shared" ca="1" si="4"/>
        <v>1.6812987753501356E-4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input_445010!A$2</f>
        <v>445010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IFERROR(VLOOKUP(B93,input_445010!L:R,7,FALSE),VLOOKUP(tables_445010!C93,input_445010!A:H,8,FALSE))</f>
        <v>142500</v>
      </c>
      <c r="P93" s="46">
        <f t="shared" ca="1" si="4"/>
        <v>5.1630434782234573E-3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input_445010!A$2</f>
        <v>445010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IFERROR(VLOOKUP(B94,input_445010!L:R,7,FALSE),VLOOKUP(tables_445010!C94,input_445010!A:H,8,FALSE))</f>
        <v>117634.61538</v>
      </c>
      <c r="P94" s="46">
        <f t="shared" ca="1" si="4"/>
        <v>4.26212374562129E-3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input_445010!A$2</f>
        <v>445010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IFERROR(VLOOKUP(B95,input_445010!L:R,7,FALSE),VLOOKUP(tables_445010!C95,input_445010!A:H,8,FALSE))</f>
        <v>4640.3846199999998</v>
      </c>
      <c r="P95" s="46">
        <f t="shared" ca="1" si="4"/>
        <v>1.6812987753501356E-4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input_445010!A$2</f>
        <v>445010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IFERROR(VLOOKUP(B96,input_445010!L:R,7,FALSE),VLOOKUP(tables_445010!C96,input_445010!A:H,8,FALSE))</f>
        <v>142500</v>
      </c>
      <c r="P96" s="46">
        <f t="shared" ca="1" si="4"/>
        <v>5.1630434782234573E-3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input_445010!A$2</f>
        <v>445010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IFERROR(VLOOKUP(B97,input_445010!L:R,7,FALSE),VLOOKUP(tables_445010!C97,input_445010!A:H,8,FALSE))</f>
        <v>117634.61538</v>
      </c>
      <c r="P97" s="46">
        <f t="shared" ca="1" si="4"/>
        <v>4.26212374562129E-3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input_445010!A$2</f>
        <v>445010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IFERROR(VLOOKUP(B98,input_445010!L:R,7,FALSE),VLOOKUP(tables_445010!C98,input_445010!A:H,8,FALSE))</f>
        <v>4640.3846199999998</v>
      </c>
      <c r="P98" s="46">
        <f t="shared" ca="1" si="4"/>
        <v>1.6812987753501356E-4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input_445010!A$2</f>
        <v>445010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IFERROR(VLOOKUP(B99,input_445010!L:R,7,FALSE),VLOOKUP(tables_445010!C99,input_445010!A:H,8,FALSE))</f>
        <v>142500</v>
      </c>
      <c r="P99" s="46">
        <f t="shared" ca="1" si="4"/>
        <v>5.1630434782234573E-3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input_445010!A$2</f>
        <v>445010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IFERROR(VLOOKUP(B100,input_445010!L:R,7,FALSE),VLOOKUP(tables_445010!C100,input_445010!A:H,8,FALSE))</f>
        <v>117634.61538</v>
      </c>
      <c r="P100" s="46">
        <f t="shared" ca="1" si="4"/>
        <v>4.26212374562129E-3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input_445010!A$2</f>
        <v>445010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IFERROR(VLOOKUP(B101,input_445010!L:R,7,FALSE),VLOOKUP(tables_445010!C101,input_445010!A:H,8,FALSE))</f>
        <v>4640.3846199999998</v>
      </c>
      <c r="P101" s="46">
        <f t="shared" ca="1" si="4"/>
        <v>1.6812987753501356E-4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input_445010!A$2</f>
        <v>445010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IFERROR(VLOOKUP(B102,input_445010!L:R,7,FALSE),VLOOKUP(tables_445010!C102,input_445010!A:H,8,FALSE))</f>
        <v>142500</v>
      </c>
      <c r="P102" s="46">
        <f t="shared" ca="1" si="4"/>
        <v>5.1630434782234573E-3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input_445010!A$2</f>
        <v>445010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IFERROR(VLOOKUP(B103,input_445010!L:R,7,FALSE),VLOOKUP(tables_445010!C103,input_445010!A:H,8,FALSE))</f>
        <v>117634.61538</v>
      </c>
      <c r="P103" s="46">
        <f t="shared" ca="1" si="4"/>
        <v>4.26212374562129E-3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input_445010!A$2</f>
        <v>445010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IFERROR(VLOOKUP(B104,input_445010!L:R,7,FALSE),VLOOKUP(tables_445010!C104,input_445010!A:H,8,FALSE))</f>
        <v>4640.3846199999998</v>
      </c>
      <c r="P104" s="46">
        <f t="shared" ca="1" si="4"/>
        <v>1.6812987753501356E-4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input_445010!A$2</f>
        <v>445010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IFERROR(VLOOKUP(B105,input_445010!L:R,7,FALSE),VLOOKUP(tables_445010!C105,input_445010!A:H,8,FALSE))</f>
        <v>142500</v>
      </c>
      <c r="P105" s="46">
        <f t="shared" ca="1" si="4"/>
        <v>5.1630434782234573E-3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input_445010!A$2</f>
        <v>445010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IFERROR(VLOOKUP(B106,input_445010!L:R,7,FALSE),VLOOKUP(tables_445010!C106,input_445010!A:H,8,FALSE))</f>
        <v>117634.61538</v>
      </c>
      <c r="P106" s="46">
        <f t="shared" ca="1" si="4"/>
        <v>4.26212374562129E-3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input_445010!A$2</f>
        <v>445010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IFERROR(VLOOKUP(B107,input_445010!L:R,7,FALSE),VLOOKUP(tables_445010!C107,input_445010!A:H,8,FALSE))</f>
        <v>4640.3846199999998</v>
      </c>
      <c r="P107" s="46">
        <f t="shared" ca="1" si="4"/>
        <v>1.6812987753501356E-4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input_445010!A$2</f>
        <v>445010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IFERROR(VLOOKUP(B108,input_445010!L:R,7,FALSE),VLOOKUP(tables_445010!C108,input_445010!A:H,8,FALSE))</f>
        <v>142500</v>
      </c>
      <c r="P108" s="46">
        <f t="shared" ca="1" si="4"/>
        <v>5.1630434782234573E-3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input_445010!A$2</f>
        <v>445010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IFERROR(VLOOKUP(B109,input_445010!L:R,7,FALSE),VLOOKUP(tables_445010!C109,input_445010!A:H,8,FALSE))</f>
        <v>117634.61538</v>
      </c>
      <c r="P109" s="46">
        <f t="shared" ca="1" si="4"/>
        <v>4.26212374562129E-3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input_445010!A$2</f>
        <v>445010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IFERROR(VLOOKUP(B110,input_445010!L:R,7,FALSE),VLOOKUP(tables_445010!C110,input_445010!A:H,8,FALSE))</f>
        <v>4640.3846199999998</v>
      </c>
      <c r="P110" s="46">
        <f t="shared" ca="1" si="4"/>
        <v>1.6812987753501356E-4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input_445010!A$2</f>
        <v>445010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IFERROR(VLOOKUP(B111,input_445010!L:R,7,FALSE),VLOOKUP(tables_445010!C111,input_445010!A:H,8,FALSE))</f>
        <v>142500</v>
      </c>
      <c r="P111" s="46">
        <f t="shared" ca="1" si="4"/>
        <v>5.1630434782234573E-3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input_445010!A$2</f>
        <v>445010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IFERROR(VLOOKUP(B112,input_445010!L:R,7,FALSE),VLOOKUP(tables_445010!C112,input_445010!A:H,8,FALSE))</f>
        <v>128250</v>
      </c>
      <c r="P112" s="46">
        <f t="shared" ca="1" si="4"/>
        <v>4.6467391304011113E-3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input_445010!A$2</f>
        <v>445010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IFERROR(VLOOKUP(B113,input_445010!L:R,7,FALSE),VLOOKUP(tables_445010!C113,input_445010!A:H,8,FALSE))</f>
        <v>14250</v>
      </c>
      <c r="P113" s="46">
        <f t="shared" ca="1" si="4"/>
        <v>5.1630434782234567E-4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input_445010!A$2</f>
        <v>445010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IFERROR(VLOOKUP(B114,input_445010!L:R,7,FALSE),VLOOKUP(tables_445010!C114,input_445010!A:H,8,FALSE))</f>
        <v>142500</v>
      </c>
      <c r="P114" s="46">
        <f t="shared" ca="1" si="4"/>
        <v>5.1630434782234573E-3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input_445010!A$2</f>
        <v>445010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IFERROR(VLOOKUP(B115,input_445010!L:R,7,FALSE),VLOOKUP(tables_445010!C115,input_445010!A:H,8,FALSE))</f>
        <v>117634.61538</v>
      </c>
      <c r="P115" s="46">
        <f t="shared" ca="1" si="4"/>
        <v>4.26212374562129E-3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input_445010!A$2</f>
        <v>445010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IFERROR(VLOOKUP(B116,input_445010!L:R,7,FALSE),VLOOKUP(tables_445010!C116,input_445010!A:H,8,FALSE))</f>
        <v>4640.3846199999998</v>
      </c>
      <c r="P116" s="46">
        <f t="shared" ca="1" si="4"/>
        <v>1.6812987753501356E-4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input_445010!A$2</f>
        <v>445010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IFERROR(VLOOKUP(B117,input_445010!L:R,7,FALSE),VLOOKUP(tables_445010!C117,input_445010!A:H,8,FALSE))</f>
        <v>142500</v>
      </c>
      <c r="P117" s="46">
        <f t="shared" ca="1" si="4"/>
        <v>5.1630434782234573E-3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input_445010!A$2</f>
        <v>445010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IFERROR(VLOOKUP(B118,input_445010!L:R,7,FALSE),VLOOKUP(tables_445010!C118,input_445010!A:H,8,FALSE))</f>
        <v>117634.61538</v>
      </c>
      <c r="P118" s="46">
        <f t="shared" ca="1" si="4"/>
        <v>4.26212374562129E-3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input_445010!A$2</f>
        <v>445010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IFERROR(VLOOKUP(B119,input_445010!L:R,7,FALSE),VLOOKUP(tables_445010!C119,input_445010!A:H,8,FALSE))</f>
        <v>4640.3846199999998</v>
      </c>
      <c r="P119" s="46">
        <f t="shared" ca="1" si="4"/>
        <v>1.6812987753501356E-4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input_445010!A$2</f>
        <v>445010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IFERROR(VLOOKUP(B120,input_445010!L:R,7,FALSE),VLOOKUP(tables_445010!C120,input_445010!A:H,8,FALSE))</f>
        <v>142500</v>
      </c>
      <c r="P120" s="46">
        <f t="shared" ca="1" si="4"/>
        <v>5.1630434782234573E-3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input_445010!A$2</f>
        <v>445010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IFERROR(VLOOKUP(B121,input_445010!L:R,7,FALSE),VLOOKUP(tables_445010!C121,input_445010!A:H,8,FALSE))</f>
        <v>117634.61538</v>
      </c>
      <c r="P121" s="46">
        <f t="shared" ca="1" si="4"/>
        <v>4.26212374562129E-3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input_445010!A$2</f>
        <v>445010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IFERROR(VLOOKUP(B122,input_445010!L:R,7,FALSE),VLOOKUP(tables_445010!C122,input_445010!A:H,8,FALSE))</f>
        <v>4640.3846199999998</v>
      </c>
      <c r="P122" s="46">
        <f t="shared" ca="1" si="4"/>
        <v>1.6812987753501356E-4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input_445010!A$2</f>
        <v>445010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IFERROR(VLOOKUP(B123,input_445010!L:R,7,FALSE),VLOOKUP(tables_445010!C123,input_445010!A:H,8,FALSE))</f>
        <v>142500</v>
      </c>
      <c r="P123" s="46">
        <f t="shared" ca="1" si="4"/>
        <v>5.1630434782234573E-3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input_445010!A$2</f>
        <v>445010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IFERROR(VLOOKUP(B124,input_445010!L:R,7,FALSE),VLOOKUP(tables_445010!C124,input_445010!A:H,8,FALSE))</f>
        <v>117634.61538</v>
      </c>
      <c r="P124" s="46">
        <f t="shared" ca="1" si="4"/>
        <v>4.26212374562129E-3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input_445010!A$2</f>
        <v>445010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IFERROR(VLOOKUP(B125,input_445010!L:R,7,FALSE),VLOOKUP(tables_445010!C125,input_445010!A:H,8,FALSE))</f>
        <v>4640.3846199999998</v>
      </c>
      <c r="P125" s="46">
        <f t="shared" ca="1" si="4"/>
        <v>1.6812987753501356E-4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input_445010!A$2</f>
        <v>445010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IFERROR(VLOOKUP(B126,input_445010!L:R,7,FALSE),VLOOKUP(tables_445010!C126,input_445010!A:H,8,FALSE))</f>
        <v>142500</v>
      </c>
      <c r="P126" s="46">
        <f t="shared" ca="1" si="4"/>
        <v>5.1630434782234573E-3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input_445010!A$2</f>
        <v>445010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IFERROR(VLOOKUP(B127,input_445010!L:R,7,FALSE),VLOOKUP(tables_445010!C127,input_445010!A:H,8,FALSE))</f>
        <v>117634.61538</v>
      </c>
      <c r="P127" s="46">
        <f t="shared" ca="1" si="4"/>
        <v>4.26212374562129E-3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input_445010!A$2</f>
        <v>445010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IFERROR(VLOOKUP(B128,input_445010!L:R,7,FALSE),VLOOKUP(tables_445010!C128,input_445010!A:H,8,FALSE))</f>
        <v>4640.3846199999998</v>
      </c>
      <c r="P128" s="46">
        <f t="shared" ca="1" si="4"/>
        <v>1.6812987753501356E-4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input_445010!A$2</f>
        <v>445010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IFERROR(VLOOKUP(B129,input_445010!L:R,7,FALSE),VLOOKUP(tables_445010!C129,input_445010!A:H,8,FALSE))</f>
        <v>142500</v>
      </c>
      <c r="P129" s="46">
        <f t="shared" ca="1" si="4"/>
        <v>5.1630434782234573E-3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input_445010!A$2</f>
        <v>445010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IFERROR(VLOOKUP(B130,input_445010!L:R,7,FALSE),VLOOKUP(tables_445010!C130,input_445010!A:H,8,FALSE))</f>
        <v>117634.61538</v>
      </c>
      <c r="P130" s="46">
        <f t="shared" ref="P130:P193" ca="1" si="7">O130/SUM(O:O)</f>
        <v>4.26212374562129E-3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input_445010!A$2</f>
        <v>445010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IFERROR(VLOOKUP(B131,input_445010!L:R,7,FALSE),VLOOKUP(tables_445010!C131,input_445010!A:H,8,FALSE))</f>
        <v>4640.3846199999998</v>
      </c>
      <c r="P131" s="46">
        <f t="shared" ca="1" si="7"/>
        <v>1.6812987753501356E-4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input_445010!A$2</f>
        <v>445010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IFERROR(VLOOKUP(B132,input_445010!L:R,7,FALSE),VLOOKUP(tables_445010!C132,input_445010!A:H,8,FALSE))</f>
        <v>142500</v>
      </c>
      <c r="P132" s="46">
        <f t="shared" ca="1" si="7"/>
        <v>5.1630434782234573E-3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input_445010!A$2</f>
        <v>445010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IFERROR(VLOOKUP(B133,input_445010!L:R,7,FALSE),VLOOKUP(tables_445010!C133,input_445010!A:H,8,FALSE))</f>
        <v>117634.61538</v>
      </c>
      <c r="P133" s="46">
        <f t="shared" ca="1" si="7"/>
        <v>4.26212374562129E-3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input_445010!A$2</f>
        <v>445010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IFERROR(VLOOKUP(B134,input_445010!L:R,7,FALSE),VLOOKUP(tables_445010!C134,input_445010!A:H,8,FALSE))</f>
        <v>4640.3846199999998</v>
      </c>
      <c r="P134" s="46">
        <f t="shared" ca="1" si="7"/>
        <v>1.6812987753501356E-4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input_445010!A$2</f>
        <v>445010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IFERROR(VLOOKUP(B135,input_445010!L:R,7,FALSE),VLOOKUP(tables_445010!C135,input_445010!A:H,8,FALSE))</f>
        <v>142500</v>
      </c>
      <c r="P135" s="46">
        <f t="shared" ca="1" si="7"/>
        <v>5.1630434782234573E-3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input_445010!A$2</f>
        <v>445010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IFERROR(VLOOKUP(B136,input_445010!L:R,7,FALSE),VLOOKUP(tables_445010!C136,input_445010!A:H,8,FALSE))</f>
        <v>117634.61538</v>
      </c>
      <c r="P136" s="46">
        <f t="shared" ca="1" si="7"/>
        <v>4.26212374562129E-3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input_445010!A$2</f>
        <v>445010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IFERROR(VLOOKUP(B137,input_445010!L:R,7,FALSE),VLOOKUP(tables_445010!C137,input_445010!A:H,8,FALSE))</f>
        <v>4640.3846199999998</v>
      </c>
      <c r="P137" s="46">
        <f t="shared" ca="1" si="7"/>
        <v>1.6812987753501356E-4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input_445010!A$2</f>
        <v>445010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IFERROR(VLOOKUP(B138,input_445010!L:R,7,FALSE),VLOOKUP(tables_445010!C138,input_445010!A:H,8,FALSE))</f>
        <v>21850</v>
      </c>
      <c r="P138" s="46">
        <f t="shared" ca="1" si="7"/>
        <v>7.9166666666093002E-4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input_445010!A$2</f>
        <v>445010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IFERROR(VLOOKUP(B139,input_445010!L:R,7,FALSE),VLOOKUP(tables_445010!C139,input_445010!A:H,8,FALSE))</f>
        <v>1150</v>
      </c>
      <c r="P139" s="46">
        <f t="shared" ca="1" si="7"/>
        <v>4.1666666666364742E-5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input_445010!A$2</f>
        <v>445010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IFERROR(VLOOKUP(B140,input_445010!L:R,7,FALSE),VLOOKUP(tables_445010!C140,input_445010!A:H,8,FALSE))</f>
        <v>21850</v>
      </c>
      <c r="P140" s="46">
        <f t="shared" ca="1" si="7"/>
        <v>7.9166666666093002E-4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input_445010!A$2</f>
        <v>445010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IFERROR(VLOOKUP(B141,input_445010!L:R,7,FALSE),VLOOKUP(tables_445010!C141,input_445010!A:H,8,FALSE))</f>
        <v>1150</v>
      </c>
      <c r="P141" s="46">
        <f t="shared" ca="1" si="7"/>
        <v>4.1666666666364742E-5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input_445010!A$2</f>
        <v>445010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IFERROR(VLOOKUP(B142,input_445010!L:R,7,FALSE),VLOOKUP(tables_445010!C142,input_445010!A:H,8,FALSE))</f>
        <v>21850</v>
      </c>
      <c r="P142" s="46">
        <f t="shared" ca="1" si="7"/>
        <v>7.9166666666093002E-4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input_445010!A$2</f>
        <v>445010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IFERROR(VLOOKUP(B143,input_445010!L:R,7,FALSE),VLOOKUP(tables_445010!C143,input_445010!A:H,8,FALSE))</f>
        <v>1150</v>
      </c>
      <c r="P143" s="46">
        <f t="shared" ca="1" si="7"/>
        <v>4.1666666666364742E-5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input_445010!A$2</f>
        <v>445010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IFERROR(VLOOKUP(B144,input_445010!L:R,7,FALSE),VLOOKUP(tables_445010!C144,input_445010!A:H,8,FALSE))</f>
        <v>21850</v>
      </c>
      <c r="P144" s="46">
        <f t="shared" ca="1" si="7"/>
        <v>7.9166666666093002E-4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input_445010!A$2</f>
        <v>445010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IFERROR(VLOOKUP(B145,input_445010!L:R,7,FALSE),VLOOKUP(tables_445010!C145,input_445010!A:H,8,FALSE))</f>
        <v>1150</v>
      </c>
      <c r="P145" s="46">
        <f t="shared" ca="1" si="7"/>
        <v>4.1666666666364742E-5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input_445010!A$2</f>
        <v>445010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IFERROR(VLOOKUP(B146,input_445010!L:R,7,FALSE),VLOOKUP(tables_445010!C146,input_445010!A:H,8,FALSE))</f>
        <v>142500</v>
      </c>
      <c r="P146" s="46">
        <f t="shared" ca="1" si="7"/>
        <v>5.1630434782234573E-3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input_445010!A$2</f>
        <v>445010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IFERROR(VLOOKUP(B147,input_445010!L:R,7,FALSE),VLOOKUP(tables_445010!C147,input_445010!A:H,8,FALSE))</f>
        <v>117634.61538</v>
      </c>
      <c r="P147" s="46">
        <f t="shared" ca="1" si="7"/>
        <v>4.26212374562129E-3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input_445010!A$2</f>
        <v>445010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IFERROR(VLOOKUP(B148,input_445010!L:R,7,FALSE),VLOOKUP(tables_445010!C148,input_445010!A:H,8,FALSE))</f>
        <v>4640.3846199999998</v>
      </c>
      <c r="P148" s="46">
        <f t="shared" ca="1" si="7"/>
        <v>1.6812987753501356E-4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input_445010!A$2</f>
        <v>445010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IFERROR(VLOOKUP(B149,input_445010!L:R,7,FALSE),VLOOKUP(tables_445010!C149,input_445010!A:H,8,FALSE))</f>
        <v>21850</v>
      </c>
      <c r="P149" s="46">
        <f t="shared" ca="1" si="7"/>
        <v>7.9166666666093002E-4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input_445010!A$2</f>
        <v>445010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IFERROR(VLOOKUP(B150,input_445010!L:R,7,FALSE),VLOOKUP(tables_445010!C150,input_445010!A:H,8,FALSE))</f>
        <v>1150</v>
      </c>
      <c r="P150" s="46">
        <f t="shared" ca="1" si="7"/>
        <v>4.1666666666364742E-5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input_445010!A$2</f>
        <v>445010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IFERROR(VLOOKUP(B151,input_445010!L:R,7,FALSE),VLOOKUP(tables_445010!C151,input_445010!A:H,8,FALSE))</f>
        <v>21850</v>
      </c>
      <c r="P151" s="46">
        <f t="shared" ca="1" si="7"/>
        <v>7.9166666666093002E-4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input_445010!A$2</f>
        <v>445010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IFERROR(VLOOKUP(B152,input_445010!L:R,7,FALSE),VLOOKUP(tables_445010!C152,input_445010!A:H,8,FALSE))</f>
        <v>1150</v>
      </c>
      <c r="P152" s="46">
        <f t="shared" ca="1" si="7"/>
        <v>4.1666666666364742E-5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input_445010!A$2</f>
        <v>445010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IFERROR(VLOOKUP(B153,input_445010!L:R,7,FALSE),VLOOKUP(tables_445010!C153,input_445010!A:H,8,FALSE))</f>
        <v>142500</v>
      </c>
      <c r="P153" s="46">
        <f t="shared" ca="1" si="7"/>
        <v>5.1630434782234573E-3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input_445010!A$2</f>
        <v>445010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IFERROR(VLOOKUP(B154,input_445010!L:R,7,FALSE),VLOOKUP(tables_445010!C154,input_445010!A:H,8,FALSE))</f>
        <v>117634.61538</v>
      </c>
      <c r="P154" s="46">
        <f t="shared" ca="1" si="7"/>
        <v>4.26212374562129E-3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input_445010!A$2</f>
        <v>445010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IFERROR(VLOOKUP(B155,input_445010!L:R,7,FALSE),VLOOKUP(tables_445010!C155,input_445010!A:H,8,FALSE))</f>
        <v>4640.3846199999998</v>
      </c>
      <c r="P155" s="46">
        <f t="shared" ca="1" si="7"/>
        <v>1.6812987753501356E-4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input_445010!A$2</f>
        <v>445010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IFERROR(VLOOKUP(B156,input_445010!L:R,7,FALSE),VLOOKUP(tables_445010!C156,input_445010!A:H,8,FALSE))</f>
        <v>21850</v>
      </c>
      <c r="P156" s="46">
        <f t="shared" ca="1" si="7"/>
        <v>7.9166666666093002E-4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input_445010!A$2</f>
        <v>445010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IFERROR(VLOOKUP(B157,input_445010!L:R,7,FALSE),VLOOKUP(tables_445010!C157,input_445010!A:H,8,FALSE))</f>
        <v>1150</v>
      </c>
      <c r="P157" s="46">
        <f t="shared" ca="1" si="7"/>
        <v>4.1666666666364742E-5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input_445010!A$2</f>
        <v>445010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IFERROR(VLOOKUP(B158,input_445010!L:R,7,FALSE),VLOOKUP(tables_445010!C158,input_445010!A:H,8,FALSE))</f>
        <v>142500</v>
      </c>
      <c r="P158" s="46">
        <f t="shared" ca="1" si="7"/>
        <v>5.1630434782234573E-3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input_445010!A$2</f>
        <v>445010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IFERROR(VLOOKUP(B159,input_445010!L:R,7,FALSE),VLOOKUP(tables_445010!C159,input_445010!A:H,8,FALSE))</f>
        <v>117634.61538</v>
      </c>
      <c r="P159" s="46">
        <f t="shared" ca="1" si="7"/>
        <v>4.26212374562129E-3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input_445010!A$2</f>
        <v>445010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IFERROR(VLOOKUP(B160,input_445010!L:R,7,FALSE),VLOOKUP(tables_445010!C160,input_445010!A:H,8,FALSE))</f>
        <v>4640.3846199999998</v>
      </c>
      <c r="P160" s="46">
        <f t="shared" ca="1" si="7"/>
        <v>1.6812987753501356E-4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input_445010!A$2</f>
        <v>445010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IFERROR(VLOOKUP(B161,input_445010!L:R,7,FALSE),VLOOKUP(tables_445010!C161,input_445010!A:H,8,FALSE))</f>
        <v>142500</v>
      </c>
      <c r="P161" s="46">
        <f t="shared" ca="1" si="7"/>
        <v>5.1630434782234573E-3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input_445010!A$2</f>
        <v>445010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IFERROR(VLOOKUP(B162,input_445010!L:R,7,FALSE),VLOOKUP(tables_445010!C162,input_445010!A:H,8,FALSE))</f>
        <v>117634.61538</v>
      </c>
      <c r="P162" s="46">
        <f t="shared" ca="1" si="7"/>
        <v>4.26212374562129E-3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input_445010!A$2</f>
        <v>445010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IFERROR(VLOOKUP(B163,input_445010!L:R,7,FALSE),VLOOKUP(tables_445010!C163,input_445010!A:H,8,FALSE))</f>
        <v>4640.3846199999998</v>
      </c>
      <c r="P163" s="46">
        <f t="shared" ca="1" si="7"/>
        <v>1.6812987753501356E-4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input_445010!A$2</f>
        <v>445010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IFERROR(VLOOKUP(B164,input_445010!L:R,7,FALSE),VLOOKUP(tables_445010!C164,input_445010!A:H,8,FALSE))</f>
        <v>21850</v>
      </c>
      <c r="P164" s="46">
        <f t="shared" ca="1" si="7"/>
        <v>7.9166666666093002E-4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input_445010!A$2</f>
        <v>445010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IFERROR(VLOOKUP(B165,input_445010!L:R,7,FALSE),VLOOKUP(tables_445010!C165,input_445010!A:H,8,FALSE))</f>
        <v>1150</v>
      </c>
      <c r="P165" s="46">
        <f t="shared" ca="1" si="7"/>
        <v>4.1666666666364742E-5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input_445010!A$2</f>
        <v>445010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IFERROR(VLOOKUP(B166,input_445010!L:R,7,FALSE),VLOOKUP(tables_445010!C166,input_445010!A:H,8,FALSE))</f>
        <v>142500</v>
      </c>
      <c r="P166" s="46">
        <f t="shared" ca="1" si="7"/>
        <v>5.1630434782234573E-3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input_445010!A$2</f>
        <v>445010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IFERROR(VLOOKUP(B167,input_445010!L:R,7,FALSE),VLOOKUP(tables_445010!C167,input_445010!A:H,8,FALSE))</f>
        <v>117634.61538</v>
      </c>
      <c r="P167" s="46">
        <f t="shared" ca="1" si="7"/>
        <v>4.26212374562129E-3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input_445010!A$2</f>
        <v>445010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IFERROR(VLOOKUP(B168,input_445010!L:R,7,FALSE),VLOOKUP(tables_445010!C168,input_445010!A:H,8,FALSE))</f>
        <v>4640.3846199999998</v>
      </c>
      <c r="P168" s="46">
        <f t="shared" ca="1" si="7"/>
        <v>1.6812987753501356E-4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input_445010!A$2</f>
        <v>445010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IFERROR(VLOOKUP(B169,input_445010!L:R,7,FALSE),VLOOKUP(tables_445010!C169,input_445010!A:H,8,FALSE))</f>
        <v>21850</v>
      </c>
      <c r="P169" s="46">
        <f t="shared" ca="1" si="7"/>
        <v>7.9166666666093002E-4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input_445010!A$2</f>
        <v>445010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IFERROR(VLOOKUP(B170,input_445010!L:R,7,FALSE),VLOOKUP(tables_445010!C170,input_445010!A:H,8,FALSE))</f>
        <v>1150</v>
      </c>
      <c r="P170" s="46">
        <f t="shared" ca="1" si="7"/>
        <v>4.1666666666364742E-5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input_445010!A$2</f>
        <v>445010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IFERROR(VLOOKUP(B171,input_445010!L:R,7,FALSE),VLOOKUP(tables_445010!C171,input_445010!A:H,8,FALSE))</f>
        <v>142500</v>
      </c>
      <c r="P171" s="46">
        <f t="shared" ca="1" si="7"/>
        <v>5.1630434782234573E-3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input_445010!A$2</f>
        <v>445010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IFERROR(VLOOKUP(B172,input_445010!L:R,7,FALSE),VLOOKUP(tables_445010!C172,input_445010!A:H,8,FALSE))</f>
        <v>117634.61538</v>
      </c>
      <c r="P172" s="46">
        <f t="shared" ca="1" si="7"/>
        <v>4.26212374562129E-3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input_445010!A$2</f>
        <v>445010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IFERROR(VLOOKUP(B173,input_445010!L:R,7,FALSE),VLOOKUP(tables_445010!C173,input_445010!A:H,8,FALSE))</f>
        <v>4640.3846199999998</v>
      </c>
      <c r="P173" s="46">
        <f t="shared" ca="1" si="7"/>
        <v>1.6812987753501356E-4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input_445010!A$2</f>
        <v>445010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IFERROR(VLOOKUP(B174,input_445010!L:R,7,FALSE),VLOOKUP(tables_445010!C174,input_445010!A:H,8,FALSE))</f>
        <v>21850</v>
      </c>
      <c r="P174" s="46">
        <f t="shared" ca="1" si="7"/>
        <v>7.9166666666093002E-4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input_445010!A$2</f>
        <v>445010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IFERROR(VLOOKUP(B175,input_445010!L:R,7,FALSE),VLOOKUP(tables_445010!C175,input_445010!A:H,8,FALSE))</f>
        <v>1150</v>
      </c>
      <c r="P175" s="46">
        <f t="shared" ca="1" si="7"/>
        <v>4.1666666666364742E-5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input_445010!A$2</f>
        <v>445010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IFERROR(VLOOKUP(B176,input_445010!L:R,7,FALSE),VLOOKUP(tables_445010!C176,input_445010!A:H,8,FALSE))</f>
        <v>21850</v>
      </c>
      <c r="P176" s="46">
        <f t="shared" ca="1" si="7"/>
        <v>7.9166666666093002E-4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input_445010!A$2</f>
        <v>445010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IFERROR(VLOOKUP(B177,input_445010!L:R,7,FALSE),VLOOKUP(tables_445010!C177,input_445010!A:H,8,FALSE))</f>
        <v>1150</v>
      </c>
      <c r="P177" s="46">
        <f t="shared" ca="1" si="7"/>
        <v>4.1666666666364742E-5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input_445010!A$2</f>
        <v>445010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IFERROR(VLOOKUP(B178,input_445010!L:R,7,FALSE),VLOOKUP(tables_445010!C178,input_445010!A:H,8,FALSE))</f>
        <v>142500</v>
      </c>
      <c r="P178" s="46">
        <f t="shared" ca="1" si="7"/>
        <v>5.1630434782234573E-3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input_445010!A$2</f>
        <v>445010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IFERROR(VLOOKUP(B179,input_445010!L:R,7,FALSE),VLOOKUP(tables_445010!C179,input_445010!A:H,8,FALSE))</f>
        <v>117634.61538</v>
      </c>
      <c r="P179" s="46">
        <f t="shared" ca="1" si="7"/>
        <v>4.26212374562129E-3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input_445010!A$2</f>
        <v>445010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IFERROR(VLOOKUP(B180,input_445010!L:R,7,FALSE),VLOOKUP(tables_445010!C180,input_445010!A:H,8,FALSE))</f>
        <v>4640.3846199999998</v>
      </c>
      <c r="P180" s="46">
        <f t="shared" ca="1" si="7"/>
        <v>1.6812987753501356E-4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input_445010!A$2</f>
        <v>445010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IFERROR(VLOOKUP(B181,input_445010!L:R,7,FALSE),VLOOKUP(tables_445010!C181,input_445010!A:H,8,FALSE))</f>
        <v>142500</v>
      </c>
      <c r="P181" s="46">
        <f t="shared" ca="1" si="7"/>
        <v>5.1630434782234573E-3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input_445010!A$2</f>
        <v>445010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IFERROR(VLOOKUP(B182,input_445010!L:R,7,FALSE),VLOOKUP(tables_445010!C182,input_445010!A:H,8,FALSE))</f>
        <v>117634.61538</v>
      </c>
      <c r="P182" s="46">
        <f t="shared" ca="1" si="7"/>
        <v>4.26212374562129E-3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input_445010!A$2</f>
        <v>445010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IFERROR(VLOOKUP(B183,input_445010!L:R,7,FALSE),VLOOKUP(tables_445010!C183,input_445010!A:H,8,FALSE))</f>
        <v>4640.3846199999998</v>
      </c>
      <c r="P183" s="46">
        <f t="shared" ca="1" si="7"/>
        <v>1.6812987753501356E-4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input_445010!A$2</f>
        <v>445010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IFERROR(VLOOKUP(B184,input_445010!L:R,7,FALSE),VLOOKUP(tables_445010!C184,input_445010!A:H,8,FALSE))</f>
        <v>21850</v>
      </c>
      <c r="P184" s="46">
        <f t="shared" ca="1" si="7"/>
        <v>7.9166666666093002E-4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input_445010!A$2</f>
        <v>445010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IFERROR(VLOOKUP(B185,input_445010!L:R,7,FALSE),VLOOKUP(tables_445010!C185,input_445010!A:H,8,FALSE))</f>
        <v>1150</v>
      </c>
      <c r="P185" s="46">
        <f t="shared" ca="1" si="7"/>
        <v>4.1666666666364742E-5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input_445010!A$2</f>
        <v>445010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IFERROR(VLOOKUP(B186,input_445010!L:R,7,FALSE),VLOOKUP(tables_445010!C186,input_445010!A:H,8,FALSE))</f>
        <v>142500</v>
      </c>
      <c r="P186" s="46">
        <f t="shared" ca="1" si="7"/>
        <v>5.1630434782234573E-3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input_445010!A$2</f>
        <v>445010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IFERROR(VLOOKUP(B187,input_445010!L:R,7,FALSE),VLOOKUP(tables_445010!C187,input_445010!A:H,8,FALSE))</f>
        <v>117634.61538</v>
      </c>
      <c r="P187" s="46">
        <f t="shared" ca="1" si="7"/>
        <v>4.26212374562129E-3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input_445010!A$2</f>
        <v>445010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IFERROR(VLOOKUP(B188,input_445010!L:R,7,FALSE),VLOOKUP(tables_445010!C188,input_445010!A:H,8,FALSE))</f>
        <v>4640.3846199999998</v>
      </c>
      <c r="P188" s="46">
        <f t="shared" ca="1" si="7"/>
        <v>1.6812987753501356E-4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input_445010!A$2</f>
        <v>445010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IFERROR(VLOOKUP(B189,input_445010!L:R,7,FALSE),VLOOKUP(tables_445010!C189,input_445010!A:H,8,FALSE))</f>
        <v>21850</v>
      </c>
      <c r="P189" s="46">
        <f t="shared" ca="1" si="7"/>
        <v>7.9166666666093002E-4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input_445010!A$2</f>
        <v>445010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IFERROR(VLOOKUP(B190,input_445010!L:R,7,FALSE),VLOOKUP(tables_445010!C190,input_445010!A:H,8,FALSE))</f>
        <v>1150</v>
      </c>
      <c r="P190" s="46">
        <f t="shared" ca="1" si="7"/>
        <v>4.1666666666364742E-5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input_445010!A$2</f>
        <v>445010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IFERROR(VLOOKUP(B191,input_445010!L:R,7,FALSE),VLOOKUP(tables_445010!C191,input_445010!A:H,8,FALSE))</f>
        <v>21850</v>
      </c>
      <c r="P191" s="46">
        <f t="shared" ca="1" si="7"/>
        <v>7.9166666666093002E-4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input_445010!A$2</f>
        <v>445010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IFERROR(VLOOKUP(B192,input_445010!L:R,7,FALSE),VLOOKUP(tables_445010!C192,input_445010!A:H,8,FALSE))</f>
        <v>1150</v>
      </c>
      <c r="P192" s="46">
        <f t="shared" ca="1" si="7"/>
        <v>4.1666666666364742E-5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input_445010!A$2</f>
        <v>445010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IFERROR(VLOOKUP(B193,input_445010!L:R,7,FALSE),VLOOKUP(tables_445010!C193,input_445010!A:H,8,FALSE))</f>
        <v>142500</v>
      </c>
      <c r="P193" s="46">
        <f t="shared" ca="1" si="7"/>
        <v>5.1630434782234573E-3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input_445010!A$2</f>
        <v>445010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IFERROR(VLOOKUP(B194,input_445010!L:R,7,FALSE),VLOOKUP(tables_445010!C194,input_445010!A:H,8,FALSE))</f>
        <v>117634.61538</v>
      </c>
      <c r="P194" s="46">
        <f t="shared" ref="P194:P257" ca="1" si="10">O194/SUM(O:O)</f>
        <v>4.26212374562129E-3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input_445010!A$2</f>
        <v>445010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IFERROR(VLOOKUP(B195,input_445010!L:R,7,FALSE),VLOOKUP(tables_445010!C195,input_445010!A:H,8,FALSE))</f>
        <v>4640.3846199999998</v>
      </c>
      <c r="P195" s="46">
        <f t="shared" ca="1" si="10"/>
        <v>1.6812987753501356E-4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input_445010!A$2</f>
        <v>445010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IFERROR(VLOOKUP(B196,input_445010!L:R,7,FALSE),VLOOKUP(tables_445010!C196,input_445010!A:H,8,FALSE))</f>
        <v>21850</v>
      </c>
      <c r="P196" s="46">
        <f t="shared" ca="1" si="10"/>
        <v>7.9166666666093002E-4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input_445010!A$2</f>
        <v>445010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IFERROR(VLOOKUP(B197,input_445010!L:R,7,FALSE),VLOOKUP(tables_445010!C197,input_445010!A:H,8,FALSE))</f>
        <v>1150</v>
      </c>
      <c r="P197" s="46">
        <f t="shared" ca="1" si="10"/>
        <v>4.1666666666364742E-5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input_445010!A$2</f>
        <v>445010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IFERROR(VLOOKUP(B198,input_445010!L:R,7,FALSE),VLOOKUP(tables_445010!C198,input_445010!A:H,8,FALSE))</f>
        <v>142500</v>
      </c>
      <c r="P198" s="46">
        <f t="shared" ca="1" si="10"/>
        <v>5.1630434782234573E-3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input_445010!A$2</f>
        <v>445010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IFERROR(VLOOKUP(B199,input_445010!L:R,7,FALSE),VLOOKUP(tables_445010!C199,input_445010!A:H,8,FALSE))</f>
        <v>117634.61538</v>
      </c>
      <c r="P199" s="46">
        <f t="shared" ca="1" si="10"/>
        <v>4.26212374562129E-3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input_445010!A$2</f>
        <v>445010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IFERROR(VLOOKUP(B200,input_445010!L:R,7,FALSE),VLOOKUP(tables_445010!C200,input_445010!A:H,8,FALSE))</f>
        <v>4640.3846199999998</v>
      </c>
      <c r="P200" s="46">
        <f t="shared" ca="1" si="10"/>
        <v>1.6812987753501356E-4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input_445010!A$2</f>
        <v>445010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IFERROR(VLOOKUP(B201,input_445010!L:R,7,FALSE),VLOOKUP(tables_445010!C201,input_445010!A:H,8,FALSE))</f>
        <v>21850</v>
      </c>
      <c r="P201" s="46">
        <f t="shared" ca="1" si="10"/>
        <v>7.9166666666093002E-4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input_445010!A$2</f>
        <v>445010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IFERROR(VLOOKUP(B202,input_445010!L:R,7,FALSE),VLOOKUP(tables_445010!C202,input_445010!A:H,8,FALSE))</f>
        <v>1150</v>
      </c>
      <c r="P202" s="46">
        <f t="shared" ca="1" si="10"/>
        <v>4.1666666666364742E-5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input_445010!A$2</f>
        <v>445010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IFERROR(VLOOKUP(B203,input_445010!L:R,7,FALSE),VLOOKUP(tables_445010!C203,input_445010!A:H,8,FALSE))</f>
        <v>142500</v>
      </c>
      <c r="P203" s="46">
        <f t="shared" ca="1" si="10"/>
        <v>5.1630434782234573E-3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input_445010!A$2</f>
        <v>445010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IFERROR(VLOOKUP(B204,input_445010!L:R,7,FALSE),VLOOKUP(tables_445010!C204,input_445010!A:H,8,FALSE))</f>
        <v>117634.61538</v>
      </c>
      <c r="P204" s="46">
        <f t="shared" ca="1" si="10"/>
        <v>4.26212374562129E-3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input_445010!A$2</f>
        <v>445010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IFERROR(VLOOKUP(B205,input_445010!L:R,7,FALSE),VLOOKUP(tables_445010!C205,input_445010!A:H,8,FALSE))</f>
        <v>4640.3846199999998</v>
      </c>
      <c r="P205" s="46">
        <f t="shared" ca="1" si="10"/>
        <v>1.6812987753501356E-4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input_445010!A$2</f>
        <v>445010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IFERROR(VLOOKUP(B206,input_445010!L:R,7,FALSE),VLOOKUP(tables_445010!C206,input_445010!A:H,8,FALSE))</f>
        <v>21850</v>
      </c>
      <c r="P206" s="46">
        <f t="shared" ca="1" si="10"/>
        <v>7.9166666666093002E-4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input_445010!A$2</f>
        <v>445010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IFERROR(VLOOKUP(B207,input_445010!L:R,7,FALSE),VLOOKUP(tables_445010!C207,input_445010!A:H,8,FALSE))</f>
        <v>1150</v>
      </c>
      <c r="P207" s="46">
        <f t="shared" ca="1" si="10"/>
        <v>4.1666666666364742E-5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input_445010!A$2</f>
        <v>445010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IFERROR(VLOOKUP(B208,input_445010!L:R,7,FALSE),VLOOKUP(tables_445010!C208,input_445010!A:H,8,FALSE))</f>
        <v>21850</v>
      </c>
      <c r="P208" s="46">
        <f t="shared" ca="1" si="10"/>
        <v>7.9166666666093002E-4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input_445010!A$2</f>
        <v>445010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IFERROR(VLOOKUP(B209,input_445010!L:R,7,FALSE),VLOOKUP(tables_445010!C209,input_445010!A:H,8,FALSE))</f>
        <v>1150</v>
      </c>
      <c r="P209" s="46">
        <f t="shared" ca="1" si="10"/>
        <v>4.1666666666364742E-5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input_445010!A$2</f>
        <v>445010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IFERROR(VLOOKUP(B210,input_445010!L:R,7,FALSE),VLOOKUP(tables_445010!C210,input_445010!A:H,8,FALSE))</f>
        <v>142500</v>
      </c>
      <c r="P210" s="46">
        <f t="shared" ca="1" si="10"/>
        <v>5.1630434782234573E-3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input_445010!A$2</f>
        <v>445010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IFERROR(VLOOKUP(B211,input_445010!L:R,7,FALSE),VLOOKUP(tables_445010!C211,input_445010!A:H,8,FALSE))</f>
        <v>117634.61538</v>
      </c>
      <c r="P211" s="46">
        <f t="shared" ca="1" si="10"/>
        <v>4.26212374562129E-3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input_445010!A$2</f>
        <v>445010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IFERROR(VLOOKUP(B212,input_445010!L:R,7,FALSE),VLOOKUP(tables_445010!C212,input_445010!A:H,8,FALSE))</f>
        <v>4640.3846199999998</v>
      </c>
      <c r="P212" s="46">
        <f t="shared" ca="1" si="10"/>
        <v>1.6812987753501356E-4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input_445010!A$2</f>
        <v>445010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IFERROR(VLOOKUP(B213,input_445010!L:R,7,FALSE),VLOOKUP(tables_445010!C213,input_445010!A:H,8,FALSE))</f>
        <v>21850</v>
      </c>
      <c r="P213" s="46">
        <f t="shared" ca="1" si="10"/>
        <v>7.9166666666093002E-4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input_445010!A$2</f>
        <v>445010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IFERROR(VLOOKUP(B214,input_445010!L:R,7,FALSE),VLOOKUP(tables_445010!C214,input_445010!A:H,8,FALSE))</f>
        <v>1150</v>
      </c>
      <c r="P214" s="46">
        <f t="shared" ca="1" si="10"/>
        <v>4.1666666666364742E-5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input_445010!A$2</f>
        <v>445010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IFERROR(VLOOKUP(B215,input_445010!L:R,7,FALSE),VLOOKUP(tables_445010!C215,input_445010!A:H,8,FALSE))</f>
        <v>14250</v>
      </c>
      <c r="P215" s="46">
        <f t="shared" ca="1" si="10"/>
        <v>5.1630434782234567E-4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input_445010!A$2</f>
        <v>445010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IFERROR(VLOOKUP(B216,input_445010!L:R,7,FALSE),VLOOKUP(tables_445010!C216,input_445010!A:H,8,FALSE))</f>
        <v>14250</v>
      </c>
      <c r="P216" s="46">
        <f t="shared" ca="1" si="10"/>
        <v>5.1630434782234567E-4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input_445010!A$2</f>
        <v>445010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IFERROR(VLOOKUP(B217,input_445010!L:R,7,FALSE),VLOOKUP(tables_445010!C217,input_445010!A:H,8,FALSE))</f>
        <v>14250</v>
      </c>
      <c r="P217" s="46">
        <f t="shared" ca="1" si="10"/>
        <v>5.1630434782234567E-4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input_445010!A$2</f>
        <v>445010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IFERROR(VLOOKUP(B218,input_445010!L:R,7,FALSE),VLOOKUP(tables_445010!C218,input_445010!A:H,8,FALSE))</f>
        <v>14250</v>
      </c>
      <c r="P218" s="46">
        <f t="shared" ca="1" si="10"/>
        <v>5.1630434782234567E-4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input_445010!A$2</f>
        <v>445010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IFERROR(VLOOKUP(B219,input_445010!L:R,7,FALSE),VLOOKUP(tables_445010!C219,input_445010!A:H,8,FALSE))</f>
        <v>14250</v>
      </c>
      <c r="P219" s="46">
        <f t="shared" ca="1" si="10"/>
        <v>5.1630434782234567E-4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input_445010!A$2</f>
        <v>445010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IFERROR(VLOOKUP(B220,input_445010!L:R,7,FALSE),VLOOKUP(tables_445010!C220,input_445010!A:H,8,FALSE))</f>
        <v>14250</v>
      </c>
      <c r="P220" s="46">
        <f t="shared" ca="1" si="10"/>
        <v>5.1630434782234567E-4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input_445010!A$2</f>
        <v>445010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IFERROR(VLOOKUP(B221,input_445010!L:R,7,FALSE),VLOOKUP(tables_445010!C221,input_445010!A:H,8,FALSE))</f>
        <v>21850</v>
      </c>
      <c r="P221" s="46">
        <f t="shared" ca="1" si="10"/>
        <v>7.9166666666093002E-4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input_445010!A$2</f>
        <v>445010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IFERROR(VLOOKUP(B222,input_445010!L:R,7,FALSE),VLOOKUP(tables_445010!C222,input_445010!A:H,8,FALSE))</f>
        <v>1150</v>
      </c>
      <c r="P222" s="46">
        <f t="shared" ca="1" si="10"/>
        <v>4.1666666666364742E-5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input_445010!A$2</f>
        <v>445010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IFERROR(VLOOKUP(B223,input_445010!L:R,7,FALSE),VLOOKUP(tables_445010!C223,input_445010!A:H,8,FALSE))</f>
        <v>142500</v>
      </c>
      <c r="P223" s="46">
        <f t="shared" ca="1" si="10"/>
        <v>5.1630434782234573E-3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input_445010!A$2</f>
        <v>445010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IFERROR(VLOOKUP(B224,input_445010!L:R,7,FALSE),VLOOKUP(tables_445010!C224,input_445010!A:H,8,FALSE))</f>
        <v>117634.61538</v>
      </c>
      <c r="P224" s="46">
        <f t="shared" ca="1" si="10"/>
        <v>4.26212374562129E-3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input_445010!A$2</f>
        <v>445010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IFERROR(VLOOKUP(B225,input_445010!L:R,7,FALSE),VLOOKUP(tables_445010!C225,input_445010!A:H,8,FALSE))</f>
        <v>4640.3846199999998</v>
      </c>
      <c r="P225" s="46">
        <f t="shared" ca="1" si="10"/>
        <v>1.6812987753501356E-4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input_445010!A$2</f>
        <v>445010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IFERROR(VLOOKUP(B226,input_445010!L:R,7,FALSE),VLOOKUP(tables_445010!C226,input_445010!A:H,8,FALSE))</f>
        <v>142500</v>
      </c>
      <c r="P226" s="46">
        <f t="shared" ca="1" si="10"/>
        <v>5.1630434782234573E-3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input_445010!A$2</f>
        <v>445010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IFERROR(VLOOKUP(B227,input_445010!L:R,7,FALSE),VLOOKUP(tables_445010!C227,input_445010!A:H,8,FALSE))</f>
        <v>117634.61538</v>
      </c>
      <c r="P227" s="46">
        <f t="shared" ca="1" si="10"/>
        <v>4.26212374562129E-3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input_445010!A$2</f>
        <v>445010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IFERROR(VLOOKUP(B228,input_445010!L:R,7,FALSE),VLOOKUP(tables_445010!C228,input_445010!A:H,8,FALSE))</f>
        <v>4640.3846199999998</v>
      </c>
      <c r="P228" s="46">
        <f t="shared" ca="1" si="10"/>
        <v>1.6812987753501356E-4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input_445010!A$2</f>
        <v>445010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IFERROR(VLOOKUP(B229,input_445010!L:R,7,FALSE),VLOOKUP(tables_445010!C229,input_445010!A:H,8,FALSE))</f>
        <v>21850</v>
      </c>
      <c r="P229" s="46">
        <f t="shared" ca="1" si="10"/>
        <v>7.9166666666093002E-4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input_445010!A$2</f>
        <v>445010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IFERROR(VLOOKUP(B230,input_445010!L:R,7,FALSE),VLOOKUP(tables_445010!C230,input_445010!A:H,8,FALSE))</f>
        <v>1150</v>
      </c>
      <c r="P230" s="46">
        <f t="shared" ca="1" si="10"/>
        <v>4.1666666666364742E-5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input_445010!A$2</f>
        <v>445010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IFERROR(VLOOKUP(B231,input_445010!L:R,7,FALSE),VLOOKUP(tables_445010!C231,input_445010!A:H,8,FALSE))</f>
        <v>142500</v>
      </c>
      <c r="P231" s="46">
        <f t="shared" ca="1" si="10"/>
        <v>5.1630434782234573E-3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input_445010!A$2</f>
        <v>445010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IFERROR(VLOOKUP(B232,input_445010!L:R,7,FALSE),VLOOKUP(tables_445010!C232,input_445010!A:H,8,FALSE))</f>
        <v>117634.61538</v>
      </c>
      <c r="P232" s="46">
        <f t="shared" ca="1" si="10"/>
        <v>4.26212374562129E-3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input_445010!A$2</f>
        <v>445010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IFERROR(VLOOKUP(B233,input_445010!L:R,7,FALSE),VLOOKUP(tables_445010!C233,input_445010!A:H,8,FALSE))</f>
        <v>4640.3846199999998</v>
      </c>
      <c r="P233" s="46">
        <f t="shared" ca="1" si="10"/>
        <v>1.6812987753501356E-4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input_445010!A$2</f>
        <v>445010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IFERROR(VLOOKUP(B234,input_445010!L:R,7,FALSE),VLOOKUP(tables_445010!C234,input_445010!A:H,8,FALSE))</f>
        <v>142500</v>
      </c>
      <c r="P234" s="46">
        <f t="shared" ca="1" si="10"/>
        <v>5.1630434782234573E-3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input_445010!A$2</f>
        <v>445010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IFERROR(VLOOKUP(B235,input_445010!L:R,7,FALSE),VLOOKUP(tables_445010!C235,input_445010!A:H,8,FALSE))</f>
        <v>117634.61538</v>
      </c>
      <c r="P235" s="46">
        <f t="shared" ca="1" si="10"/>
        <v>4.26212374562129E-3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input_445010!A$2</f>
        <v>445010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IFERROR(VLOOKUP(B236,input_445010!L:R,7,FALSE),VLOOKUP(tables_445010!C236,input_445010!A:H,8,FALSE))</f>
        <v>4640.3846199999998</v>
      </c>
      <c r="P236" s="46">
        <f t="shared" ca="1" si="10"/>
        <v>1.6812987753501356E-4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input_445010!A$2</f>
        <v>445010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IFERROR(VLOOKUP(B237,input_445010!L:R,7,FALSE),VLOOKUP(tables_445010!C237,input_445010!A:H,8,FALSE))</f>
        <v>21850</v>
      </c>
      <c r="P237" s="46">
        <f t="shared" ca="1" si="10"/>
        <v>7.9166666666093002E-4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input_445010!A$2</f>
        <v>445010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IFERROR(VLOOKUP(B238,input_445010!L:R,7,FALSE),VLOOKUP(tables_445010!C238,input_445010!A:H,8,FALSE))</f>
        <v>1150</v>
      </c>
      <c r="P238" s="46">
        <f t="shared" ca="1" si="10"/>
        <v>4.1666666666364742E-5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input_445010!A$2</f>
        <v>445010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IFERROR(VLOOKUP(B239,input_445010!L:R,7,FALSE),VLOOKUP(tables_445010!C239,input_445010!A:H,8,FALSE))</f>
        <v>142500</v>
      </c>
      <c r="P239" s="46">
        <f t="shared" ca="1" si="10"/>
        <v>5.1630434782234573E-3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input_445010!A$2</f>
        <v>445010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IFERROR(VLOOKUP(B240,input_445010!L:R,7,FALSE),VLOOKUP(tables_445010!C240,input_445010!A:H,8,FALSE))</f>
        <v>117634.61538</v>
      </c>
      <c r="P240" s="46">
        <f t="shared" ca="1" si="10"/>
        <v>4.26212374562129E-3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input_445010!A$2</f>
        <v>445010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IFERROR(VLOOKUP(B241,input_445010!L:R,7,FALSE),VLOOKUP(tables_445010!C241,input_445010!A:H,8,FALSE))</f>
        <v>4640.3846199999998</v>
      </c>
      <c r="P241" s="46">
        <f t="shared" ca="1" si="10"/>
        <v>1.6812987753501356E-4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input_445010!A$2</f>
        <v>445010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IFERROR(VLOOKUP(B242,input_445010!L:R,7,FALSE),VLOOKUP(tables_445010!C242,input_445010!A:H,8,FALSE))</f>
        <v>21850</v>
      </c>
      <c r="P242" s="46">
        <f t="shared" ca="1" si="10"/>
        <v>7.9166666666093002E-4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input_445010!A$2</f>
        <v>445010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IFERROR(VLOOKUP(B243,input_445010!L:R,7,FALSE),VLOOKUP(tables_445010!C243,input_445010!A:H,8,FALSE))</f>
        <v>1150</v>
      </c>
      <c r="P243" s="46">
        <f t="shared" ca="1" si="10"/>
        <v>4.1666666666364742E-5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input_445010!A$2</f>
        <v>445010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IFERROR(VLOOKUP(B244,input_445010!L:R,7,FALSE),VLOOKUP(tables_445010!C244,input_445010!A:H,8,FALSE))</f>
        <v>21850</v>
      </c>
      <c r="P244" s="46">
        <f t="shared" ca="1" si="10"/>
        <v>7.9166666666093002E-4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input_445010!A$2</f>
        <v>445010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IFERROR(VLOOKUP(B245,input_445010!L:R,7,FALSE),VLOOKUP(tables_445010!C245,input_445010!A:H,8,FALSE))</f>
        <v>1150</v>
      </c>
      <c r="P245" s="46">
        <f t="shared" ca="1" si="10"/>
        <v>4.1666666666364742E-5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input_445010!A$2</f>
        <v>445010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IFERROR(VLOOKUP(B246,input_445010!L:R,7,FALSE),VLOOKUP(tables_445010!C246,input_445010!A:H,8,FALSE))</f>
        <v>142500</v>
      </c>
      <c r="P246" s="46">
        <f t="shared" ca="1" si="10"/>
        <v>5.1630434782234573E-3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input_445010!A$2</f>
        <v>445010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IFERROR(VLOOKUP(B247,input_445010!L:R,7,FALSE),VLOOKUP(tables_445010!C247,input_445010!A:H,8,FALSE))</f>
        <v>117634.61538</v>
      </c>
      <c r="P247" s="46">
        <f t="shared" ca="1" si="10"/>
        <v>4.26212374562129E-3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input_445010!A$2</f>
        <v>445010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IFERROR(VLOOKUP(B248,input_445010!L:R,7,FALSE),VLOOKUP(tables_445010!C248,input_445010!A:H,8,FALSE))</f>
        <v>4640.3846199999998</v>
      </c>
      <c r="P248" s="46">
        <f t="shared" ca="1" si="10"/>
        <v>1.6812987753501356E-4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input_445010!A$2</f>
        <v>445010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IFERROR(VLOOKUP(B249,input_445010!L:R,7,FALSE),VLOOKUP(tables_445010!C249,input_445010!A:H,8,FALSE))</f>
        <v>142500</v>
      </c>
      <c r="P249" s="46">
        <f t="shared" ca="1" si="10"/>
        <v>5.1630434782234573E-3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input_445010!A$2</f>
        <v>445010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IFERROR(VLOOKUP(B250,input_445010!L:R,7,FALSE),VLOOKUP(tables_445010!C250,input_445010!A:H,8,FALSE))</f>
        <v>117634.61538</v>
      </c>
      <c r="P250" s="46">
        <f t="shared" ca="1" si="10"/>
        <v>4.26212374562129E-3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input_445010!A$2</f>
        <v>445010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IFERROR(VLOOKUP(B251,input_445010!L:R,7,FALSE),VLOOKUP(tables_445010!C251,input_445010!A:H,8,FALSE))</f>
        <v>4640.3846199999998</v>
      </c>
      <c r="P251" s="46">
        <f t="shared" ca="1" si="10"/>
        <v>1.6812987753501356E-4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input_445010!A$2</f>
        <v>445010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IFERROR(VLOOKUP(B252,input_445010!L:R,7,FALSE),VLOOKUP(tables_445010!C252,input_445010!A:H,8,FALSE))</f>
        <v>142500</v>
      </c>
      <c r="P252" s="46">
        <f t="shared" ca="1" si="10"/>
        <v>5.1630434782234573E-3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input_445010!A$2</f>
        <v>445010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IFERROR(VLOOKUP(B253,input_445010!L:R,7,FALSE),VLOOKUP(tables_445010!C253,input_445010!A:H,8,FALSE))</f>
        <v>117634.61538</v>
      </c>
      <c r="P253" s="46">
        <f t="shared" ca="1" si="10"/>
        <v>4.26212374562129E-3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input_445010!A$2</f>
        <v>445010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IFERROR(VLOOKUP(B254,input_445010!L:R,7,FALSE),VLOOKUP(tables_445010!C254,input_445010!A:H,8,FALSE))</f>
        <v>4640.3846199999998</v>
      </c>
      <c r="P254" s="46">
        <f t="shared" ca="1" si="10"/>
        <v>1.6812987753501356E-4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input_445010!A$2</f>
        <v>445010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IFERROR(VLOOKUP(B255,input_445010!L:R,7,FALSE),VLOOKUP(tables_445010!C255,input_445010!A:H,8,FALSE))</f>
        <v>142500</v>
      </c>
      <c r="P255" s="46">
        <f t="shared" ca="1" si="10"/>
        <v>5.1630434782234573E-3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input_445010!A$2</f>
        <v>445010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IFERROR(VLOOKUP(B256,input_445010!L:R,7,FALSE),VLOOKUP(tables_445010!C256,input_445010!A:H,8,FALSE))</f>
        <v>117634.61538</v>
      </c>
      <c r="P256" s="46">
        <f t="shared" ca="1" si="10"/>
        <v>4.26212374562129E-3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input_445010!A$2</f>
        <v>445010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IFERROR(VLOOKUP(B257,input_445010!L:R,7,FALSE),VLOOKUP(tables_445010!C257,input_445010!A:H,8,FALSE))</f>
        <v>4640.3846199999998</v>
      </c>
      <c r="P257" s="46">
        <f t="shared" ca="1" si="10"/>
        <v>1.6812987753501356E-4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input_445010!A$2</f>
        <v>445010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IFERROR(VLOOKUP(B258,input_445010!L:R,7,FALSE),VLOOKUP(tables_445010!C258,input_445010!A:H,8,FALSE))</f>
        <v>21850</v>
      </c>
      <c r="P258" s="46">
        <f t="shared" ref="P258:P321" ca="1" si="13">O258/SUM(O:O)</f>
        <v>7.9166666666093002E-4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input_445010!A$2</f>
        <v>445010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IFERROR(VLOOKUP(B259,input_445010!L:R,7,FALSE),VLOOKUP(tables_445010!C259,input_445010!A:H,8,FALSE))</f>
        <v>1150</v>
      </c>
      <c r="P259" s="46">
        <f t="shared" ca="1" si="13"/>
        <v>4.1666666666364742E-5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input_445010!A$2</f>
        <v>445010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IFERROR(VLOOKUP(B260,input_445010!L:R,7,FALSE),VLOOKUP(tables_445010!C260,input_445010!A:H,8,FALSE))</f>
        <v>21850</v>
      </c>
      <c r="P260" s="46">
        <f t="shared" ca="1" si="13"/>
        <v>7.9166666666093002E-4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input_445010!A$2</f>
        <v>445010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IFERROR(VLOOKUP(B261,input_445010!L:R,7,FALSE),VLOOKUP(tables_445010!C261,input_445010!A:H,8,FALSE))</f>
        <v>1150</v>
      </c>
      <c r="P261" s="46">
        <f t="shared" ca="1" si="13"/>
        <v>4.1666666666364742E-5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input_445010!A$2</f>
        <v>445010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IFERROR(VLOOKUP(B262,input_445010!L:R,7,FALSE),VLOOKUP(tables_445010!C262,input_445010!A:H,8,FALSE))</f>
        <v>265406.25</v>
      </c>
      <c r="P262" s="46">
        <f t="shared" ca="1" si="13"/>
        <v>9.6161684781911894E-3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input_445010!A$2</f>
        <v>445010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IFERROR(VLOOKUP(B263,input_445010!L:R,7,FALSE),VLOOKUP(tables_445010!C263,input_445010!A:H,8,FALSE))</f>
        <v>14250</v>
      </c>
      <c r="P263" s="46">
        <f t="shared" ca="1" si="13"/>
        <v>5.1630434782234567E-4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input_445010!A$2</f>
        <v>445010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IFERROR(VLOOKUP(B264,input_445010!L:R,7,FALSE),VLOOKUP(tables_445010!C264,input_445010!A:H,8,FALSE))</f>
        <v>265406.25</v>
      </c>
      <c r="P264" s="46">
        <f t="shared" ca="1" si="13"/>
        <v>9.6161684781911894E-3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input_445010!A$2</f>
        <v>445010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IFERROR(VLOOKUP(B265,input_445010!L:R,7,FALSE),VLOOKUP(tables_445010!C265,input_445010!A:H,8,FALSE))</f>
        <v>14250</v>
      </c>
      <c r="P265" s="46">
        <f t="shared" ca="1" si="13"/>
        <v>5.1630434782234567E-4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input_445010!A$2</f>
        <v>445010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IFERROR(VLOOKUP(B266,input_445010!L:R,7,FALSE),VLOOKUP(tables_445010!C266,input_445010!A:H,8,FALSE))</f>
        <v>23000</v>
      </c>
      <c r="P266" s="46">
        <f t="shared" ca="1" si="13"/>
        <v>8.3333333332729481E-4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input_445010!A$2</f>
        <v>445010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IFERROR(VLOOKUP(B267,input_445010!L:R,7,FALSE),VLOOKUP(tables_445010!C267,input_445010!A:H,8,FALSE))</f>
        <v>23000</v>
      </c>
      <c r="P267" s="46">
        <f t="shared" ca="1" si="13"/>
        <v>8.3333333332729481E-4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input_445010!A$2</f>
        <v>445010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IFERROR(VLOOKUP(B268,input_445010!L:R,7,FALSE),VLOOKUP(tables_445010!C268,input_445010!A:H,8,FALSE))</f>
        <v>23000</v>
      </c>
      <c r="P268" s="46">
        <f t="shared" ca="1" si="13"/>
        <v>8.3333333332729481E-4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input_445010!A$2</f>
        <v>445010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IFERROR(VLOOKUP(B269,input_445010!L:R,7,FALSE),VLOOKUP(tables_445010!C269,input_445010!A:H,8,FALSE))</f>
        <v>23000</v>
      </c>
      <c r="P269" s="46">
        <f t="shared" ca="1" si="13"/>
        <v>8.3333333332729481E-4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input_445010!A$2</f>
        <v>445010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IFERROR(VLOOKUP(B270,input_445010!L:R,7,FALSE),VLOOKUP(tables_445010!C270,input_445010!A:H,8,FALSE))</f>
        <v>265406.25</v>
      </c>
      <c r="P270" s="46">
        <f t="shared" ca="1" si="13"/>
        <v>9.6161684781911894E-3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input_445010!A$2</f>
        <v>445010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IFERROR(VLOOKUP(B271,input_445010!L:R,7,FALSE),VLOOKUP(tables_445010!C271,input_445010!A:H,8,FALSE))</f>
        <v>14250</v>
      </c>
      <c r="P271" s="46">
        <f t="shared" ca="1" si="13"/>
        <v>5.1630434782234567E-4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input_445010!A$2</f>
        <v>445010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IFERROR(VLOOKUP(B272,input_445010!L:R,7,FALSE),VLOOKUP(tables_445010!C272,input_445010!A:H,8,FALSE))</f>
        <v>265406.25</v>
      </c>
      <c r="P272" s="46">
        <f t="shared" ca="1" si="13"/>
        <v>9.6161684781911894E-3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input_445010!A$2</f>
        <v>445010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IFERROR(VLOOKUP(B273,input_445010!L:R,7,FALSE),VLOOKUP(tables_445010!C273,input_445010!A:H,8,FALSE))</f>
        <v>14250</v>
      </c>
      <c r="P273" s="46">
        <f t="shared" ca="1" si="13"/>
        <v>5.1630434782234567E-4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input_445010!A$2</f>
        <v>445010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IFERROR(VLOOKUP(B274,input_445010!L:R,7,FALSE),VLOOKUP(tables_445010!C274,input_445010!A:H,8,FALSE))</f>
        <v>21850</v>
      </c>
      <c r="P274" s="46">
        <f t="shared" ca="1" si="13"/>
        <v>7.9166666666093002E-4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input_445010!A$2</f>
        <v>445010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IFERROR(VLOOKUP(B275,input_445010!L:R,7,FALSE),VLOOKUP(tables_445010!C275,input_445010!A:H,8,FALSE))</f>
        <v>1150</v>
      </c>
      <c r="P275" s="46">
        <f t="shared" ca="1" si="13"/>
        <v>4.1666666666364742E-5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input_445010!A$2</f>
        <v>445010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IFERROR(VLOOKUP(B276,input_445010!L:R,7,FALSE),VLOOKUP(tables_445010!C276,input_445010!A:H,8,FALSE))</f>
        <v>21850</v>
      </c>
      <c r="P276" s="46">
        <f t="shared" ca="1" si="13"/>
        <v>7.9166666666093002E-4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input_445010!A$2</f>
        <v>445010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IFERROR(VLOOKUP(B277,input_445010!L:R,7,FALSE),VLOOKUP(tables_445010!C277,input_445010!A:H,8,FALSE))</f>
        <v>1150</v>
      </c>
      <c r="P277" s="46">
        <f t="shared" ca="1" si="13"/>
        <v>4.1666666666364742E-5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input_445010!A$2</f>
        <v>445010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IFERROR(VLOOKUP(B278,input_445010!L:R,7,FALSE),VLOOKUP(tables_445010!C278,input_445010!A:H,8,FALSE))</f>
        <v>142500</v>
      </c>
      <c r="P278" s="46">
        <f t="shared" ca="1" si="13"/>
        <v>5.1630434782234573E-3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input_445010!A$2</f>
        <v>445010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IFERROR(VLOOKUP(B279,input_445010!L:R,7,FALSE),VLOOKUP(tables_445010!C279,input_445010!A:H,8,FALSE))</f>
        <v>117634.61538</v>
      </c>
      <c r="P279" s="46">
        <f t="shared" ca="1" si="13"/>
        <v>4.26212374562129E-3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input_445010!A$2</f>
        <v>445010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IFERROR(VLOOKUP(B280,input_445010!L:R,7,FALSE),VLOOKUP(tables_445010!C280,input_445010!A:H,8,FALSE))</f>
        <v>4640.3846199999998</v>
      </c>
      <c r="P280" s="46">
        <f t="shared" ca="1" si="13"/>
        <v>1.6812987753501356E-4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input_445010!A$2</f>
        <v>445010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IFERROR(VLOOKUP(B281,input_445010!L:R,7,FALSE),VLOOKUP(tables_445010!C281,input_445010!A:H,8,FALSE))</f>
        <v>142500</v>
      </c>
      <c r="P281" s="46">
        <f t="shared" ca="1" si="13"/>
        <v>5.1630434782234573E-3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input_445010!A$2</f>
        <v>445010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IFERROR(VLOOKUP(B282,input_445010!L:R,7,FALSE),VLOOKUP(tables_445010!C282,input_445010!A:H,8,FALSE))</f>
        <v>117634.61538</v>
      </c>
      <c r="P282" s="46">
        <f t="shared" ca="1" si="13"/>
        <v>4.26212374562129E-3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input_445010!A$2</f>
        <v>445010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IFERROR(VLOOKUP(B283,input_445010!L:R,7,FALSE),VLOOKUP(tables_445010!C283,input_445010!A:H,8,FALSE))</f>
        <v>4640.3846199999998</v>
      </c>
      <c r="P283" s="46">
        <f t="shared" ca="1" si="13"/>
        <v>1.6812987753501356E-4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input_445010!A$2</f>
        <v>445010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IFERROR(VLOOKUP(B284,input_445010!L:R,7,FALSE),VLOOKUP(tables_445010!C284,input_445010!A:H,8,FALSE))</f>
        <v>23000</v>
      </c>
      <c r="P284" s="46">
        <f t="shared" ca="1" si="13"/>
        <v>8.3333333332729481E-4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input_445010!A$2</f>
        <v>445010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IFERROR(VLOOKUP(B285,input_445010!L:R,7,FALSE),VLOOKUP(tables_445010!C285,input_445010!A:H,8,FALSE))</f>
        <v>23000</v>
      </c>
      <c r="P285" s="46">
        <f t="shared" ca="1" si="13"/>
        <v>8.3333333332729481E-4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input_445010!A$2</f>
        <v>445010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IFERROR(VLOOKUP(B286,input_445010!L:R,7,FALSE),VLOOKUP(tables_445010!C286,input_445010!A:H,8,FALSE))</f>
        <v>265406.25</v>
      </c>
      <c r="P286" s="46">
        <f t="shared" ca="1" si="13"/>
        <v>9.6161684781911894E-3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input_445010!A$2</f>
        <v>445010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IFERROR(VLOOKUP(B287,input_445010!L:R,7,FALSE),VLOOKUP(tables_445010!C287,input_445010!A:H,8,FALSE))</f>
        <v>14250</v>
      </c>
      <c r="P287" s="46">
        <f t="shared" ca="1" si="13"/>
        <v>5.1630434782234567E-4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input_445010!A$2</f>
        <v>445010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IFERROR(VLOOKUP(B288,input_445010!L:R,7,FALSE),VLOOKUP(tables_445010!C288,input_445010!A:H,8,FALSE))</f>
        <v>265406.25</v>
      </c>
      <c r="P288" s="46">
        <f t="shared" ca="1" si="13"/>
        <v>9.6161684781911894E-3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input_445010!A$2</f>
        <v>445010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IFERROR(VLOOKUP(B289,input_445010!L:R,7,FALSE),VLOOKUP(tables_445010!C289,input_445010!A:H,8,FALSE))</f>
        <v>14250</v>
      </c>
      <c r="P289" s="46">
        <f t="shared" ca="1" si="13"/>
        <v>5.1630434782234567E-4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input_445010!A$2</f>
        <v>445010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IFERROR(VLOOKUP(B290,input_445010!L:R,7,FALSE),VLOOKUP(tables_445010!C290,input_445010!A:H,8,FALSE))</f>
        <v>265406.25</v>
      </c>
      <c r="P290" s="46">
        <f t="shared" ca="1" si="13"/>
        <v>9.6161684781911894E-3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input_445010!A$2</f>
        <v>445010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IFERROR(VLOOKUP(B291,input_445010!L:R,7,FALSE),VLOOKUP(tables_445010!C291,input_445010!A:H,8,FALSE))</f>
        <v>14250</v>
      </c>
      <c r="P291" s="46">
        <f t="shared" ca="1" si="13"/>
        <v>5.1630434782234567E-4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input_445010!A$2</f>
        <v>445010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IFERROR(VLOOKUP(B292,input_445010!L:R,7,FALSE),VLOOKUP(tables_445010!C292,input_445010!A:H,8,FALSE))</f>
        <v>265406.25</v>
      </c>
      <c r="P292" s="46">
        <f t="shared" ca="1" si="13"/>
        <v>9.6161684781911894E-3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input_445010!A$2</f>
        <v>445010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IFERROR(VLOOKUP(B293,input_445010!L:R,7,FALSE),VLOOKUP(tables_445010!C293,input_445010!A:H,8,FALSE))</f>
        <v>14250</v>
      </c>
      <c r="P293" s="46">
        <f t="shared" ca="1" si="13"/>
        <v>5.1630434782234567E-4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input_445010!A$2</f>
        <v>445010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IFERROR(VLOOKUP(B294,input_445010!L:R,7,FALSE),VLOOKUP(tables_445010!C294,input_445010!A:H,8,FALSE))</f>
        <v>23000</v>
      </c>
      <c r="P294" s="46">
        <f t="shared" ca="1" si="13"/>
        <v>8.3333333332729481E-4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input_445010!A$2</f>
        <v>445010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IFERROR(VLOOKUP(B295,input_445010!L:R,7,FALSE),VLOOKUP(tables_445010!C295,input_445010!A:H,8,FALSE))</f>
        <v>23000</v>
      </c>
      <c r="P295" s="46">
        <f t="shared" ca="1" si="13"/>
        <v>8.3333333332729481E-4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input_445010!A$2</f>
        <v>445010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IFERROR(VLOOKUP(B296,input_445010!L:R,7,FALSE),VLOOKUP(tables_445010!C296,input_445010!A:H,8,FALSE))</f>
        <v>23000</v>
      </c>
      <c r="P296" s="46">
        <f t="shared" ca="1" si="13"/>
        <v>8.3333333332729481E-4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input_445010!A$2</f>
        <v>445010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IFERROR(VLOOKUP(B297,input_445010!L:R,7,FALSE),VLOOKUP(tables_445010!C297,input_445010!A:H,8,FALSE))</f>
        <v>265406.25</v>
      </c>
      <c r="P297" s="46">
        <f t="shared" ca="1" si="13"/>
        <v>9.6161684781911894E-3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input_445010!A$2</f>
        <v>445010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IFERROR(VLOOKUP(B298,input_445010!L:R,7,FALSE),VLOOKUP(tables_445010!C298,input_445010!A:H,8,FALSE))</f>
        <v>14250</v>
      </c>
      <c r="P298" s="46">
        <f t="shared" ca="1" si="13"/>
        <v>5.1630434782234567E-4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input_445010!A$2</f>
        <v>445010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IFERROR(VLOOKUP(B299,input_445010!L:R,7,FALSE),VLOOKUP(tables_445010!C299,input_445010!A:H,8,FALSE))</f>
        <v>23000</v>
      </c>
      <c r="P299" s="46">
        <f t="shared" ca="1" si="13"/>
        <v>8.3333333332729481E-4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input_445010!A$2</f>
        <v>445010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IFERROR(VLOOKUP(B300,input_445010!L:R,7,FALSE),VLOOKUP(tables_445010!C300,input_445010!A:H,8,FALSE))</f>
        <v>23000</v>
      </c>
      <c r="P300" s="46">
        <f t="shared" ca="1" si="13"/>
        <v>8.3333333332729481E-4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input_445010!A$2</f>
        <v>445010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IFERROR(VLOOKUP(B301,input_445010!L:R,7,FALSE),VLOOKUP(tables_445010!C301,input_445010!A:H,8,FALSE))</f>
        <v>23000</v>
      </c>
      <c r="P301" s="46">
        <f t="shared" ca="1" si="13"/>
        <v>8.3333333332729481E-4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input_445010!A$2</f>
        <v>445010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IFERROR(VLOOKUP(B302,input_445010!L:R,7,FALSE),VLOOKUP(tables_445010!C302,input_445010!A:H,8,FALSE))</f>
        <v>23000</v>
      </c>
      <c r="P302" s="46">
        <f t="shared" ca="1" si="13"/>
        <v>8.3333333332729481E-4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input_445010!A$2</f>
        <v>445010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IFERROR(VLOOKUP(B303,input_445010!L:R,7,FALSE),VLOOKUP(tables_445010!C303,input_445010!A:H,8,FALSE))</f>
        <v>265406.25</v>
      </c>
      <c r="P303" s="46">
        <f t="shared" ca="1" si="13"/>
        <v>9.6161684781911894E-3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input_445010!A$2</f>
        <v>445010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IFERROR(VLOOKUP(B304,input_445010!L:R,7,FALSE),VLOOKUP(tables_445010!C304,input_445010!A:H,8,FALSE))</f>
        <v>14250</v>
      </c>
      <c r="P304" s="46">
        <f t="shared" ca="1" si="13"/>
        <v>5.1630434782234567E-4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input_445010!A$2</f>
        <v>445010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IFERROR(VLOOKUP(B305,input_445010!L:R,7,FALSE),VLOOKUP(tables_445010!C305,input_445010!A:H,8,FALSE))</f>
        <v>23000</v>
      </c>
      <c r="P305" s="46">
        <f t="shared" ca="1" si="13"/>
        <v>8.3333333332729481E-4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input_445010!A$2</f>
        <v>445010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IFERROR(VLOOKUP(B306,input_445010!L:R,7,FALSE),VLOOKUP(tables_445010!C306,input_445010!A:H,8,FALSE))</f>
        <v>265406.25</v>
      </c>
      <c r="P306" s="46">
        <f t="shared" ca="1" si="13"/>
        <v>9.6161684781911894E-3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input_445010!A$2</f>
        <v>445010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IFERROR(VLOOKUP(B307,input_445010!L:R,7,FALSE),VLOOKUP(tables_445010!C307,input_445010!A:H,8,FALSE))</f>
        <v>14250</v>
      </c>
      <c r="P307" s="46">
        <f t="shared" ca="1" si="13"/>
        <v>5.1630434782234567E-4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input_445010!A$2</f>
        <v>445010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IFERROR(VLOOKUP(B308,input_445010!L:R,7,FALSE),VLOOKUP(tables_445010!C308,input_445010!A:H,8,FALSE))</f>
        <v>23000</v>
      </c>
      <c r="P308" s="46">
        <f t="shared" ca="1" si="13"/>
        <v>8.3333333332729481E-4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input_445010!A$2</f>
        <v>445010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IFERROR(VLOOKUP(B309,input_445010!L:R,7,FALSE),VLOOKUP(tables_445010!C309,input_445010!A:H,8,FALSE))</f>
        <v>23000</v>
      </c>
      <c r="P309" s="46">
        <f t="shared" ca="1" si="13"/>
        <v>8.3333333332729481E-4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input_445010!A$2</f>
        <v>445010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IFERROR(VLOOKUP(B310,input_445010!L:R,7,FALSE),VLOOKUP(tables_445010!C310,input_445010!A:H,8,FALSE))</f>
        <v>23000</v>
      </c>
      <c r="P310" s="46">
        <f t="shared" ca="1" si="13"/>
        <v>8.3333333332729481E-4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input_445010!A$2</f>
        <v>445010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IFERROR(VLOOKUP(B311,input_445010!L:R,7,FALSE),VLOOKUP(tables_445010!C311,input_445010!A:H,8,FALSE))</f>
        <v>265406.25</v>
      </c>
      <c r="P311" s="46">
        <f t="shared" ca="1" si="13"/>
        <v>9.6161684781911894E-3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input_445010!A$2</f>
        <v>445010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IFERROR(VLOOKUP(B312,input_445010!L:R,7,FALSE),VLOOKUP(tables_445010!C312,input_445010!A:H,8,FALSE))</f>
        <v>14250</v>
      </c>
      <c r="P312" s="46">
        <f t="shared" ca="1" si="13"/>
        <v>5.1630434782234567E-4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input_445010!A$2</f>
        <v>445010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IFERROR(VLOOKUP(B313,input_445010!L:R,7,FALSE),VLOOKUP(tables_445010!C313,input_445010!A:H,8,FALSE))</f>
        <v>23000</v>
      </c>
      <c r="P313" s="46">
        <f t="shared" ca="1" si="13"/>
        <v>8.3333333332729481E-4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input_445010!A$2</f>
        <v>445010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IFERROR(VLOOKUP(B314,input_445010!L:R,7,FALSE),VLOOKUP(tables_445010!C314,input_445010!A:H,8,FALSE))</f>
        <v>23000</v>
      </c>
      <c r="P314" s="46">
        <f t="shared" ca="1" si="13"/>
        <v>8.3333333332729481E-4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input_445010!A$2</f>
        <v>445010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IFERROR(VLOOKUP(B315,input_445010!L:R,7,FALSE),VLOOKUP(tables_445010!C315,input_445010!A:H,8,FALSE))</f>
        <v>23000</v>
      </c>
      <c r="P315" s="46">
        <f t="shared" ca="1" si="13"/>
        <v>8.3333333332729481E-4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input_445010!A$2</f>
        <v>445010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IFERROR(VLOOKUP(B316,input_445010!L:R,7,FALSE),VLOOKUP(tables_445010!C316,input_445010!A:H,8,FALSE))</f>
        <v>23000</v>
      </c>
      <c r="P316" s="46">
        <f t="shared" ca="1" si="13"/>
        <v>8.3333333332729481E-4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input_445010!A$2</f>
        <v>445010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IFERROR(VLOOKUP(B317,input_445010!L:R,7,FALSE),VLOOKUP(tables_445010!C317,input_445010!A:H,8,FALSE))</f>
        <v>23000</v>
      </c>
      <c r="P317" s="46">
        <f t="shared" ca="1" si="13"/>
        <v>8.3333333332729481E-4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input_445010!A$2</f>
        <v>445010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IFERROR(VLOOKUP(B318,input_445010!L:R,7,FALSE),VLOOKUP(tables_445010!C318,input_445010!A:H,8,FALSE))</f>
        <v>265406.25</v>
      </c>
      <c r="P318" s="46">
        <f t="shared" ca="1" si="13"/>
        <v>9.6161684781911894E-3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input_445010!A$2</f>
        <v>445010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IFERROR(VLOOKUP(B319,input_445010!L:R,7,FALSE),VLOOKUP(tables_445010!C319,input_445010!A:H,8,FALSE))</f>
        <v>14250</v>
      </c>
      <c r="P319" s="46">
        <f t="shared" ca="1" si="13"/>
        <v>5.1630434782234567E-4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input_445010!A$2</f>
        <v>445010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IFERROR(VLOOKUP(B320,input_445010!L:R,7,FALSE),VLOOKUP(tables_445010!C320,input_445010!A:H,8,FALSE))</f>
        <v>23000</v>
      </c>
      <c r="P320" s="46">
        <f t="shared" ca="1" si="13"/>
        <v>8.3333333332729481E-4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input_445010!A$2</f>
        <v>445010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IFERROR(VLOOKUP(B321,input_445010!L:R,7,FALSE),VLOOKUP(tables_445010!C321,input_445010!A:H,8,FALSE))</f>
        <v>23000</v>
      </c>
      <c r="P321" s="46">
        <f t="shared" ca="1" si="13"/>
        <v>8.3333333332729481E-4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input_445010!A$2</f>
        <v>445010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IFERROR(VLOOKUP(B322,input_445010!L:R,7,FALSE),VLOOKUP(tables_445010!C322,input_445010!A:H,8,FALSE))</f>
        <v>23000</v>
      </c>
      <c r="P322" s="46">
        <f t="shared" ref="P322:P330" ca="1" si="23">O322/SUM(O:O)</f>
        <v>8.3333333332729481E-4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input_445010!A$2</f>
        <v>445010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IFERROR(VLOOKUP(B323,input_445010!L:R,7,FALSE),VLOOKUP(tables_445010!C323,input_445010!A:H,8,FALSE))</f>
        <v>23000</v>
      </c>
      <c r="P323" s="46">
        <f t="shared" ca="1" si="23"/>
        <v>8.3333333332729481E-4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input_445010!A$2</f>
        <v>445010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IFERROR(VLOOKUP(B324,input_445010!L:R,7,FALSE),VLOOKUP(tables_445010!C324,input_445010!A:H,8,FALSE))</f>
        <v>265406.25</v>
      </c>
      <c r="P324" s="46">
        <f t="shared" ca="1" si="23"/>
        <v>9.6161684781911894E-3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input_445010!A$2</f>
        <v>445010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IFERROR(VLOOKUP(B325,input_445010!L:R,7,FALSE),VLOOKUP(tables_445010!C325,input_445010!A:H,8,FALSE))</f>
        <v>14250</v>
      </c>
      <c r="P325" s="46">
        <f t="shared" ca="1" si="23"/>
        <v>5.1630434782234567E-4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input_445010!A$2</f>
        <v>445010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IFERROR(VLOOKUP(B326,input_445010!L:R,7,FALSE),VLOOKUP(tables_445010!C326,input_445010!A:H,8,FALSE))</f>
        <v>265406.25</v>
      </c>
      <c r="P326" s="46">
        <f t="shared" ca="1" si="23"/>
        <v>9.6161684781911894E-3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input_445010!A$2</f>
        <v>445010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IFERROR(VLOOKUP(B327,input_445010!L:R,7,FALSE),VLOOKUP(tables_445010!C327,input_445010!A:H,8,FALSE))</f>
        <v>14250</v>
      </c>
      <c r="P327" s="46">
        <f t="shared" ca="1" si="23"/>
        <v>5.1630434782234567E-4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input_445010!A$2</f>
        <v>445010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IFERROR(VLOOKUP(B328,input_445010!L:R,7,FALSE),VLOOKUP(tables_445010!C328,input_445010!A:H,8,FALSE))</f>
        <v>23000</v>
      </c>
      <c r="P328" s="46">
        <f t="shared" ca="1" si="23"/>
        <v>8.3333333332729481E-4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input_445010!A$2</f>
        <v>445010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IFERROR(VLOOKUP(B329,input_445010!L:R,7,FALSE),VLOOKUP(tables_445010!C329,input_445010!A:H,8,FALSE))</f>
        <v>23000</v>
      </c>
      <c r="P329" s="46">
        <f t="shared" ca="1" si="23"/>
        <v>8.3333333332729481E-4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input_445010!A$2</f>
        <v>445010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IFERROR(VLOOKUP(B330,input_445010!L:R,7,FALSE),VLOOKUP(tables_445010!C330,input_445010!A:H,8,FALSE))</f>
        <v>23000</v>
      </c>
      <c r="P330" s="46">
        <f t="shared" ca="1" si="23"/>
        <v>8.3333333332729481E-4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input_445010!A$2</f>
        <v>445010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IFERROR(VLOOKUP(B331,input_445010!L:R,7,FALSE),VLOOKUP(tables_445010!C331,input_445010!A:H,8,FALSE))</f>
        <v>23000</v>
      </c>
      <c r="P331" s="46">
        <f t="shared" ref="P331:P335" ca="1" si="28">O331/SUM(O:O)</f>
        <v>8.3333333332729481E-4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input_445010!A$2</f>
        <v>445010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IFERROR(VLOOKUP(B332,input_445010!L:R,7,FALSE),VLOOKUP(tables_445010!C332,input_445010!A:H,8,FALSE))</f>
        <v>23000</v>
      </c>
      <c r="P332" s="46">
        <f t="shared" ca="1" si="28"/>
        <v>8.3333333332729481E-4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input_445010!A$2</f>
        <v>445010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IFERROR(VLOOKUP(B333,input_445010!L:R,7,FALSE),VLOOKUP(tables_445010!C333,input_445010!A:H,8,FALSE))</f>
        <v>23000</v>
      </c>
      <c r="P333" s="46">
        <f t="shared" ca="1" si="28"/>
        <v>8.3333333332729481E-4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input_445010!A$2</f>
        <v>445010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IFERROR(VLOOKUP(B334,input_445010!L:R,7,FALSE),VLOOKUP(tables_445010!C334,input_445010!A:H,8,FALSE))</f>
        <v>265406.25</v>
      </c>
      <c r="P334" s="46">
        <f t="shared" ca="1" si="28"/>
        <v>9.6161684781911894E-3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input_445010!A$2</f>
        <v>445010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IFERROR(VLOOKUP(B335,input_445010!L:R,7,FALSE),VLOOKUP(tables_445010!C335,input_445010!A:H,8,FALSE))</f>
        <v>14250</v>
      </c>
      <c r="P335" s="46">
        <f t="shared" ca="1" si="28"/>
        <v>5.1630434782234567E-4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35" sqref="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8.3333333333333339E-4</v>
      </c>
      <c r="F5">
        <f>(COUNTIF(tables_445100!C:C,input_445100!A28)+COUNTIF(tables_445100!C:C,input_445100!A29))</f>
        <v>60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1.0326086956521738E-2</v>
      </c>
      <c r="F6">
        <f>(COUNTIF(tables_445100!C:C,input_445100!A25)+COUNTIF(tables_445100!C:C,input_445100!A18)+COUNTIF(tables_445100!C:C,input_445100!A20)+COUNTIF(tables_445100!C:C,input_445100!A22))</f>
        <v>92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COUNTIF(tables_445100!C:C,input_445100!A17)-COUNTIF(Q:Q,A17)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0.24462681160289831</v>
      </c>
      <c r="C18" s="85">
        <f t="shared" si="2"/>
        <v>0</v>
      </c>
      <c r="D18" s="74">
        <f t="shared" si="3"/>
        <v>0.24462681160289831</v>
      </c>
      <c r="E18">
        <f>COUNTIF(tables_445100!C:C,input_445100!A18)-COUNTIF(Q:Q,A18)</f>
        <v>20</v>
      </c>
      <c r="F18" s="43">
        <f>IFERROR(B18/E18,0)</f>
        <v>1.2231340580144915E-2</v>
      </c>
      <c r="G18">
        <f t="shared" si="4"/>
        <v>6751700.0002399934</v>
      </c>
      <c r="H18">
        <f t="shared" si="5"/>
        <v>337585.00001000002</v>
      </c>
      <c r="I18">
        <f t="shared" si="6"/>
        <v>1.0000017937272787E-5</v>
      </c>
      <c r="J18">
        <f t="shared" si="7"/>
        <v>99999.820627593872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COUNTIF(tables_445100!C:C,input_445100!A19)-COUNTIF(Q:Q,A19)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0.49010869565217385</v>
      </c>
      <c r="C20" s="85">
        <f t="shared" si="2"/>
        <v>0</v>
      </c>
      <c r="D20" s="74">
        <f t="shared" si="3"/>
        <v>0.49010869565217385</v>
      </c>
      <c r="E20">
        <f>COUNTIF(tables_445100!C:C,input_445100!A20)-COUNTIF(Q:Q,A20)</f>
        <v>52</v>
      </c>
      <c r="F20" s="43">
        <f t="shared" si="8"/>
        <v>9.4251672240802664E-3</v>
      </c>
      <c r="G20">
        <f t="shared" si="4"/>
        <v>13526999.999999998</v>
      </c>
      <c r="H20">
        <f t="shared" si="5"/>
        <v>260134.61538</v>
      </c>
      <c r="I20">
        <f t="shared" si="6"/>
        <v>0.61538000000291504</v>
      </c>
      <c r="J20">
        <f t="shared" si="7"/>
        <v>1.6250121875837094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8.7427536231884061E-3</v>
      </c>
      <c r="C21" s="85">
        <f t="shared" si="2"/>
        <v>0</v>
      </c>
      <c r="D21" s="74">
        <f t="shared" si="3"/>
        <v>8.7427536231884061E-3</v>
      </c>
      <c r="E21">
        <f>COUNTIF(tables_445100!C:C,input_445100!A21)-COUNTIF(Q:Q,A21)</f>
        <v>52</v>
      </c>
      <c r="F21" s="43">
        <f t="shared" si="8"/>
        <v>1.6812987736900781E-4</v>
      </c>
      <c r="G21">
        <f t="shared" si="4"/>
        <v>241300</v>
      </c>
      <c r="H21">
        <f t="shared" si="5"/>
        <v>4640.3846199999998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0.15385869565217392</v>
      </c>
      <c r="C22" s="85">
        <f t="shared" si="2"/>
        <v>0</v>
      </c>
      <c r="D22" s="74">
        <f t="shared" si="3"/>
        <v>0.15385869565217392</v>
      </c>
      <c r="E22">
        <f>COUNTIF(tables_445100!C:C,input_445100!A22)-COUNTIF(Q:Q,A22)</f>
        <v>16</v>
      </c>
      <c r="F22" s="43">
        <f t="shared" si="8"/>
        <v>9.6161684782608697E-3</v>
      </c>
      <c r="G22">
        <f t="shared" si="4"/>
        <v>4246500</v>
      </c>
      <c r="H22">
        <f t="shared" si="5"/>
        <v>265406.25</v>
      </c>
      <c r="I22">
        <f t="shared" si="6"/>
        <v>0.25</v>
      </c>
      <c r="J22">
        <f t="shared" si="7"/>
        <v>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1.1358695652173914E-2</v>
      </c>
      <c r="C23" s="85">
        <f t="shared" si="2"/>
        <v>0</v>
      </c>
      <c r="D23" s="74">
        <f t="shared" si="3"/>
        <v>1.1358695652173914E-2</v>
      </c>
      <c r="E23">
        <f>COUNTIF(tables_445100!C:C,input_445100!A23)-COUNTIF(Q:Q,A23)</f>
        <v>22</v>
      </c>
      <c r="F23" s="43">
        <f t="shared" si="8"/>
        <v>5.1630434782608703E-4</v>
      </c>
      <c r="G23">
        <f t="shared" si="4"/>
        <v>313500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COUNTIF(tables_445100!C:C,input_445100!A24)-COUNTIF(Q:Q,A24)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COUNTIF(tables_445100!C:C,input_445100!A25)-COUNTIF(Q:Q,A25)</f>
        <v>4</v>
      </c>
      <c r="F25" s="43">
        <f t="shared" si="8"/>
        <v>9.8097826086956507E-3</v>
      </c>
      <c r="G25">
        <f t="shared" si="4"/>
        <v>1082999.9999999998</v>
      </c>
      <c r="H25">
        <f t="shared" si="5"/>
        <v>270750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COUNTIF(tables_445100!C:C,input_445100!A26)-COUNTIF(Q:Q,A26)</f>
        <v>4</v>
      </c>
      <c r="F26" s="43">
        <f t="shared" si="8"/>
        <v>5.1630434782608692E-4</v>
      </c>
      <c r="G26">
        <f t="shared" si="4"/>
        <v>57000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2.2166666666666668E-2</v>
      </c>
      <c r="C27" s="85">
        <f t="shared" si="2"/>
        <v>0</v>
      </c>
      <c r="D27" s="74">
        <f t="shared" si="3"/>
        <v>2.2166666666666668E-2</v>
      </c>
      <c r="E27">
        <f>COUNTIF(tables_445100!C:C,input_445100!A27)-COUNTIF(Q:Q,A27)</f>
        <v>28</v>
      </c>
      <c r="F27" s="43">
        <f>IFERROR(B27/E27,0)</f>
        <v>7.9166666666666676E-4</v>
      </c>
      <c r="G27">
        <f t="shared" si="4"/>
        <v>611800</v>
      </c>
      <c r="H27">
        <f t="shared" si="5"/>
        <v>21850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1.1666666666666668E-3</v>
      </c>
      <c r="C28" s="85">
        <f t="shared" si="2"/>
        <v>0</v>
      </c>
      <c r="D28" s="74">
        <f t="shared" si="3"/>
        <v>1.1666666666666668E-3</v>
      </c>
      <c r="E28">
        <f>COUNTIF(tables_445100!C:C,input_445100!A28)-COUNTIF(Q:Q,A28)</f>
        <v>28</v>
      </c>
      <c r="F28" s="43">
        <f t="shared" si="8"/>
        <v>4.1666666666666672E-5</v>
      </c>
      <c r="G28">
        <f t="shared" si="4"/>
        <v>32200.000000000004</v>
      </c>
      <c r="H28">
        <f t="shared" si="5"/>
        <v>1150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2.6666666666666668E-2</v>
      </c>
      <c r="C29" s="85">
        <f t="shared" si="2"/>
        <v>0</v>
      </c>
      <c r="D29" s="74">
        <f t="shared" si="3"/>
        <v>2.6666666666666668E-2</v>
      </c>
      <c r="E29">
        <f>COUNTIF(tables_445100!C:C,input_445100!A29)-COUNTIF(Q:Q,A29)</f>
        <v>32</v>
      </c>
      <c r="F29" s="43">
        <f t="shared" si="8"/>
        <v>8.3333333333333339E-4</v>
      </c>
      <c r="G29">
        <f t="shared" si="4"/>
        <v>736000</v>
      </c>
      <c r="H29">
        <f t="shared" si="5"/>
        <v>23000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COUNTIF(tables_445100!C:C,input_445100!A30)-COUNTIF(Q:Q,A30)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COUNTIF(tables_445100!C:C,input_445100!A31)-COUNTIF(Q:Q,A31)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1.0000000000086955</v>
      </c>
      <c r="C32" s="41">
        <f>SUM(C19:C31)</f>
        <v>0</v>
      </c>
      <c r="D32" s="42">
        <f t="shared" si="3"/>
        <v>1.0000000000086955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1.8105072472463568E-2</v>
      </c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27600000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SUMIF(tables_445100!C:C,input_445100!A40,tables_445100!O:O)</f>
        <v>0</v>
      </c>
      <c r="C40" s="54">
        <f t="shared" ref="C40:C46" ca="1" si="9">B40/B$47</f>
        <v>0</v>
      </c>
      <c r="E40">
        <v>3</v>
      </c>
      <c r="F40">
        <f ca="1">SUMIF(tables_445100!J:J,input_445100!E40,tables_445100!O:O)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SUMIF(tables_445100!C:C,input_445100!A41,tables_445100!O:O)</f>
        <v>13526999.999760009</v>
      </c>
      <c r="C41" s="54">
        <f t="shared" ca="1" si="9"/>
        <v>0.93857330195458055</v>
      </c>
      <c r="E41">
        <v>4</v>
      </c>
      <c r="F41">
        <f ca="1">SUMIF(tables_445100!J:J,input_445100!E41,tables_445100!O:O)</f>
        <v>26219999.999960013</v>
      </c>
      <c r="G41">
        <f ca="1">F41/A36</f>
        <v>0.94999999999855123</v>
      </c>
    </row>
    <row r="42" spans="1:7" x14ac:dyDescent="0.15">
      <c r="A42" s="33" t="s">
        <v>106</v>
      </c>
      <c r="B42">
        <f ca="1">SUMIF(tables_445100!C:C,input_445100!A42,tables_445100!O:O)</f>
        <v>611800</v>
      </c>
      <c r="C42" s="54">
        <f t="shared" ca="1" si="9"/>
        <v>4.2449851862645077E-2</v>
      </c>
      <c r="E42">
        <v>5</v>
      </c>
      <c r="F42">
        <f ca="1">SUMIF(tables_445100!J:J,input_445100!E42,tables_445100!O:O)</f>
        <v>1380000.0002400002</v>
      </c>
      <c r="G42">
        <f ca="1">F42/A36</f>
        <v>5.0000000008695658E-2</v>
      </c>
    </row>
    <row r="43" spans="1:7" x14ac:dyDescent="0.15">
      <c r="A43" s="33" t="s">
        <v>109</v>
      </c>
      <c r="B43">
        <f>SUMIF(tables_445100!C:C,input_445100!A43,tables_445100!O:O)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SUMIF(tables_445100!C:C,input_445100!A44,tables_445100!O:O)</f>
        <v>241300.00023999988</v>
      </c>
      <c r="C44" s="54">
        <f t="shared" ca="1" si="9"/>
        <v>1.6742643453161517E-2</v>
      </c>
      <c r="E44" t="s">
        <v>54</v>
      </c>
      <c r="F44" s="55"/>
    </row>
    <row r="45" spans="1:7" x14ac:dyDescent="0.15">
      <c r="A45" s="33" t="s">
        <v>107</v>
      </c>
      <c r="B45">
        <f ca="1">SUMIF(tables_445100!C:C,input_445100!A45,tables_445100!O:O)</f>
        <v>32200</v>
      </c>
      <c r="C45" s="54">
        <f t="shared" ca="1" si="9"/>
        <v>2.2342027296128985E-3</v>
      </c>
      <c r="E45" t="s">
        <v>204</v>
      </c>
      <c r="F45" s="55">
        <f ca="1">SUMIF(tables_445100!I:I,input_445100!E45,tables_445100!P:P)</f>
        <v>0.24772463768661088</v>
      </c>
    </row>
    <row r="46" spans="1:7" x14ac:dyDescent="0.15">
      <c r="A46" s="33" t="s">
        <v>108</v>
      </c>
      <c r="B46">
        <f>SUMIF(tables_445100!C:C,input_445100!A46,tables_445100!O:O)</f>
        <v>0</v>
      </c>
      <c r="C46" s="54">
        <f t="shared" ca="1" si="9"/>
        <v>0</v>
      </c>
      <c r="E46" t="s">
        <v>205</v>
      </c>
      <c r="F46" s="55">
        <f ca="1">SUMIF(tables_445100!I:I,input_445100!E46,tables_445100!P:P)</f>
        <v>0.19406431159279658</v>
      </c>
    </row>
    <row r="47" spans="1:7" x14ac:dyDescent="0.15">
      <c r="A47" s="39" t="s">
        <v>59</v>
      </c>
      <c r="B47">
        <f ca="1">SUM(B40:B46)</f>
        <v>14412300.000000009</v>
      </c>
      <c r="C47" s="55">
        <f ca="1">SUM(C40:C46)</f>
        <v>1</v>
      </c>
      <c r="E47" t="s">
        <v>206</v>
      </c>
      <c r="F47" s="55">
        <f ca="1">SUMIF(tables_445100!I:I,input_445100!E47,tables_445100!P:P)</f>
        <v>0.50821105072095463</v>
      </c>
    </row>
    <row r="48" spans="1:7" x14ac:dyDescent="0.15">
      <c r="E48" t="s">
        <v>207</v>
      </c>
      <c r="F48" s="55">
        <f ca="1">SUMIF(tables_445100!I:I,input_445100!E48,tables_445100!P:P)</f>
        <v>4.5833333333001221E-2</v>
      </c>
    </row>
    <row r="49" spans="5:6" x14ac:dyDescent="0.15">
      <c r="E49" t="s">
        <v>252</v>
      </c>
      <c r="F49" s="55">
        <f ca="1">SUMIF(tables_445100!I:I,input_445100!E49,tables_445100!P:P)</f>
        <v>4.1666666666364737E-3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5"/>
  <sheetViews>
    <sheetView showGridLines="0" tabSelected="1" zoomScale="75" zoomScaleNormal="75" zoomScalePageLayoutView="75" workbookViewId="0">
      <pane ySplit="1" topLeftCell="A287" activePane="bottomLeft" state="frozen"/>
      <selection activeCell="D34" sqref="D34"/>
      <selection pane="bottomLeft" activeCell="Q2" sqref="Q2:Q33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input_445100!A$2</f>
        <v>445100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IFERROR(VLOOKUP(B2,input_445100!L:R,7,FALSE),VLOOKUP(tables_445100!C2,input_445100!A:H,8,FALSE))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input_445100!A$2</f>
        <v>445100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IFERROR(VLOOKUP(B3,input_445100!L:R,7,FALSE),VLOOKUP(tables_445100!C3,input_445100!A:H,8,FALSE))</f>
        <v>337585.00001000002</v>
      </c>
      <c r="P3" s="46">
        <f t="shared" ca="1" si="1"/>
        <v>1.2231340579983834E-2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input_445100!A$2</f>
        <v>445100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IFERROR(VLOOKUP(B4,input_445100!L:R,7,FALSE),VLOOKUP(tables_445100!C4,input_445100!A:H,8,FALSE))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input_445100!A$2</f>
        <v>445100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IFERROR(VLOOKUP(B5,input_445100!L:R,7,FALSE),VLOOKUP(tables_445100!C5,input_445100!A:H,8,FALSE))</f>
        <v>337585.00001000002</v>
      </c>
      <c r="P5" s="46">
        <f t="shared" ca="1" si="1"/>
        <v>1.2231340579983834E-2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input_445100!A$2</f>
        <v>445100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IFERROR(VLOOKUP(B6,input_445100!L:R,7,FALSE),VLOOKUP(tables_445100!C6,input_445100!A:H,8,FALSE))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input_445100!A$2</f>
        <v>445100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IFERROR(VLOOKUP(B7,input_445100!L:R,7,FALSE),VLOOKUP(tables_445100!C7,input_445100!A:H,8,FALSE))</f>
        <v>337585.00001000002</v>
      </c>
      <c r="P7" s="46">
        <f t="shared" ca="1" si="1"/>
        <v>1.2231340579983834E-2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input_445100!A$2</f>
        <v>445100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IFERROR(VLOOKUP(B8,input_445100!L:R,7,FALSE),VLOOKUP(tables_445100!C8,input_445100!A:H,8,FALSE))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input_445100!A$2</f>
        <v>445100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IFERROR(VLOOKUP(B9,input_445100!L:R,7,FALSE),VLOOKUP(tables_445100!C9,input_445100!A:H,8,FALSE))</f>
        <v>337585.00001000002</v>
      </c>
      <c r="P9" s="46">
        <f t="shared" ca="1" si="1"/>
        <v>1.2231340579983834E-2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input_445100!A$2</f>
        <v>445100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IFERROR(VLOOKUP(B10,input_445100!L:R,7,FALSE),VLOOKUP(tables_445100!C10,input_445100!A:H,8,FALSE))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input_445100!A$2</f>
        <v>445100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IFERROR(VLOOKUP(B11,input_445100!L:R,7,FALSE),VLOOKUP(tables_445100!C11,input_445100!A:H,8,FALSE))</f>
        <v>337585.00001000002</v>
      </c>
      <c r="P11" s="46">
        <f t="shared" ca="1" si="1"/>
        <v>1.2231340579983834E-2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input_445100!A$2</f>
        <v>445100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IFERROR(VLOOKUP(B12,input_445100!L:R,7,FALSE),VLOOKUP(tables_445100!C12,input_445100!A:H,8,FALSE))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input_445100!A$2</f>
        <v>445100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IFERROR(VLOOKUP(B13,input_445100!L:R,7,FALSE),VLOOKUP(tables_445100!C13,input_445100!A:H,8,FALSE))</f>
        <v>337585.00001000002</v>
      </c>
      <c r="P13" s="46">
        <f t="shared" ca="1" si="1"/>
        <v>1.2231340579983834E-2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input_445100!A$2</f>
        <v>445100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IFERROR(VLOOKUP(B14,input_445100!L:R,7,FALSE),VLOOKUP(tables_445100!C14,input_445100!A:H,8,FALSE))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input_445100!A$2</f>
        <v>445100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IFERROR(VLOOKUP(B15,input_445100!L:R,7,FALSE),VLOOKUP(tables_445100!C15,input_445100!A:H,8,FALSE))</f>
        <v>337585.00001000002</v>
      </c>
      <c r="P15" s="46">
        <f t="shared" ca="1" si="1"/>
        <v>1.2231340579983834E-2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input_445100!A$2</f>
        <v>445100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IFERROR(VLOOKUP(B16,input_445100!L:R,7,FALSE),VLOOKUP(tables_445100!C16,input_445100!A:H,8,FALSE))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input_445100!A$2</f>
        <v>445100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IFERROR(VLOOKUP(B17,input_445100!L:R,7,FALSE),VLOOKUP(tables_445100!C17,input_445100!A:H,8,FALSE))</f>
        <v>337585.00001000002</v>
      </c>
      <c r="P17" s="46">
        <f t="shared" ca="1" si="1"/>
        <v>1.2231340579983834E-2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input_445100!A$2</f>
        <v>445100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IFERROR(VLOOKUP(B18,input_445100!L:R,7,FALSE),VLOOKUP(tables_445100!C18,input_445100!A:H,8,FALSE))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input_445100!A$2</f>
        <v>445100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IFERROR(VLOOKUP(B19,input_445100!L:R,7,FALSE),VLOOKUP(tables_445100!C19,input_445100!A:H,8,FALSE))</f>
        <v>337585.00001000002</v>
      </c>
      <c r="P19" s="46">
        <f t="shared" ca="1" si="1"/>
        <v>1.2231340579983834E-2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input_445100!A$2</f>
        <v>445100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IFERROR(VLOOKUP(B20,input_445100!L:R,7,FALSE),VLOOKUP(tables_445100!C20,input_445100!A:H,8,FALSE))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input_445100!A$2</f>
        <v>445100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IFERROR(VLOOKUP(B21,input_445100!L:R,7,FALSE),VLOOKUP(tables_445100!C21,input_445100!A:H,8,FALSE))</f>
        <v>337585.00001000002</v>
      </c>
      <c r="P21" s="46">
        <f t="shared" ca="1" si="1"/>
        <v>1.2231340579983834E-2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input_445100!A$2</f>
        <v>445100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IFERROR(VLOOKUP(B22,input_445100!L:R,7,FALSE),VLOOKUP(tables_445100!C22,input_445100!A:H,8,FALSE))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input_445100!A$2</f>
        <v>445100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IFERROR(VLOOKUP(B23,input_445100!L:R,7,FALSE),VLOOKUP(tables_445100!C23,input_445100!A:H,8,FALSE))</f>
        <v>337585.00001000002</v>
      </c>
      <c r="P23" s="46">
        <f t="shared" ca="1" si="1"/>
        <v>1.2231340579983834E-2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input_445100!A$2</f>
        <v>445100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IFERROR(VLOOKUP(B24,input_445100!L:R,7,FALSE),VLOOKUP(tables_445100!C24,input_445100!A:H,8,FALSE))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input_445100!A$2</f>
        <v>445100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IFERROR(VLOOKUP(B25,input_445100!L:R,7,FALSE),VLOOKUP(tables_445100!C25,input_445100!A:H,8,FALSE))</f>
        <v>337585.00001000002</v>
      </c>
      <c r="P25" s="46">
        <f t="shared" ca="1" si="1"/>
        <v>1.2231340579983834E-2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input_445100!A$2</f>
        <v>445100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IFERROR(VLOOKUP(B26,input_445100!L:R,7,FALSE),VLOOKUP(tables_445100!C26,input_445100!A:H,8,FALSE))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input_445100!A$2</f>
        <v>445100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IFERROR(VLOOKUP(B27,input_445100!L:R,7,FALSE),VLOOKUP(tables_445100!C27,input_445100!A:H,8,FALSE))</f>
        <v>337585.00001000002</v>
      </c>
      <c r="P27" s="46">
        <f t="shared" ca="1" si="1"/>
        <v>1.2231340579983834E-2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input_445100!A$2</f>
        <v>445100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IFERROR(VLOOKUP(B28,input_445100!L:R,7,FALSE),VLOOKUP(tables_445100!C28,input_445100!A:H,8,FALSE))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input_445100!A$2</f>
        <v>445100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IFERROR(VLOOKUP(B29,input_445100!L:R,7,FALSE),VLOOKUP(tables_445100!C29,input_445100!A:H,8,FALSE))</f>
        <v>337585.00001000002</v>
      </c>
      <c r="P29" s="46">
        <f t="shared" ca="1" si="1"/>
        <v>1.2231340579983834E-2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input_445100!A$2</f>
        <v>445100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IFERROR(VLOOKUP(B30,input_445100!L:R,7,FALSE),VLOOKUP(tables_445100!C30,input_445100!A:H,8,FALSE))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input_445100!A$2</f>
        <v>445100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IFERROR(VLOOKUP(B31,input_445100!L:R,7,FALSE),VLOOKUP(tables_445100!C31,input_445100!A:H,8,FALSE))</f>
        <v>337585.00001000002</v>
      </c>
      <c r="P31" s="46">
        <f t="shared" ca="1" si="1"/>
        <v>1.2231340579983834E-2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input_445100!A$2</f>
        <v>445100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IFERROR(VLOOKUP(B32,input_445100!L:R,7,FALSE),VLOOKUP(tables_445100!C32,input_445100!A:H,8,FALSE))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input_445100!A$2</f>
        <v>445100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IFERROR(VLOOKUP(B33,input_445100!L:R,7,FALSE),VLOOKUP(tables_445100!C33,input_445100!A:H,8,FALSE))</f>
        <v>337585.00001000002</v>
      </c>
      <c r="P33" s="46">
        <f t="shared" ca="1" si="1"/>
        <v>1.2231340579983834E-2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input_445100!A$2</f>
        <v>445100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IFERROR(VLOOKUP(B34,input_445100!L:R,7,FALSE),VLOOKUP(tables_445100!C34,input_445100!A:H,8,FALSE))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input_445100!A$2</f>
        <v>445100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IFERROR(VLOOKUP(B35,input_445100!L:R,7,FALSE),VLOOKUP(tables_445100!C35,input_445100!A:H,8,FALSE))</f>
        <v>337585.00001000002</v>
      </c>
      <c r="P35" s="46">
        <f t="shared" ca="1" si="1"/>
        <v>1.2231340579983834E-2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input_445100!A$2</f>
        <v>445100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IFERROR(VLOOKUP(B36,input_445100!L:R,7,FALSE),VLOOKUP(tables_445100!C36,input_445100!A:H,8,FALSE))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input_445100!A$2</f>
        <v>445100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IFERROR(VLOOKUP(B37,input_445100!L:R,7,FALSE),VLOOKUP(tables_445100!C37,input_445100!A:H,8,FALSE))</f>
        <v>337585.00001000002</v>
      </c>
      <c r="P37" s="46">
        <f t="shared" ca="1" si="1"/>
        <v>1.2231340579983834E-2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input_445100!A$2</f>
        <v>445100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IFERROR(VLOOKUP(B38,input_445100!L:R,7,FALSE),VLOOKUP(tables_445100!C38,input_445100!A:H,8,FALSE))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input_445100!A$2</f>
        <v>445100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IFERROR(VLOOKUP(B39,input_445100!L:R,7,FALSE),VLOOKUP(tables_445100!C39,input_445100!A:H,8,FALSE))</f>
        <v>337585.00001000002</v>
      </c>
      <c r="P39" s="46">
        <f t="shared" ca="1" si="1"/>
        <v>1.2231340579983834E-2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input_445100!A$2</f>
        <v>445100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IFERROR(VLOOKUP(B40,input_445100!L:R,7,FALSE),VLOOKUP(tables_445100!C40,input_445100!A:H,8,FALSE))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input_445100!A$2</f>
        <v>445100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IFERROR(VLOOKUP(B41,input_445100!L:R,7,FALSE),VLOOKUP(tables_445100!C41,input_445100!A:H,8,FALSE))</f>
        <v>337585.00001000002</v>
      </c>
      <c r="P41" s="46">
        <f t="shared" ca="1" si="1"/>
        <v>1.2231340579983834E-2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input_445100!A$2</f>
        <v>445100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IFERROR(VLOOKUP(B42,input_445100!L:R,7,FALSE),VLOOKUP(tables_445100!C42,input_445100!A:H,8,FALSE))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input_445100!A$2</f>
        <v>445100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IFERROR(VLOOKUP(B43,input_445100!L:R,7,FALSE),VLOOKUP(tables_445100!C43,input_445100!A:H,8,FALSE))</f>
        <v>270750</v>
      </c>
      <c r="P43" s="46">
        <f t="shared" ca="1" si="1"/>
        <v>9.8097826086245687E-3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input_445100!A$2</f>
        <v>445100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IFERROR(VLOOKUP(B44,input_445100!L:R,7,FALSE),VLOOKUP(tables_445100!C44,input_445100!A:H,8,FALSE))</f>
        <v>14250</v>
      </c>
      <c r="P44" s="46">
        <f t="shared" ca="1" si="1"/>
        <v>5.1630434782234567E-4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input_445100!A$2</f>
        <v>445100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IFERROR(VLOOKUP(B45,input_445100!L:R,7,FALSE),VLOOKUP(tables_445100!C45,input_445100!A:H,8,FALSE))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input_445100!A$2</f>
        <v>445100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IFERROR(VLOOKUP(B46,input_445100!L:R,7,FALSE),VLOOKUP(tables_445100!C46,input_445100!A:H,8,FALSE))</f>
        <v>270750</v>
      </c>
      <c r="P46" s="46">
        <f t="shared" ca="1" si="1"/>
        <v>9.8097826086245687E-3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input_445100!A$2</f>
        <v>445100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IFERROR(VLOOKUP(B47,input_445100!L:R,7,FALSE),VLOOKUP(tables_445100!C47,input_445100!A:H,8,FALSE))</f>
        <v>14250</v>
      </c>
      <c r="P47" s="46">
        <f t="shared" ca="1" si="1"/>
        <v>5.1630434782234567E-4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input_445100!A$2</f>
        <v>445100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IFERROR(VLOOKUP(B48,input_445100!L:R,7,FALSE),VLOOKUP(tables_445100!C48,input_445100!A:H,8,FALSE))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input_445100!A$2</f>
        <v>445100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IFERROR(VLOOKUP(B49,input_445100!L:R,7,FALSE),VLOOKUP(tables_445100!C49,input_445100!A:H,8,FALSE))</f>
        <v>270750</v>
      </c>
      <c r="P49" s="46">
        <f t="shared" ca="1" si="1"/>
        <v>9.8097826086245687E-3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input_445100!A$2</f>
        <v>445100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IFERROR(VLOOKUP(B50,input_445100!L:R,7,FALSE),VLOOKUP(tables_445100!C50,input_445100!A:H,8,FALSE))</f>
        <v>14250</v>
      </c>
      <c r="P50" s="46">
        <f t="shared" ca="1" si="1"/>
        <v>5.1630434782234567E-4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input_445100!A$2</f>
        <v>445100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IFERROR(VLOOKUP(B51,input_445100!L:R,7,FALSE),VLOOKUP(tables_445100!C51,input_445100!A:H,8,FALSE))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input_445100!A$2</f>
        <v>445100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IFERROR(VLOOKUP(B52,input_445100!L:R,7,FALSE),VLOOKUP(tables_445100!C52,input_445100!A:H,8,FALSE))</f>
        <v>260134.61538</v>
      </c>
      <c r="P52" s="46">
        <f t="shared" ca="1" si="1"/>
        <v>9.4251672238447465E-3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input_445100!A$2</f>
        <v>445100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IFERROR(VLOOKUP(B53,input_445100!L:R,7,FALSE),VLOOKUP(tables_445100!C53,input_445100!A:H,8,FALSE))</f>
        <v>4640.3846199999998</v>
      </c>
      <c r="P53" s="46">
        <f t="shared" ca="1" si="1"/>
        <v>1.6812987753501356E-4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input_445100!A$2</f>
        <v>445100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IFERROR(VLOOKUP(B54,input_445100!L:R,7,FALSE),VLOOKUP(tables_445100!C54,input_445100!A:H,8,FALSE))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input_445100!A$2</f>
        <v>445100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IFERROR(VLOOKUP(B55,input_445100!L:R,7,FALSE),VLOOKUP(tables_445100!C55,input_445100!A:H,8,FALSE))</f>
        <v>260134.61538</v>
      </c>
      <c r="P55" s="46">
        <f t="shared" ca="1" si="1"/>
        <v>9.4251672238447465E-3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input_445100!A$2</f>
        <v>445100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IFERROR(VLOOKUP(B56,input_445100!L:R,7,FALSE),VLOOKUP(tables_445100!C56,input_445100!A:H,8,FALSE))</f>
        <v>4640.3846199999998</v>
      </c>
      <c r="P56" s="46">
        <f t="shared" ca="1" si="1"/>
        <v>1.6812987753501356E-4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input_445100!A$2</f>
        <v>445100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IFERROR(VLOOKUP(B57,input_445100!L:R,7,FALSE),VLOOKUP(tables_445100!C57,input_445100!A:H,8,FALSE))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input_445100!A$2</f>
        <v>445100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IFERROR(VLOOKUP(B58,input_445100!L:R,7,FALSE),VLOOKUP(tables_445100!C58,input_445100!A:H,8,FALSE))</f>
        <v>260134.61538</v>
      </c>
      <c r="P58" s="46">
        <f t="shared" ca="1" si="1"/>
        <v>9.4251672238447465E-3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input_445100!A$2</f>
        <v>445100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IFERROR(VLOOKUP(B59,input_445100!L:R,7,FALSE),VLOOKUP(tables_445100!C59,input_445100!A:H,8,FALSE))</f>
        <v>4640.3846199999998</v>
      </c>
      <c r="P59" s="46">
        <f t="shared" ca="1" si="1"/>
        <v>1.6812987753501356E-4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input_445100!A$2</f>
        <v>445100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IFERROR(VLOOKUP(B60,input_445100!L:R,7,FALSE),VLOOKUP(tables_445100!C60,input_445100!A:H,8,FALSE))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input_445100!A$2</f>
        <v>445100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IFERROR(VLOOKUP(B61,input_445100!L:R,7,FALSE),VLOOKUP(tables_445100!C61,input_445100!A:H,8,FALSE))</f>
        <v>260134.61538</v>
      </c>
      <c r="P61" s="46">
        <f t="shared" ca="1" si="1"/>
        <v>9.4251672238447465E-3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input_445100!A$2</f>
        <v>445100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IFERROR(VLOOKUP(B62,input_445100!L:R,7,FALSE),VLOOKUP(tables_445100!C62,input_445100!A:H,8,FALSE))</f>
        <v>4640.3846199999998</v>
      </c>
      <c r="P62" s="46">
        <f t="shared" ca="1" si="1"/>
        <v>1.6812987753501356E-4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input_445100!A$2</f>
        <v>445100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IFERROR(VLOOKUP(B63,input_445100!L:R,7,FALSE),VLOOKUP(tables_445100!C63,input_445100!A:H,8,FALSE))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input_445100!A$2</f>
        <v>445100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IFERROR(VLOOKUP(B64,input_445100!L:R,7,FALSE),VLOOKUP(tables_445100!C64,input_445100!A:H,8,FALSE))</f>
        <v>260134.61538</v>
      </c>
      <c r="P64" s="46">
        <f t="shared" ca="1" si="1"/>
        <v>9.4251672238447465E-3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input_445100!A$2</f>
        <v>445100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IFERROR(VLOOKUP(B65,input_445100!L:R,7,FALSE),VLOOKUP(tables_445100!C65,input_445100!A:H,8,FALSE))</f>
        <v>4640.3846199999998</v>
      </c>
      <c r="P65" s="46">
        <f t="shared" ca="1" si="1"/>
        <v>1.6812987753501356E-4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input_445100!A$2</f>
        <v>445100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IFERROR(VLOOKUP(B66,input_445100!L:R,7,FALSE),VLOOKUP(tables_445100!C66,input_445100!A:H,8,FALSE))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input_445100!A$2</f>
        <v>445100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IFERROR(VLOOKUP(B67,input_445100!L:R,7,FALSE),VLOOKUP(tables_445100!C67,input_445100!A:H,8,FALSE))</f>
        <v>260134.61538</v>
      </c>
      <c r="P67" s="46">
        <f t="shared" ca="1" si="4"/>
        <v>9.4251672238447465E-3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input_445100!A$2</f>
        <v>445100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IFERROR(VLOOKUP(B68,input_445100!L:R,7,FALSE),VLOOKUP(tables_445100!C68,input_445100!A:H,8,FALSE))</f>
        <v>4640.3846199999998</v>
      </c>
      <c r="P68" s="46">
        <f t="shared" ca="1" si="4"/>
        <v>1.6812987753501356E-4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input_445100!A$2</f>
        <v>445100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IFERROR(VLOOKUP(B69,input_445100!L:R,7,FALSE),VLOOKUP(tables_445100!C69,input_445100!A:H,8,FALSE))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input_445100!A$2</f>
        <v>445100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IFERROR(VLOOKUP(B70,input_445100!L:R,7,FALSE),VLOOKUP(tables_445100!C70,input_445100!A:H,8,FALSE))</f>
        <v>260134.61538</v>
      </c>
      <c r="P70" s="46">
        <f t="shared" ca="1" si="4"/>
        <v>9.4251672238447465E-3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input_445100!A$2</f>
        <v>445100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IFERROR(VLOOKUP(B71,input_445100!L:R,7,FALSE),VLOOKUP(tables_445100!C71,input_445100!A:H,8,FALSE))</f>
        <v>4640.3846199999998</v>
      </c>
      <c r="P71" s="46">
        <f t="shared" ca="1" si="4"/>
        <v>1.6812987753501356E-4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input_445100!A$2</f>
        <v>445100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IFERROR(VLOOKUP(B72,input_445100!L:R,7,FALSE),VLOOKUP(tables_445100!C72,input_445100!A:H,8,FALSE))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input_445100!A$2</f>
        <v>445100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IFERROR(VLOOKUP(B73,input_445100!L:R,7,FALSE),VLOOKUP(tables_445100!C73,input_445100!A:H,8,FALSE))</f>
        <v>260134.61538</v>
      </c>
      <c r="P73" s="46">
        <f t="shared" ca="1" si="4"/>
        <v>9.4251672238447465E-3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input_445100!A$2</f>
        <v>445100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IFERROR(VLOOKUP(B74,input_445100!L:R,7,FALSE),VLOOKUP(tables_445100!C74,input_445100!A:H,8,FALSE))</f>
        <v>4640.3846199999998</v>
      </c>
      <c r="P74" s="46">
        <f t="shared" ca="1" si="4"/>
        <v>1.6812987753501356E-4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input_445100!A$2</f>
        <v>445100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IFERROR(VLOOKUP(B75,input_445100!L:R,7,FALSE),VLOOKUP(tables_445100!C75,input_445100!A:H,8,FALSE))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input_445100!A$2</f>
        <v>445100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IFERROR(VLOOKUP(B76,input_445100!L:R,7,FALSE),VLOOKUP(tables_445100!C76,input_445100!A:H,8,FALSE))</f>
        <v>260134.61538</v>
      </c>
      <c r="P76" s="46">
        <f t="shared" ca="1" si="4"/>
        <v>9.4251672238447465E-3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input_445100!A$2</f>
        <v>445100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IFERROR(VLOOKUP(B77,input_445100!L:R,7,FALSE),VLOOKUP(tables_445100!C77,input_445100!A:H,8,FALSE))</f>
        <v>4640.3846199999998</v>
      </c>
      <c r="P77" s="46">
        <f t="shared" ca="1" si="4"/>
        <v>1.6812987753501356E-4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input_445100!A$2</f>
        <v>445100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IFERROR(VLOOKUP(B78,input_445100!L:R,7,FALSE),VLOOKUP(tables_445100!C78,input_445100!A:H,8,FALSE))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input_445100!A$2</f>
        <v>445100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IFERROR(VLOOKUP(B79,input_445100!L:R,7,FALSE),VLOOKUP(tables_445100!C79,input_445100!A:H,8,FALSE))</f>
        <v>260134.61538</v>
      </c>
      <c r="P79" s="46">
        <f t="shared" ca="1" si="4"/>
        <v>9.4251672238447465E-3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input_445100!A$2</f>
        <v>445100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IFERROR(VLOOKUP(B80,input_445100!L:R,7,FALSE),VLOOKUP(tables_445100!C80,input_445100!A:H,8,FALSE))</f>
        <v>4640.3846199999998</v>
      </c>
      <c r="P80" s="46">
        <f t="shared" ca="1" si="4"/>
        <v>1.6812987753501356E-4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input_445100!A$2</f>
        <v>445100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IFERROR(VLOOKUP(B81,input_445100!L:R,7,FALSE),VLOOKUP(tables_445100!C81,input_445100!A:H,8,FALSE))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input_445100!A$2</f>
        <v>445100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IFERROR(VLOOKUP(B82,input_445100!L:R,7,FALSE),VLOOKUP(tables_445100!C82,input_445100!A:H,8,FALSE))</f>
        <v>260134.61538</v>
      </c>
      <c r="P82" s="46">
        <f t="shared" ca="1" si="4"/>
        <v>9.4251672238447465E-3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input_445100!A$2</f>
        <v>445100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IFERROR(VLOOKUP(B83,input_445100!L:R,7,FALSE),VLOOKUP(tables_445100!C83,input_445100!A:H,8,FALSE))</f>
        <v>4640.3846199999998</v>
      </c>
      <c r="P83" s="46">
        <f t="shared" ca="1" si="4"/>
        <v>1.6812987753501356E-4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input_445100!A$2</f>
        <v>445100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IFERROR(VLOOKUP(B84,input_445100!L:R,7,FALSE),VLOOKUP(tables_445100!C84,input_445100!A:H,8,FALSE))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input_445100!A$2</f>
        <v>445100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IFERROR(VLOOKUP(B85,input_445100!L:R,7,FALSE),VLOOKUP(tables_445100!C85,input_445100!A:H,8,FALSE))</f>
        <v>260134.61538</v>
      </c>
      <c r="P85" s="46">
        <f t="shared" ca="1" si="4"/>
        <v>9.4251672238447465E-3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input_445100!A$2</f>
        <v>445100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IFERROR(VLOOKUP(B86,input_445100!L:R,7,FALSE),VLOOKUP(tables_445100!C86,input_445100!A:H,8,FALSE))</f>
        <v>4640.3846199999998</v>
      </c>
      <c r="P86" s="46">
        <f t="shared" ca="1" si="4"/>
        <v>1.6812987753501356E-4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input_445100!A$2</f>
        <v>445100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IFERROR(VLOOKUP(B87,input_445100!L:R,7,FALSE),VLOOKUP(tables_445100!C87,input_445100!A:H,8,FALSE))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input_445100!A$2</f>
        <v>445100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IFERROR(VLOOKUP(B88,input_445100!L:R,7,FALSE),VLOOKUP(tables_445100!C88,input_445100!A:H,8,FALSE))</f>
        <v>260134.61538</v>
      </c>
      <c r="P88" s="46">
        <f t="shared" ca="1" si="4"/>
        <v>9.4251672238447465E-3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input_445100!A$2</f>
        <v>445100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IFERROR(VLOOKUP(B89,input_445100!L:R,7,FALSE),VLOOKUP(tables_445100!C89,input_445100!A:H,8,FALSE))</f>
        <v>4640.3846199999998</v>
      </c>
      <c r="P89" s="46">
        <f t="shared" ca="1" si="4"/>
        <v>1.6812987753501356E-4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input_445100!A$2</f>
        <v>445100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IFERROR(VLOOKUP(B90,input_445100!L:R,7,FALSE),VLOOKUP(tables_445100!C90,input_445100!A:H,8,FALSE))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input_445100!A$2</f>
        <v>445100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IFERROR(VLOOKUP(B91,input_445100!L:R,7,FALSE),VLOOKUP(tables_445100!C91,input_445100!A:H,8,FALSE))</f>
        <v>260134.61538</v>
      </c>
      <c r="P91" s="46">
        <f t="shared" ca="1" si="4"/>
        <v>9.4251672238447465E-3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input_445100!A$2</f>
        <v>445100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IFERROR(VLOOKUP(B92,input_445100!L:R,7,FALSE),VLOOKUP(tables_445100!C92,input_445100!A:H,8,FALSE))</f>
        <v>4640.3846199999998</v>
      </c>
      <c r="P92" s="46">
        <f t="shared" ca="1" si="4"/>
        <v>1.6812987753501356E-4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input_445100!A$2</f>
        <v>445100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IFERROR(VLOOKUP(B93,input_445100!L:R,7,FALSE),VLOOKUP(tables_445100!C93,input_445100!A:H,8,FALSE))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input_445100!A$2</f>
        <v>445100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IFERROR(VLOOKUP(B94,input_445100!L:R,7,FALSE),VLOOKUP(tables_445100!C94,input_445100!A:H,8,FALSE))</f>
        <v>260134.61538</v>
      </c>
      <c r="P94" s="46">
        <f t="shared" ca="1" si="4"/>
        <v>9.4251672238447465E-3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input_445100!A$2</f>
        <v>445100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IFERROR(VLOOKUP(B95,input_445100!L:R,7,FALSE),VLOOKUP(tables_445100!C95,input_445100!A:H,8,FALSE))</f>
        <v>4640.3846199999998</v>
      </c>
      <c r="P95" s="46">
        <f t="shared" ca="1" si="4"/>
        <v>1.6812987753501356E-4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input_445100!A$2</f>
        <v>445100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IFERROR(VLOOKUP(B96,input_445100!L:R,7,FALSE),VLOOKUP(tables_445100!C96,input_445100!A:H,8,FALSE))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input_445100!A$2</f>
        <v>445100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IFERROR(VLOOKUP(B97,input_445100!L:R,7,FALSE),VLOOKUP(tables_445100!C97,input_445100!A:H,8,FALSE))</f>
        <v>260134.61538</v>
      </c>
      <c r="P97" s="46">
        <f t="shared" ca="1" si="4"/>
        <v>9.4251672238447465E-3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input_445100!A$2</f>
        <v>445100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IFERROR(VLOOKUP(B98,input_445100!L:R,7,FALSE),VLOOKUP(tables_445100!C98,input_445100!A:H,8,FALSE))</f>
        <v>4640.3846199999998</v>
      </c>
      <c r="P98" s="46">
        <f t="shared" ca="1" si="4"/>
        <v>1.6812987753501356E-4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input_445100!A$2</f>
        <v>445100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IFERROR(VLOOKUP(B99,input_445100!L:R,7,FALSE),VLOOKUP(tables_445100!C99,input_445100!A:H,8,FALSE))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input_445100!A$2</f>
        <v>445100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IFERROR(VLOOKUP(B100,input_445100!L:R,7,FALSE),VLOOKUP(tables_445100!C100,input_445100!A:H,8,FALSE))</f>
        <v>260134.61538</v>
      </c>
      <c r="P100" s="46">
        <f t="shared" ca="1" si="4"/>
        <v>9.4251672238447465E-3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input_445100!A$2</f>
        <v>445100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IFERROR(VLOOKUP(B101,input_445100!L:R,7,FALSE),VLOOKUP(tables_445100!C101,input_445100!A:H,8,FALSE))</f>
        <v>4640.3846199999998</v>
      </c>
      <c r="P101" s="46">
        <f t="shared" ca="1" si="4"/>
        <v>1.6812987753501356E-4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input_445100!A$2</f>
        <v>445100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IFERROR(VLOOKUP(B102,input_445100!L:R,7,FALSE),VLOOKUP(tables_445100!C102,input_445100!A:H,8,FALSE))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input_445100!A$2</f>
        <v>445100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IFERROR(VLOOKUP(B103,input_445100!L:R,7,FALSE),VLOOKUP(tables_445100!C103,input_445100!A:H,8,FALSE))</f>
        <v>260134.61538</v>
      </c>
      <c r="P103" s="46">
        <f t="shared" ca="1" si="4"/>
        <v>9.4251672238447465E-3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input_445100!A$2</f>
        <v>445100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IFERROR(VLOOKUP(B104,input_445100!L:R,7,FALSE),VLOOKUP(tables_445100!C104,input_445100!A:H,8,FALSE))</f>
        <v>4640.3846199999998</v>
      </c>
      <c r="P104" s="46">
        <f t="shared" ca="1" si="4"/>
        <v>1.6812987753501356E-4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input_445100!A$2</f>
        <v>445100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IFERROR(VLOOKUP(B105,input_445100!L:R,7,FALSE),VLOOKUP(tables_445100!C105,input_445100!A:H,8,FALSE))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input_445100!A$2</f>
        <v>445100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IFERROR(VLOOKUP(B106,input_445100!L:R,7,FALSE),VLOOKUP(tables_445100!C106,input_445100!A:H,8,FALSE))</f>
        <v>260134.61538</v>
      </c>
      <c r="P106" s="46">
        <f t="shared" ca="1" si="4"/>
        <v>9.4251672238447465E-3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input_445100!A$2</f>
        <v>445100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IFERROR(VLOOKUP(B107,input_445100!L:R,7,FALSE),VLOOKUP(tables_445100!C107,input_445100!A:H,8,FALSE))</f>
        <v>4640.3846199999998</v>
      </c>
      <c r="P107" s="46">
        <f t="shared" ca="1" si="4"/>
        <v>1.6812987753501356E-4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input_445100!A$2</f>
        <v>445100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IFERROR(VLOOKUP(B108,input_445100!L:R,7,FALSE),VLOOKUP(tables_445100!C108,input_445100!A:H,8,FALSE))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input_445100!A$2</f>
        <v>445100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IFERROR(VLOOKUP(B109,input_445100!L:R,7,FALSE),VLOOKUP(tables_445100!C109,input_445100!A:H,8,FALSE))</f>
        <v>260134.61538</v>
      </c>
      <c r="P109" s="46">
        <f t="shared" ca="1" si="4"/>
        <v>9.4251672238447465E-3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input_445100!A$2</f>
        <v>445100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IFERROR(VLOOKUP(B110,input_445100!L:R,7,FALSE),VLOOKUP(tables_445100!C110,input_445100!A:H,8,FALSE))</f>
        <v>4640.3846199999998</v>
      </c>
      <c r="P110" s="46">
        <f t="shared" ca="1" si="4"/>
        <v>1.6812987753501356E-4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input_445100!A$2</f>
        <v>445100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IFERROR(VLOOKUP(B111,input_445100!L:R,7,FALSE),VLOOKUP(tables_445100!C111,input_445100!A:H,8,FALSE))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input_445100!A$2</f>
        <v>445100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IFERROR(VLOOKUP(B112,input_445100!L:R,7,FALSE),VLOOKUP(tables_445100!C112,input_445100!A:H,8,FALSE))</f>
        <v>270750</v>
      </c>
      <c r="P112" s="46">
        <f t="shared" ca="1" si="4"/>
        <v>9.8097826086245687E-3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input_445100!A$2</f>
        <v>445100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IFERROR(VLOOKUP(B113,input_445100!L:R,7,FALSE),VLOOKUP(tables_445100!C113,input_445100!A:H,8,FALSE))</f>
        <v>14250</v>
      </c>
      <c r="P113" s="46">
        <f t="shared" ca="1" si="4"/>
        <v>5.1630434782234567E-4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input_445100!A$2</f>
        <v>445100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IFERROR(VLOOKUP(B114,input_445100!L:R,7,FALSE),VLOOKUP(tables_445100!C114,input_445100!A:H,8,FALSE))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input_445100!A$2</f>
        <v>445100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IFERROR(VLOOKUP(B115,input_445100!L:R,7,FALSE),VLOOKUP(tables_445100!C115,input_445100!A:H,8,FALSE))</f>
        <v>260134.61538</v>
      </c>
      <c r="P115" s="46">
        <f t="shared" ca="1" si="4"/>
        <v>9.4251672238447465E-3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input_445100!A$2</f>
        <v>445100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IFERROR(VLOOKUP(B116,input_445100!L:R,7,FALSE),VLOOKUP(tables_445100!C116,input_445100!A:H,8,FALSE))</f>
        <v>4640.3846199999998</v>
      </c>
      <c r="P116" s="46">
        <f t="shared" ca="1" si="4"/>
        <v>1.6812987753501356E-4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input_445100!A$2</f>
        <v>445100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IFERROR(VLOOKUP(B117,input_445100!L:R,7,FALSE),VLOOKUP(tables_445100!C117,input_445100!A:H,8,FALSE))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input_445100!A$2</f>
        <v>445100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IFERROR(VLOOKUP(B118,input_445100!L:R,7,FALSE),VLOOKUP(tables_445100!C118,input_445100!A:H,8,FALSE))</f>
        <v>260134.61538</v>
      </c>
      <c r="P118" s="46">
        <f t="shared" ca="1" si="4"/>
        <v>9.4251672238447465E-3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input_445100!A$2</f>
        <v>445100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IFERROR(VLOOKUP(B119,input_445100!L:R,7,FALSE),VLOOKUP(tables_445100!C119,input_445100!A:H,8,FALSE))</f>
        <v>4640.3846199999998</v>
      </c>
      <c r="P119" s="46">
        <f t="shared" ca="1" si="4"/>
        <v>1.6812987753501356E-4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input_445100!A$2</f>
        <v>445100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IFERROR(VLOOKUP(B120,input_445100!L:R,7,FALSE),VLOOKUP(tables_445100!C120,input_445100!A:H,8,FALSE))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input_445100!A$2</f>
        <v>445100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IFERROR(VLOOKUP(B121,input_445100!L:R,7,FALSE),VLOOKUP(tables_445100!C121,input_445100!A:H,8,FALSE))</f>
        <v>260134.61538</v>
      </c>
      <c r="P121" s="46">
        <f t="shared" ca="1" si="4"/>
        <v>9.4251672238447465E-3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input_445100!A$2</f>
        <v>445100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IFERROR(VLOOKUP(B122,input_445100!L:R,7,FALSE),VLOOKUP(tables_445100!C122,input_445100!A:H,8,FALSE))</f>
        <v>4640.3846199999998</v>
      </c>
      <c r="P122" s="46">
        <f t="shared" ca="1" si="4"/>
        <v>1.6812987753501356E-4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input_445100!A$2</f>
        <v>445100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IFERROR(VLOOKUP(B123,input_445100!L:R,7,FALSE),VLOOKUP(tables_445100!C123,input_445100!A:H,8,FALSE))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input_445100!A$2</f>
        <v>445100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IFERROR(VLOOKUP(B124,input_445100!L:R,7,FALSE),VLOOKUP(tables_445100!C124,input_445100!A:H,8,FALSE))</f>
        <v>260134.61538</v>
      </c>
      <c r="P124" s="46">
        <f t="shared" ca="1" si="4"/>
        <v>9.4251672238447465E-3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input_445100!A$2</f>
        <v>445100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IFERROR(VLOOKUP(B125,input_445100!L:R,7,FALSE),VLOOKUP(tables_445100!C125,input_445100!A:H,8,FALSE))</f>
        <v>4640.3846199999998</v>
      </c>
      <c r="P125" s="46">
        <f t="shared" ca="1" si="4"/>
        <v>1.6812987753501356E-4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input_445100!A$2</f>
        <v>445100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IFERROR(VLOOKUP(B126,input_445100!L:R,7,FALSE),VLOOKUP(tables_445100!C126,input_445100!A:H,8,FALSE))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input_445100!A$2</f>
        <v>445100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IFERROR(VLOOKUP(B127,input_445100!L:R,7,FALSE),VLOOKUP(tables_445100!C127,input_445100!A:H,8,FALSE))</f>
        <v>260134.61538</v>
      </c>
      <c r="P127" s="46">
        <f t="shared" ca="1" si="4"/>
        <v>9.4251672238447465E-3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input_445100!A$2</f>
        <v>445100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IFERROR(VLOOKUP(B128,input_445100!L:R,7,FALSE),VLOOKUP(tables_445100!C128,input_445100!A:H,8,FALSE))</f>
        <v>4640.3846199999998</v>
      </c>
      <c r="P128" s="46">
        <f t="shared" ca="1" si="4"/>
        <v>1.6812987753501356E-4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input_445100!A$2</f>
        <v>445100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IFERROR(VLOOKUP(B129,input_445100!L:R,7,FALSE),VLOOKUP(tables_445100!C129,input_445100!A:H,8,FALSE))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input_445100!A$2</f>
        <v>445100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IFERROR(VLOOKUP(B130,input_445100!L:R,7,FALSE),VLOOKUP(tables_445100!C130,input_445100!A:H,8,FALSE))</f>
        <v>260134.61538</v>
      </c>
      <c r="P130" s="46">
        <f t="shared" ref="P130:P193" ca="1" si="7">O130/SUM(O:O)</f>
        <v>9.4251672238447465E-3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input_445100!A$2</f>
        <v>445100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IFERROR(VLOOKUP(B131,input_445100!L:R,7,FALSE),VLOOKUP(tables_445100!C131,input_445100!A:H,8,FALSE))</f>
        <v>4640.3846199999998</v>
      </c>
      <c r="P131" s="46">
        <f t="shared" ca="1" si="7"/>
        <v>1.6812987753501356E-4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input_445100!A$2</f>
        <v>445100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IFERROR(VLOOKUP(B132,input_445100!L:R,7,FALSE),VLOOKUP(tables_445100!C132,input_445100!A:H,8,FALSE))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input_445100!A$2</f>
        <v>445100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IFERROR(VLOOKUP(B133,input_445100!L:R,7,FALSE),VLOOKUP(tables_445100!C133,input_445100!A:H,8,FALSE))</f>
        <v>260134.61538</v>
      </c>
      <c r="P133" s="46">
        <f t="shared" ca="1" si="7"/>
        <v>9.4251672238447465E-3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input_445100!A$2</f>
        <v>445100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IFERROR(VLOOKUP(B134,input_445100!L:R,7,FALSE),VLOOKUP(tables_445100!C134,input_445100!A:H,8,FALSE))</f>
        <v>4640.3846199999998</v>
      </c>
      <c r="P134" s="46">
        <f t="shared" ca="1" si="7"/>
        <v>1.6812987753501356E-4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input_445100!A$2</f>
        <v>445100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IFERROR(VLOOKUP(B135,input_445100!L:R,7,FALSE),VLOOKUP(tables_445100!C135,input_445100!A:H,8,FALSE))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input_445100!A$2</f>
        <v>445100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IFERROR(VLOOKUP(B136,input_445100!L:R,7,FALSE),VLOOKUP(tables_445100!C136,input_445100!A:H,8,FALSE))</f>
        <v>260134.61538</v>
      </c>
      <c r="P136" s="46">
        <f t="shared" ca="1" si="7"/>
        <v>9.4251672238447465E-3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input_445100!A$2</f>
        <v>445100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IFERROR(VLOOKUP(B137,input_445100!L:R,7,FALSE),VLOOKUP(tables_445100!C137,input_445100!A:H,8,FALSE))</f>
        <v>4640.3846199999998</v>
      </c>
      <c r="P137" s="46">
        <f t="shared" ca="1" si="7"/>
        <v>1.6812987753501356E-4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input_445100!A$2</f>
        <v>445100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IFERROR(VLOOKUP(B138,input_445100!L:R,7,FALSE),VLOOKUP(tables_445100!C138,input_445100!A:H,8,FALSE))</f>
        <v>21850</v>
      </c>
      <c r="P138" s="46">
        <f t="shared" ca="1" si="7"/>
        <v>7.9166666666093002E-4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input_445100!A$2</f>
        <v>445100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IFERROR(VLOOKUP(B139,input_445100!L:R,7,FALSE),VLOOKUP(tables_445100!C139,input_445100!A:H,8,FALSE))</f>
        <v>1150</v>
      </c>
      <c r="P139" s="46">
        <f t="shared" ca="1" si="7"/>
        <v>4.1666666666364742E-5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input_445100!A$2</f>
        <v>445100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IFERROR(VLOOKUP(B140,input_445100!L:R,7,FALSE),VLOOKUP(tables_445100!C140,input_445100!A:H,8,FALSE))</f>
        <v>21850</v>
      </c>
      <c r="P140" s="46">
        <f t="shared" ca="1" si="7"/>
        <v>7.9166666666093002E-4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input_445100!A$2</f>
        <v>445100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IFERROR(VLOOKUP(B141,input_445100!L:R,7,FALSE),VLOOKUP(tables_445100!C141,input_445100!A:H,8,FALSE))</f>
        <v>1150</v>
      </c>
      <c r="P141" s="46">
        <f t="shared" ca="1" si="7"/>
        <v>4.1666666666364742E-5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input_445100!A$2</f>
        <v>445100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IFERROR(VLOOKUP(B142,input_445100!L:R,7,FALSE),VLOOKUP(tables_445100!C142,input_445100!A:H,8,FALSE))</f>
        <v>21850</v>
      </c>
      <c r="P142" s="46">
        <f t="shared" ca="1" si="7"/>
        <v>7.9166666666093002E-4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input_445100!A$2</f>
        <v>445100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IFERROR(VLOOKUP(B143,input_445100!L:R,7,FALSE),VLOOKUP(tables_445100!C143,input_445100!A:H,8,FALSE))</f>
        <v>1150</v>
      </c>
      <c r="P143" s="46">
        <f t="shared" ca="1" si="7"/>
        <v>4.1666666666364742E-5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input_445100!A$2</f>
        <v>445100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IFERROR(VLOOKUP(B144,input_445100!L:R,7,FALSE),VLOOKUP(tables_445100!C144,input_445100!A:H,8,FALSE))</f>
        <v>21850</v>
      </c>
      <c r="P144" s="46">
        <f t="shared" ca="1" si="7"/>
        <v>7.9166666666093002E-4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input_445100!A$2</f>
        <v>445100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IFERROR(VLOOKUP(B145,input_445100!L:R,7,FALSE),VLOOKUP(tables_445100!C145,input_445100!A:H,8,FALSE))</f>
        <v>1150</v>
      </c>
      <c r="P145" s="46">
        <f t="shared" ca="1" si="7"/>
        <v>4.1666666666364742E-5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input_445100!A$2</f>
        <v>445100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IFERROR(VLOOKUP(B146,input_445100!L:R,7,FALSE),VLOOKUP(tables_445100!C146,input_445100!A:H,8,FALSE))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input_445100!A$2</f>
        <v>445100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IFERROR(VLOOKUP(B147,input_445100!L:R,7,FALSE),VLOOKUP(tables_445100!C147,input_445100!A:H,8,FALSE))</f>
        <v>260134.61538</v>
      </c>
      <c r="P147" s="46">
        <f t="shared" ca="1" si="7"/>
        <v>9.4251672238447465E-3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input_445100!A$2</f>
        <v>445100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IFERROR(VLOOKUP(B148,input_445100!L:R,7,FALSE),VLOOKUP(tables_445100!C148,input_445100!A:H,8,FALSE))</f>
        <v>4640.3846199999998</v>
      </c>
      <c r="P148" s="46">
        <f t="shared" ca="1" si="7"/>
        <v>1.6812987753501356E-4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input_445100!A$2</f>
        <v>445100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IFERROR(VLOOKUP(B149,input_445100!L:R,7,FALSE),VLOOKUP(tables_445100!C149,input_445100!A:H,8,FALSE))</f>
        <v>21850</v>
      </c>
      <c r="P149" s="46">
        <f t="shared" ca="1" si="7"/>
        <v>7.9166666666093002E-4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input_445100!A$2</f>
        <v>445100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IFERROR(VLOOKUP(B150,input_445100!L:R,7,FALSE),VLOOKUP(tables_445100!C150,input_445100!A:H,8,FALSE))</f>
        <v>1150</v>
      </c>
      <c r="P150" s="46">
        <f t="shared" ca="1" si="7"/>
        <v>4.1666666666364742E-5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input_445100!A$2</f>
        <v>445100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IFERROR(VLOOKUP(B151,input_445100!L:R,7,FALSE),VLOOKUP(tables_445100!C151,input_445100!A:H,8,FALSE))</f>
        <v>21850</v>
      </c>
      <c r="P151" s="46">
        <f t="shared" ca="1" si="7"/>
        <v>7.9166666666093002E-4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input_445100!A$2</f>
        <v>445100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IFERROR(VLOOKUP(B152,input_445100!L:R,7,FALSE),VLOOKUP(tables_445100!C152,input_445100!A:H,8,FALSE))</f>
        <v>1150</v>
      </c>
      <c r="P152" s="46">
        <f t="shared" ca="1" si="7"/>
        <v>4.1666666666364742E-5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input_445100!A$2</f>
        <v>445100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IFERROR(VLOOKUP(B153,input_445100!L:R,7,FALSE),VLOOKUP(tables_445100!C153,input_445100!A:H,8,FALSE))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input_445100!A$2</f>
        <v>445100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IFERROR(VLOOKUP(B154,input_445100!L:R,7,FALSE),VLOOKUP(tables_445100!C154,input_445100!A:H,8,FALSE))</f>
        <v>260134.61538</v>
      </c>
      <c r="P154" s="46">
        <f t="shared" ca="1" si="7"/>
        <v>9.4251672238447465E-3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input_445100!A$2</f>
        <v>445100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IFERROR(VLOOKUP(B155,input_445100!L:R,7,FALSE),VLOOKUP(tables_445100!C155,input_445100!A:H,8,FALSE))</f>
        <v>4640.3846199999998</v>
      </c>
      <c r="P155" s="46">
        <f t="shared" ca="1" si="7"/>
        <v>1.6812987753501356E-4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input_445100!A$2</f>
        <v>445100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IFERROR(VLOOKUP(B156,input_445100!L:R,7,FALSE),VLOOKUP(tables_445100!C156,input_445100!A:H,8,FALSE))</f>
        <v>21850</v>
      </c>
      <c r="P156" s="46">
        <f t="shared" ca="1" si="7"/>
        <v>7.9166666666093002E-4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input_445100!A$2</f>
        <v>445100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IFERROR(VLOOKUP(B157,input_445100!L:R,7,FALSE),VLOOKUP(tables_445100!C157,input_445100!A:H,8,FALSE))</f>
        <v>1150</v>
      </c>
      <c r="P157" s="46">
        <f t="shared" ca="1" si="7"/>
        <v>4.1666666666364742E-5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input_445100!A$2</f>
        <v>445100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IFERROR(VLOOKUP(B158,input_445100!L:R,7,FALSE),VLOOKUP(tables_445100!C158,input_445100!A:H,8,FALSE))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input_445100!A$2</f>
        <v>445100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IFERROR(VLOOKUP(B159,input_445100!L:R,7,FALSE),VLOOKUP(tables_445100!C159,input_445100!A:H,8,FALSE))</f>
        <v>260134.61538</v>
      </c>
      <c r="P159" s="46">
        <f t="shared" ca="1" si="7"/>
        <v>9.4251672238447465E-3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input_445100!A$2</f>
        <v>445100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IFERROR(VLOOKUP(B160,input_445100!L:R,7,FALSE),VLOOKUP(tables_445100!C160,input_445100!A:H,8,FALSE))</f>
        <v>4640.3846199999998</v>
      </c>
      <c r="P160" s="46">
        <f t="shared" ca="1" si="7"/>
        <v>1.6812987753501356E-4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input_445100!A$2</f>
        <v>445100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IFERROR(VLOOKUP(B161,input_445100!L:R,7,FALSE),VLOOKUP(tables_445100!C161,input_445100!A:H,8,FALSE))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input_445100!A$2</f>
        <v>445100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IFERROR(VLOOKUP(B162,input_445100!L:R,7,FALSE),VLOOKUP(tables_445100!C162,input_445100!A:H,8,FALSE))</f>
        <v>260134.61538</v>
      </c>
      <c r="P162" s="46">
        <f t="shared" ca="1" si="7"/>
        <v>9.4251672238447465E-3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input_445100!A$2</f>
        <v>445100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IFERROR(VLOOKUP(B163,input_445100!L:R,7,FALSE),VLOOKUP(tables_445100!C163,input_445100!A:H,8,FALSE))</f>
        <v>4640.3846199999998</v>
      </c>
      <c r="P163" s="46">
        <f t="shared" ca="1" si="7"/>
        <v>1.6812987753501356E-4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input_445100!A$2</f>
        <v>445100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IFERROR(VLOOKUP(B164,input_445100!L:R,7,FALSE),VLOOKUP(tables_445100!C164,input_445100!A:H,8,FALSE))</f>
        <v>21850</v>
      </c>
      <c r="P164" s="46">
        <f t="shared" ca="1" si="7"/>
        <v>7.9166666666093002E-4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input_445100!A$2</f>
        <v>445100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IFERROR(VLOOKUP(B165,input_445100!L:R,7,FALSE),VLOOKUP(tables_445100!C165,input_445100!A:H,8,FALSE))</f>
        <v>1150</v>
      </c>
      <c r="P165" s="46">
        <f t="shared" ca="1" si="7"/>
        <v>4.1666666666364742E-5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input_445100!A$2</f>
        <v>445100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IFERROR(VLOOKUP(B166,input_445100!L:R,7,FALSE),VLOOKUP(tables_445100!C166,input_445100!A:H,8,FALSE))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input_445100!A$2</f>
        <v>445100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IFERROR(VLOOKUP(B167,input_445100!L:R,7,FALSE),VLOOKUP(tables_445100!C167,input_445100!A:H,8,FALSE))</f>
        <v>260134.61538</v>
      </c>
      <c r="P167" s="46">
        <f t="shared" ca="1" si="7"/>
        <v>9.4251672238447465E-3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input_445100!A$2</f>
        <v>445100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IFERROR(VLOOKUP(B168,input_445100!L:R,7,FALSE),VLOOKUP(tables_445100!C168,input_445100!A:H,8,FALSE))</f>
        <v>4640.3846199999998</v>
      </c>
      <c r="P168" s="46">
        <f t="shared" ca="1" si="7"/>
        <v>1.6812987753501356E-4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input_445100!A$2</f>
        <v>445100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IFERROR(VLOOKUP(B169,input_445100!L:R,7,FALSE),VLOOKUP(tables_445100!C169,input_445100!A:H,8,FALSE))</f>
        <v>21850</v>
      </c>
      <c r="P169" s="46">
        <f t="shared" ca="1" si="7"/>
        <v>7.9166666666093002E-4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input_445100!A$2</f>
        <v>445100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IFERROR(VLOOKUP(B170,input_445100!L:R,7,FALSE),VLOOKUP(tables_445100!C170,input_445100!A:H,8,FALSE))</f>
        <v>1150</v>
      </c>
      <c r="P170" s="46">
        <f t="shared" ca="1" si="7"/>
        <v>4.1666666666364742E-5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input_445100!A$2</f>
        <v>445100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IFERROR(VLOOKUP(B171,input_445100!L:R,7,FALSE),VLOOKUP(tables_445100!C171,input_445100!A:H,8,FALSE))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input_445100!A$2</f>
        <v>445100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IFERROR(VLOOKUP(B172,input_445100!L:R,7,FALSE),VLOOKUP(tables_445100!C172,input_445100!A:H,8,FALSE))</f>
        <v>260134.61538</v>
      </c>
      <c r="P172" s="46">
        <f t="shared" ca="1" si="7"/>
        <v>9.4251672238447465E-3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input_445100!A$2</f>
        <v>445100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IFERROR(VLOOKUP(B173,input_445100!L:R,7,FALSE),VLOOKUP(tables_445100!C173,input_445100!A:H,8,FALSE))</f>
        <v>4640.3846199999998</v>
      </c>
      <c r="P173" s="46">
        <f t="shared" ca="1" si="7"/>
        <v>1.6812987753501356E-4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input_445100!A$2</f>
        <v>445100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IFERROR(VLOOKUP(B174,input_445100!L:R,7,FALSE),VLOOKUP(tables_445100!C174,input_445100!A:H,8,FALSE))</f>
        <v>21850</v>
      </c>
      <c r="P174" s="46">
        <f t="shared" ca="1" si="7"/>
        <v>7.9166666666093002E-4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input_445100!A$2</f>
        <v>445100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IFERROR(VLOOKUP(B175,input_445100!L:R,7,FALSE),VLOOKUP(tables_445100!C175,input_445100!A:H,8,FALSE))</f>
        <v>1150</v>
      </c>
      <c r="P175" s="46">
        <f t="shared" ca="1" si="7"/>
        <v>4.1666666666364742E-5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input_445100!A$2</f>
        <v>445100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IFERROR(VLOOKUP(B176,input_445100!L:R,7,FALSE),VLOOKUP(tables_445100!C176,input_445100!A:H,8,FALSE))</f>
        <v>21850</v>
      </c>
      <c r="P176" s="46">
        <f t="shared" ca="1" si="7"/>
        <v>7.9166666666093002E-4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input_445100!A$2</f>
        <v>445100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IFERROR(VLOOKUP(B177,input_445100!L:R,7,FALSE),VLOOKUP(tables_445100!C177,input_445100!A:H,8,FALSE))</f>
        <v>1150</v>
      </c>
      <c r="P177" s="46">
        <f t="shared" ca="1" si="7"/>
        <v>4.1666666666364742E-5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input_445100!A$2</f>
        <v>445100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IFERROR(VLOOKUP(B178,input_445100!L:R,7,FALSE),VLOOKUP(tables_445100!C178,input_445100!A:H,8,FALSE))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input_445100!A$2</f>
        <v>445100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IFERROR(VLOOKUP(B179,input_445100!L:R,7,FALSE),VLOOKUP(tables_445100!C179,input_445100!A:H,8,FALSE))</f>
        <v>260134.61538</v>
      </c>
      <c r="P179" s="46">
        <f t="shared" ca="1" si="7"/>
        <v>9.4251672238447465E-3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input_445100!A$2</f>
        <v>445100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IFERROR(VLOOKUP(B180,input_445100!L:R,7,FALSE),VLOOKUP(tables_445100!C180,input_445100!A:H,8,FALSE))</f>
        <v>4640.3846199999998</v>
      </c>
      <c r="P180" s="46">
        <f t="shared" ca="1" si="7"/>
        <v>1.6812987753501356E-4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input_445100!A$2</f>
        <v>445100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IFERROR(VLOOKUP(B181,input_445100!L:R,7,FALSE),VLOOKUP(tables_445100!C181,input_445100!A:H,8,FALSE))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input_445100!A$2</f>
        <v>445100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IFERROR(VLOOKUP(B182,input_445100!L:R,7,FALSE),VLOOKUP(tables_445100!C182,input_445100!A:H,8,FALSE))</f>
        <v>260134.61538</v>
      </c>
      <c r="P182" s="46">
        <f t="shared" ca="1" si="7"/>
        <v>9.4251672238447465E-3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input_445100!A$2</f>
        <v>445100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IFERROR(VLOOKUP(B183,input_445100!L:R,7,FALSE),VLOOKUP(tables_445100!C183,input_445100!A:H,8,FALSE))</f>
        <v>4640.3846199999998</v>
      </c>
      <c r="P183" s="46">
        <f t="shared" ca="1" si="7"/>
        <v>1.6812987753501356E-4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input_445100!A$2</f>
        <v>445100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IFERROR(VLOOKUP(B184,input_445100!L:R,7,FALSE),VLOOKUP(tables_445100!C184,input_445100!A:H,8,FALSE))</f>
        <v>21850</v>
      </c>
      <c r="P184" s="46">
        <f t="shared" ca="1" si="7"/>
        <v>7.9166666666093002E-4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input_445100!A$2</f>
        <v>445100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IFERROR(VLOOKUP(B185,input_445100!L:R,7,FALSE),VLOOKUP(tables_445100!C185,input_445100!A:H,8,FALSE))</f>
        <v>1150</v>
      </c>
      <c r="P185" s="46">
        <f t="shared" ca="1" si="7"/>
        <v>4.1666666666364742E-5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input_445100!A$2</f>
        <v>445100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IFERROR(VLOOKUP(B186,input_445100!L:R,7,FALSE),VLOOKUP(tables_445100!C186,input_445100!A:H,8,FALSE))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input_445100!A$2</f>
        <v>445100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IFERROR(VLOOKUP(B187,input_445100!L:R,7,FALSE),VLOOKUP(tables_445100!C187,input_445100!A:H,8,FALSE))</f>
        <v>260134.61538</v>
      </c>
      <c r="P187" s="46">
        <f t="shared" ca="1" si="7"/>
        <v>9.4251672238447465E-3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input_445100!A$2</f>
        <v>445100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IFERROR(VLOOKUP(B188,input_445100!L:R,7,FALSE),VLOOKUP(tables_445100!C188,input_445100!A:H,8,FALSE))</f>
        <v>4640.3846199999998</v>
      </c>
      <c r="P188" s="46">
        <f t="shared" ca="1" si="7"/>
        <v>1.6812987753501356E-4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input_445100!A$2</f>
        <v>445100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IFERROR(VLOOKUP(B189,input_445100!L:R,7,FALSE),VLOOKUP(tables_445100!C189,input_445100!A:H,8,FALSE))</f>
        <v>21850</v>
      </c>
      <c r="P189" s="46">
        <f t="shared" ca="1" si="7"/>
        <v>7.9166666666093002E-4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input_445100!A$2</f>
        <v>445100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IFERROR(VLOOKUP(B190,input_445100!L:R,7,FALSE),VLOOKUP(tables_445100!C190,input_445100!A:H,8,FALSE))</f>
        <v>1150</v>
      </c>
      <c r="P190" s="46">
        <f t="shared" ca="1" si="7"/>
        <v>4.1666666666364742E-5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input_445100!A$2</f>
        <v>445100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IFERROR(VLOOKUP(B191,input_445100!L:R,7,FALSE),VLOOKUP(tables_445100!C191,input_445100!A:H,8,FALSE))</f>
        <v>21850</v>
      </c>
      <c r="P191" s="46">
        <f t="shared" ca="1" si="7"/>
        <v>7.9166666666093002E-4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input_445100!A$2</f>
        <v>445100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IFERROR(VLOOKUP(B192,input_445100!L:R,7,FALSE),VLOOKUP(tables_445100!C192,input_445100!A:H,8,FALSE))</f>
        <v>1150</v>
      </c>
      <c r="P192" s="46">
        <f t="shared" ca="1" si="7"/>
        <v>4.1666666666364742E-5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input_445100!A$2</f>
        <v>445100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IFERROR(VLOOKUP(B193,input_445100!L:R,7,FALSE),VLOOKUP(tables_445100!C193,input_445100!A:H,8,FALSE))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input_445100!A$2</f>
        <v>445100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IFERROR(VLOOKUP(B194,input_445100!L:R,7,FALSE),VLOOKUP(tables_445100!C194,input_445100!A:H,8,FALSE))</f>
        <v>260134.61538</v>
      </c>
      <c r="P194" s="46">
        <f t="shared" ref="P194:P257" ca="1" si="10">O194/SUM(O:O)</f>
        <v>9.4251672238447465E-3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input_445100!A$2</f>
        <v>445100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IFERROR(VLOOKUP(B195,input_445100!L:R,7,FALSE),VLOOKUP(tables_445100!C195,input_445100!A:H,8,FALSE))</f>
        <v>4640.3846199999998</v>
      </c>
      <c r="P195" s="46">
        <f t="shared" ca="1" si="10"/>
        <v>1.6812987753501356E-4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input_445100!A$2</f>
        <v>445100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IFERROR(VLOOKUP(B196,input_445100!L:R,7,FALSE),VLOOKUP(tables_445100!C196,input_445100!A:H,8,FALSE))</f>
        <v>21850</v>
      </c>
      <c r="P196" s="46">
        <f t="shared" ca="1" si="10"/>
        <v>7.9166666666093002E-4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input_445100!A$2</f>
        <v>445100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IFERROR(VLOOKUP(B197,input_445100!L:R,7,FALSE),VLOOKUP(tables_445100!C197,input_445100!A:H,8,FALSE))</f>
        <v>1150</v>
      </c>
      <c r="P197" s="46">
        <f t="shared" ca="1" si="10"/>
        <v>4.1666666666364742E-5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input_445100!A$2</f>
        <v>445100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IFERROR(VLOOKUP(B198,input_445100!L:R,7,FALSE),VLOOKUP(tables_445100!C198,input_445100!A:H,8,FALSE))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input_445100!A$2</f>
        <v>445100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IFERROR(VLOOKUP(B199,input_445100!L:R,7,FALSE),VLOOKUP(tables_445100!C199,input_445100!A:H,8,FALSE))</f>
        <v>260134.61538</v>
      </c>
      <c r="P199" s="46">
        <f t="shared" ca="1" si="10"/>
        <v>9.4251672238447465E-3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input_445100!A$2</f>
        <v>445100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IFERROR(VLOOKUP(B200,input_445100!L:R,7,FALSE),VLOOKUP(tables_445100!C200,input_445100!A:H,8,FALSE))</f>
        <v>4640.3846199999998</v>
      </c>
      <c r="P200" s="46">
        <f t="shared" ca="1" si="10"/>
        <v>1.6812987753501356E-4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input_445100!A$2</f>
        <v>445100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IFERROR(VLOOKUP(B201,input_445100!L:R,7,FALSE),VLOOKUP(tables_445100!C201,input_445100!A:H,8,FALSE))</f>
        <v>21850</v>
      </c>
      <c r="P201" s="46">
        <f t="shared" ca="1" si="10"/>
        <v>7.9166666666093002E-4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input_445100!A$2</f>
        <v>445100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IFERROR(VLOOKUP(B202,input_445100!L:R,7,FALSE),VLOOKUP(tables_445100!C202,input_445100!A:H,8,FALSE))</f>
        <v>1150</v>
      </c>
      <c r="P202" s="46">
        <f t="shared" ca="1" si="10"/>
        <v>4.1666666666364742E-5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input_445100!A$2</f>
        <v>445100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IFERROR(VLOOKUP(B203,input_445100!L:R,7,FALSE),VLOOKUP(tables_445100!C203,input_445100!A:H,8,FALSE))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input_445100!A$2</f>
        <v>445100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IFERROR(VLOOKUP(B204,input_445100!L:R,7,FALSE),VLOOKUP(tables_445100!C204,input_445100!A:H,8,FALSE))</f>
        <v>260134.61538</v>
      </c>
      <c r="P204" s="46">
        <f t="shared" ca="1" si="10"/>
        <v>9.4251672238447465E-3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input_445100!A$2</f>
        <v>445100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IFERROR(VLOOKUP(B205,input_445100!L:R,7,FALSE),VLOOKUP(tables_445100!C205,input_445100!A:H,8,FALSE))</f>
        <v>4640.3846199999998</v>
      </c>
      <c r="P205" s="46">
        <f t="shared" ca="1" si="10"/>
        <v>1.6812987753501356E-4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input_445100!A$2</f>
        <v>445100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IFERROR(VLOOKUP(B206,input_445100!L:R,7,FALSE),VLOOKUP(tables_445100!C206,input_445100!A:H,8,FALSE))</f>
        <v>21850</v>
      </c>
      <c r="P206" s="46">
        <f t="shared" ca="1" si="10"/>
        <v>7.9166666666093002E-4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input_445100!A$2</f>
        <v>445100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IFERROR(VLOOKUP(B207,input_445100!L:R,7,FALSE),VLOOKUP(tables_445100!C207,input_445100!A:H,8,FALSE))</f>
        <v>1150</v>
      </c>
      <c r="P207" s="46">
        <f t="shared" ca="1" si="10"/>
        <v>4.1666666666364742E-5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input_445100!A$2</f>
        <v>445100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IFERROR(VLOOKUP(B208,input_445100!L:R,7,FALSE),VLOOKUP(tables_445100!C208,input_445100!A:H,8,FALSE))</f>
        <v>21850</v>
      </c>
      <c r="P208" s="46">
        <f t="shared" ca="1" si="10"/>
        <v>7.9166666666093002E-4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input_445100!A$2</f>
        <v>445100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IFERROR(VLOOKUP(B209,input_445100!L:R,7,FALSE),VLOOKUP(tables_445100!C209,input_445100!A:H,8,FALSE))</f>
        <v>1150</v>
      </c>
      <c r="P209" s="46">
        <f t="shared" ca="1" si="10"/>
        <v>4.1666666666364742E-5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input_445100!A$2</f>
        <v>445100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IFERROR(VLOOKUP(B210,input_445100!L:R,7,FALSE),VLOOKUP(tables_445100!C210,input_445100!A:H,8,FALSE))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input_445100!A$2</f>
        <v>445100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IFERROR(VLOOKUP(B211,input_445100!L:R,7,FALSE),VLOOKUP(tables_445100!C211,input_445100!A:H,8,FALSE))</f>
        <v>260134.61538</v>
      </c>
      <c r="P211" s="46">
        <f t="shared" ca="1" si="10"/>
        <v>9.4251672238447465E-3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input_445100!A$2</f>
        <v>445100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IFERROR(VLOOKUP(B212,input_445100!L:R,7,FALSE),VLOOKUP(tables_445100!C212,input_445100!A:H,8,FALSE))</f>
        <v>4640.3846199999998</v>
      </c>
      <c r="P212" s="46">
        <f t="shared" ca="1" si="10"/>
        <v>1.6812987753501356E-4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input_445100!A$2</f>
        <v>445100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IFERROR(VLOOKUP(B213,input_445100!L:R,7,FALSE),VLOOKUP(tables_445100!C213,input_445100!A:H,8,FALSE))</f>
        <v>21850</v>
      </c>
      <c r="P213" s="46">
        <f t="shared" ca="1" si="10"/>
        <v>7.9166666666093002E-4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input_445100!A$2</f>
        <v>445100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IFERROR(VLOOKUP(B214,input_445100!L:R,7,FALSE),VLOOKUP(tables_445100!C214,input_445100!A:H,8,FALSE))</f>
        <v>1150</v>
      </c>
      <c r="P214" s="46">
        <f t="shared" ca="1" si="10"/>
        <v>4.1666666666364742E-5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input_445100!A$2</f>
        <v>445100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IFERROR(VLOOKUP(B215,input_445100!L:R,7,FALSE),VLOOKUP(tables_445100!C215,input_445100!A:H,8,FALSE))</f>
        <v>14250</v>
      </c>
      <c r="P215" s="46">
        <f t="shared" ca="1" si="10"/>
        <v>5.1630434782234567E-4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input_445100!A$2</f>
        <v>445100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IFERROR(VLOOKUP(B216,input_445100!L:R,7,FALSE),VLOOKUP(tables_445100!C216,input_445100!A:H,8,FALSE))</f>
        <v>14250</v>
      </c>
      <c r="P216" s="46">
        <f t="shared" ca="1" si="10"/>
        <v>5.1630434782234567E-4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input_445100!A$2</f>
        <v>445100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IFERROR(VLOOKUP(B217,input_445100!L:R,7,FALSE),VLOOKUP(tables_445100!C217,input_445100!A:H,8,FALSE))</f>
        <v>14250</v>
      </c>
      <c r="P217" s="46">
        <f t="shared" ca="1" si="10"/>
        <v>5.1630434782234567E-4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input_445100!A$2</f>
        <v>445100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IFERROR(VLOOKUP(B218,input_445100!L:R,7,FALSE),VLOOKUP(tables_445100!C218,input_445100!A:H,8,FALSE))</f>
        <v>14250</v>
      </c>
      <c r="P218" s="46">
        <f t="shared" ca="1" si="10"/>
        <v>5.1630434782234567E-4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input_445100!A$2</f>
        <v>445100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IFERROR(VLOOKUP(B219,input_445100!L:R,7,FALSE),VLOOKUP(tables_445100!C219,input_445100!A:H,8,FALSE))</f>
        <v>14250</v>
      </c>
      <c r="P219" s="46">
        <f t="shared" ca="1" si="10"/>
        <v>5.1630434782234567E-4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input_445100!A$2</f>
        <v>445100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IFERROR(VLOOKUP(B220,input_445100!L:R,7,FALSE),VLOOKUP(tables_445100!C220,input_445100!A:H,8,FALSE))</f>
        <v>14250</v>
      </c>
      <c r="P220" s="46">
        <f t="shared" ca="1" si="10"/>
        <v>5.1630434782234567E-4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input_445100!A$2</f>
        <v>445100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IFERROR(VLOOKUP(B221,input_445100!L:R,7,FALSE),VLOOKUP(tables_445100!C221,input_445100!A:H,8,FALSE))</f>
        <v>21850</v>
      </c>
      <c r="P221" s="46">
        <f t="shared" ca="1" si="10"/>
        <v>7.9166666666093002E-4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input_445100!A$2</f>
        <v>445100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IFERROR(VLOOKUP(B222,input_445100!L:R,7,FALSE),VLOOKUP(tables_445100!C222,input_445100!A:H,8,FALSE))</f>
        <v>1150</v>
      </c>
      <c r="P222" s="46">
        <f t="shared" ca="1" si="10"/>
        <v>4.1666666666364742E-5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input_445100!A$2</f>
        <v>445100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IFERROR(VLOOKUP(B223,input_445100!L:R,7,FALSE),VLOOKUP(tables_445100!C223,input_445100!A:H,8,FALSE))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input_445100!A$2</f>
        <v>445100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IFERROR(VLOOKUP(B224,input_445100!L:R,7,FALSE),VLOOKUP(tables_445100!C224,input_445100!A:H,8,FALSE))</f>
        <v>260134.61538</v>
      </c>
      <c r="P224" s="46">
        <f t="shared" ca="1" si="10"/>
        <v>9.4251672238447465E-3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input_445100!A$2</f>
        <v>445100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IFERROR(VLOOKUP(B225,input_445100!L:R,7,FALSE),VLOOKUP(tables_445100!C225,input_445100!A:H,8,FALSE))</f>
        <v>4640.3846199999998</v>
      </c>
      <c r="P225" s="46">
        <f t="shared" ca="1" si="10"/>
        <v>1.6812987753501356E-4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input_445100!A$2</f>
        <v>445100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IFERROR(VLOOKUP(B226,input_445100!L:R,7,FALSE),VLOOKUP(tables_445100!C226,input_445100!A:H,8,FALSE))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input_445100!A$2</f>
        <v>445100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IFERROR(VLOOKUP(B227,input_445100!L:R,7,FALSE),VLOOKUP(tables_445100!C227,input_445100!A:H,8,FALSE))</f>
        <v>260134.61538</v>
      </c>
      <c r="P227" s="46">
        <f t="shared" ca="1" si="10"/>
        <v>9.4251672238447465E-3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input_445100!A$2</f>
        <v>445100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IFERROR(VLOOKUP(B228,input_445100!L:R,7,FALSE),VLOOKUP(tables_445100!C228,input_445100!A:H,8,FALSE))</f>
        <v>4640.3846199999998</v>
      </c>
      <c r="P228" s="46">
        <f t="shared" ca="1" si="10"/>
        <v>1.6812987753501356E-4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input_445100!A$2</f>
        <v>445100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IFERROR(VLOOKUP(B229,input_445100!L:R,7,FALSE),VLOOKUP(tables_445100!C229,input_445100!A:H,8,FALSE))</f>
        <v>21850</v>
      </c>
      <c r="P229" s="46">
        <f t="shared" ca="1" si="10"/>
        <v>7.9166666666093002E-4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input_445100!A$2</f>
        <v>445100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IFERROR(VLOOKUP(B230,input_445100!L:R,7,FALSE),VLOOKUP(tables_445100!C230,input_445100!A:H,8,FALSE))</f>
        <v>1150</v>
      </c>
      <c r="P230" s="46">
        <f t="shared" ca="1" si="10"/>
        <v>4.1666666666364742E-5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input_445100!A$2</f>
        <v>445100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IFERROR(VLOOKUP(B231,input_445100!L:R,7,FALSE),VLOOKUP(tables_445100!C231,input_445100!A:H,8,FALSE))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input_445100!A$2</f>
        <v>445100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IFERROR(VLOOKUP(B232,input_445100!L:R,7,FALSE),VLOOKUP(tables_445100!C232,input_445100!A:H,8,FALSE))</f>
        <v>260134.61538</v>
      </c>
      <c r="P232" s="46">
        <f t="shared" ca="1" si="10"/>
        <v>9.4251672238447465E-3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input_445100!A$2</f>
        <v>445100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IFERROR(VLOOKUP(B233,input_445100!L:R,7,FALSE),VLOOKUP(tables_445100!C233,input_445100!A:H,8,FALSE))</f>
        <v>4640.3846199999998</v>
      </c>
      <c r="P233" s="46">
        <f t="shared" ca="1" si="10"/>
        <v>1.6812987753501356E-4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input_445100!A$2</f>
        <v>445100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IFERROR(VLOOKUP(B234,input_445100!L:R,7,FALSE),VLOOKUP(tables_445100!C234,input_445100!A:H,8,FALSE))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input_445100!A$2</f>
        <v>445100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IFERROR(VLOOKUP(B235,input_445100!L:R,7,FALSE),VLOOKUP(tables_445100!C235,input_445100!A:H,8,FALSE))</f>
        <v>260134.61538</v>
      </c>
      <c r="P235" s="46">
        <f t="shared" ca="1" si="10"/>
        <v>9.4251672238447465E-3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input_445100!A$2</f>
        <v>445100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IFERROR(VLOOKUP(B236,input_445100!L:R,7,FALSE),VLOOKUP(tables_445100!C236,input_445100!A:H,8,FALSE))</f>
        <v>4640.3846199999998</v>
      </c>
      <c r="P236" s="46">
        <f t="shared" ca="1" si="10"/>
        <v>1.6812987753501356E-4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input_445100!A$2</f>
        <v>445100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IFERROR(VLOOKUP(B237,input_445100!L:R,7,FALSE),VLOOKUP(tables_445100!C237,input_445100!A:H,8,FALSE))</f>
        <v>21850</v>
      </c>
      <c r="P237" s="46">
        <f t="shared" ca="1" si="10"/>
        <v>7.9166666666093002E-4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input_445100!A$2</f>
        <v>445100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IFERROR(VLOOKUP(B238,input_445100!L:R,7,FALSE),VLOOKUP(tables_445100!C238,input_445100!A:H,8,FALSE))</f>
        <v>1150</v>
      </c>
      <c r="P238" s="46">
        <f t="shared" ca="1" si="10"/>
        <v>4.1666666666364742E-5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input_445100!A$2</f>
        <v>445100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IFERROR(VLOOKUP(B239,input_445100!L:R,7,FALSE),VLOOKUP(tables_445100!C239,input_445100!A:H,8,FALSE))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input_445100!A$2</f>
        <v>445100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IFERROR(VLOOKUP(B240,input_445100!L:R,7,FALSE),VLOOKUP(tables_445100!C240,input_445100!A:H,8,FALSE))</f>
        <v>260134.61538</v>
      </c>
      <c r="P240" s="46">
        <f t="shared" ca="1" si="10"/>
        <v>9.4251672238447465E-3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input_445100!A$2</f>
        <v>445100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IFERROR(VLOOKUP(B241,input_445100!L:R,7,FALSE),VLOOKUP(tables_445100!C241,input_445100!A:H,8,FALSE))</f>
        <v>4640.3846199999998</v>
      </c>
      <c r="P241" s="46">
        <f t="shared" ca="1" si="10"/>
        <v>1.6812987753501356E-4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input_445100!A$2</f>
        <v>445100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IFERROR(VLOOKUP(B242,input_445100!L:R,7,FALSE),VLOOKUP(tables_445100!C242,input_445100!A:H,8,FALSE))</f>
        <v>21850</v>
      </c>
      <c r="P242" s="46">
        <f t="shared" ca="1" si="10"/>
        <v>7.9166666666093002E-4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input_445100!A$2</f>
        <v>445100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IFERROR(VLOOKUP(B243,input_445100!L:R,7,FALSE),VLOOKUP(tables_445100!C243,input_445100!A:H,8,FALSE))</f>
        <v>1150</v>
      </c>
      <c r="P243" s="46">
        <f t="shared" ca="1" si="10"/>
        <v>4.1666666666364742E-5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input_445100!A$2</f>
        <v>445100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IFERROR(VLOOKUP(B244,input_445100!L:R,7,FALSE),VLOOKUP(tables_445100!C244,input_445100!A:H,8,FALSE))</f>
        <v>21850</v>
      </c>
      <c r="P244" s="46">
        <f t="shared" ca="1" si="10"/>
        <v>7.9166666666093002E-4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input_445100!A$2</f>
        <v>445100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IFERROR(VLOOKUP(B245,input_445100!L:R,7,FALSE),VLOOKUP(tables_445100!C245,input_445100!A:H,8,FALSE))</f>
        <v>1150</v>
      </c>
      <c r="P245" s="46">
        <f t="shared" ca="1" si="10"/>
        <v>4.1666666666364742E-5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input_445100!A$2</f>
        <v>445100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IFERROR(VLOOKUP(B246,input_445100!L:R,7,FALSE),VLOOKUP(tables_445100!C246,input_445100!A:H,8,FALSE))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input_445100!A$2</f>
        <v>445100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IFERROR(VLOOKUP(B247,input_445100!L:R,7,FALSE),VLOOKUP(tables_445100!C247,input_445100!A:H,8,FALSE))</f>
        <v>260134.61538</v>
      </c>
      <c r="P247" s="46">
        <f t="shared" ca="1" si="10"/>
        <v>9.4251672238447465E-3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input_445100!A$2</f>
        <v>445100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IFERROR(VLOOKUP(B248,input_445100!L:R,7,FALSE),VLOOKUP(tables_445100!C248,input_445100!A:H,8,FALSE))</f>
        <v>4640.3846199999998</v>
      </c>
      <c r="P248" s="46">
        <f t="shared" ca="1" si="10"/>
        <v>1.6812987753501356E-4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input_445100!A$2</f>
        <v>445100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IFERROR(VLOOKUP(B249,input_445100!L:R,7,FALSE),VLOOKUP(tables_445100!C249,input_445100!A:H,8,FALSE))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input_445100!A$2</f>
        <v>445100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IFERROR(VLOOKUP(B250,input_445100!L:R,7,FALSE),VLOOKUP(tables_445100!C250,input_445100!A:H,8,FALSE))</f>
        <v>260134.61538</v>
      </c>
      <c r="P250" s="46">
        <f t="shared" ca="1" si="10"/>
        <v>9.4251672238447465E-3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input_445100!A$2</f>
        <v>445100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IFERROR(VLOOKUP(B251,input_445100!L:R,7,FALSE),VLOOKUP(tables_445100!C251,input_445100!A:H,8,FALSE))</f>
        <v>4640.3846199999998</v>
      </c>
      <c r="P251" s="46">
        <f t="shared" ca="1" si="10"/>
        <v>1.6812987753501356E-4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input_445100!A$2</f>
        <v>445100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IFERROR(VLOOKUP(B252,input_445100!L:R,7,FALSE),VLOOKUP(tables_445100!C252,input_445100!A:H,8,FALSE))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input_445100!A$2</f>
        <v>445100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IFERROR(VLOOKUP(B253,input_445100!L:R,7,FALSE),VLOOKUP(tables_445100!C253,input_445100!A:H,8,FALSE))</f>
        <v>260134.61538</v>
      </c>
      <c r="P253" s="46">
        <f t="shared" ca="1" si="10"/>
        <v>9.4251672238447465E-3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input_445100!A$2</f>
        <v>445100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IFERROR(VLOOKUP(B254,input_445100!L:R,7,FALSE),VLOOKUP(tables_445100!C254,input_445100!A:H,8,FALSE))</f>
        <v>4640.3846199999998</v>
      </c>
      <c r="P254" s="46">
        <f t="shared" ca="1" si="10"/>
        <v>1.6812987753501356E-4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input_445100!A$2</f>
        <v>445100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IFERROR(VLOOKUP(B255,input_445100!L:R,7,FALSE),VLOOKUP(tables_445100!C255,input_445100!A:H,8,FALSE))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input_445100!A$2</f>
        <v>445100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IFERROR(VLOOKUP(B256,input_445100!L:R,7,FALSE),VLOOKUP(tables_445100!C256,input_445100!A:H,8,FALSE))</f>
        <v>260134.61538</v>
      </c>
      <c r="P256" s="46">
        <f t="shared" ca="1" si="10"/>
        <v>9.4251672238447465E-3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input_445100!A$2</f>
        <v>445100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IFERROR(VLOOKUP(B257,input_445100!L:R,7,FALSE),VLOOKUP(tables_445100!C257,input_445100!A:H,8,FALSE))</f>
        <v>4640.3846199999998</v>
      </c>
      <c r="P257" s="46">
        <f t="shared" ca="1" si="10"/>
        <v>1.6812987753501356E-4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input_445100!A$2</f>
        <v>445100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IFERROR(VLOOKUP(B258,input_445100!L:R,7,FALSE),VLOOKUP(tables_445100!C258,input_445100!A:H,8,FALSE))</f>
        <v>21850</v>
      </c>
      <c r="P258" s="46">
        <f t="shared" ref="P258:P294" ca="1" si="13">O258/SUM(O:O)</f>
        <v>7.9166666666093002E-4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input_445100!A$2</f>
        <v>445100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IFERROR(VLOOKUP(B259,input_445100!L:R,7,FALSE),VLOOKUP(tables_445100!C259,input_445100!A:H,8,FALSE))</f>
        <v>1150</v>
      </c>
      <c r="P259" s="46">
        <f t="shared" ca="1" si="13"/>
        <v>4.1666666666364742E-5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input_445100!A$2</f>
        <v>445100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IFERROR(VLOOKUP(B260,input_445100!L:R,7,FALSE),VLOOKUP(tables_445100!C260,input_445100!A:H,8,FALSE))</f>
        <v>21850</v>
      </c>
      <c r="P260" s="46">
        <f t="shared" ca="1" si="13"/>
        <v>7.9166666666093002E-4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input_445100!A$2</f>
        <v>445100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IFERROR(VLOOKUP(B261,input_445100!L:R,7,FALSE),VLOOKUP(tables_445100!C261,input_445100!A:H,8,FALSE))</f>
        <v>1150</v>
      </c>
      <c r="P261" s="46">
        <f t="shared" ca="1" si="13"/>
        <v>4.1666666666364742E-5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input_445100!A$2</f>
        <v>445100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IFERROR(VLOOKUP(B262,input_445100!L:R,7,FALSE),VLOOKUP(tables_445100!C262,input_445100!A:H,8,FALSE))</f>
        <v>265406.25</v>
      </c>
      <c r="P262" s="46">
        <f t="shared" ca="1" si="13"/>
        <v>9.6161684781911894E-3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input_445100!A$2</f>
        <v>445100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IFERROR(VLOOKUP(B263,input_445100!L:R,7,FALSE),VLOOKUP(tables_445100!C263,input_445100!A:H,8,FALSE))</f>
        <v>14250</v>
      </c>
      <c r="P263" s="46">
        <f t="shared" ca="1" si="13"/>
        <v>5.1630434782234567E-4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input_445100!A$2</f>
        <v>445100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IFERROR(VLOOKUP(B264,input_445100!L:R,7,FALSE),VLOOKUP(tables_445100!C264,input_445100!A:H,8,FALSE))</f>
        <v>265406.25</v>
      </c>
      <c r="P264" s="46">
        <f t="shared" ca="1" si="13"/>
        <v>9.6161684781911894E-3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input_445100!A$2</f>
        <v>445100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IFERROR(VLOOKUP(B265,input_445100!L:R,7,FALSE),VLOOKUP(tables_445100!C265,input_445100!A:H,8,FALSE))</f>
        <v>14250</v>
      </c>
      <c r="P265" s="46">
        <f t="shared" ca="1" si="13"/>
        <v>5.1630434782234567E-4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input_445100!A$2</f>
        <v>445100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IFERROR(VLOOKUP(B266,input_445100!L:R,7,FALSE),VLOOKUP(tables_445100!C266,input_445100!A:H,8,FALSE))</f>
        <v>23000</v>
      </c>
      <c r="P266" s="46">
        <f t="shared" ca="1" si="13"/>
        <v>8.3333333332729481E-4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input_445100!A$2</f>
        <v>445100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IFERROR(VLOOKUP(B267,input_445100!L:R,7,FALSE),VLOOKUP(tables_445100!C267,input_445100!A:H,8,FALSE))</f>
        <v>23000</v>
      </c>
      <c r="P267" s="46">
        <f t="shared" ca="1" si="13"/>
        <v>8.3333333332729481E-4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input_445100!A$2</f>
        <v>445100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IFERROR(VLOOKUP(B268,input_445100!L:R,7,FALSE),VLOOKUP(tables_445100!C268,input_445100!A:H,8,FALSE))</f>
        <v>23000</v>
      </c>
      <c r="P268" s="46">
        <f t="shared" ca="1" si="13"/>
        <v>8.3333333332729481E-4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input_445100!A$2</f>
        <v>445100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IFERROR(VLOOKUP(B269,input_445100!L:R,7,FALSE),VLOOKUP(tables_445100!C269,input_445100!A:H,8,FALSE))</f>
        <v>23000</v>
      </c>
      <c r="P269" s="46">
        <f t="shared" ca="1" si="13"/>
        <v>8.3333333332729481E-4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input_445100!A$2</f>
        <v>445100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IFERROR(VLOOKUP(B270,input_445100!L:R,7,FALSE),VLOOKUP(tables_445100!C270,input_445100!A:H,8,FALSE))</f>
        <v>265406.25</v>
      </c>
      <c r="P270" s="46">
        <f t="shared" ca="1" si="13"/>
        <v>9.6161684781911894E-3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input_445100!A$2</f>
        <v>445100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IFERROR(VLOOKUP(B271,input_445100!L:R,7,FALSE),VLOOKUP(tables_445100!C271,input_445100!A:H,8,FALSE))</f>
        <v>14250</v>
      </c>
      <c r="P271" s="46">
        <f t="shared" ca="1" si="13"/>
        <v>5.1630434782234567E-4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input_445100!A$2</f>
        <v>445100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IFERROR(VLOOKUP(B272,input_445100!L:R,7,FALSE),VLOOKUP(tables_445100!C272,input_445100!A:H,8,FALSE))</f>
        <v>265406.25</v>
      </c>
      <c r="P272" s="46">
        <f t="shared" ca="1" si="13"/>
        <v>9.6161684781911894E-3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input_445100!A$2</f>
        <v>445100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IFERROR(VLOOKUP(B273,input_445100!L:R,7,FALSE),VLOOKUP(tables_445100!C273,input_445100!A:H,8,FALSE))</f>
        <v>14250</v>
      </c>
      <c r="P273" s="46">
        <f t="shared" ca="1" si="13"/>
        <v>5.1630434782234567E-4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input_445100!A$2</f>
        <v>445100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IFERROR(VLOOKUP(B274,input_445100!L:R,7,FALSE),VLOOKUP(tables_445100!C274,input_445100!A:H,8,FALSE))</f>
        <v>21850</v>
      </c>
      <c r="P274" s="46">
        <f t="shared" ca="1" si="13"/>
        <v>7.9166666666093002E-4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input_445100!A$2</f>
        <v>445100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IFERROR(VLOOKUP(B275,input_445100!L:R,7,FALSE),VLOOKUP(tables_445100!C275,input_445100!A:H,8,FALSE))</f>
        <v>1150</v>
      </c>
      <c r="P275" s="46">
        <f t="shared" ca="1" si="13"/>
        <v>4.1666666666364742E-5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input_445100!A$2</f>
        <v>445100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IFERROR(VLOOKUP(B276,input_445100!L:R,7,FALSE),VLOOKUP(tables_445100!C276,input_445100!A:H,8,FALSE))</f>
        <v>21850</v>
      </c>
      <c r="P276" s="46">
        <f t="shared" ca="1" si="13"/>
        <v>7.9166666666093002E-4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input_445100!A$2</f>
        <v>445100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IFERROR(VLOOKUP(B277,input_445100!L:R,7,FALSE),VLOOKUP(tables_445100!C277,input_445100!A:H,8,FALSE))</f>
        <v>1150</v>
      </c>
      <c r="P277" s="46">
        <f t="shared" ca="1" si="13"/>
        <v>4.1666666666364742E-5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input_445100!A$2</f>
        <v>445100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IFERROR(VLOOKUP(B278,input_445100!L:R,7,FALSE),VLOOKUP(tables_445100!C278,input_445100!A:H,8,FALSE))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input_445100!A$2</f>
        <v>445100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IFERROR(VLOOKUP(B279,input_445100!L:R,7,FALSE),VLOOKUP(tables_445100!C279,input_445100!A:H,8,FALSE))</f>
        <v>260134.61538</v>
      </c>
      <c r="P279" s="46">
        <f t="shared" ca="1" si="13"/>
        <v>9.4251672238447465E-3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input_445100!A$2</f>
        <v>445100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IFERROR(VLOOKUP(B280,input_445100!L:R,7,FALSE),VLOOKUP(tables_445100!C280,input_445100!A:H,8,FALSE))</f>
        <v>4640.3846199999998</v>
      </c>
      <c r="P280" s="46">
        <f t="shared" ca="1" si="13"/>
        <v>1.6812987753501356E-4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input_445100!A$2</f>
        <v>445100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IFERROR(VLOOKUP(B281,input_445100!L:R,7,FALSE),VLOOKUP(tables_445100!C281,input_445100!A:H,8,FALSE))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input_445100!A$2</f>
        <v>445100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IFERROR(VLOOKUP(B282,input_445100!L:R,7,FALSE),VLOOKUP(tables_445100!C282,input_445100!A:H,8,FALSE))</f>
        <v>260134.61538</v>
      </c>
      <c r="P282" s="46">
        <f t="shared" ca="1" si="13"/>
        <v>9.4251672238447465E-3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input_445100!A$2</f>
        <v>445100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IFERROR(VLOOKUP(B283,input_445100!L:R,7,FALSE),VLOOKUP(tables_445100!C283,input_445100!A:H,8,FALSE))</f>
        <v>4640.3846199999998</v>
      </c>
      <c r="P283" s="46">
        <f t="shared" ca="1" si="13"/>
        <v>1.6812987753501356E-4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input_445100!A$2</f>
        <v>445100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IFERROR(VLOOKUP(B284,input_445100!L:R,7,FALSE),VLOOKUP(tables_445100!C284,input_445100!A:H,8,FALSE))</f>
        <v>23000</v>
      </c>
      <c r="P284" s="46">
        <f t="shared" ca="1" si="13"/>
        <v>8.3333333332729481E-4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input_445100!A$2</f>
        <v>445100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IFERROR(VLOOKUP(B285,input_445100!L:R,7,FALSE),VLOOKUP(tables_445100!C285,input_445100!A:H,8,FALSE))</f>
        <v>23000</v>
      </c>
      <c r="P285" s="46">
        <f t="shared" ca="1" si="13"/>
        <v>8.3333333332729481E-4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input_445100!A$2</f>
        <v>445100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IFERROR(VLOOKUP(B286,input_445100!L:R,7,FALSE),VLOOKUP(tables_445100!C286,input_445100!A:H,8,FALSE))</f>
        <v>265406.25</v>
      </c>
      <c r="P286" s="46">
        <f t="shared" ca="1" si="13"/>
        <v>9.6161684781911894E-3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input_445100!A$2</f>
        <v>445100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IFERROR(VLOOKUP(B287,input_445100!L:R,7,FALSE),VLOOKUP(tables_445100!C287,input_445100!A:H,8,FALSE))</f>
        <v>14250</v>
      </c>
      <c r="P287" s="46">
        <f t="shared" ca="1" si="13"/>
        <v>5.1630434782234567E-4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input_445100!A$2</f>
        <v>445100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IFERROR(VLOOKUP(B288,input_445100!L:R,7,FALSE),VLOOKUP(tables_445100!C288,input_445100!A:H,8,FALSE))</f>
        <v>265406.25</v>
      </c>
      <c r="P288" s="46">
        <f t="shared" ca="1" si="13"/>
        <v>9.6161684781911894E-3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input_445100!A$2</f>
        <v>445100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IFERROR(VLOOKUP(B289,input_445100!L:R,7,FALSE),VLOOKUP(tables_445100!C289,input_445100!A:H,8,FALSE))</f>
        <v>14250</v>
      </c>
      <c r="P289" s="46">
        <f t="shared" ca="1" si="13"/>
        <v>5.1630434782234567E-4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input_445100!A$2</f>
        <v>445100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IFERROR(VLOOKUP(B290,input_445100!L:R,7,FALSE),VLOOKUP(tables_445100!C290,input_445100!A:H,8,FALSE))</f>
        <v>265406.25</v>
      </c>
      <c r="P290" s="46">
        <f t="shared" ca="1" si="13"/>
        <v>9.6161684781911894E-3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input_445100!A$2</f>
        <v>445100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IFERROR(VLOOKUP(B291,input_445100!L:R,7,FALSE),VLOOKUP(tables_445100!C291,input_445100!A:H,8,FALSE))</f>
        <v>14250</v>
      </c>
      <c r="P291" s="46">
        <f t="shared" ca="1" si="13"/>
        <v>5.1630434782234567E-4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input_445100!A$2</f>
        <v>445100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IFERROR(VLOOKUP(B292,input_445100!L:R,7,FALSE),VLOOKUP(tables_445100!C292,input_445100!A:H,8,FALSE))</f>
        <v>265406.25</v>
      </c>
      <c r="P292" s="46">
        <f t="shared" ca="1" si="13"/>
        <v>9.6161684781911894E-3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input_445100!A$2</f>
        <v>445100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IFERROR(VLOOKUP(B293,input_445100!L:R,7,FALSE),VLOOKUP(tables_445100!C293,input_445100!A:H,8,FALSE))</f>
        <v>14250</v>
      </c>
      <c r="P293" s="46">
        <f t="shared" ca="1" si="13"/>
        <v>5.1630434782234567E-4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input_445100!A$2</f>
        <v>445100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IFERROR(VLOOKUP(B294,input_445100!L:R,7,FALSE),VLOOKUP(tables_445100!C294,input_445100!A:H,8,FALSE))</f>
        <v>23000</v>
      </c>
      <c r="P294" s="46">
        <f t="shared" ca="1" si="13"/>
        <v>8.3333333332729481E-4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input_445100!A$2</f>
        <v>445100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IFERROR(VLOOKUP(B295,input_445100!L:R,7,FALSE),VLOOKUP(tables_445100!C295,input_445100!A:H,8,FALSE))</f>
        <v>23000</v>
      </c>
      <c r="P295" s="46">
        <f t="shared" ref="P295:P299" ca="1" si="20">O295/SUM(O:O)</f>
        <v>8.3333333332729481E-4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input_445100!A$2</f>
        <v>445100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IFERROR(VLOOKUP(B296,input_445100!L:R,7,FALSE),VLOOKUP(tables_445100!C296,input_445100!A:H,8,FALSE))</f>
        <v>23000</v>
      </c>
      <c r="P296" s="46">
        <f t="shared" ca="1" si="20"/>
        <v>8.3333333332729481E-4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input_445100!A$2</f>
        <v>445100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IFERROR(VLOOKUP(B297,input_445100!L:R,7,FALSE),VLOOKUP(tables_445100!C297,input_445100!A:H,8,FALSE))</f>
        <v>265406.25</v>
      </c>
      <c r="P297" s="46">
        <f t="shared" ca="1" si="20"/>
        <v>9.6161684781911894E-3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input_445100!A$2</f>
        <v>445100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IFERROR(VLOOKUP(B298,input_445100!L:R,7,FALSE),VLOOKUP(tables_445100!C298,input_445100!A:H,8,FALSE))</f>
        <v>14250</v>
      </c>
      <c r="P298" s="46">
        <f t="shared" ca="1" si="20"/>
        <v>5.1630434782234567E-4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input_445100!A$2</f>
        <v>445100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IFERROR(VLOOKUP(B299,input_445100!L:R,7,FALSE),VLOOKUP(tables_445100!C299,input_445100!A:H,8,FALSE))</f>
        <v>23000</v>
      </c>
      <c r="P299" s="46">
        <f t="shared" ca="1" si="20"/>
        <v>8.3333333332729481E-4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input_445100!A$2</f>
        <v>445100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IFERROR(VLOOKUP(B300,input_445100!L:R,7,FALSE),VLOOKUP(tables_445100!C300,input_445100!A:H,8,FALSE))</f>
        <v>23000</v>
      </c>
      <c r="P300" s="46">
        <f t="shared" ref="P300:P304" ca="1" si="22">O300/SUM(O:O)</f>
        <v>8.3333333332729481E-4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input_445100!A$2</f>
        <v>445100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IFERROR(VLOOKUP(B301,input_445100!L:R,7,FALSE),VLOOKUP(tables_445100!C301,input_445100!A:H,8,FALSE))</f>
        <v>23000</v>
      </c>
      <c r="P301" s="46">
        <f t="shared" ca="1" si="22"/>
        <v>8.3333333332729481E-4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input_445100!A$2</f>
        <v>445100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IFERROR(VLOOKUP(B302,input_445100!L:R,7,FALSE),VLOOKUP(tables_445100!C302,input_445100!A:H,8,FALSE))</f>
        <v>23000</v>
      </c>
      <c r="P302" s="46">
        <f t="shared" ca="1" si="22"/>
        <v>8.3333333332729481E-4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input_445100!A$2</f>
        <v>445100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IFERROR(VLOOKUP(B303,input_445100!L:R,7,FALSE),VLOOKUP(tables_445100!C303,input_445100!A:H,8,FALSE))</f>
        <v>265406.25</v>
      </c>
      <c r="P303" s="46">
        <f t="shared" ca="1" si="22"/>
        <v>9.6161684781911894E-3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input_445100!A$2</f>
        <v>445100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IFERROR(VLOOKUP(B304,input_445100!L:R,7,FALSE),VLOOKUP(tables_445100!C304,input_445100!A:H,8,FALSE))</f>
        <v>14250</v>
      </c>
      <c r="P304" s="46">
        <f t="shared" ca="1" si="22"/>
        <v>5.1630434782234567E-4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input_445100!A$2</f>
        <v>445100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IFERROR(VLOOKUP(B305,input_445100!L:R,7,FALSE),VLOOKUP(tables_445100!C305,input_445100!A:H,8,FALSE))</f>
        <v>23000</v>
      </c>
      <c r="P305" s="46">
        <f t="shared" ref="P305:P308" ca="1" si="24">O305/SUM(O:O)</f>
        <v>8.3333333332729481E-4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input_445100!A$2</f>
        <v>445100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IFERROR(VLOOKUP(B306,input_445100!L:R,7,FALSE),VLOOKUP(tables_445100!C306,input_445100!A:H,8,FALSE))</f>
        <v>265406.25</v>
      </c>
      <c r="P306" s="46">
        <f t="shared" ca="1" si="24"/>
        <v>9.6161684781911894E-3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input_445100!A$2</f>
        <v>445100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IFERROR(VLOOKUP(B307,input_445100!L:R,7,FALSE),VLOOKUP(tables_445100!C307,input_445100!A:H,8,FALSE))</f>
        <v>14250</v>
      </c>
      <c r="P307" s="46">
        <f t="shared" ca="1" si="24"/>
        <v>5.1630434782234567E-4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input_445100!A$2</f>
        <v>445100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IFERROR(VLOOKUP(B308,input_445100!L:R,7,FALSE),VLOOKUP(tables_445100!C308,input_445100!A:H,8,FALSE))</f>
        <v>23000</v>
      </c>
      <c r="P308" s="46">
        <f t="shared" ca="1" si="24"/>
        <v>8.3333333332729481E-4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input_445100!A$2</f>
        <v>445100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IFERROR(VLOOKUP(B309,input_445100!L:R,7,FALSE),VLOOKUP(tables_445100!C309,input_445100!A:H,8,FALSE))</f>
        <v>23000</v>
      </c>
      <c r="P309" s="46">
        <f t="shared" ref="P309" ca="1" si="26">O309/SUM(O:O)</f>
        <v>8.3333333332729481E-4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input_445100!A$2</f>
        <v>445100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IFERROR(VLOOKUP(B310,input_445100!L:R,7,FALSE),VLOOKUP(tables_445100!C310,input_445100!A:H,8,FALSE))</f>
        <v>23000</v>
      </c>
      <c r="P310" s="46">
        <f t="shared" ref="P310:P314" ca="1" si="28">O310/SUM(O:O)</f>
        <v>8.3333333332729481E-4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input_445100!A$2</f>
        <v>445100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IFERROR(VLOOKUP(B311,input_445100!L:R,7,FALSE),VLOOKUP(tables_445100!C311,input_445100!A:H,8,FALSE))</f>
        <v>265406.25</v>
      </c>
      <c r="P311" s="46">
        <f t="shared" ca="1" si="28"/>
        <v>9.6161684781911894E-3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input_445100!A$2</f>
        <v>445100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IFERROR(VLOOKUP(B312,input_445100!L:R,7,FALSE),VLOOKUP(tables_445100!C312,input_445100!A:H,8,FALSE))</f>
        <v>14250</v>
      </c>
      <c r="P312" s="46">
        <f t="shared" ca="1" si="28"/>
        <v>5.1630434782234567E-4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input_445100!A$2</f>
        <v>445100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IFERROR(VLOOKUP(B313,input_445100!L:R,7,FALSE),VLOOKUP(tables_445100!C313,input_445100!A:H,8,FALSE))</f>
        <v>23000</v>
      </c>
      <c r="P313" s="46">
        <f t="shared" ca="1" si="28"/>
        <v>8.3333333332729481E-4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input_445100!A$2</f>
        <v>445100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IFERROR(VLOOKUP(B314,input_445100!L:R,7,FALSE),VLOOKUP(tables_445100!C314,input_445100!A:H,8,FALSE))</f>
        <v>23000</v>
      </c>
      <c r="P314" s="46">
        <f t="shared" ca="1" si="28"/>
        <v>8.3333333332729481E-4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input_445100!A$2</f>
        <v>445100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IFERROR(VLOOKUP(B315,input_445100!L:R,7,FALSE),VLOOKUP(tables_445100!C315,input_445100!A:H,8,FALSE))</f>
        <v>23000</v>
      </c>
      <c r="P315" s="46">
        <f t="shared" ref="P315:P319" ca="1" si="30">O315/SUM(O:O)</f>
        <v>8.3333333332729481E-4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input_445100!A$2</f>
        <v>445100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IFERROR(VLOOKUP(B316,input_445100!L:R,7,FALSE),VLOOKUP(tables_445100!C316,input_445100!A:H,8,FALSE))</f>
        <v>23000</v>
      </c>
      <c r="P316" s="46">
        <f t="shared" ca="1" si="30"/>
        <v>8.3333333332729481E-4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input_445100!A$2</f>
        <v>445100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IFERROR(VLOOKUP(B317,input_445100!L:R,7,FALSE),VLOOKUP(tables_445100!C317,input_445100!A:H,8,FALSE))</f>
        <v>23000</v>
      </c>
      <c r="P317" s="46">
        <f t="shared" ca="1" si="30"/>
        <v>8.3333333332729481E-4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input_445100!A$2</f>
        <v>445100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IFERROR(VLOOKUP(B318,input_445100!L:R,7,FALSE),VLOOKUP(tables_445100!C318,input_445100!A:H,8,FALSE))</f>
        <v>265406.25</v>
      </c>
      <c r="P318" s="46">
        <f t="shared" ca="1" si="30"/>
        <v>9.6161684781911894E-3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input_445100!A$2</f>
        <v>445100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IFERROR(VLOOKUP(B319,input_445100!L:R,7,FALSE),VLOOKUP(tables_445100!C319,input_445100!A:H,8,FALSE))</f>
        <v>14250</v>
      </c>
      <c r="P319" s="46">
        <f t="shared" ca="1" si="30"/>
        <v>5.1630434782234567E-4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input_445100!A$2</f>
        <v>445100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IFERROR(VLOOKUP(B320,input_445100!L:R,7,FALSE),VLOOKUP(tables_445100!C320,input_445100!A:H,8,FALSE))</f>
        <v>23000</v>
      </c>
      <c r="P320" s="46">
        <f t="shared" ref="P320:P324" ca="1" si="32">O320/SUM(O:O)</f>
        <v>8.3333333332729481E-4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input_445100!A$2</f>
        <v>445100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IFERROR(VLOOKUP(B321,input_445100!L:R,7,FALSE),VLOOKUP(tables_445100!C321,input_445100!A:H,8,FALSE))</f>
        <v>23000</v>
      </c>
      <c r="P321" s="46">
        <f t="shared" ca="1" si="32"/>
        <v>8.3333333332729481E-4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input_445100!A$2</f>
        <v>445100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IFERROR(VLOOKUP(B322,input_445100!L:R,7,FALSE),VLOOKUP(tables_445100!C322,input_445100!A:H,8,FALSE))</f>
        <v>23000</v>
      </c>
      <c r="P322" s="46">
        <f t="shared" ca="1" si="32"/>
        <v>8.3333333332729481E-4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input_445100!A$2</f>
        <v>445100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IFERROR(VLOOKUP(B323,input_445100!L:R,7,FALSE),VLOOKUP(tables_445100!C323,input_445100!A:H,8,FALSE))</f>
        <v>23000</v>
      </c>
      <c r="P323" s="46">
        <f t="shared" ca="1" si="32"/>
        <v>8.3333333332729481E-4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input_445100!A$2</f>
        <v>445100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IFERROR(VLOOKUP(B324,input_445100!L:R,7,FALSE),VLOOKUP(tables_445100!C324,input_445100!A:H,8,FALSE))</f>
        <v>265406.25</v>
      </c>
      <c r="P324" s="46">
        <f t="shared" ca="1" si="32"/>
        <v>9.6161684781911894E-3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input_445100!A$2</f>
        <v>445100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IFERROR(VLOOKUP(B325,input_445100!L:R,7,FALSE),VLOOKUP(tables_445100!C325,input_445100!A:H,8,FALSE))</f>
        <v>14250</v>
      </c>
      <c r="P325" s="46">
        <f t="shared" ref="P325:P330" ca="1" si="35">O325/SUM(O:O)</f>
        <v>5.1630434782234567E-4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input_445100!A$2</f>
        <v>445100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IFERROR(VLOOKUP(B326,input_445100!L:R,7,FALSE),VLOOKUP(tables_445100!C326,input_445100!A:H,8,FALSE))</f>
        <v>265406.25</v>
      </c>
      <c r="P326" s="46">
        <f t="shared" ca="1" si="35"/>
        <v>9.6161684781911894E-3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input_445100!A$2</f>
        <v>445100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IFERROR(VLOOKUP(B327,input_445100!L:R,7,FALSE),VLOOKUP(tables_445100!C327,input_445100!A:H,8,FALSE))</f>
        <v>14250</v>
      </c>
      <c r="P327" s="46">
        <f t="shared" ca="1" si="35"/>
        <v>5.1630434782234567E-4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input_445100!A$2</f>
        <v>445100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IFERROR(VLOOKUP(B328,input_445100!L:R,7,FALSE),VLOOKUP(tables_445100!C328,input_445100!A:H,8,FALSE))</f>
        <v>23000</v>
      </c>
      <c r="P328" s="46">
        <f t="shared" ca="1" si="35"/>
        <v>8.3333333332729481E-4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input_445100!A$2</f>
        <v>445100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IFERROR(VLOOKUP(B329,input_445100!L:R,7,FALSE),VLOOKUP(tables_445100!C329,input_445100!A:H,8,FALSE))</f>
        <v>23000</v>
      </c>
      <c r="P329" s="46">
        <f t="shared" ca="1" si="35"/>
        <v>8.3333333332729481E-4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input_445100!A$2</f>
        <v>445100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IFERROR(VLOOKUP(B330,input_445100!L:R,7,FALSE),VLOOKUP(tables_445100!C330,input_445100!A:H,8,FALSE))</f>
        <v>23000</v>
      </c>
      <c r="P330" s="46">
        <f t="shared" ca="1" si="35"/>
        <v>8.3333333332729481E-4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input_445100!A$2</f>
        <v>445100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IFERROR(VLOOKUP(B331,input_445100!L:R,7,FALSE),VLOOKUP(tables_445100!C331,input_445100!A:H,8,FALSE))</f>
        <v>23000</v>
      </c>
      <c r="P331" s="46">
        <f t="shared" ref="P331:P335" ca="1" si="38">O331/SUM(O:O)</f>
        <v>8.3333333332729481E-4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input_445100!A$2</f>
        <v>445100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IFERROR(VLOOKUP(B332,input_445100!L:R,7,FALSE),VLOOKUP(tables_445100!C332,input_445100!A:H,8,FALSE))</f>
        <v>23000</v>
      </c>
      <c r="P332" s="46">
        <f t="shared" ca="1" si="38"/>
        <v>8.3333333332729481E-4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input_445100!A$2</f>
        <v>445100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IFERROR(VLOOKUP(B333,input_445100!L:R,7,FALSE),VLOOKUP(tables_445100!C333,input_445100!A:H,8,FALSE))</f>
        <v>23000</v>
      </c>
      <c r="P333" s="46">
        <f t="shared" ca="1" si="38"/>
        <v>8.3333333332729481E-4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input_445100!A$2</f>
        <v>445100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IFERROR(VLOOKUP(B334,input_445100!L:R,7,FALSE),VLOOKUP(tables_445100!C334,input_445100!A:H,8,FALSE))</f>
        <v>265406.25</v>
      </c>
      <c r="P334" s="46">
        <f t="shared" ca="1" si="38"/>
        <v>9.6161684781911894E-3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input_445100!A$2</f>
        <v>445100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IFERROR(VLOOKUP(B335,input_445100!L:R,7,FALSE),VLOOKUP(tables_445100!C335,input_445100!A:H,8,FALSE))</f>
        <v>14250</v>
      </c>
      <c r="P335" s="46">
        <f t="shared" ca="1" si="38"/>
        <v>5.1630434782234567E-4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input_445010</vt:lpstr>
      <vt:lpstr>tables_445010</vt:lpstr>
      <vt:lpstr>input_445100</vt:lpstr>
      <vt:lpstr>tables_445100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2016-11-02T10:30:57Z</dcterms:modified>
</cp:coreProperties>
</file>