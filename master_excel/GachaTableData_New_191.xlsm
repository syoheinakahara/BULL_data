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20" yWindow="120" windowWidth="25040" windowHeight="15440" tabRatio="943" activeTab="5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H2" i="82"/>
  <c r="I2" i="82"/>
  <c r="H3" i="82"/>
  <c r="I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38" i="82"/>
  <c r="I139" i="82"/>
  <c r="I140" i="82"/>
  <c r="I141" i="82"/>
  <c r="I142" i="82"/>
  <c r="I143" i="82"/>
  <c r="I144" i="82"/>
  <c r="I145" i="82"/>
  <c r="I146" i="82"/>
  <c r="I147" i="82"/>
  <c r="I148" i="82"/>
  <c r="I149" i="82"/>
  <c r="I150" i="82"/>
  <c r="I151" i="82"/>
  <c r="I152" i="82"/>
  <c r="I153" i="82"/>
  <c r="I154" i="82"/>
  <c r="I155" i="82"/>
  <c r="I156" i="82"/>
  <c r="I157" i="82"/>
  <c r="I158" i="82"/>
  <c r="I159" i="82"/>
  <c r="I160" i="82"/>
  <c r="I161" i="82"/>
  <c r="I162" i="82"/>
  <c r="I163" i="82"/>
  <c r="I164" i="82"/>
  <c r="I165" i="82"/>
  <c r="I166" i="82"/>
  <c r="I167" i="82"/>
  <c r="I168" i="82"/>
  <c r="I169" i="82"/>
  <c r="I170" i="82"/>
  <c r="I171" i="82"/>
  <c r="I172" i="82"/>
  <c r="I173" i="82"/>
  <c r="I174" i="82"/>
  <c r="I175" i="82"/>
  <c r="I176" i="82"/>
  <c r="I177" i="82"/>
  <c r="I178" i="82"/>
  <c r="I179" i="82"/>
  <c r="I180" i="82"/>
  <c r="I181" i="82"/>
  <c r="I182" i="82"/>
  <c r="I183" i="82"/>
  <c r="I184" i="82"/>
  <c r="I185" i="82"/>
  <c r="I186" i="82"/>
  <c r="I187" i="82"/>
  <c r="I188" i="82"/>
  <c r="I189" i="82"/>
  <c r="I190" i="82"/>
  <c r="I191" i="82"/>
  <c r="I192" i="82"/>
  <c r="I193" i="82"/>
  <c r="I194" i="82"/>
  <c r="I195" i="82"/>
  <c r="I196" i="82"/>
  <c r="I197" i="82"/>
  <c r="I198" i="82"/>
  <c r="I199" i="82"/>
  <c r="I200" i="82"/>
  <c r="I201" i="82"/>
  <c r="I202" i="82"/>
  <c r="I203" i="82"/>
  <c r="I204" i="82"/>
  <c r="I205" i="82"/>
  <c r="I206" i="82"/>
  <c r="I207" i="82"/>
  <c r="I208" i="82"/>
  <c r="I209" i="82"/>
  <c r="I210" i="82"/>
  <c r="I211" i="82"/>
  <c r="I212" i="82"/>
  <c r="I213" i="82"/>
  <c r="I214" i="82"/>
  <c r="I215" i="82"/>
  <c r="I216" i="82"/>
  <c r="I217" i="82"/>
  <c r="I218" i="82"/>
  <c r="I219" i="82"/>
  <c r="I220" i="82"/>
  <c r="I221" i="82"/>
  <c r="I222" i="82"/>
  <c r="I223" i="82"/>
  <c r="I224" i="82"/>
  <c r="I225" i="82"/>
  <c r="I226" i="82"/>
  <c r="I227" i="82"/>
  <c r="I228" i="82"/>
  <c r="I229" i="82"/>
  <c r="I230" i="82"/>
  <c r="I231" i="82"/>
  <c r="I232" i="82"/>
  <c r="I233" i="82"/>
  <c r="I234" i="82"/>
  <c r="I235" i="82"/>
  <c r="I236" i="82"/>
  <c r="I237" i="82"/>
  <c r="I238" i="82"/>
  <c r="I239" i="82"/>
  <c r="I240" i="82"/>
  <c r="I241" i="82"/>
  <c r="I242" i="82"/>
  <c r="I243" i="82"/>
  <c r="I244" i="82"/>
  <c r="I245" i="82"/>
  <c r="I246" i="82"/>
  <c r="I247" i="82"/>
  <c r="I248" i="82"/>
  <c r="I249" i="82"/>
  <c r="I250" i="82"/>
  <c r="I251" i="82"/>
  <c r="I252" i="82"/>
  <c r="I253" i="82"/>
  <c r="I254" i="82"/>
  <c r="I255" i="82"/>
  <c r="I256" i="82"/>
  <c r="I257" i="82"/>
  <c r="I258" i="82"/>
  <c r="I259" i="82"/>
  <c r="I260" i="82"/>
  <c r="I261" i="82"/>
  <c r="I262" i="82"/>
  <c r="I263" i="82"/>
  <c r="I264" i="82"/>
  <c r="I265" i="82"/>
  <c r="I266" i="82"/>
  <c r="I267" i="82"/>
  <c r="I268" i="82"/>
  <c r="I269" i="82"/>
  <c r="I270" i="82"/>
  <c r="I271" i="82"/>
  <c r="I272" i="82"/>
  <c r="I273" i="82"/>
  <c r="I274" i="82"/>
  <c r="I275" i="82"/>
  <c r="I276" i="82"/>
  <c r="I277" i="82"/>
  <c r="I278" i="82"/>
  <c r="I279" i="82"/>
  <c r="I280" i="82"/>
  <c r="I281" i="82"/>
  <c r="I282" i="82"/>
  <c r="I283" i="82"/>
  <c r="I284" i="82"/>
  <c r="I285" i="82"/>
  <c r="I286" i="82"/>
  <c r="I287" i="82"/>
  <c r="I288" i="82"/>
  <c r="I289" i="82"/>
  <c r="I290" i="82"/>
  <c r="I291" i="82"/>
  <c r="I292" i="82"/>
  <c r="I293" i="82"/>
  <c r="I294" i="82"/>
  <c r="I295" i="82"/>
  <c r="I296" i="82"/>
  <c r="I297" i="82"/>
  <c r="I298" i="82"/>
  <c r="I299" i="82"/>
  <c r="I300" i="82"/>
  <c r="I301" i="82"/>
  <c r="I302" i="82"/>
  <c r="I303" i="82"/>
  <c r="I304" i="82"/>
  <c r="I305" i="82"/>
  <c r="I306" i="82"/>
  <c r="I307" i="82"/>
  <c r="I308" i="82"/>
  <c r="I309" i="82"/>
  <c r="I310" i="82"/>
  <c r="I311" i="82"/>
  <c r="I312" i="82"/>
  <c r="I313" i="82"/>
  <c r="I314" i="82"/>
  <c r="I315" i="82"/>
  <c r="I316" i="82"/>
  <c r="I317" i="82"/>
  <c r="I318" i="82"/>
  <c r="I319" i="82"/>
  <c r="I320" i="82"/>
  <c r="I321" i="82"/>
  <c r="I322" i="82"/>
  <c r="I323" i="82"/>
  <c r="I324" i="82"/>
  <c r="I325" i="82"/>
  <c r="I326" i="82"/>
  <c r="I327" i="82"/>
  <c r="I328" i="82"/>
  <c r="I329" i="82"/>
  <c r="I330" i="82"/>
  <c r="I331" i="82"/>
  <c r="I332" i="82"/>
  <c r="I333" i="82"/>
  <c r="I334" i="82"/>
  <c r="I335" i="82"/>
  <c r="I336" i="82"/>
  <c r="I337" i="82"/>
  <c r="I338" i="82"/>
  <c r="I339" i="82"/>
  <c r="I340" i="82"/>
  <c r="I341" i="82"/>
  <c r="I342" i="82"/>
  <c r="I343" i="82"/>
  <c r="I344" i="82"/>
  <c r="I345" i="82"/>
  <c r="I346" i="82"/>
  <c r="I347" i="82"/>
  <c r="I348" i="82"/>
  <c r="I349" i="82"/>
  <c r="I350" i="82"/>
  <c r="I351" i="82"/>
  <c r="I352" i="82"/>
  <c r="I353" i="82"/>
  <c r="I354" i="82"/>
  <c r="I355" i="82"/>
  <c r="I356" i="82"/>
  <c r="I357" i="82"/>
  <c r="I358" i="82"/>
  <c r="I359" i="82"/>
  <c r="I360" i="82"/>
  <c r="I361" i="82"/>
  <c r="I362" i="82"/>
  <c r="I363" i="82"/>
  <c r="I364" i="82"/>
  <c r="I365" i="82"/>
  <c r="I366" i="82"/>
  <c r="I367" i="82"/>
  <c r="I368" i="82"/>
  <c r="I369" i="82"/>
  <c r="I370" i="82"/>
  <c r="I371" i="82"/>
  <c r="I372" i="82"/>
  <c r="I373" i="82"/>
  <c r="I374" i="82"/>
  <c r="I375" i="82"/>
  <c r="I376" i="82"/>
  <c r="I377" i="82"/>
  <c r="I378" i="82"/>
  <c r="I379" i="82"/>
  <c r="I380" i="82"/>
  <c r="I381" i="82"/>
  <c r="I382" i="82"/>
  <c r="I383" i="82"/>
  <c r="I384" i="82"/>
  <c r="I385" i="82"/>
  <c r="I386" i="82"/>
  <c r="I387" i="82"/>
  <c r="I388" i="82"/>
  <c r="I389" i="82"/>
  <c r="I390" i="82"/>
  <c r="I391" i="82"/>
  <c r="I392" i="82"/>
  <c r="I393" i="82"/>
  <c r="I394" i="82"/>
  <c r="I395" i="82"/>
  <c r="I396" i="82"/>
  <c r="I397" i="82"/>
  <c r="I398" i="82"/>
  <c r="I399" i="82"/>
  <c r="G101" i="106"/>
  <c r="G102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104" i="106"/>
  <c r="G103" i="106"/>
  <c r="G106" i="106"/>
  <c r="G105" i="106"/>
  <c r="G107" i="106"/>
  <c r="G109" i="106"/>
  <c r="G108" i="106"/>
  <c r="G111" i="106"/>
  <c r="G110" i="106"/>
  <c r="G112" i="106"/>
  <c r="F93" i="106"/>
  <c r="H111" i="106"/>
  <c r="I111" i="106"/>
  <c r="J111" i="106"/>
  <c r="F91" i="106"/>
  <c r="H109" i="106"/>
  <c r="I109" i="106"/>
  <c r="J109" i="106"/>
  <c r="H106" i="106"/>
  <c r="I106" i="106"/>
  <c r="J106" i="106"/>
  <c r="H104" i="106"/>
  <c r="I104" i="106"/>
  <c r="J104" i="106"/>
  <c r="G57" i="106"/>
  <c r="F47" i="106"/>
  <c r="F49" i="106"/>
  <c r="F48" i="106"/>
  <c r="E44" i="106"/>
  <c r="E45" i="106"/>
  <c r="E47" i="106"/>
  <c r="E46" i="106"/>
  <c r="F44" i="106"/>
  <c r="H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H71" i="106"/>
  <c r="I71" i="106"/>
  <c r="J71" i="106"/>
  <c r="H69" i="106"/>
  <c r="I69" i="106"/>
  <c r="J69" i="106"/>
  <c r="H66" i="106"/>
  <c r="I66" i="106"/>
  <c r="J66" i="106"/>
  <c r="H64" i="106"/>
  <c r="I64" i="106"/>
  <c r="J64" i="106"/>
  <c r="H60" i="106"/>
  <c r="I60" i="106"/>
  <c r="J60" i="106"/>
  <c r="E68" i="106"/>
  <c r="E69" i="106"/>
  <c r="E70" i="106"/>
  <c r="E71" i="106"/>
  <c r="E67" i="10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R2" i="96"/>
  <c r="Q2" i="96"/>
  <c r="P2" i="96"/>
  <c r="O2" i="96"/>
  <c r="N2" i="96"/>
  <c r="M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K2" i="96"/>
  <c r="J2" i="96"/>
  <c r="I3" i="96"/>
  <c r="I4" i="96"/>
  <c r="I5" i="96"/>
  <c r="I6" i="96"/>
  <c r="I7" i="96"/>
  <c r="I8" i="96"/>
  <c r="I9" i="96"/>
  <c r="I2" i="96"/>
  <c r="H3" i="96"/>
  <c r="H4" i="96"/>
  <c r="H5" i="96"/>
  <c r="H6" i="96"/>
  <c r="H7" i="96"/>
  <c r="H8" i="96"/>
  <c r="H9" i="96"/>
  <c r="H2" i="96"/>
  <c r="G3" i="96"/>
  <c r="G4" i="96"/>
  <c r="G5" i="96"/>
  <c r="G6" i="96"/>
  <c r="G7" i="96"/>
  <c r="G8" i="96"/>
  <c r="G9" i="96"/>
  <c r="G2" i="96"/>
  <c r="F3" i="96"/>
  <c r="F4" i="96"/>
  <c r="F5" i="96"/>
  <c r="F6" i="96"/>
  <c r="F7" i="96"/>
  <c r="F8" i="96"/>
  <c r="F9" i="96"/>
  <c r="F2" i="96"/>
  <c r="C3" i="96"/>
  <c r="C4" i="96"/>
  <c r="C5" i="96"/>
  <c r="C6" i="96"/>
  <c r="C7" i="96"/>
  <c r="C8" i="96"/>
  <c r="C9" i="96"/>
  <c r="C2" i="96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M57" i="106"/>
  <c r="F45" i="106"/>
  <c r="H58" i="106"/>
  <c r="M58" i="106"/>
  <c r="F46" i="106"/>
  <c r="H59" i="106"/>
  <c r="M59" i="106"/>
  <c r="M60" i="106"/>
  <c r="H61" i="106"/>
  <c r="M61" i="106"/>
  <c r="E62" i="106"/>
  <c r="H62" i="106"/>
  <c r="M62" i="106"/>
  <c r="E63" i="106"/>
  <c r="H63" i="106"/>
  <c r="M63" i="106"/>
  <c r="E64" i="106"/>
  <c r="M64" i="106"/>
  <c r="E65" i="106"/>
  <c r="H65" i="106"/>
  <c r="M65" i="106"/>
  <c r="E66" i="106"/>
  <c r="M66" i="106"/>
  <c r="H67" i="106"/>
  <c r="M67" i="106"/>
  <c r="H68" i="106"/>
  <c r="M68" i="106"/>
  <c r="M69" i="106"/>
  <c r="H70" i="106"/>
  <c r="M70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Q60" i="106"/>
  <c r="I61" i="106"/>
  <c r="J61" i="106"/>
  <c r="Q61" i="106"/>
  <c r="I62" i="106"/>
  <c r="J62" i="106"/>
  <c r="Q62" i="106"/>
  <c r="I63" i="106"/>
  <c r="J63" i="106"/>
  <c r="Q63" i="106"/>
  <c r="Q64" i="106"/>
  <c r="I65" i="106"/>
  <c r="J65" i="106"/>
  <c r="Q65" i="106"/>
  <c r="Q66" i="106"/>
  <c r="I67" i="106"/>
  <c r="J67" i="106"/>
  <c r="Q67" i="106"/>
  <c r="I68" i="106"/>
  <c r="J68" i="106"/>
  <c r="Q68" i="106"/>
  <c r="Q69" i="106"/>
  <c r="I70" i="106"/>
  <c r="J70" i="106"/>
  <c r="Q70" i="106"/>
  <c r="Q71" i="10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E5" i="105"/>
  <c r="D13" i="105"/>
  <c r="B5" i="105"/>
  <c r="A13" i="105"/>
  <c r="E49" i="106"/>
  <c r="E48" i="106"/>
  <c r="E50" i="106"/>
  <c r="E35" i="106"/>
  <c r="E36" i="106"/>
  <c r="E37" i="106"/>
  <c r="E38" i="106"/>
  <c r="Q111" i="106"/>
  <c r="E46" i="107"/>
  <c r="A392" i="82"/>
  <c r="C392" i="82"/>
  <c r="G392" i="82"/>
  <c r="J392" i="82"/>
  <c r="K392" i="82"/>
  <c r="L392" i="82"/>
  <c r="Q104" i="106"/>
  <c r="E39" i="107"/>
  <c r="A50" i="107"/>
  <c r="A51" i="107"/>
  <c r="E91" i="106"/>
  <c r="E90" i="106"/>
  <c r="E88" i="106"/>
  <c r="E89" i="106"/>
  <c r="F92" i="106"/>
  <c r="F90" i="106"/>
  <c r="H103" i="106"/>
  <c r="I103" i="106"/>
  <c r="J103" i="106"/>
  <c r="Q103" i="106"/>
  <c r="E38" i="107"/>
  <c r="A52" i="107"/>
  <c r="A53" i="107"/>
  <c r="A54" i="107"/>
  <c r="A55" i="107"/>
  <c r="B50" i="107"/>
  <c r="C50" i="107"/>
  <c r="D50" i="107"/>
  <c r="C51" i="107"/>
  <c r="D51" i="107"/>
  <c r="C52" i="107"/>
  <c r="D52" i="107"/>
  <c r="C53" i="107"/>
  <c r="C54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8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D16" i="105"/>
  <c r="A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<sst xmlns="http://schemas.openxmlformats.org/spreadsheetml/2006/main" count="401" uniqueCount="233">
  <si>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</si>
  <si>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</si>
  <si>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</si>
  <si>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</si>
  <si>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</si>
  <si>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</si>
  <si>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</si>
  <si>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</si>
  <si>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</si>
  <si>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</si>
  <si>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</si>
  <si>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</si>
  <si>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</si>
  <si>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</si>
  <si>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</si>
  <si>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</si>
  <si>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</si>
  <si>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</si>
  <si>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</si>
  <si>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</si>
  <si>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</si>
  <si>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</si>
  <si>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</si>
  <si>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</si>
  <si>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</si>
  <si>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</si>
  <si>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</si>
  <si>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</si>
  <si>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</si>
  <si>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</si>
  <si>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</si>
  <si>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</si>
  <si>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</si>
  <si>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</si>
  <si>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</si>
  <si>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</si>
  <si>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</si>
  <si>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</si>
  <si>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</si>
  <si>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</si>
  <si>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</si>
  <si>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</si>
  <si>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</si>
  <si>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</si>
  <si>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</si>
  <si>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</si>
  <si>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</si>
  <si>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</si>
  <si>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</si>
  <si>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</si>
  <si>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</si>
  <si>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</si>
  <si>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</si>
  <si>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</si>
  <si>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</si>
  <si>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</si>
  <si>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</si>
  <si>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</si>
  <si>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</si>
  <si>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</si>
  <si>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</si>
  <si>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</si>
  <si>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</si>
  <si>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</si>
  <si>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</si>
  <si>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</si>
  <si>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</si>
  <si>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</si>
  <si>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</si>
  <si>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</si>
  <si>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</si>
  <si>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</si>
  <si>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</si>
  <si>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</si>
  <si>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</si>
  <si>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</si>
  <si>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</si>
  <si>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</si>
  <si>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</si>
  <si>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</si>
  <si>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</si>
  <si>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</si>
  <si>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</si>
  <si>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</si>
  <si>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</si>
  <si>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</si>
  <si>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</si>
  <si>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</si>
  <si>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</si>
  <si>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</si>
  <si>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</si>
  <si>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</si>
  <si>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</si>
  <si>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</si>
  <si>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</si>
  <si>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</si>
  <si>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</si>
  <si>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</si>
  <si>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</si>
  <si>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</si>
  <si>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</si>
  <si>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</si>
  <si>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</si>
  <si>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</si>
  <si>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</si>
  <si>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</si>
  <si>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</si>
  <si>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</si>
  <si>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</si>
  <si>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</si>
  <si>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</si>
  <si>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</si>
  <si>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</si>
  <si>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</si>
  <si>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</si>
  <si>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</si>
  <si>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</si>
  <si>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</si>
  <si>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</si>
  <si>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</si>
  <si>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</si>
  <si>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</si>
  <si>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</si>
  <si>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</si>
  <si>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</si>
  <si>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</si>
  <si>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</si>
  <si>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</si>
  <si>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</si>
  <si>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</si>
  <si>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</si>
  <si>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</si>
  <si>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</si>
  <si>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</si>
  <si>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</si>
  <si>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</si>
  <si>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</si>
  <si>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</si>
  <si>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</si>
  <si>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</si>
  <si>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</si>
  <si>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</si>
  <si>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</si>
  <si>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</si>
  <si>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</si>
  <si>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</si>
  <si>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</si>
  <si>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</si>
  <si>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</si>
  <si>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</si>
  <si>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</si>
  <si>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</si>
  <si>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</si>
  <si>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</si>
  <si>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</si>
  <si>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</si>
  <si>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</si>
  <si>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</si>
  <si>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</si>
  <si>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</si>
  <si>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</si>
  <si>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</si>
  <si>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</si>
  <si>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</si>
  <si>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</si>
  <si>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</si>
  <si>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</si>
  <si>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</si>
  <si>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</si>
  <si>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</si>
  <si>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</si>
  <si>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</si>
  <si>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</si>
  <si>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</si>
  <si>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</si>
  <si>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</si>
  <si>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</si>
  <si>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</si>
  <si>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</si>
  <si>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</si>
  <si>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</si>
  <si>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</si>
  <si>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</si>
  <si>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</si>
  <si>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</si>
  <si>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</si>
  <si>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</si>
  <si>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</si>
  <si>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</si>
  <si>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</si>
  <si>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</si>
  <si>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</si>
  <si>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</si>
  <si>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</si>
  <si>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</si>
  <si>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</si>
  <si>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</si>
  <si>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</si>
  <si>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</si>
  <si>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</si>
  <si>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</si>
  <si>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</si>
  <si>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</si>
  <si>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</si>
  <si>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</si>
  <si>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</si>
  <si>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</si>
  <si>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</si>
  <si>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</si>
  <si>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</si>
  <si>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</si>
  <si>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</si>
  <si>
    <t>unit</t>
    <phoneticPr fontId="13"/>
  </si>
  <si>
    <t>ja</t>
    <phoneticPr fontId="13"/>
  </si>
  <si>
    <t>ja</t>
    <phoneticPr fontId="13"/>
  </si>
  <si>
    <t>炎のメタルダック × 1</t>
    <rPh sb="0" eb="1">
      <t>ホ</t>
    </rPh>
    <phoneticPr fontId="13"/>
  </si>
  <si>
    <t>森のメタルダック × 1</t>
    <rPh sb="0" eb="1">
      <t>モr</t>
    </rPh>
    <phoneticPr fontId="13"/>
  </si>
  <si>
    <t>水のメタルダック × 1</t>
    <rPh sb="0" eb="1">
      <t>ミz</t>
    </rPh>
    <phoneticPr fontId="13"/>
  </si>
  <si>
    <t>雷のメタルダック × 1</t>
    <rPh sb="0" eb="1">
      <t>カm</t>
    </rPh>
    <phoneticPr fontId="13"/>
  </si>
  <si>
    <t>炎のメタルダック × 10</t>
    <rPh sb="0" eb="1">
      <t>ホ</t>
    </rPh>
    <phoneticPr fontId="13"/>
  </si>
  <si>
    <t>森のメタルダック × 10</t>
    <rPh sb="0" eb="1">
      <t>モr</t>
    </rPh>
    <phoneticPr fontId="13"/>
  </si>
  <si>
    <t>水のメタルダック × 10</t>
    <rPh sb="0" eb="1">
      <t>ミz</t>
    </rPh>
    <phoneticPr fontId="13"/>
  </si>
  <si>
    <t>雷のメタルダック × 10</t>
    <rPh sb="0" eb="1">
      <t>カm</t>
    </rPh>
    <phoneticPr fontId="13"/>
  </si>
  <si>
    <t>ギフトフィーバー特典</t>
    <rPh sb="8" eb="10">
      <t>トk</t>
    </rPh>
    <phoneticPr fontId="13"/>
  </si>
  <si>
    <t>ギフトフィーバーの特典として
炎のメタルダックをプレゼント！</t>
    <rPh sb="9" eb="14">
      <t>トクテン</t>
    </rPh>
    <rPh sb="15" eb="23">
      <t>ホノ</t>
    </rPh>
    <phoneticPr fontId="13"/>
  </si>
  <si>
    <t>ギフトフィーバーの特典として
森のメタルダックをプレゼント！</t>
    <rPh sb="9" eb="14">
      <t>トクテン</t>
    </rPh>
    <rPh sb="15" eb="16">
      <t>モr</t>
    </rPh>
    <rPh sb="16" eb="23">
      <t>ホノ</t>
    </rPh>
    <phoneticPr fontId="13"/>
  </si>
  <si>
    <t>ギフトフィーバーの特典として
水のメタルダックをプレゼント！</t>
    <rPh sb="9" eb="14">
      <t>トクテン</t>
    </rPh>
    <rPh sb="15" eb="16">
      <t>ミz</t>
    </rPh>
    <rPh sb="16" eb="23">
      <t>ホノ</t>
    </rPh>
    <phoneticPr fontId="13"/>
  </si>
  <si>
    <t>ギフトフィーバーの特典として
雷のメタルダックをプレゼント！</t>
    <rPh sb="9" eb="14">
      <t>トクテン</t>
    </rPh>
    <rPh sb="15" eb="16">
      <t>カm</t>
    </rPh>
    <rPh sb="16" eb="23">
      <t>ホノ</t>
    </rPh>
    <phoneticPr fontId="13"/>
  </si>
  <si>
    <t>ギフトフィーバー（10連）特典</t>
    <rPh sb="11" eb="13">
      <t>レン</t>
    </rPh>
    <rPh sb="13" eb="15">
      <t>トk</t>
    </rPh>
    <phoneticPr fontId="13"/>
  </si>
  <si>
    <t>ギフトフィーバー（10連）の特典として
炎のメタルダックをプレゼント！</t>
    <rPh sb="11" eb="13">
      <t>レン</t>
    </rPh>
    <rPh sb="14" eb="19">
      <t>トクテン</t>
    </rPh>
    <rPh sb="20" eb="28">
      <t>ホノ</t>
    </rPh>
    <phoneticPr fontId="13"/>
  </si>
  <si>
    <t>ギフトフィーバー（10連）の特典として
森のメタルダックをプレゼント！</t>
    <rPh sb="14" eb="19">
      <t>トクテン</t>
    </rPh>
    <rPh sb="20" eb="21">
      <t>モr</t>
    </rPh>
    <rPh sb="21" eb="28">
      <t>ホノ</t>
    </rPh>
    <phoneticPr fontId="13"/>
  </si>
  <si>
    <t>ギフトフィーバー（10連）の特典として
水のメタルダックをプレゼント！</t>
    <rPh sb="14" eb="19">
      <t>トクテン</t>
    </rPh>
    <rPh sb="20" eb="21">
      <t>ミz</t>
    </rPh>
    <rPh sb="21" eb="28">
      <t>ホノ</t>
    </rPh>
    <phoneticPr fontId="13"/>
  </si>
  <si>
    <t>ギフトフィーバー（10連）の特典として
雷のメタルダックをプレゼント！</t>
    <rPh sb="14" eb="19">
      <t>トクテン</t>
    </rPh>
    <rPh sb="20" eb="21">
      <t>カm</t>
    </rPh>
    <rPh sb="21" eb="28">
      <t>ホノ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</si>
</sst>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95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8" fillId="0" borderId="0" xfId="2" applyFont="1" applyAlignment="1">
      <alignment vertical="center" wrapText="1"/>
    </xf>
    <xf numFmtId="0" fontId="19" fillId="3" borderId="14" xfId="0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</cellXfs>
  <cellStyles count="359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10" sqref="E1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191</v>
      </c>
      <c r="D2" s="25" t="s">
        <v>60</v>
      </c>
      <c r="E2" s="23" t="str">
        <f ca="1">B2&amp;C2&amp;D2</f>
        <v>gacha_select_tables_191.tmp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191</v>
      </c>
      <c r="D3" s="25" t="s">
        <v>61</v>
      </c>
      <c r="E3" s="23" t="str">
        <f ca="1">B3&amp;C3&amp;D3</f>
        <v>gacha_settle_tables_191.tmp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191</v>
      </c>
      <c r="D4" s="25" t="s">
        <v>61</v>
      </c>
      <c r="E4" s="23" t="str">
        <f ca="1">B4&amp;C4&amp;D4</f>
        <v>gacha_bonus_tables_191.tmp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191</v>
      </c>
      <c r="D5" s="25" t="s">
        <v>61</v>
      </c>
      <c r="E5" s="23" t="str">
        <f ca="1">B5&amp;C5&amp;D5</f>
        <v>gifts_tmp_191.tmp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191</v>
      </c>
      <c r="D6" s="25" t="s">
        <v>61</v>
      </c>
      <c r="E6" s="23" t="str">
        <f ca="1">B6&amp;C6&amp;D6</f>
        <v>gifts_i18n_191.tmp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G30" sqref="G30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4.9868421052631576E-2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5.0399999999999993E-2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6.25E-2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0.06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5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5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4493</v>
      </c>
    </row>
    <row r="19" spans="1:5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6739</v>
      </c>
    </row>
    <row r="20" spans="1:5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6739</v>
      </c>
    </row>
    <row r="21" spans="1:5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5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1419</v>
      </c>
    </row>
    <row r="23" spans="1:5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1574</v>
      </c>
    </row>
    <row r="24" spans="1:5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1574</v>
      </c>
    </row>
    <row r="25" spans="1:5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</row>
    <row r="26" spans="1:5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997</v>
      </c>
    </row>
    <row r="27" spans="1:5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</row>
    <row r="28" spans="1:5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554</v>
      </c>
    </row>
    <row r="29" spans="1:5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554</v>
      </c>
    </row>
    <row r="30" spans="1:5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5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66</v>
      </c>
    </row>
    <row r="32" spans="1:5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6166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6166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701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394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394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45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1" workbookViewId="0">
      <pane xSplit="8" topLeftCell="J1" activePane="topRight" state="frozen"/>
      <selection activeCell="B57" sqref="B57"/>
      <selection pane="topRight" activeCell="R104" sqref="R104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54" t="s">
        <v>43</v>
      </c>
      <c r="H5" s="154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0.22053157894736838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0.72959999999999992</v>
      </c>
      <c r="I54" s="51"/>
      <c r="M54" s="82"/>
      <c r="P54" s="52"/>
    </row>
    <row r="55" spans="2:19" ht="15.75" customHeight="1">
      <c r="B55" s="49"/>
      <c r="C55" s="66"/>
      <c r="D55" s="155" t="s">
        <v>126</v>
      </c>
      <c r="E55" s="156"/>
      <c r="F55" s="157" t="s">
        <v>127</v>
      </c>
      <c r="G55" s="158"/>
      <c r="H55" s="159" t="s">
        <v>128</v>
      </c>
      <c r="I55" s="160"/>
      <c r="J55" s="161"/>
      <c r="K55" s="162" t="s">
        <v>129</v>
      </c>
      <c r="L55" s="163"/>
      <c r="M55" s="167" t="s">
        <v>130</v>
      </c>
      <c r="N55" s="167"/>
      <c r="O55" s="167"/>
      <c r="P55" s="167"/>
      <c r="Q55" s="168"/>
      <c r="R55" s="162" t="s">
        <v>131</v>
      </c>
      <c r="S55" s="163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0.15359999999999999</v>
      </c>
      <c r="I57" s="60">
        <f>G$72*H57</f>
        <v>35.942399999999999</v>
      </c>
      <c r="J57" s="60">
        <f>I57/G57</f>
        <v>1.7971200000000001</v>
      </c>
      <c r="K57" s="94">
        <f t="shared" ref="K57:K71" si="4">100/(H57*100)*E$17</f>
        <v>1953.125</v>
      </c>
      <c r="L57" s="94">
        <f t="shared" ref="L57:L71" si="5">100/(H57*100)*E$17 * G57</f>
        <v>39062.5</v>
      </c>
      <c r="M57" s="95">
        <f t="shared" ref="M57:M69" si="6">E57*H57</f>
        <v>0.11673599999999999</v>
      </c>
      <c r="N57" s="96">
        <f>M57/G57</f>
        <v>5.8367999999999996E-3</v>
      </c>
      <c r="O57" s="60">
        <f t="shared" ref="O57:O71" si="7">G$72*M57</f>
        <v>27.316223999999998</v>
      </c>
      <c r="P57" s="60">
        <f t="shared" ref="P57:P69" si="8">O57/G57</f>
        <v>1.3658112</v>
      </c>
      <c r="Q57" s="97">
        <f>ROUND(J57*2500,0)</f>
        <v>4493</v>
      </c>
      <c r="R57" s="94">
        <f t="shared" ref="R57:R71" si="9">100/(H57*E57*100)*E$17</f>
        <v>2569.9013157894742</v>
      </c>
      <c r="S57" s="94">
        <f t="shared" ref="S57:S71" si="10">100/(H57*E57*100)*E$17 * G57</f>
        <v>51398.026315789481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0.23039999999999997</v>
      </c>
      <c r="I58" s="60">
        <f t="shared" ref="I58:I69" si="12">G$72*H58</f>
        <v>53.913599999999995</v>
      </c>
      <c r="J58" s="60">
        <f t="shared" ref="J58:J68" si="13">I58/G58</f>
        <v>2.6956799999999999</v>
      </c>
      <c r="K58" s="94">
        <f t="shared" si="4"/>
        <v>1302.0833333333335</v>
      </c>
      <c r="L58" s="94">
        <f t="shared" si="5"/>
        <v>26041.666666666672</v>
      </c>
      <c r="M58" s="95">
        <f t="shared" si="6"/>
        <v>0.17510399999999998</v>
      </c>
      <c r="N58" s="96">
        <f t="shared" ref="N58:N71" si="14">M58/G58</f>
        <v>8.7551999999999994E-3</v>
      </c>
      <c r="O58" s="60">
        <f t="shared" si="7"/>
        <v>40.974335999999994</v>
      </c>
      <c r="P58" s="60">
        <f t="shared" si="8"/>
        <v>2.0487167999999998</v>
      </c>
      <c r="Q58" s="97">
        <f t="shared" ref="Q58:Q70" si="15">ROUND(J58*2500,0)</f>
        <v>6739</v>
      </c>
      <c r="R58" s="94">
        <f t="shared" si="9"/>
        <v>1713.2675438596493</v>
      </c>
      <c r="S58" s="94">
        <f t="shared" si="10"/>
        <v>34265.350877192985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0.34559999999999996</v>
      </c>
      <c r="I59" s="60">
        <f t="shared" si="12"/>
        <v>80.870399999999989</v>
      </c>
      <c r="J59" s="60">
        <f t="shared" si="13"/>
        <v>2.6956799999999999</v>
      </c>
      <c r="K59" s="94">
        <f t="shared" si="4"/>
        <v>868.05555555555566</v>
      </c>
      <c r="L59" s="94">
        <f t="shared" si="5"/>
        <v>26041.666666666672</v>
      </c>
      <c r="M59" s="95">
        <f t="shared" si="6"/>
        <v>0.262656</v>
      </c>
      <c r="N59" s="96">
        <f t="shared" si="14"/>
        <v>8.7551999999999994E-3</v>
      </c>
      <c r="O59" s="60">
        <f t="shared" si="7"/>
        <v>61.461503999999998</v>
      </c>
      <c r="P59" s="60">
        <f t="shared" si="8"/>
        <v>2.0487167999999998</v>
      </c>
      <c r="Q59" s="97">
        <f t="shared" si="15"/>
        <v>6739</v>
      </c>
      <c r="R59" s="94">
        <f t="shared" si="9"/>
        <v>1142.1783625730995</v>
      </c>
      <c r="S59" s="94">
        <f t="shared" si="10"/>
        <v>34265.350877192985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>IFERROR(I60/G60,0)</f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4.8505263157894732E-2</v>
      </c>
      <c r="I61" s="60">
        <f t="shared" si="12"/>
        <v>11.350231578947367</v>
      </c>
      <c r="J61" s="60">
        <f t="shared" si="13"/>
        <v>0.56751157894736837</v>
      </c>
      <c r="K61" s="94">
        <f t="shared" si="4"/>
        <v>6184.8958333333339</v>
      </c>
      <c r="L61" s="94">
        <f t="shared" si="5"/>
        <v>123697.91666666669</v>
      </c>
      <c r="M61" s="95">
        <f t="shared" si="6"/>
        <v>1.1641263157894734E-2</v>
      </c>
      <c r="N61" s="96">
        <f t="shared" si="14"/>
        <v>5.8206315789473674E-4</v>
      </c>
      <c r="O61" s="60">
        <f t="shared" si="7"/>
        <v>2.7240555789473677</v>
      </c>
      <c r="P61" s="60">
        <f t="shared" si="8"/>
        <v>0.13620277894736837</v>
      </c>
      <c r="Q61" s="97">
        <f t="shared" si="15"/>
        <v>1419</v>
      </c>
      <c r="R61" s="94">
        <f t="shared" si="9"/>
        <v>25770.399305555558</v>
      </c>
      <c r="S61" s="94">
        <f t="shared" si="10"/>
        <v>515407.98611111118</v>
      </c>
    </row>
    <row r="62" spans="2:19" ht="15.75" customHeight="1">
      <c r="B62" s="49"/>
      <c r="C62" s="66"/>
      <c r="D62" s="98">
        <v>4</v>
      </c>
      <c r="E62" s="92">
        <f>1-E58-E67</f>
        <v>0.17749999999999999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5.3810526315789461E-2</v>
      </c>
      <c r="I62" s="60">
        <f t="shared" si="12"/>
        <v>12.591663157894734</v>
      </c>
      <c r="J62" s="60">
        <f t="shared" si="13"/>
        <v>0.62958315789473673</v>
      </c>
      <c r="K62" s="94">
        <f t="shared" si="4"/>
        <v>5575.1173708920205</v>
      </c>
      <c r="L62" s="94">
        <f t="shared" si="5"/>
        <v>111502.34741784041</v>
      </c>
      <c r="M62" s="95">
        <f t="shared" si="6"/>
        <v>9.5513684210526296E-3</v>
      </c>
      <c r="N62" s="96">
        <f t="shared" si="14"/>
        <v>4.775684210526315E-4</v>
      </c>
      <c r="O62" s="60">
        <f t="shared" si="7"/>
        <v>2.2350202105263155</v>
      </c>
      <c r="P62" s="60">
        <f t="shared" si="8"/>
        <v>0.11175101052631578</v>
      </c>
      <c r="Q62" s="97">
        <f t="shared" si="15"/>
        <v>1574</v>
      </c>
      <c r="R62" s="94">
        <f t="shared" si="9"/>
        <v>31409.111948687438</v>
      </c>
      <c r="S62" s="94">
        <f t="shared" si="10"/>
        <v>628182.23897374875</v>
      </c>
    </row>
    <row r="63" spans="2:19" ht="14">
      <c r="B63" s="49"/>
      <c r="C63" s="66"/>
      <c r="D63" s="98">
        <v>4</v>
      </c>
      <c r="E63" s="92">
        <f>1-E59-E68</f>
        <v>0.17749999999999999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8.0715789473684199E-2</v>
      </c>
      <c r="I63" s="60">
        <f t="shared" si="12"/>
        <v>18.887494736842104</v>
      </c>
      <c r="J63" s="60">
        <f t="shared" si="13"/>
        <v>0.62958315789473684</v>
      </c>
      <c r="K63" s="94">
        <f t="shared" si="4"/>
        <v>3716.7449139280129</v>
      </c>
      <c r="L63" s="94">
        <f t="shared" si="5"/>
        <v>111502.34741784038</v>
      </c>
      <c r="M63" s="95">
        <f t="shared" si="6"/>
        <v>1.4327052631578945E-2</v>
      </c>
      <c r="N63" s="96">
        <f t="shared" si="14"/>
        <v>4.775684210526315E-4</v>
      </c>
      <c r="O63" s="60">
        <f t="shared" si="7"/>
        <v>3.352530315789473</v>
      </c>
      <c r="P63" s="60">
        <f t="shared" si="8"/>
        <v>0.11175101052631577</v>
      </c>
      <c r="Q63" s="97">
        <f t="shared" si="15"/>
        <v>1574</v>
      </c>
      <c r="R63" s="94">
        <f t="shared" si="9"/>
        <v>20939.407965791623</v>
      </c>
      <c r="S63" s="94">
        <f t="shared" si="10"/>
        <v>628182.23897374864</v>
      </c>
    </row>
    <row r="64" spans="2:19" ht="15.75" customHeight="1">
      <c r="B64" s="49"/>
      <c r="C64" s="66"/>
      <c r="D64" s="98">
        <v>4</v>
      </c>
      <c r="E64" s="92">
        <f>1-E60-E69</f>
        <v>0.17749999999999999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>IFERROR(I64/G64,0)</f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0.9375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3.7499999999999999E-2</v>
      </c>
      <c r="I65" s="60">
        <f>G$72*H65</f>
        <v>8.7750000000000004</v>
      </c>
      <c r="J65" s="60">
        <f>I65/G65</f>
        <v>0.39886363636363636</v>
      </c>
      <c r="K65" s="94">
        <f t="shared" si="4"/>
        <v>8000</v>
      </c>
      <c r="L65" s="94">
        <f t="shared" si="5"/>
        <v>176000</v>
      </c>
      <c r="M65" s="96">
        <f>E65*H65</f>
        <v>3.515625E-2</v>
      </c>
      <c r="N65" s="96">
        <f>M65/G65</f>
        <v>1.5980113636363637E-3</v>
      </c>
      <c r="O65" s="60">
        <f>G$72*M65</f>
        <v>8.2265625</v>
      </c>
      <c r="P65" s="60">
        <f>O65/G65</f>
        <v>0.37393465909090912</v>
      </c>
      <c r="Q65" s="97">
        <f t="shared" si="15"/>
        <v>997</v>
      </c>
      <c r="R65" s="94">
        <f t="shared" si="9"/>
        <v>8533.3333333333321</v>
      </c>
      <c r="S65" s="94">
        <f t="shared" si="10"/>
        <v>187733.33333333331</v>
      </c>
    </row>
    <row r="66" spans="2:19" ht="15.75" customHeight="1">
      <c r="B66" s="49"/>
      <c r="C66" s="66"/>
      <c r="D66" s="99">
        <v>4</v>
      </c>
      <c r="E66" s="100">
        <f>1-E71</f>
        <v>0.9375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>IFERROR(I66/G66,0)</f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6.25E-2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1.8947368421052629E-2</v>
      </c>
      <c r="I67" s="60">
        <f t="shared" si="12"/>
        <v>4.433684210526315</v>
      </c>
      <c r="J67" s="60">
        <f t="shared" si="13"/>
        <v>0.22168421052631576</v>
      </c>
      <c r="K67" s="94">
        <f t="shared" si="4"/>
        <v>15833.333333333336</v>
      </c>
      <c r="L67" s="94">
        <f t="shared" si="5"/>
        <v>316666.66666666674</v>
      </c>
      <c r="M67" s="95">
        <f t="shared" si="6"/>
        <v>1.1842105263157893E-3</v>
      </c>
      <c r="N67" s="96">
        <f t="shared" si="14"/>
        <v>5.9210526315789464E-5</v>
      </c>
      <c r="O67" s="60">
        <f t="shared" si="7"/>
        <v>0.27710526315789469</v>
      </c>
      <c r="P67" s="60">
        <f t="shared" si="8"/>
        <v>1.3855263157894735E-2</v>
      </c>
      <c r="Q67" s="97">
        <f t="shared" si="15"/>
        <v>554</v>
      </c>
      <c r="R67" s="94">
        <f t="shared" si="9"/>
        <v>253333.33333333337</v>
      </c>
      <c r="S67" s="94">
        <f t="shared" si="10"/>
        <v>5066666.6666666679</v>
      </c>
    </row>
    <row r="68" spans="2:19" ht="15.75" customHeight="1">
      <c r="B68" s="49"/>
      <c r="C68" s="66"/>
      <c r="D68" s="98">
        <v>5</v>
      </c>
      <c r="E68" s="92">
        <f>gacha_conf!H$5</f>
        <v>6.25E-2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2.8421052631578944E-2</v>
      </c>
      <c r="I68" s="60">
        <f t="shared" si="12"/>
        <v>6.650526315789473</v>
      </c>
      <c r="J68" s="60">
        <f t="shared" si="13"/>
        <v>0.22168421052631576</v>
      </c>
      <c r="K68" s="94">
        <f t="shared" si="4"/>
        <v>10555.555555555557</v>
      </c>
      <c r="L68" s="94">
        <f t="shared" si="5"/>
        <v>316666.66666666669</v>
      </c>
      <c r="M68" s="95">
        <f t="shared" si="6"/>
        <v>1.776315789473684E-3</v>
      </c>
      <c r="N68" s="96">
        <f t="shared" si="14"/>
        <v>5.9210526315789464E-5</v>
      </c>
      <c r="O68" s="60">
        <f t="shared" si="7"/>
        <v>0.41565789473684206</v>
      </c>
      <c r="P68" s="60">
        <f t="shared" si="8"/>
        <v>1.3855263157894735E-2</v>
      </c>
      <c r="Q68" s="97">
        <f t="shared" si="15"/>
        <v>554</v>
      </c>
      <c r="R68" s="94">
        <f t="shared" si="9"/>
        <v>168888.88888888891</v>
      </c>
      <c r="S68" s="94">
        <f t="shared" si="10"/>
        <v>5066666.666666667</v>
      </c>
    </row>
    <row r="69" spans="2:19" ht="15.75" customHeight="1">
      <c r="B69" s="49"/>
      <c r="C69" s="66"/>
      <c r="D69" s="98">
        <v>5</v>
      </c>
      <c r="E69" s="92">
        <f>gacha_conf!H$5</f>
        <v>6.25E-2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>IFERROR(I69/G69,0)</f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6.25E-2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2.5000000000000001E-3</v>
      </c>
      <c r="I70" s="60">
        <f>G$72*H70</f>
        <v>0.58499999999999996</v>
      </c>
      <c r="J70" s="60">
        <f>I70/G70</f>
        <v>2.6590909090909089E-2</v>
      </c>
      <c r="K70" s="94">
        <f t="shared" si="4"/>
        <v>120000</v>
      </c>
      <c r="L70" s="94">
        <f t="shared" si="5"/>
        <v>2640000</v>
      </c>
      <c r="M70" s="96">
        <f>E70*H70</f>
        <v>1.5625E-4</v>
      </c>
      <c r="N70" s="96">
        <f>M70/G70</f>
        <v>7.1022727272727273E-6</v>
      </c>
      <c r="O70" s="60">
        <f>G$72*M70</f>
        <v>3.6562499999999998E-2</v>
      </c>
      <c r="P70" s="60">
        <f>O70/G70</f>
        <v>1.661931818181818E-3</v>
      </c>
      <c r="Q70" s="97">
        <f t="shared" si="15"/>
        <v>66</v>
      </c>
      <c r="R70" s="94">
        <f t="shared" si="9"/>
        <v>1920000</v>
      </c>
      <c r="S70" s="94">
        <f t="shared" si="10"/>
        <v>42240000</v>
      </c>
    </row>
    <row r="71" spans="2:19" ht="15.75" customHeight="1">
      <c r="B71" s="49"/>
      <c r="C71" s="66"/>
      <c r="D71" s="99">
        <v>5</v>
      </c>
      <c r="E71" s="92">
        <f>gacha_conf!H$5</f>
        <v>6.25E-2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>IFERROR(I71/G71,0)</f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>ROUND(J71*2500,0)</f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0.99999999999999967</v>
      </c>
      <c r="I72" s="60">
        <f>G$72*H72</f>
        <v>233.99999999999991</v>
      </c>
      <c r="J72" s="60">
        <f>I72/G72</f>
        <v>0.99999999999999967</v>
      </c>
      <c r="K72" s="102"/>
      <c r="L72" s="102"/>
      <c r="M72" s="103">
        <f>SUM(M57:M71)</f>
        <v>0.62828871052631574</v>
      </c>
      <c r="N72" s="104"/>
      <c r="O72" s="60">
        <f>G$72*M72</f>
        <v>147.01955826315788</v>
      </c>
      <c r="P72" s="60">
        <f>O72/G72</f>
        <v>0.62828871052631574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6">E$94*F88</f>
        <v>26.240000000000002</v>
      </c>
      <c r="H88" s="73">
        <f>G88/E88</f>
        <v>1.3120000000000001</v>
      </c>
      <c r="I88" s="75">
        <f t="shared" ref="I88:I93" si="17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6"/>
        <v>52.480000000000004</v>
      </c>
      <c r="H89" s="73">
        <f>G89/E89</f>
        <v>1.3120000000000001</v>
      </c>
      <c r="I89" s="75">
        <f t="shared" si="17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6"/>
        <v>78.719999999999985</v>
      </c>
      <c r="H90" s="73">
        <f t="shared" ref="H90:H94" si="18">G90/E90</f>
        <v>1.3119999999999998</v>
      </c>
      <c r="I90" s="75">
        <f t="shared" si="17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6"/>
        <v>0</v>
      </c>
      <c r="H91" s="73" t="e">
        <f t="shared" si="18"/>
        <v>#DIV/0!</v>
      </c>
      <c r="I91" s="75" t="e">
        <f t="shared" si="17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6"/>
        <v>6.5600000000000005</v>
      </c>
      <c r="H92" s="73">
        <f t="shared" si="18"/>
        <v>0.14909090909090911</v>
      </c>
      <c r="I92" s="75">
        <f t="shared" si="17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6"/>
        <v>0</v>
      </c>
      <c r="H93" s="73" t="e">
        <f t="shared" si="18"/>
        <v>#DIV/0!</v>
      </c>
      <c r="I93" s="75" t="e">
        <f t="shared" si="17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5" t="s">
        <v>152</v>
      </c>
      <c r="E99" s="156"/>
      <c r="F99" s="157" t="s">
        <v>153</v>
      </c>
      <c r="G99" s="158"/>
      <c r="H99" s="164" t="s">
        <v>128</v>
      </c>
      <c r="I99" s="160"/>
      <c r="J99" s="161"/>
      <c r="K99" s="162" t="s">
        <v>129</v>
      </c>
      <c r="L99" s="163"/>
      <c r="M99" s="155" t="s">
        <v>130</v>
      </c>
      <c r="N99" s="165"/>
      <c r="O99" s="165"/>
      <c r="P99" s="165"/>
      <c r="Q99" s="166"/>
      <c r="R99" s="162" t="s">
        <v>131</v>
      </c>
      <c r="S99" s="163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73">
        <f>I101/G101</f>
        <v>1.3120000000000001</v>
      </c>
      <c r="K101" s="75">
        <f t="shared" ref="K101:K111" si="19">100/(H101*100)*E$17</f>
        <v>1875</v>
      </c>
      <c r="L101" s="75">
        <f t="shared" ref="L101:L111" si="20">100/(H101*100)*E$17 * G101</f>
        <v>37500</v>
      </c>
      <c r="M101" s="114">
        <f t="shared" ref="M101:M108" si="21">E101*H101</f>
        <v>0.16</v>
      </c>
      <c r="N101" s="96">
        <f>M101/G101</f>
        <v>8.0000000000000002E-3</v>
      </c>
      <c r="O101" s="73">
        <f t="shared" ref="O101:O112" si="22">G$112*M101</f>
        <v>26.240000000000002</v>
      </c>
      <c r="P101" s="73">
        <f t="shared" ref="P101:P112" si="23">O101/G101</f>
        <v>1.3120000000000001</v>
      </c>
      <c r="Q101" s="97">
        <f>ROUND(J101*2500,0)</f>
        <v>3280</v>
      </c>
      <c r="R101" s="75">
        <f t="shared" ref="R101:R110" si="24">100/(H101*E58*100)*E$17</f>
        <v>2467.1052631578946</v>
      </c>
      <c r="S101" s="75">
        <f t="shared" ref="S101:S106" si="25">100/(H101*E$61*100)*E$17 * G101</f>
        <v>156250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0.30080000000000001</v>
      </c>
      <c r="I102" s="73">
        <f t="shared" ref="I102:I112" si="27">G$112*H102</f>
        <v>49.331200000000003</v>
      </c>
      <c r="J102" s="73">
        <f>I102/G102</f>
        <v>2.4665600000000003</v>
      </c>
      <c r="K102" s="75">
        <f t="shared" si="19"/>
        <v>997.34042553191489</v>
      </c>
      <c r="L102" s="75">
        <f t="shared" si="20"/>
        <v>19946.808510638297</v>
      </c>
      <c r="M102" s="114">
        <f t="shared" si="21"/>
        <v>0.282752</v>
      </c>
      <c r="N102" s="96">
        <f t="shared" ref="N102:N111" si="28">M102/G102</f>
        <v>1.41376E-2</v>
      </c>
      <c r="O102" s="73">
        <f t="shared" si="22"/>
        <v>46.371327999999998</v>
      </c>
      <c r="P102" s="73">
        <f t="shared" si="23"/>
        <v>2.3185663999999999</v>
      </c>
      <c r="Q102" s="97">
        <f t="shared" ref="Q102:Q111" si="29">ROUND(J102*2500,0)</f>
        <v>6166</v>
      </c>
      <c r="R102" s="75">
        <f t="shared" si="24"/>
        <v>1312.2900335946249</v>
      </c>
      <c r="S102" s="75">
        <f t="shared" si="25"/>
        <v>83111.702127659577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6"/>
        <v>0.45119999999999988</v>
      </c>
      <c r="I103" s="73">
        <f t="shared" si="27"/>
        <v>73.996799999999979</v>
      </c>
      <c r="J103" s="73">
        <f t="shared" ref="J103:J110" si="31">I103/G103</f>
        <v>2.4665599999999994</v>
      </c>
      <c r="K103" s="75">
        <f t="shared" si="19"/>
        <v>664.89361702127678</v>
      </c>
      <c r="L103" s="75">
        <f t="shared" si="20"/>
        <v>19946.808510638304</v>
      </c>
      <c r="M103" s="114">
        <f t="shared" si="21"/>
        <v>0.42412799999999984</v>
      </c>
      <c r="N103" s="96">
        <f t="shared" si="28"/>
        <v>1.4137599999999995E-2</v>
      </c>
      <c r="O103" s="73">
        <f t="shared" si="22"/>
        <v>69.55699199999998</v>
      </c>
      <c r="P103" s="73">
        <f t="shared" si="23"/>
        <v>2.3185663999999995</v>
      </c>
      <c r="Q103" s="97">
        <f t="shared" si="29"/>
        <v>6166</v>
      </c>
      <c r="R103" s="75">
        <f t="shared" si="24"/>
        <v>874.86002239641664</v>
      </c>
      <c r="S103" s="75">
        <f t="shared" si="25"/>
        <v>83111.702127659591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0</v>
      </c>
      <c r="H104" s="114">
        <f t="shared" si="26"/>
        <v>0</v>
      </c>
      <c r="I104" s="73">
        <f t="shared" si="27"/>
        <v>0</v>
      </c>
      <c r="J104" s="73">
        <f>IFERROR(I104/G104,0)</f>
        <v>0</v>
      </c>
      <c r="K104" s="75" t="e">
        <f t="shared" si="19"/>
        <v>#DIV/0!</v>
      </c>
      <c r="L104" s="75" t="e">
        <f t="shared" si="20"/>
        <v>#DIV/0!</v>
      </c>
      <c r="M104" s="114">
        <f>E104*H104</f>
        <v>0</v>
      </c>
      <c r="N104" s="96" t="e">
        <f t="shared" si="28"/>
        <v>#DIV/0!</v>
      </c>
      <c r="O104" s="73">
        <f t="shared" si="22"/>
        <v>0</v>
      </c>
      <c r="P104" s="73" t="e">
        <f t="shared" si="23"/>
        <v>#DIV/0!</v>
      </c>
      <c r="Q104" s="97">
        <f t="shared" si="29"/>
        <v>0</v>
      </c>
      <c r="R104" s="75" t="e">
        <f t="shared" si="24"/>
        <v>#DIV/0!</v>
      </c>
      <c r="S104" s="75" t="e">
        <f t="shared" si="25"/>
        <v>#DIV/0!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6"/>
        <v>3.7600000000000001E-2</v>
      </c>
      <c r="I105" s="73">
        <f t="shared" si="27"/>
        <v>6.1664000000000003</v>
      </c>
      <c r="J105" s="73">
        <f t="shared" si="31"/>
        <v>0.28029090909090909</v>
      </c>
      <c r="K105" s="75">
        <f t="shared" si="19"/>
        <v>7978.7234042553191</v>
      </c>
      <c r="L105" s="75">
        <f t="shared" si="20"/>
        <v>175531.91489361701</v>
      </c>
      <c r="M105" s="114">
        <f>E105*H105</f>
        <v>3.5344E-2</v>
      </c>
      <c r="N105" s="96">
        <f t="shared" si="28"/>
        <v>1.6065454545454545E-3</v>
      </c>
      <c r="O105" s="73">
        <f t="shared" si="22"/>
        <v>5.7964159999999998</v>
      </c>
      <c r="P105" s="73">
        <f t="shared" si="23"/>
        <v>0.26347345454545451</v>
      </c>
      <c r="Q105" s="97">
        <f t="shared" si="29"/>
        <v>701</v>
      </c>
      <c r="R105" s="75">
        <f t="shared" si="24"/>
        <v>44950.554390170815</v>
      </c>
      <c r="S105" s="75">
        <f t="shared" si="25"/>
        <v>731382.97872340423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0</v>
      </c>
      <c r="H106" s="114">
        <f t="shared" si="26"/>
        <v>0</v>
      </c>
      <c r="I106" s="73">
        <f t="shared" si="27"/>
        <v>0</v>
      </c>
      <c r="J106" s="73">
        <f>IFERROR(I106/G106,0)</f>
        <v>0</v>
      </c>
      <c r="K106" s="75" t="e">
        <f t="shared" si="19"/>
        <v>#DIV/0!</v>
      </c>
      <c r="L106" s="75" t="e">
        <f t="shared" si="20"/>
        <v>#DIV/0!</v>
      </c>
      <c r="M106" s="114">
        <f>E106*H106</f>
        <v>0</v>
      </c>
      <c r="N106" s="96" t="e">
        <f t="shared" si="28"/>
        <v>#DIV/0!</v>
      </c>
      <c r="O106" s="73">
        <f t="shared" si="22"/>
        <v>0</v>
      </c>
      <c r="P106" s="73" t="e">
        <f t="shared" si="23"/>
        <v>#DIV/0!</v>
      </c>
      <c r="Q106" s="97">
        <f t="shared" si="29"/>
        <v>0</v>
      </c>
      <c r="R106" s="75" t="e">
        <f t="shared" si="24"/>
        <v>#DIV/0!</v>
      </c>
      <c r="S106" s="75" t="e">
        <f t="shared" si="25"/>
        <v>#DIV/0!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1.9199999999999998E-2</v>
      </c>
      <c r="I107" s="73">
        <f t="shared" si="27"/>
        <v>3.1487999999999996</v>
      </c>
      <c r="J107" s="73">
        <f t="shared" si="31"/>
        <v>0.15743999999999997</v>
      </c>
      <c r="K107" s="75">
        <f t="shared" si="19"/>
        <v>15625</v>
      </c>
      <c r="L107" s="75">
        <f t="shared" si="20"/>
        <v>312500</v>
      </c>
      <c r="M107" s="114">
        <f t="shared" si="21"/>
        <v>1.1519999999999998E-3</v>
      </c>
      <c r="N107" s="96">
        <f t="shared" si="28"/>
        <v>5.7599999999999991E-5</v>
      </c>
      <c r="O107" s="73">
        <f t="shared" si="22"/>
        <v>0.18892799999999996</v>
      </c>
      <c r="P107" s="73">
        <f t="shared" si="23"/>
        <v>9.4463999999999972E-3</v>
      </c>
      <c r="Q107" s="97">
        <f t="shared" si="29"/>
        <v>394</v>
      </c>
      <c r="R107" s="75">
        <f t="shared" si="24"/>
        <v>88028.169014084517</v>
      </c>
      <c r="S107" s="75">
        <f>100/(H107*E$67*100)*E$17 * G107</f>
        <v>5000000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6"/>
        <v>2.8799999999999996E-2</v>
      </c>
      <c r="I108" s="73">
        <f t="shared" si="27"/>
        <v>4.7231999999999994</v>
      </c>
      <c r="J108" s="73">
        <f t="shared" si="31"/>
        <v>0.15743999999999997</v>
      </c>
      <c r="K108" s="75">
        <f t="shared" si="19"/>
        <v>10416.666666666668</v>
      </c>
      <c r="L108" s="75">
        <f t="shared" si="20"/>
        <v>312500.00000000006</v>
      </c>
      <c r="M108" s="114">
        <f t="shared" si="21"/>
        <v>1.7279999999999997E-3</v>
      </c>
      <c r="N108" s="96">
        <f t="shared" si="28"/>
        <v>5.7599999999999991E-5</v>
      </c>
      <c r="O108" s="73">
        <f t="shared" si="22"/>
        <v>0.28339199999999998</v>
      </c>
      <c r="P108" s="73">
        <f t="shared" si="23"/>
        <v>9.4463999999999989E-3</v>
      </c>
      <c r="Q108" s="97">
        <f t="shared" si="29"/>
        <v>394</v>
      </c>
      <c r="R108" s="75">
        <f t="shared" si="24"/>
        <v>11111.111111111111</v>
      </c>
      <c r="S108" s="75">
        <f>100/(H108*E$67*100)*E$17 * G108</f>
        <v>5000000.0000000009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0</v>
      </c>
      <c r="H109" s="114">
        <f t="shared" si="26"/>
        <v>0</v>
      </c>
      <c r="I109" s="73">
        <f t="shared" si="27"/>
        <v>0</v>
      </c>
      <c r="J109" s="73">
        <f>IFERROR(I109/G109,0)</f>
        <v>0</v>
      </c>
      <c r="K109" s="75" t="e">
        <f t="shared" si="19"/>
        <v>#DIV/0!</v>
      </c>
      <c r="L109" s="75" t="e">
        <f t="shared" si="20"/>
        <v>#DIV/0!</v>
      </c>
      <c r="M109" s="114">
        <f>E109*H109</f>
        <v>0</v>
      </c>
      <c r="N109" s="96" t="e">
        <f t="shared" si="28"/>
        <v>#DIV/0!</v>
      </c>
      <c r="O109" s="73">
        <f t="shared" si="22"/>
        <v>0</v>
      </c>
      <c r="P109" s="73" t="e">
        <f t="shared" si="23"/>
        <v>#DIV/0!</v>
      </c>
      <c r="Q109" s="97">
        <f t="shared" si="29"/>
        <v>0</v>
      </c>
      <c r="R109" s="75" t="e">
        <f t="shared" si="24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6"/>
        <v>2.3999999999999998E-3</v>
      </c>
      <c r="I110" s="73">
        <f t="shared" si="27"/>
        <v>0.39359999999999995</v>
      </c>
      <c r="J110" s="73">
        <f t="shared" si="31"/>
        <v>1.7890909090909089E-2</v>
      </c>
      <c r="K110" s="75">
        <f t="shared" si="19"/>
        <v>125000</v>
      </c>
      <c r="L110" s="75">
        <f t="shared" si="20"/>
        <v>2750000</v>
      </c>
      <c r="M110" s="114">
        <f>E110*H110</f>
        <v>1.4399999999999998E-4</v>
      </c>
      <c r="N110" s="96">
        <f t="shared" si="28"/>
        <v>6.5454545454545442E-6</v>
      </c>
      <c r="O110" s="73">
        <f t="shared" si="22"/>
        <v>2.3615999999999995E-2</v>
      </c>
      <c r="P110" s="73">
        <f t="shared" si="23"/>
        <v>1.0734545454545452E-3</v>
      </c>
      <c r="Q110" s="97">
        <f t="shared" si="29"/>
        <v>45</v>
      </c>
      <c r="R110" s="75">
        <f t="shared" si="24"/>
        <v>2000000</v>
      </c>
      <c r="S110" s="75">
        <f>100/(H110*E$67*100)*E$17 * G110</f>
        <v>44000000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7"/>
        <v>0</v>
      </c>
      <c r="J111" s="73">
        <f>IFERROR(I111/G111,0)</f>
        <v>0</v>
      </c>
      <c r="K111" s="75" t="e">
        <f t="shared" si="19"/>
        <v>#DIV/0!</v>
      </c>
      <c r="L111" s="75" t="e">
        <f t="shared" si="20"/>
        <v>#DIV/0!</v>
      </c>
      <c r="M111" s="114">
        <f>E111*H111</f>
        <v>0</v>
      </c>
      <c r="N111" s="96" t="e">
        <f t="shared" si="28"/>
        <v>#DIV/0!</v>
      </c>
      <c r="O111" s="73">
        <f t="shared" si="22"/>
        <v>0</v>
      </c>
      <c r="P111" s="73" t="e">
        <f t="shared" si="23"/>
        <v>#DIV/0!</v>
      </c>
      <c r="Q111" s="97">
        <f t="shared" si="29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0.90524799999999994</v>
      </c>
      <c r="N112" s="76"/>
      <c r="O112" s="73">
        <f t="shared" si="22"/>
        <v>148.46067199999999</v>
      </c>
      <c r="P112" s="73">
        <f t="shared" si="23"/>
        <v>0.90524799999999994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R55:S55"/>
    <mergeCell ref="D99:E99"/>
    <mergeCell ref="F99:G99"/>
    <mergeCell ref="H99:J99"/>
    <mergeCell ref="K99:L99"/>
    <mergeCell ref="M99:Q99"/>
    <mergeCell ref="R99:S99"/>
    <mergeCell ref="M55:Q55"/>
    <mergeCell ref="G5:H5"/>
    <mergeCell ref="D55:E55"/>
    <mergeCell ref="F55:G55"/>
    <mergeCell ref="H55:J55"/>
    <mergeCell ref="K55:L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D19" sqref="D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1911126</v>
      </c>
      <c r="B2" s="2" t="str">
        <f>191&amp;E2</f>
        <v>1911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4493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1911127</v>
      </c>
      <c r="B3" s="2" t="str">
        <f t="shared" ref="B3:B66" si="2">191&amp;E3</f>
        <v>1911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1419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1911128</v>
      </c>
      <c r="B4" s="2" t="str">
        <f t="shared" si="2"/>
        <v>1911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4493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1911129</v>
      </c>
      <c r="B5" s="2" t="str">
        <f t="shared" si="2"/>
        <v>1911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1419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1911130</v>
      </c>
      <c r="B6" s="2" t="str">
        <f t="shared" si="2"/>
        <v>1911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4493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1911131</v>
      </c>
      <c r="B7" s="2" t="str">
        <f t="shared" si="2"/>
        <v>1911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1419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1911132</v>
      </c>
      <c r="B8" s="2" t="str">
        <f t="shared" si="2"/>
        <v>1911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4493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1911133</v>
      </c>
      <c r="B9" s="2" t="str">
        <f t="shared" si="2"/>
        <v>1911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1419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1911134</v>
      </c>
      <c r="B10" s="2" t="str">
        <f t="shared" si="2"/>
        <v>1911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4493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1911135</v>
      </c>
      <c r="B11" s="2" t="str">
        <f t="shared" si="2"/>
        <v>1911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1419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1911136</v>
      </c>
      <c r="B12" s="2" t="str">
        <f t="shared" si="2"/>
        <v>1911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4493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1911137</v>
      </c>
      <c r="B13" s="2" t="str">
        <f t="shared" si="2"/>
        <v>1911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1419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1911138</v>
      </c>
      <c r="B14" s="2" t="str">
        <f t="shared" si="2"/>
        <v>1911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4493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1911139</v>
      </c>
      <c r="B15" s="2" t="str">
        <f t="shared" si="2"/>
        <v>1911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1419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1911140</v>
      </c>
      <c r="B16" s="2" t="str">
        <f t="shared" si="2"/>
        <v>1911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4493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1911141</v>
      </c>
      <c r="B17" s="2" t="str">
        <f t="shared" si="2"/>
        <v>1911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1419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1911142</v>
      </c>
      <c r="B18" s="2" t="str">
        <f t="shared" si="2"/>
        <v>1911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4493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1911143</v>
      </c>
      <c r="B19" s="2" t="str">
        <f t="shared" si="2"/>
        <v>1911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1419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1911144</v>
      </c>
      <c r="B20" s="2" t="str">
        <f t="shared" si="2"/>
        <v>1911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4493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1911145</v>
      </c>
      <c r="B21" s="2" t="str">
        <f t="shared" si="2"/>
        <v>1911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1419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1911146</v>
      </c>
      <c r="B22" s="2" t="str">
        <f t="shared" si="2"/>
        <v>1911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4493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1911147</v>
      </c>
      <c r="B23" s="2" t="str">
        <f t="shared" si="2"/>
        <v>1911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1419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1911148</v>
      </c>
      <c r="B24" s="2" t="str">
        <f t="shared" si="2"/>
        <v>1911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4493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1911149</v>
      </c>
      <c r="B25" s="2" t="str">
        <f t="shared" si="2"/>
        <v>1911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1419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1911150</v>
      </c>
      <c r="B26" s="2" t="str">
        <f t="shared" si="2"/>
        <v>1911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4493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1911151</v>
      </c>
      <c r="B27" s="2" t="str">
        <f t="shared" si="2"/>
        <v>1911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1419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1911152</v>
      </c>
      <c r="B28" s="2" t="str">
        <f t="shared" si="2"/>
        <v>1911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4493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1911153</v>
      </c>
      <c r="B29" s="2" t="str">
        <f t="shared" si="2"/>
        <v>1911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1419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1911154</v>
      </c>
      <c r="B30" s="2" t="str">
        <f t="shared" si="2"/>
        <v>1911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4493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1911155</v>
      </c>
      <c r="B31" s="2" t="str">
        <f t="shared" si="2"/>
        <v>1911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1419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1911156</v>
      </c>
      <c r="B32" s="2" t="str">
        <f t="shared" si="2"/>
        <v>1911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4493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1911157</v>
      </c>
      <c r="B33" s="2" t="str">
        <f t="shared" si="2"/>
        <v>1911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1419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1911158</v>
      </c>
      <c r="B34" s="2" t="str">
        <f t="shared" si="2"/>
        <v>1911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4493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1911159</v>
      </c>
      <c r="B35" s="2" t="str">
        <f t="shared" si="2"/>
        <v>1911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1419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1911160</v>
      </c>
      <c r="B36" s="2" t="str">
        <f t="shared" si="2"/>
        <v>1911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4493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1911161</v>
      </c>
      <c r="B37" s="2" t="str">
        <f t="shared" si="2"/>
        <v>1911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1419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1911162</v>
      </c>
      <c r="B38" s="2" t="str">
        <f t="shared" si="2"/>
        <v>1911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4493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1911163</v>
      </c>
      <c r="B39" s="2" t="str">
        <f t="shared" si="2"/>
        <v>1911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1419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1911164</v>
      </c>
      <c r="B40" s="2" t="str">
        <f t="shared" si="2"/>
        <v>1911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4493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1911165</v>
      </c>
      <c r="B41" s="2" t="str">
        <f t="shared" si="2"/>
        <v>1911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1419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1911166</v>
      </c>
      <c r="B42" s="2" t="str">
        <f t="shared" si="2"/>
        <v>1911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6739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1911167</v>
      </c>
      <c r="B43" s="2" t="str">
        <f t="shared" si="2"/>
        <v>1911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1574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1911168</v>
      </c>
      <c r="B44" s="2" t="str">
        <f t="shared" si="2"/>
        <v>1911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554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1911169</v>
      </c>
      <c r="B45" s="2" t="str">
        <f t="shared" si="2"/>
        <v>1911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6739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1911170</v>
      </c>
      <c r="B46" s="2" t="str">
        <f t="shared" si="2"/>
        <v>1911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1574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1911171</v>
      </c>
      <c r="B47" s="2" t="str">
        <f t="shared" si="2"/>
        <v>1911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554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1911172</v>
      </c>
      <c r="B48" s="2" t="str">
        <f t="shared" si="2"/>
        <v>1911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6739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1911173</v>
      </c>
      <c r="B49" s="2" t="str">
        <f t="shared" si="2"/>
        <v>1911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1574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1911174</v>
      </c>
      <c r="B50" s="2" t="str">
        <f t="shared" si="2"/>
        <v>1911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554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1911175</v>
      </c>
      <c r="B51" s="2" t="str">
        <f t="shared" si="2"/>
        <v>1911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6739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1911176</v>
      </c>
      <c r="B52" s="2" t="str">
        <f t="shared" si="2"/>
        <v>1911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1574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1911177</v>
      </c>
      <c r="B53" s="2" t="str">
        <f t="shared" si="2"/>
        <v>1911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554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1911178</v>
      </c>
      <c r="B54" s="2" t="str">
        <f t="shared" si="2"/>
        <v>1911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6739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1911179</v>
      </c>
      <c r="B55" s="2" t="str">
        <f t="shared" si="2"/>
        <v>1911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1574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1911180</v>
      </c>
      <c r="B56" s="2" t="str">
        <f t="shared" si="2"/>
        <v>1911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554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1911181</v>
      </c>
      <c r="B57" s="2" t="str">
        <f t="shared" si="2"/>
        <v>1911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6739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1911182</v>
      </c>
      <c r="B58" s="2" t="str">
        <f t="shared" si="2"/>
        <v>1911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1574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1911183</v>
      </c>
      <c r="B59" s="2" t="str">
        <f t="shared" si="2"/>
        <v>1911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554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1911184</v>
      </c>
      <c r="B60" s="2" t="str">
        <f t="shared" si="2"/>
        <v>1911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6739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1911185</v>
      </c>
      <c r="B61" s="2" t="str">
        <f t="shared" si="2"/>
        <v>1911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1574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1911186</v>
      </c>
      <c r="B62" s="2" t="str">
        <f t="shared" si="2"/>
        <v>1911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554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1911187</v>
      </c>
      <c r="B63" s="2" t="str">
        <f t="shared" si="2"/>
        <v>1911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6739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1911188</v>
      </c>
      <c r="B64" s="2" t="str">
        <f t="shared" si="2"/>
        <v>1911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1574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1911189</v>
      </c>
      <c r="B65" s="2" t="str">
        <f t="shared" si="2"/>
        <v>1911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554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1911190</v>
      </c>
      <c r="B66" s="2" t="str">
        <f t="shared" si="2"/>
        <v>1911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6739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1911191</v>
      </c>
      <c r="B67" s="2" t="str">
        <f t="shared" ref="B67:B130" si="6">191&amp;E67</f>
        <v>1911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1574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1911192</v>
      </c>
      <c r="B68" s="2" t="str">
        <f t="shared" si="6"/>
        <v>1911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554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1911193</v>
      </c>
      <c r="B69" s="2" t="str">
        <f t="shared" si="6"/>
        <v>1911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6739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1911194</v>
      </c>
      <c r="B70" s="2" t="str">
        <f t="shared" si="6"/>
        <v>1911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1574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1911195</v>
      </c>
      <c r="B71" s="2" t="str">
        <f t="shared" si="6"/>
        <v>1911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554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1911196</v>
      </c>
      <c r="B72" s="2" t="str">
        <f t="shared" si="6"/>
        <v>1911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6739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1911197</v>
      </c>
      <c r="B73" s="2" t="str">
        <f t="shared" si="6"/>
        <v>1911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1574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1911198</v>
      </c>
      <c r="B74" s="2" t="str">
        <f t="shared" si="6"/>
        <v>1911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554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1911199</v>
      </c>
      <c r="B75" s="2" t="str">
        <f t="shared" si="6"/>
        <v>1911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6739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1911200</v>
      </c>
      <c r="B76" s="2" t="str">
        <f t="shared" si="6"/>
        <v>1911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1574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1911201</v>
      </c>
      <c r="B77" s="2" t="str">
        <f t="shared" si="6"/>
        <v>1911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554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1911202</v>
      </c>
      <c r="B78" s="2" t="str">
        <f t="shared" si="6"/>
        <v>1911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6739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1911203</v>
      </c>
      <c r="B79" s="2" t="str">
        <f t="shared" si="6"/>
        <v>1911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1574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1911204</v>
      </c>
      <c r="B80" s="2" t="str">
        <f t="shared" si="6"/>
        <v>1911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554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1911205</v>
      </c>
      <c r="B81" s="2" t="str">
        <f t="shared" si="6"/>
        <v>1911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6739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1911206</v>
      </c>
      <c r="B82" s="2" t="str">
        <f t="shared" si="6"/>
        <v>1911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1574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1911207</v>
      </c>
      <c r="B83" s="2" t="str">
        <f t="shared" si="6"/>
        <v>1911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554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1911208</v>
      </c>
      <c r="B84" s="2" t="str">
        <f t="shared" si="6"/>
        <v>1911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6739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1911209</v>
      </c>
      <c r="B85" s="2" t="str">
        <f t="shared" si="6"/>
        <v>1911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1574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1911210</v>
      </c>
      <c r="B86" s="2" t="str">
        <f t="shared" si="6"/>
        <v>1911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554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1911211</v>
      </c>
      <c r="B87" s="2" t="str">
        <f t="shared" si="6"/>
        <v>1911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6739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1911212</v>
      </c>
      <c r="B88" s="2" t="str">
        <f t="shared" si="6"/>
        <v>1911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1574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1911213</v>
      </c>
      <c r="B89" s="2" t="str">
        <f t="shared" si="6"/>
        <v>1911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554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1911214</v>
      </c>
      <c r="B90" s="2" t="str">
        <f t="shared" si="6"/>
        <v>1911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6739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1911215</v>
      </c>
      <c r="B91" s="2" t="str">
        <f t="shared" si="6"/>
        <v>1911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1574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1911216</v>
      </c>
      <c r="B92" s="2" t="str">
        <f t="shared" si="6"/>
        <v>1911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554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1911217</v>
      </c>
      <c r="B93" s="2" t="str">
        <f t="shared" si="6"/>
        <v>1911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6739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1911218</v>
      </c>
      <c r="B94" s="2" t="str">
        <f t="shared" si="6"/>
        <v>1911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1574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1911219</v>
      </c>
      <c r="B95" s="2" t="str">
        <f t="shared" si="6"/>
        <v>1911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554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1911220</v>
      </c>
      <c r="B96" s="2" t="str">
        <f t="shared" si="6"/>
        <v>1911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6739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1911221</v>
      </c>
      <c r="B97" s="2" t="str">
        <f t="shared" si="6"/>
        <v>1911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1574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1911222</v>
      </c>
      <c r="B98" s="2" t="str">
        <f t="shared" si="6"/>
        <v>1911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554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1911223</v>
      </c>
      <c r="B99" s="2" t="str">
        <f t="shared" si="6"/>
        <v>1911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6739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1911224</v>
      </c>
      <c r="B100" s="2" t="str">
        <f t="shared" si="6"/>
        <v>1911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1574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1911225</v>
      </c>
      <c r="B101" s="2" t="str">
        <f t="shared" si="6"/>
        <v>1911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554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1911226</v>
      </c>
      <c r="B102" s="2" t="str">
        <f t="shared" si="6"/>
        <v>1911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6739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1911227</v>
      </c>
      <c r="B103" s="2" t="str">
        <f t="shared" si="6"/>
        <v>1911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1574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1911228</v>
      </c>
      <c r="B104" s="2" t="str">
        <f t="shared" si="6"/>
        <v>1911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554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1911229</v>
      </c>
      <c r="B105" s="2" t="str">
        <f t="shared" si="6"/>
        <v>1911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6739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1911230</v>
      </c>
      <c r="B106" s="2" t="str">
        <f t="shared" si="6"/>
        <v>1911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1574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1911231</v>
      </c>
      <c r="B107" s="2" t="str">
        <f t="shared" si="6"/>
        <v>1911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554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1911232</v>
      </c>
      <c r="B108" s="2" t="str">
        <f t="shared" si="6"/>
        <v>1911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6739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1911233</v>
      </c>
      <c r="B109" s="2" t="str">
        <f t="shared" si="6"/>
        <v>1911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1574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1911234</v>
      </c>
      <c r="B110" s="2" t="str">
        <f t="shared" si="6"/>
        <v>1911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554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1911235</v>
      </c>
      <c r="B111" s="2" t="str">
        <f t="shared" si="6"/>
        <v>1911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6739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1911236</v>
      </c>
      <c r="B112" s="2" t="str">
        <f t="shared" si="6"/>
        <v>1911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1574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1911237</v>
      </c>
      <c r="B113" s="2" t="str">
        <f t="shared" si="6"/>
        <v>1911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554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1911238</v>
      </c>
      <c r="B114" s="2" t="str">
        <f t="shared" si="6"/>
        <v>1911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6739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1911239</v>
      </c>
      <c r="B115" s="2" t="str">
        <f t="shared" si="6"/>
        <v>1911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1574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1911240</v>
      </c>
      <c r="B116" s="2" t="str">
        <f t="shared" si="6"/>
        <v>1911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554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1911241</v>
      </c>
      <c r="B117" s="2" t="str">
        <f t="shared" si="6"/>
        <v>1911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6739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1911242</v>
      </c>
      <c r="B118" s="2" t="str">
        <f t="shared" si="6"/>
        <v>1911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1574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1911243</v>
      </c>
      <c r="B119" s="2" t="str">
        <f t="shared" si="6"/>
        <v>1911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554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1911244</v>
      </c>
      <c r="B120" s="2" t="str">
        <f t="shared" si="6"/>
        <v>1911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6739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1911245</v>
      </c>
      <c r="B121" s="2" t="str">
        <f t="shared" si="6"/>
        <v>1911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1574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1911246</v>
      </c>
      <c r="B122" s="2" t="str">
        <f t="shared" si="6"/>
        <v>1911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554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1911247</v>
      </c>
      <c r="B123" s="2" t="str">
        <f t="shared" si="6"/>
        <v>1911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6739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1911248</v>
      </c>
      <c r="B124" s="2" t="str">
        <f t="shared" si="6"/>
        <v>1911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1574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1911249</v>
      </c>
      <c r="B125" s="2" t="str">
        <f t="shared" si="6"/>
        <v>1911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554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1911250</v>
      </c>
      <c r="B126" s="2" t="str">
        <f t="shared" si="6"/>
        <v>1911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6739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1911251</v>
      </c>
      <c r="B127" s="2" t="str">
        <f t="shared" si="6"/>
        <v>1911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1574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1911252</v>
      </c>
      <c r="B128" s="2" t="str">
        <f t="shared" si="6"/>
        <v>1911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554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1911253</v>
      </c>
      <c r="B129" s="2" t="str">
        <f t="shared" si="6"/>
        <v>1911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6739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1911254</v>
      </c>
      <c r="B130" s="2" t="str">
        <f t="shared" si="6"/>
        <v>1911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1574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1911255</v>
      </c>
      <c r="B131" s="2" t="str">
        <f t="shared" ref="B131:B194" si="10">191&amp;E131</f>
        <v>1911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554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1911256</v>
      </c>
      <c r="B132" s="2" t="str">
        <f t="shared" si="10"/>
        <v>1911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6739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1911257</v>
      </c>
      <c r="B133" s="2" t="str">
        <f t="shared" si="10"/>
        <v>1911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1574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1911258</v>
      </c>
      <c r="B134" s="2" t="str">
        <f t="shared" si="10"/>
        <v>1911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554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1911259</v>
      </c>
      <c r="B135" s="2" t="str">
        <f t="shared" si="10"/>
        <v>1911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6739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1911260</v>
      </c>
      <c r="B136" s="2" t="str">
        <f t="shared" si="10"/>
        <v>1911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1574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1911261</v>
      </c>
      <c r="B137" s="2" t="str">
        <f t="shared" si="10"/>
        <v>1911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554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1911320</v>
      </c>
      <c r="B138" s="2" t="str">
        <f t="shared" si="10"/>
        <v>1911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997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1911321</v>
      </c>
      <c r="B139" s="2" t="str">
        <f t="shared" si="10"/>
        <v>1911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66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1911322</v>
      </c>
      <c r="B140" s="2" t="str">
        <f t="shared" si="10"/>
        <v>1911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1911323</v>
      </c>
      <c r="B141" s="2" t="str">
        <f t="shared" si="10"/>
        <v>1911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66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1911324</v>
      </c>
      <c r="B142" s="2" t="str">
        <f t="shared" si="10"/>
        <v>1911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997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1911325</v>
      </c>
      <c r="B143" s="2" t="str">
        <f t="shared" si="10"/>
        <v>1911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66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1911326</v>
      </c>
      <c r="B144" s="2" t="str">
        <f t="shared" si="10"/>
        <v>1911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997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1911327</v>
      </c>
      <c r="B145" s="2" t="str">
        <f t="shared" si="10"/>
        <v>1911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66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1911380</v>
      </c>
      <c r="B146" s="2" t="str">
        <f t="shared" si="10"/>
        <v>1911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6739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1911381</v>
      </c>
      <c r="B147" s="2" t="str">
        <f t="shared" si="10"/>
        <v>1911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1574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1911382</v>
      </c>
      <c r="B148" s="2" t="str">
        <f t="shared" si="10"/>
        <v>1911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554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1911383</v>
      </c>
      <c r="B149" s="2" t="str">
        <f t="shared" si="10"/>
        <v>1911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997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1911384</v>
      </c>
      <c r="B150" s="2" t="str">
        <f t="shared" si="10"/>
        <v>1911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66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1911385</v>
      </c>
      <c r="B151" s="2" t="str">
        <f t="shared" si="10"/>
        <v>1911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997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1911386</v>
      </c>
      <c r="B152" s="2" t="str">
        <f t="shared" si="10"/>
        <v>1911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66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1911387</v>
      </c>
      <c r="B153" s="2" t="str">
        <f t="shared" si="10"/>
        <v>1911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6739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1911388</v>
      </c>
      <c r="B154" s="2" t="str">
        <f t="shared" si="10"/>
        <v>1911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1574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1911389</v>
      </c>
      <c r="B155" s="2" t="str">
        <f t="shared" si="10"/>
        <v>1911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554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1911390</v>
      </c>
      <c r="B156" s="2" t="str">
        <f t="shared" si="10"/>
        <v>1911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997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1911391</v>
      </c>
      <c r="B157" s="2" t="str">
        <f t="shared" si="10"/>
        <v>1911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66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1911392</v>
      </c>
      <c r="B158" s="2" t="str">
        <f t="shared" si="10"/>
        <v>1911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6739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1911393</v>
      </c>
      <c r="B159" s="2" t="str">
        <f t="shared" si="10"/>
        <v>1911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1574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1911394</v>
      </c>
      <c r="B160" s="2" t="str">
        <f t="shared" si="10"/>
        <v>1911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554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1911395</v>
      </c>
      <c r="B161" s="2" t="str">
        <f t="shared" si="10"/>
        <v>1911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6739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1911396</v>
      </c>
      <c r="B162" s="2" t="str">
        <f t="shared" si="10"/>
        <v>1911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1574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1911397</v>
      </c>
      <c r="B163" s="2" t="str">
        <f t="shared" si="10"/>
        <v>1911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554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1911398</v>
      </c>
      <c r="B164" s="2" t="str">
        <f t="shared" si="10"/>
        <v>1911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1911399</v>
      </c>
      <c r="B165" s="2" t="str">
        <f t="shared" si="10"/>
        <v>1911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66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1911400</v>
      </c>
      <c r="B166" s="2" t="str">
        <f t="shared" si="10"/>
        <v>1911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6739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1911401</v>
      </c>
      <c r="B167" s="2" t="str">
        <f t="shared" si="10"/>
        <v>1911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1574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1911402</v>
      </c>
      <c r="B168" s="2" t="str">
        <f t="shared" si="10"/>
        <v>1911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554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1911403</v>
      </c>
      <c r="B169" s="2" t="str">
        <f t="shared" si="10"/>
        <v>1911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997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1911404</v>
      </c>
      <c r="B170" s="2" t="str">
        <f t="shared" si="10"/>
        <v>1911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66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1911405</v>
      </c>
      <c r="B171" s="2" t="str">
        <f t="shared" si="10"/>
        <v>1911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6739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1911406</v>
      </c>
      <c r="B172" s="2" t="str">
        <f t="shared" si="10"/>
        <v>1911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1574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1911407</v>
      </c>
      <c r="B173" s="2" t="str">
        <f t="shared" si="10"/>
        <v>1911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554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1911408</v>
      </c>
      <c r="B174" s="2" t="str">
        <f t="shared" si="10"/>
        <v>1911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997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1911409</v>
      </c>
      <c r="B175" s="2" t="str">
        <f t="shared" si="10"/>
        <v>1911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66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1911434</v>
      </c>
      <c r="B176" s="2" t="str">
        <f t="shared" si="10"/>
        <v>1911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997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1911435</v>
      </c>
      <c r="B177" s="2" t="str">
        <f t="shared" si="10"/>
        <v>1911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66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1911436</v>
      </c>
      <c r="B178" s="2" t="str">
        <f t="shared" si="10"/>
        <v>1911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6739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1911437</v>
      </c>
      <c r="B179" s="2" t="str">
        <f t="shared" si="10"/>
        <v>1911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1574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1911438</v>
      </c>
      <c r="B180" s="2" t="str">
        <f t="shared" si="10"/>
        <v>1911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554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1911439</v>
      </c>
      <c r="B181" s="2" t="str">
        <f t="shared" si="10"/>
        <v>1911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6739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1911440</v>
      </c>
      <c r="B182" s="2" t="str">
        <f t="shared" si="10"/>
        <v>1911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1574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1911441</v>
      </c>
      <c r="B183" s="2" t="str">
        <f t="shared" si="10"/>
        <v>1911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554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1911442</v>
      </c>
      <c r="B184" s="2" t="str">
        <f t="shared" si="10"/>
        <v>1911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997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1911443</v>
      </c>
      <c r="B185" s="2" t="str">
        <f t="shared" si="10"/>
        <v>1911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66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1911462</v>
      </c>
      <c r="B186" s="2" t="str">
        <f t="shared" si="10"/>
        <v>1911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6739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1911463</v>
      </c>
      <c r="B187" s="2" t="str">
        <f t="shared" si="10"/>
        <v>1911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1574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1911464</v>
      </c>
      <c r="B188" s="2" t="str">
        <f t="shared" si="10"/>
        <v>1911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554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1911465</v>
      </c>
      <c r="B189" s="2" t="str">
        <f t="shared" si="10"/>
        <v>1911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997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1911466</v>
      </c>
      <c r="B190" s="2" t="str">
        <f t="shared" si="10"/>
        <v>1911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66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1911467</v>
      </c>
      <c r="B191" s="2" t="str">
        <f t="shared" si="10"/>
        <v>1911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997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1911468</v>
      </c>
      <c r="B192" s="2" t="str">
        <f t="shared" si="10"/>
        <v>1911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66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1911469</v>
      </c>
      <c r="B193" s="2" t="str">
        <f t="shared" si="10"/>
        <v>1911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6739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1911470</v>
      </c>
      <c r="B194" s="2" t="str">
        <f t="shared" si="10"/>
        <v>1911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1574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1911471</v>
      </c>
      <c r="B195" s="2" t="str">
        <f t="shared" ref="B195:B258" si="14">191&amp;E195</f>
        <v>1911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554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1911474</v>
      </c>
      <c r="B196" s="2" t="str">
        <f t="shared" si="14"/>
        <v>1911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997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1911475</v>
      </c>
      <c r="B197" s="2" t="str">
        <f t="shared" si="14"/>
        <v>1911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66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1911476</v>
      </c>
      <c r="B198" s="2" t="str">
        <f t="shared" si="14"/>
        <v>1911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6739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1911477</v>
      </c>
      <c r="B199" s="2" t="str">
        <f t="shared" si="14"/>
        <v>1911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1574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1911478</v>
      </c>
      <c r="B200" s="2" t="str">
        <f t="shared" si="14"/>
        <v>1911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554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1911479</v>
      </c>
      <c r="B201" s="2" t="str">
        <f t="shared" si="14"/>
        <v>1911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997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1911480</v>
      </c>
      <c r="B202" s="2" t="str">
        <f t="shared" si="14"/>
        <v>1911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66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1911481</v>
      </c>
      <c r="B203" s="2" t="str">
        <f t="shared" si="14"/>
        <v>1911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6739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1911482</v>
      </c>
      <c r="B204" s="2" t="str">
        <f t="shared" si="14"/>
        <v>1911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1574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1911483</v>
      </c>
      <c r="B205" s="2" t="str">
        <f t="shared" si="14"/>
        <v>1911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554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1911492</v>
      </c>
      <c r="B206" s="2" t="str">
        <f t="shared" si="14"/>
        <v>1911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997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1911493</v>
      </c>
      <c r="B207" s="2" t="str">
        <f t="shared" si="14"/>
        <v>1911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66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1911494</v>
      </c>
      <c r="B208" s="2" t="str">
        <f t="shared" si="14"/>
        <v>1911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997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1911495</v>
      </c>
      <c r="B209" s="2" t="str">
        <f t="shared" si="14"/>
        <v>1911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66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1911496</v>
      </c>
      <c r="B210" s="2" t="str">
        <f t="shared" si="14"/>
        <v>1911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6739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1911497</v>
      </c>
      <c r="B211" s="2" t="str">
        <f t="shared" si="14"/>
        <v>1911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1574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1911498</v>
      </c>
      <c r="B212" s="2" t="str">
        <f t="shared" si="14"/>
        <v>1911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554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1911499</v>
      </c>
      <c r="B213" s="2" t="str">
        <f t="shared" si="14"/>
        <v>1911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997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1911500</v>
      </c>
      <c r="B214" s="2" t="str">
        <f t="shared" si="14"/>
        <v>1911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66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1911586</v>
      </c>
      <c r="B215" s="2" t="str">
        <f t="shared" si="14"/>
        <v>1911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997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1911587</v>
      </c>
      <c r="B216" s="2" t="str">
        <f t="shared" si="14"/>
        <v>1911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66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1911588</v>
      </c>
      <c r="B217" s="2" t="str">
        <f t="shared" si="14"/>
        <v>1911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6739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1911589</v>
      </c>
      <c r="B218" s="2" t="str">
        <f t="shared" si="14"/>
        <v>1911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1574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1911590</v>
      </c>
      <c r="B219" s="2" t="str">
        <f t="shared" si="14"/>
        <v>1911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554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1911591</v>
      </c>
      <c r="B220" s="2" t="str">
        <f t="shared" si="14"/>
        <v>1911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6739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1911592</v>
      </c>
      <c r="B221" s="2" t="str">
        <f t="shared" si="14"/>
        <v>1911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1574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1911593</v>
      </c>
      <c r="B222" s="2" t="str">
        <f t="shared" si="14"/>
        <v>1911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554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1911594</v>
      </c>
      <c r="B223" s="2" t="str">
        <f t="shared" si="14"/>
        <v>1911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997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1911595</v>
      </c>
      <c r="B224" s="2" t="str">
        <f t="shared" si="14"/>
        <v>1911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66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1911596</v>
      </c>
      <c r="B225" s="2" t="str">
        <f t="shared" si="14"/>
        <v>1911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6739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1911597</v>
      </c>
      <c r="B226" s="2" t="str">
        <f t="shared" si="14"/>
        <v>1911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1574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1911598</v>
      </c>
      <c r="B227" s="2" t="str">
        <f t="shared" si="14"/>
        <v>1911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554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1911599</v>
      </c>
      <c r="B228" s="2" t="str">
        <f t="shared" si="14"/>
        <v>1911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6739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1911600</v>
      </c>
      <c r="B229" s="2" t="str">
        <f t="shared" si="14"/>
        <v>1911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1574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1911601</v>
      </c>
      <c r="B230" s="2" t="str">
        <f t="shared" si="14"/>
        <v>1911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554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1911602</v>
      </c>
      <c r="B231" s="2" t="str">
        <f t="shared" si="14"/>
        <v>1911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997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1911603</v>
      </c>
      <c r="B232" s="2" t="str">
        <f t="shared" si="14"/>
        <v>1911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66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1911604</v>
      </c>
      <c r="B233" s="2" t="str">
        <f t="shared" si="14"/>
        <v>1911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6739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1911605</v>
      </c>
      <c r="B234" s="2" t="str">
        <f t="shared" si="14"/>
        <v>1911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1574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1911606</v>
      </c>
      <c r="B235" s="2" t="str">
        <f t="shared" si="14"/>
        <v>1911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554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1910127</v>
      </c>
      <c r="B236" s="2" t="str">
        <f t="shared" si="14"/>
        <v>1910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1910129</v>
      </c>
      <c r="B237" s="2" t="str">
        <f t="shared" si="14"/>
        <v>1910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1910131</v>
      </c>
      <c r="B238" s="2" t="str">
        <f t="shared" si="14"/>
        <v>1910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1910133</v>
      </c>
      <c r="B239" s="2" t="str">
        <f t="shared" si="14"/>
        <v>1910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1910135</v>
      </c>
      <c r="B240" s="2" t="str">
        <f t="shared" si="14"/>
        <v>1910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1910137</v>
      </c>
      <c r="B241" s="2" t="str">
        <f t="shared" si="14"/>
        <v>1910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1910139</v>
      </c>
      <c r="B242" s="2" t="str">
        <f t="shared" si="14"/>
        <v>1910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1910141</v>
      </c>
      <c r="B243" s="2" t="str">
        <f t="shared" si="14"/>
        <v>1910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1910143</v>
      </c>
      <c r="B244" s="2" t="str">
        <f t="shared" si="14"/>
        <v>1910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1910145</v>
      </c>
      <c r="B245" s="2" t="str">
        <f t="shared" si="14"/>
        <v>1910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1910147</v>
      </c>
      <c r="B246" s="2" t="str">
        <f t="shared" si="14"/>
        <v>1910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1910149</v>
      </c>
      <c r="B247" s="2" t="str">
        <f t="shared" si="14"/>
        <v>1910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1910151</v>
      </c>
      <c r="B248" s="2" t="str">
        <f t="shared" si="14"/>
        <v>1910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1910153</v>
      </c>
      <c r="B249" s="2" t="str">
        <f t="shared" si="14"/>
        <v>1910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1910155</v>
      </c>
      <c r="B250" s="2" t="str">
        <f t="shared" si="14"/>
        <v>1910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1910157</v>
      </c>
      <c r="B251" s="2" t="str">
        <f t="shared" si="14"/>
        <v>1910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1910159</v>
      </c>
      <c r="B252" s="2" t="str">
        <f t="shared" si="14"/>
        <v>1910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1910161</v>
      </c>
      <c r="B253" s="2" t="str">
        <f t="shared" si="14"/>
        <v>1910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1910163</v>
      </c>
      <c r="B254" s="2" t="str">
        <f t="shared" si="14"/>
        <v>1910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1910165</v>
      </c>
      <c r="B255" s="2" t="str">
        <f t="shared" si="14"/>
        <v>1910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1910167</v>
      </c>
      <c r="B256" s="2" t="str">
        <f t="shared" si="14"/>
        <v>1910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6166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1910168</v>
      </c>
      <c r="B257" s="2" t="str">
        <f t="shared" si="14"/>
        <v>1910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394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1910170</v>
      </c>
      <c r="B258" s="2" t="str">
        <f t="shared" si="14"/>
        <v>1910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6166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1910171</v>
      </c>
      <c r="B259" s="2" t="str">
        <f t="shared" ref="B259:B322" si="29">191&amp;E259</f>
        <v>1910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394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1910173</v>
      </c>
      <c r="B260" s="2" t="str">
        <f t="shared" si="29"/>
        <v>1910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6166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1910174</v>
      </c>
      <c r="B261" s="2" t="str">
        <f t="shared" si="29"/>
        <v>1910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394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1910176</v>
      </c>
      <c r="B262" s="2" t="str">
        <f t="shared" si="29"/>
        <v>1910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6166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1910177</v>
      </c>
      <c r="B263" s="2" t="str">
        <f t="shared" si="29"/>
        <v>1910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394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1910179</v>
      </c>
      <c r="B264" s="2" t="str">
        <f t="shared" si="29"/>
        <v>1910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6166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1910180</v>
      </c>
      <c r="B265" s="2" t="str">
        <f t="shared" si="29"/>
        <v>1910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394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1910182</v>
      </c>
      <c r="B266" s="2" t="str">
        <f t="shared" si="29"/>
        <v>1910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6166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1910183</v>
      </c>
      <c r="B267" s="2" t="str">
        <f t="shared" si="29"/>
        <v>1910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394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1910185</v>
      </c>
      <c r="B268" s="2" t="str">
        <f t="shared" si="29"/>
        <v>1910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6166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1910186</v>
      </c>
      <c r="B269" s="2" t="str">
        <f t="shared" si="29"/>
        <v>1910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394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1910188</v>
      </c>
      <c r="B270" s="2" t="str">
        <f t="shared" si="29"/>
        <v>1910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6166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1910189</v>
      </c>
      <c r="B271" s="2" t="str">
        <f t="shared" si="29"/>
        <v>1910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394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1910191</v>
      </c>
      <c r="B272" s="2" t="str">
        <f t="shared" si="29"/>
        <v>1910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6166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1910192</v>
      </c>
      <c r="B273" s="2" t="str">
        <f t="shared" si="29"/>
        <v>1910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394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1910194</v>
      </c>
      <c r="B274" s="2" t="str">
        <f t="shared" si="29"/>
        <v>1910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6166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1910195</v>
      </c>
      <c r="B275" s="2" t="str">
        <f t="shared" si="29"/>
        <v>1910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394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1910197</v>
      </c>
      <c r="B276" s="2" t="str">
        <f t="shared" si="29"/>
        <v>1910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6166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1910198</v>
      </c>
      <c r="B277" s="2" t="str">
        <f t="shared" si="29"/>
        <v>1910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394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1910200</v>
      </c>
      <c r="B278" s="2" t="str">
        <f t="shared" si="29"/>
        <v>1910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6166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1910201</v>
      </c>
      <c r="B279" s="2" t="str">
        <f t="shared" si="29"/>
        <v>1910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394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1910203</v>
      </c>
      <c r="B280" s="2" t="str">
        <f t="shared" si="29"/>
        <v>1910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6166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1910204</v>
      </c>
      <c r="B281" s="2" t="str">
        <f t="shared" si="29"/>
        <v>1910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394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1910206</v>
      </c>
      <c r="B282" s="2" t="str">
        <f t="shared" si="29"/>
        <v>1910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6166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1910207</v>
      </c>
      <c r="B283" s="2" t="str">
        <f t="shared" si="29"/>
        <v>1910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394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1910209</v>
      </c>
      <c r="B284" s="2" t="str">
        <f t="shared" si="29"/>
        <v>1910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6166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1910210</v>
      </c>
      <c r="B285" s="2" t="str">
        <f t="shared" si="29"/>
        <v>1910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394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1910212</v>
      </c>
      <c r="B286" s="2" t="str">
        <f t="shared" si="29"/>
        <v>1910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6166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1910213</v>
      </c>
      <c r="B287" s="2" t="str">
        <f t="shared" si="29"/>
        <v>1910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394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1910215</v>
      </c>
      <c r="B288" s="2" t="str">
        <f t="shared" si="29"/>
        <v>1910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6166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1910216</v>
      </c>
      <c r="B289" s="2" t="str">
        <f t="shared" si="29"/>
        <v>1910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394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1910218</v>
      </c>
      <c r="B290" s="2" t="str">
        <f t="shared" si="29"/>
        <v>1910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6166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1910219</v>
      </c>
      <c r="B291" s="2" t="str">
        <f t="shared" si="29"/>
        <v>1910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394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1910221</v>
      </c>
      <c r="B292" s="2" t="str">
        <f t="shared" si="29"/>
        <v>1910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6166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1910222</v>
      </c>
      <c r="B293" s="2" t="str">
        <f t="shared" si="29"/>
        <v>1910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394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1910224</v>
      </c>
      <c r="B294" s="2" t="str">
        <f t="shared" si="29"/>
        <v>1910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6166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1910225</v>
      </c>
      <c r="B295" s="2" t="str">
        <f t="shared" si="29"/>
        <v>1910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394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1910227</v>
      </c>
      <c r="B296" s="2" t="str">
        <f t="shared" si="29"/>
        <v>1910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6166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1910228</v>
      </c>
      <c r="B297" s="2" t="str">
        <f t="shared" si="29"/>
        <v>1910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394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1910230</v>
      </c>
      <c r="B298" s="2" t="str">
        <f t="shared" si="29"/>
        <v>1910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6166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1910231</v>
      </c>
      <c r="B299" s="2" t="str">
        <f t="shared" si="29"/>
        <v>1910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394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1910233</v>
      </c>
      <c r="B300" s="2" t="str">
        <f t="shared" si="29"/>
        <v>1910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6166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1910234</v>
      </c>
      <c r="B301" s="2" t="str">
        <f t="shared" si="29"/>
        <v>1910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394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1910236</v>
      </c>
      <c r="B302" s="2" t="str">
        <f t="shared" si="29"/>
        <v>1910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6166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1910237</v>
      </c>
      <c r="B303" s="2" t="str">
        <f t="shared" si="29"/>
        <v>1910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394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1910239</v>
      </c>
      <c r="B304" s="2" t="str">
        <f t="shared" si="29"/>
        <v>1910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6166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1910240</v>
      </c>
      <c r="B305" s="2" t="str">
        <f t="shared" si="29"/>
        <v>1910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394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1910242</v>
      </c>
      <c r="B306" s="2" t="str">
        <f t="shared" si="29"/>
        <v>1910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6166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1910243</v>
      </c>
      <c r="B307" s="2" t="str">
        <f t="shared" si="29"/>
        <v>1910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394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1910245</v>
      </c>
      <c r="B308" s="2" t="str">
        <f t="shared" si="29"/>
        <v>1910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6166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1910246</v>
      </c>
      <c r="B309" s="2" t="str">
        <f t="shared" si="29"/>
        <v>1910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394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1910248</v>
      </c>
      <c r="B310" s="2" t="str">
        <f t="shared" si="29"/>
        <v>1910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6166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1910249</v>
      </c>
      <c r="B311" s="2" t="str">
        <f t="shared" si="29"/>
        <v>1910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394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1910251</v>
      </c>
      <c r="B312" s="2" t="str">
        <f t="shared" si="29"/>
        <v>1910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6166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1910252</v>
      </c>
      <c r="B313" s="2" t="str">
        <f t="shared" si="29"/>
        <v>1910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394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1910254</v>
      </c>
      <c r="B314" s="2" t="str">
        <f t="shared" si="29"/>
        <v>1910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6166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1910255</v>
      </c>
      <c r="B315" s="2" t="str">
        <f t="shared" si="29"/>
        <v>1910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394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1910257</v>
      </c>
      <c r="B316" s="2" t="str">
        <f t="shared" si="29"/>
        <v>1910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6166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1910258</v>
      </c>
      <c r="B317" s="2" t="str">
        <f t="shared" si="29"/>
        <v>1910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394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1910260</v>
      </c>
      <c r="B318" s="2" t="str">
        <f t="shared" si="29"/>
        <v>1910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6166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1910261</v>
      </c>
      <c r="B319" s="2" t="str">
        <f t="shared" si="29"/>
        <v>1910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394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1910320</v>
      </c>
      <c r="B320" s="2" t="str">
        <f t="shared" si="29"/>
        <v>1910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701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1910321</v>
      </c>
      <c r="B321" s="2" t="str">
        <f t="shared" si="29"/>
        <v>1910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45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1910322</v>
      </c>
      <c r="B322" s="2" t="str">
        <f t="shared" si="29"/>
        <v>1910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701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1910323</v>
      </c>
      <c r="B323" s="2" t="str">
        <f t="shared" ref="B323:B386" si="34">191&amp;E323</f>
        <v>1910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45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1910324</v>
      </c>
      <c r="B324" s="2" t="str">
        <f t="shared" si="34"/>
        <v>1910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701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1910325</v>
      </c>
      <c r="B325" s="2" t="str">
        <f t="shared" si="34"/>
        <v>1910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45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1910326</v>
      </c>
      <c r="B326" s="2" t="str">
        <f t="shared" si="34"/>
        <v>1910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701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1910327</v>
      </c>
      <c r="B327" s="2" t="str">
        <f t="shared" si="34"/>
        <v>1910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45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1910381</v>
      </c>
      <c r="B328" s="2" t="str">
        <f t="shared" si="34"/>
        <v>1910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6166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1910382</v>
      </c>
      <c r="B329" s="2" t="str">
        <f t="shared" si="34"/>
        <v>1910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394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1910383</v>
      </c>
      <c r="B330" s="2" t="str">
        <f t="shared" si="34"/>
        <v>1910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701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1910384</v>
      </c>
      <c r="B331" s="2" t="str">
        <f t="shared" si="34"/>
        <v>1910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45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1910385</v>
      </c>
      <c r="B332" s="2" t="str">
        <f t="shared" si="34"/>
        <v>1910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701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1910386</v>
      </c>
      <c r="B333" s="2" t="str">
        <f t="shared" si="34"/>
        <v>1910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45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1910388</v>
      </c>
      <c r="B334" s="2" t="str">
        <f t="shared" si="34"/>
        <v>1910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6166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1910389</v>
      </c>
      <c r="B335" s="2" t="str">
        <f t="shared" si="34"/>
        <v>1910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394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1910390</v>
      </c>
      <c r="B336" s="2" t="str">
        <f t="shared" si="34"/>
        <v>1910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701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1910391</v>
      </c>
      <c r="B337" s="2" t="str">
        <f t="shared" si="34"/>
        <v>1910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45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1910393</v>
      </c>
      <c r="B338" s="2" t="str">
        <f t="shared" si="34"/>
        <v>1910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6166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1910394</v>
      </c>
      <c r="B339" s="2" t="str">
        <f t="shared" si="34"/>
        <v>1910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394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1910396</v>
      </c>
      <c r="B340" s="2" t="str">
        <f t="shared" si="34"/>
        <v>1910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6166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1910397</v>
      </c>
      <c r="B341" s="2" t="str">
        <f t="shared" si="34"/>
        <v>1910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394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1910398</v>
      </c>
      <c r="B342" s="2" t="str">
        <f t="shared" si="34"/>
        <v>1910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701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1910399</v>
      </c>
      <c r="B343" s="2" t="str">
        <f t="shared" si="34"/>
        <v>1910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45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1910401</v>
      </c>
      <c r="B344" s="2" t="str">
        <f t="shared" si="34"/>
        <v>1910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6166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1910402</v>
      </c>
      <c r="B345" s="2" t="str">
        <f t="shared" si="34"/>
        <v>1910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394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1910403</v>
      </c>
      <c r="B346" s="2" t="str">
        <f t="shared" si="34"/>
        <v>1910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701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1910404</v>
      </c>
      <c r="B347" s="2" t="str">
        <f t="shared" si="34"/>
        <v>1910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45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1910406</v>
      </c>
      <c r="B348" s="2" t="str">
        <f t="shared" si="34"/>
        <v>1910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6166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1910407</v>
      </c>
      <c r="B349" s="2" t="str">
        <f t="shared" si="34"/>
        <v>1910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394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1910408</v>
      </c>
      <c r="B350" s="2" t="str">
        <f t="shared" si="34"/>
        <v>1910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701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1910409</v>
      </c>
      <c r="B351" s="2" t="str">
        <f t="shared" si="34"/>
        <v>1910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45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1910434</v>
      </c>
      <c r="B352" s="2" t="str">
        <f t="shared" si="34"/>
        <v>1910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701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1910435</v>
      </c>
      <c r="B353" s="2" t="str">
        <f t="shared" si="34"/>
        <v>1910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45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1910437</v>
      </c>
      <c r="B354" s="2" t="str">
        <f t="shared" si="34"/>
        <v>1910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6166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1910438</v>
      </c>
      <c r="B355" s="2" t="str">
        <f t="shared" si="34"/>
        <v>1910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394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1910440</v>
      </c>
      <c r="B356" s="2" t="str">
        <f t="shared" si="34"/>
        <v>1910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6166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1910441</v>
      </c>
      <c r="B357" s="2" t="str">
        <f t="shared" si="34"/>
        <v>1910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394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1910442</v>
      </c>
      <c r="B358" s="2" t="str">
        <f t="shared" si="34"/>
        <v>1910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701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1910443</v>
      </c>
      <c r="B359" s="2" t="str">
        <f t="shared" si="34"/>
        <v>1910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45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1910463</v>
      </c>
      <c r="B360" s="2" t="str">
        <f t="shared" si="34"/>
        <v>1910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6166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1910464</v>
      </c>
      <c r="B361" s="2" t="str">
        <f t="shared" si="34"/>
        <v>1910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394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1910465</v>
      </c>
      <c r="B362" s="2" t="str">
        <f t="shared" si="34"/>
        <v>1910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701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1910466</v>
      </c>
      <c r="B363" s="2" t="str">
        <f t="shared" si="34"/>
        <v>1910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45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1910467</v>
      </c>
      <c r="B364" s="2" t="str">
        <f t="shared" si="34"/>
        <v>1910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701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1910468</v>
      </c>
      <c r="B365" s="2" t="str">
        <f t="shared" si="34"/>
        <v>1910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45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1910470</v>
      </c>
      <c r="B366" s="2" t="str">
        <f t="shared" si="34"/>
        <v>1910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6166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1910471</v>
      </c>
      <c r="B367" s="2" t="str">
        <f t="shared" si="34"/>
        <v>1910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394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1910474</v>
      </c>
      <c r="B368" s="2" t="str">
        <f t="shared" si="34"/>
        <v>1910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701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1910475</v>
      </c>
      <c r="B369" s="2" t="str">
        <f t="shared" si="34"/>
        <v>1910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45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1910477</v>
      </c>
      <c r="B370" s="2" t="str">
        <f t="shared" si="34"/>
        <v>1910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6166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1910478</v>
      </c>
      <c r="B371" s="2" t="str">
        <f t="shared" si="34"/>
        <v>1910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394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1910479</v>
      </c>
      <c r="B372" s="2" t="str">
        <f t="shared" si="34"/>
        <v>1910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701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1910480</v>
      </c>
      <c r="B373" s="2" t="str">
        <f t="shared" si="34"/>
        <v>1910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45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1910482</v>
      </c>
      <c r="B374" s="2" t="str">
        <f t="shared" si="34"/>
        <v>1910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6166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8"/>
        <v>1910483</v>
      </c>
      <c r="B375" s="2" t="str">
        <f t="shared" si="34"/>
        <v>1910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394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40">B376&amp;F376</f>
        <v>1910492</v>
      </c>
      <c r="B376" s="2" t="str">
        <f t="shared" si="34"/>
        <v>1910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701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1910493</v>
      </c>
      <c r="B377" s="2" t="str">
        <f t="shared" si="34"/>
        <v>1910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45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1910494</v>
      </c>
      <c r="B378" s="2" t="str">
        <f t="shared" si="34"/>
        <v>1910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701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1910495</v>
      </c>
      <c r="B379" s="2" t="str">
        <f t="shared" si="34"/>
        <v>1910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45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1910497</v>
      </c>
      <c r="B380" s="2" t="str">
        <f t="shared" si="34"/>
        <v>1910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6166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1910498</v>
      </c>
      <c r="B381" s="2" t="str">
        <f t="shared" si="34"/>
        <v>1910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394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1910499</v>
      </c>
      <c r="B382" s="2" t="str">
        <f t="shared" si="34"/>
        <v>1910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701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1910500</v>
      </c>
      <c r="B383" s="2" t="str">
        <f t="shared" si="34"/>
        <v>1910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45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1910586</v>
      </c>
      <c r="B384" s="2" t="str">
        <f t="shared" si="34"/>
        <v>1910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701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1910587</v>
      </c>
      <c r="B385" s="2" t="str">
        <f t="shared" si="34"/>
        <v>1910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45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1910589</v>
      </c>
      <c r="B386" s="2" t="str">
        <f t="shared" si="34"/>
        <v>1910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6166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1910590</v>
      </c>
      <c r="B387" s="2" t="str">
        <f t="shared" ref="B387:B399" si="42">191&amp;E387</f>
        <v>1910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394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1910592</v>
      </c>
      <c r="B388" s="2" t="str">
        <f t="shared" si="42"/>
        <v>1910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6166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1910593</v>
      </c>
      <c r="B389" s="2" t="str">
        <f t="shared" si="42"/>
        <v>1910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394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1910594</v>
      </c>
      <c r="B390" s="2" t="str">
        <f t="shared" si="42"/>
        <v>1910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701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1910595</v>
      </c>
      <c r="B391" s="2" t="str">
        <f t="shared" si="42"/>
        <v>1910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45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1910597</v>
      </c>
      <c r="B392" s="2" t="str">
        <f t="shared" si="42"/>
        <v>1910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6166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1910598</v>
      </c>
      <c r="B393" s="2" t="str">
        <f t="shared" si="42"/>
        <v>1910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394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1910600</v>
      </c>
      <c r="B394" s="2" t="str">
        <f t="shared" si="42"/>
        <v>1910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6166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1910601</v>
      </c>
      <c r="B395" s="2" t="str">
        <f t="shared" si="42"/>
        <v>1910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394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1910602</v>
      </c>
      <c r="B396" s="2" t="str">
        <f t="shared" si="42"/>
        <v>1910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701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1910603</v>
      </c>
      <c r="B397" s="2" t="str">
        <f t="shared" si="42"/>
        <v>1910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45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1910605</v>
      </c>
      <c r="B398" s="2" t="str">
        <f t="shared" si="42"/>
        <v>1910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6166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1910606</v>
      </c>
      <c r="B399" s="2" t="str">
        <f t="shared" si="42"/>
        <v>1910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394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topLeftCell="C1" workbookViewId="0">
      <pane ySplit="1" topLeftCell="A2" activePane="bottomLeft" state="frozen"/>
      <selection activeCell="M24" sqref="M24"/>
      <selection pane="bottomLeft" activeCell="N10" sqref="N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 t="str">
        <f>IFERROR(D2&amp;G2&amp;H2,"")</f>
        <v/>
      </c>
      <c r="E2" s="16"/>
      <c r="F2" s="8" t="str">
        <f>IFERROR(VLOOKUP(E2,[1]characters!$A:$C,3,FALSE),"")</f>
        <v/>
      </c>
      <c r="G2" s="8" t="str">
        <f>IFERROR(VLOOKUP(E2,[1]characters!$A:$J,10,FALSE),"")</f>
        <v/>
      </c>
      <c r="H2" s="8" t="str">
        <f>IFERROR(VLOOKUP(E2,[1]characters!$A:$I,9,FALSE),"")</f>
        <v/>
      </c>
      <c r="I2" s="8" t="str">
        <f>IFERROR(VLOOKUP(E2,[1]characters!$A:$H,8,FALSE),"")</f>
        <v/>
      </c>
      <c r="J2" s="8" t="str">
        <f>IFERROR(VLOOKUP(E2,[1]characters!$A:$K,11,FALSE),"")</f>
        <v/>
      </c>
      <c r="K2" s="8" t="str">
        <f>IFERROR(VLOOKUP(E2,[1]characters!$A:$M,13,FALSE),"")</f>
        <v/>
      </c>
      <c r="L2" s="35"/>
      <c r="M2" s="37" t="str">
        <f>IF(ISBLANK(E2),"",IFERROR(VLOOKUP($E2,bug_conf_sheet!$A:$H,3,FALSE),VLOOKUP("other",bug_conf_sheet!$A:$H,3,FALSE)))</f>
        <v/>
      </c>
      <c r="N2" s="37" t="str">
        <f>IF(ISBLANK(E2),"",IFERROR(VLOOKUP($E2,bug_conf_sheet!$A:$H,4,FALSE),VLOOKUP("other",bug_conf_sheet!$A:$H,4,FALSE)))</f>
        <v/>
      </c>
      <c r="O2" s="37" t="str">
        <f>IF(ISBLANK(E2),"",IFERROR(VLOOKUP($E2,bug_conf_sheet!$A:$H,5,FALSE),VLOOKUP("other",bug_conf_sheet!$A:$H,5,FALSE)))</f>
        <v/>
      </c>
      <c r="P2" s="37" t="str">
        <f>IF(ISBLANK(E2),"",IFERROR(VLOOKUP($E2,bug_conf_sheet!$A:$H,6,FALSE),VLOOKUP("other",bug_conf_sheet!$A:$H,6,FALSE)))</f>
        <v/>
      </c>
      <c r="Q2" s="37" t="str">
        <f>IF(ISBLANK(E2),"",IFERROR(VLOOKUP($E2,bug_conf_sheet!$A:$H,7,FALSE),VLOOKUP("other",bug_conf_sheet!$A:$H,7,FALSE)))</f>
        <v/>
      </c>
      <c r="R2" s="37" t="str">
        <f>IF(ISBLANK(E2),"",IFERROR(VLOOKUP($E2,bug_conf_sheet!$A:$H,8,FALSE),VLOOKUP("other",bug_conf_sheet!$A:$H,8,FALSE)))</f>
        <v/>
      </c>
    </row>
    <row r="3" spans="1:18" ht="21" customHeight="1">
      <c r="B3" s="2"/>
      <c r="C3" s="8" t="str">
        <f t="shared" ref="C3:C9" si="0">IFERROR(D3&amp;G3&amp;H3,"")</f>
        <v/>
      </c>
      <c r="E3" s="16"/>
      <c r="F3" s="8" t="str">
        <f>IFERROR(VLOOKUP(E3,[1]characters!$A:$C,3,FALSE),"")</f>
        <v/>
      </c>
      <c r="G3" s="8" t="str">
        <f>IFERROR(VLOOKUP(E3,[1]characters!$A:$J,10,FALSE),"")</f>
        <v/>
      </c>
      <c r="H3" s="8" t="str">
        <f>IFERROR(VLOOKUP(E3,[1]characters!$A:$I,9,FALSE),"")</f>
        <v/>
      </c>
      <c r="I3" s="8" t="str">
        <f>IFERROR(VLOOKUP(E3,[1]characters!$A:$H,8,FALSE),"")</f>
        <v/>
      </c>
      <c r="J3" s="8" t="str">
        <f>IFERROR(VLOOKUP(E3,[1]characters!$A:$K,11,FALSE),"")</f>
        <v/>
      </c>
      <c r="K3" s="8" t="str">
        <f>IFERROR(VLOOKUP(E3,[1]characters!$A:$M,13,FALSE),"")</f>
        <v/>
      </c>
      <c r="L3" s="35"/>
      <c r="M3" s="37" t="str">
        <f>IF(ISBLANK(E3),"",IFERROR(VLOOKUP($E3,bug_conf_sheet!$A:$H,3,FALSE),VLOOKUP("other",bug_conf_sheet!$A:$H,3,FALSE)))</f>
        <v/>
      </c>
      <c r="N3" s="37" t="str">
        <f>IF(ISBLANK(E3),"",IFERROR(VLOOKUP($E3,bug_conf_sheet!$A:$H,4,FALSE),VLOOKUP("other",bug_conf_sheet!$A:$H,4,FALSE)))</f>
        <v/>
      </c>
      <c r="O3" s="37" t="str">
        <f>IF(ISBLANK(E3),"",IFERROR(VLOOKUP($E3,bug_conf_sheet!$A:$H,5,FALSE),VLOOKUP("other",bug_conf_sheet!$A:$H,5,FALSE)))</f>
        <v/>
      </c>
      <c r="P3" s="37" t="str">
        <f>IF(ISBLANK(E3),"",IFERROR(VLOOKUP($E3,bug_conf_sheet!$A:$H,6,FALSE),VLOOKUP("other",bug_conf_sheet!$A:$H,6,FALSE)))</f>
        <v/>
      </c>
      <c r="Q3" s="37" t="str">
        <f>IF(ISBLANK(E3),"",IFERROR(VLOOKUP($E3,bug_conf_sheet!$A:$H,7,FALSE),VLOOKUP("other",bug_conf_sheet!$A:$H,7,FALSE)))</f>
        <v/>
      </c>
      <c r="R3" s="37" t="str">
        <f>IF(ISBLANK(E3),"",IFERROR(VLOOKUP($E3,bug_conf_sheet!$A:$H,8,FALSE),VLOOKUP("other",bug_conf_sheet!$A:$H,8,FALSE)))</f>
        <v/>
      </c>
    </row>
    <row r="4" spans="1:18" ht="21" customHeight="1">
      <c r="B4" s="2"/>
      <c r="C4" s="8" t="str">
        <f t="shared" si="0"/>
        <v/>
      </c>
      <c r="E4" s="16"/>
      <c r="F4" s="8" t="str">
        <f>IFERROR(VLOOKUP(E4,[1]characters!$A:$C,3,FALSE),"")</f>
        <v/>
      </c>
      <c r="G4" s="8" t="str">
        <f>IFERROR(VLOOKUP(E4,[1]characters!$A:$J,10,FALSE),"")</f>
        <v/>
      </c>
      <c r="H4" s="8" t="str">
        <f>IFERROR(VLOOKUP(E4,[1]characters!$A:$I,9,FALSE),"")</f>
        <v/>
      </c>
      <c r="I4" s="8" t="str">
        <f>IFERROR(VLOOKUP(E4,[1]characters!$A:$H,8,FALSE),"")</f>
        <v/>
      </c>
      <c r="J4" s="8" t="str">
        <f>IFERROR(VLOOKUP(E4,[1]characters!$A:$K,11,FALSE),"")</f>
        <v/>
      </c>
      <c r="K4" s="8" t="str">
        <f>IFERROR(VLOOKUP(E4,[1]characters!$A:$M,13,FALSE),"")</f>
        <v/>
      </c>
      <c r="L4" s="35"/>
      <c r="M4" s="37" t="str">
        <f>IF(ISBLANK(E4),"",IFERROR(VLOOKUP($E4,bug_conf_sheet!$A:$H,3,FALSE),VLOOKUP("other",bug_conf_sheet!$A:$H,3,FALSE)))</f>
        <v/>
      </c>
      <c r="N4" s="37" t="str">
        <f>IF(ISBLANK(E4),"",IFERROR(VLOOKUP($E4,bug_conf_sheet!$A:$H,4,FALSE),VLOOKUP("other",bug_conf_sheet!$A:$H,4,FALSE)))</f>
        <v/>
      </c>
      <c r="O4" s="37" t="str">
        <f>IF(ISBLANK(E4),"",IFERROR(VLOOKUP($E4,bug_conf_sheet!$A:$H,5,FALSE),VLOOKUP("other",bug_conf_sheet!$A:$H,5,FALSE)))</f>
        <v/>
      </c>
      <c r="P4" s="37" t="str">
        <f>IF(ISBLANK(E4),"",IFERROR(VLOOKUP($E4,bug_conf_sheet!$A:$H,6,FALSE),VLOOKUP("other",bug_conf_sheet!$A:$H,6,FALSE)))</f>
        <v/>
      </c>
      <c r="Q4" s="37" t="str">
        <f>IF(ISBLANK(E4),"",IFERROR(VLOOKUP($E4,bug_conf_sheet!$A:$H,7,FALSE),VLOOKUP("other",bug_conf_sheet!$A:$H,7,FALSE)))</f>
        <v/>
      </c>
      <c r="R4" s="37" t="str">
        <f>IF(ISBLANK(E4),"",IFERROR(VLOOKUP($E4,bug_conf_sheet!$A:$H,8,FALSE),VLOOKUP("other",bug_conf_sheet!$A:$H,8,FALSE)))</f>
        <v/>
      </c>
    </row>
    <row r="5" spans="1:18" ht="21" customHeight="1">
      <c r="B5" s="2"/>
      <c r="C5" s="8" t="str">
        <f t="shared" si="0"/>
        <v/>
      </c>
      <c r="E5" s="16"/>
      <c r="F5" s="8" t="str">
        <f>IFERROR(VLOOKUP(E5,[1]characters!$A:$C,3,FALSE),"")</f>
        <v/>
      </c>
      <c r="G5" s="8" t="str">
        <f>IFERROR(VLOOKUP(E5,[1]characters!$A:$J,10,FALSE),"")</f>
        <v/>
      </c>
      <c r="H5" s="8" t="str">
        <f>IFERROR(VLOOKUP(E5,[1]characters!$A:$I,9,FALSE),"")</f>
        <v/>
      </c>
      <c r="I5" s="8" t="str">
        <f>IFERROR(VLOOKUP(E5,[1]characters!$A:$H,8,FALSE),"")</f>
        <v/>
      </c>
      <c r="J5" s="8" t="str">
        <f>IFERROR(VLOOKUP(E5,[1]characters!$A:$K,11,FALSE),"")</f>
        <v/>
      </c>
      <c r="K5" s="8" t="str">
        <f>IFERROR(VLOOKUP(E5,[1]characters!$A:$M,13,FALSE),"")</f>
        <v/>
      </c>
      <c r="L5" s="35"/>
      <c r="M5" s="37" t="str">
        <f>IF(ISBLANK(E5),"",IFERROR(VLOOKUP($E5,bug_conf_sheet!$A:$H,3,FALSE),VLOOKUP("other",bug_conf_sheet!$A:$H,3,FALSE)))</f>
        <v/>
      </c>
      <c r="N5" s="37" t="str">
        <f>IF(ISBLANK(E5),"",IFERROR(VLOOKUP($E5,bug_conf_sheet!$A:$H,4,FALSE),VLOOKUP("other",bug_conf_sheet!$A:$H,4,FALSE)))</f>
        <v/>
      </c>
      <c r="O5" s="37" t="str">
        <f>IF(ISBLANK(E5),"",IFERROR(VLOOKUP($E5,bug_conf_sheet!$A:$H,5,FALSE),VLOOKUP("other",bug_conf_sheet!$A:$H,5,FALSE)))</f>
        <v/>
      </c>
      <c r="P5" s="37" t="str">
        <f>IF(ISBLANK(E5),"",IFERROR(VLOOKUP($E5,bug_conf_sheet!$A:$H,6,FALSE),VLOOKUP("other",bug_conf_sheet!$A:$H,6,FALSE)))</f>
        <v/>
      </c>
      <c r="Q5" s="37" t="str">
        <f>IF(ISBLANK(E5),"",IFERROR(VLOOKUP($E5,bug_conf_sheet!$A:$H,7,FALSE),VLOOKUP("other",bug_conf_sheet!$A:$H,7,FALSE)))</f>
        <v/>
      </c>
      <c r="R5" s="37" t="str">
        <f>IF(ISBLANK(E5),"",IFERROR(VLOOKUP($E5,bug_conf_sheet!$A:$H,8,FALSE),VLOOKUP("other",bug_conf_sheet!$A:$H,8,FALSE)))</f>
        <v/>
      </c>
    </row>
    <row r="6" spans="1:18" ht="21" customHeight="1">
      <c r="B6" s="2"/>
      <c r="C6" s="8" t="str">
        <f t="shared" si="0"/>
        <v/>
      </c>
      <c r="E6" s="16"/>
      <c r="F6" s="8" t="str">
        <f>IFERROR(VLOOKUP(E6,[1]characters!$A:$C,3,FALSE),"")</f>
        <v/>
      </c>
      <c r="G6" s="8" t="str">
        <f>IFERROR(VLOOKUP(E6,[1]characters!$A:$J,10,FALSE),"")</f>
        <v/>
      </c>
      <c r="H6" s="8" t="str">
        <f>IFERROR(VLOOKUP(E6,[1]characters!$A:$I,9,FALSE),"")</f>
        <v/>
      </c>
      <c r="I6" s="8" t="str">
        <f>IFERROR(VLOOKUP(E6,[1]characters!$A:$H,8,FALSE),"")</f>
        <v/>
      </c>
      <c r="J6" s="8" t="str">
        <f>IFERROR(VLOOKUP(E6,[1]characters!$A:$K,11,FALSE),"")</f>
        <v/>
      </c>
      <c r="K6" s="8" t="str">
        <f>IFERROR(VLOOKUP(E6,[1]characters!$A:$M,13,FALSE),"")</f>
        <v/>
      </c>
      <c r="L6" s="35"/>
      <c r="M6" s="37" t="str">
        <f>IF(ISBLANK(E6),"",IFERROR(VLOOKUP($E6,bug_conf_sheet!$A:$H,3,FALSE),VLOOKUP("other",bug_conf_sheet!$A:$H,3,FALSE)))</f>
        <v/>
      </c>
      <c r="N6" s="37" t="str">
        <f>IF(ISBLANK(E6),"",IFERROR(VLOOKUP($E6,bug_conf_sheet!$A:$H,4,FALSE),VLOOKUP("other",bug_conf_sheet!$A:$H,4,FALSE)))</f>
        <v/>
      </c>
      <c r="O6" s="37" t="str">
        <f>IF(ISBLANK(E6),"",IFERROR(VLOOKUP($E6,bug_conf_sheet!$A:$H,5,FALSE),VLOOKUP("other",bug_conf_sheet!$A:$H,5,FALSE)))</f>
        <v/>
      </c>
      <c r="P6" s="37" t="str">
        <f>IF(ISBLANK(E6),"",IFERROR(VLOOKUP($E6,bug_conf_sheet!$A:$H,6,FALSE),VLOOKUP("other",bug_conf_sheet!$A:$H,6,FALSE)))</f>
        <v/>
      </c>
      <c r="Q6" s="37" t="str">
        <f>IF(ISBLANK(E6),"",IFERROR(VLOOKUP($E6,bug_conf_sheet!$A:$H,7,FALSE),VLOOKUP("other",bug_conf_sheet!$A:$H,7,FALSE)))</f>
        <v/>
      </c>
      <c r="R6" s="37" t="str">
        <f>IF(ISBLANK(E6),"",IFERROR(VLOOKUP($E6,bug_conf_sheet!$A:$H,8,FALSE),VLOOKUP("other",bug_conf_sheet!$A:$H,8,FALSE)))</f>
        <v/>
      </c>
    </row>
    <row r="7" spans="1:18" ht="21" customHeight="1">
      <c r="B7" s="2"/>
      <c r="C7" s="8" t="str">
        <f t="shared" si="0"/>
        <v/>
      </c>
      <c r="E7" s="16"/>
      <c r="F7" s="8" t="str">
        <f>IFERROR(VLOOKUP(E7,[1]characters!$A:$C,3,FALSE),"")</f>
        <v/>
      </c>
      <c r="G7" s="8" t="str">
        <f>IFERROR(VLOOKUP(E7,[1]characters!$A:$J,10,FALSE),"")</f>
        <v/>
      </c>
      <c r="H7" s="8" t="str">
        <f>IFERROR(VLOOKUP(E7,[1]characters!$A:$I,9,FALSE),"")</f>
        <v/>
      </c>
      <c r="I7" s="8" t="str">
        <f>IFERROR(VLOOKUP(E7,[1]characters!$A:$H,8,FALSE),"")</f>
        <v/>
      </c>
      <c r="J7" s="8" t="str">
        <f>IFERROR(VLOOKUP(E7,[1]characters!$A:$K,11,FALSE),"")</f>
        <v/>
      </c>
      <c r="K7" s="8" t="str">
        <f>IFERROR(VLOOKUP(E7,[1]characters!$A:$M,13,FALSE),"")</f>
        <v/>
      </c>
      <c r="L7" s="35"/>
      <c r="M7" s="37" t="str">
        <f>IF(ISBLANK(E7),"",IFERROR(VLOOKUP($E7,bug_conf_sheet!$A:$H,3,FALSE),VLOOKUP("other",bug_conf_sheet!$A:$H,3,FALSE)))</f>
        <v/>
      </c>
      <c r="N7" s="37" t="str">
        <f>IF(ISBLANK(E7),"",IFERROR(VLOOKUP($E7,bug_conf_sheet!$A:$H,4,FALSE),VLOOKUP("other",bug_conf_sheet!$A:$H,4,FALSE)))</f>
        <v/>
      </c>
      <c r="O7" s="37" t="str">
        <f>IF(ISBLANK(E7),"",IFERROR(VLOOKUP($E7,bug_conf_sheet!$A:$H,5,FALSE),VLOOKUP("other",bug_conf_sheet!$A:$H,5,FALSE)))</f>
        <v/>
      </c>
      <c r="P7" s="37" t="str">
        <f>IF(ISBLANK(E7),"",IFERROR(VLOOKUP($E7,bug_conf_sheet!$A:$H,6,FALSE),VLOOKUP("other",bug_conf_sheet!$A:$H,6,FALSE)))</f>
        <v/>
      </c>
      <c r="Q7" s="37" t="str">
        <f>IF(ISBLANK(E7),"",IFERROR(VLOOKUP($E7,bug_conf_sheet!$A:$H,7,FALSE),VLOOKUP("other",bug_conf_sheet!$A:$H,7,FALSE)))</f>
        <v/>
      </c>
      <c r="R7" s="37" t="str">
        <f>IF(ISBLANK(E7),"",IFERROR(VLOOKUP($E7,bug_conf_sheet!$A:$H,8,FALSE),VLOOKUP("other",bug_conf_sheet!$A:$H,8,FALSE)))</f>
        <v/>
      </c>
    </row>
    <row r="8" spans="1:18" ht="21" customHeight="1">
      <c r="B8" s="2"/>
      <c r="C8" s="8" t="str">
        <f t="shared" si="0"/>
        <v/>
      </c>
      <c r="E8" s="16"/>
      <c r="F8" s="8" t="str">
        <f>IFERROR(VLOOKUP(E8,[1]characters!$A:$C,3,FALSE),"")</f>
        <v/>
      </c>
      <c r="G8" s="8" t="str">
        <f>IFERROR(VLOOKUP(E8,[1]characters!$A:$J,10,FALSE),"")</f>
        <v/>
      </c>
      <c r="H8" s="8" t="str">
        <f>IFERROR(VLOOKUP(E8,[1]characters!$A:$I,9,FALSE),"")</f>
        <v/>
      </c>
      <c r="I8" s="8" t="str">
        <f>IFERROR(VLOOKUP(E8,[1]characters!$A:$H,8,FALSE),"")</f>
        <v/>
      </c>
      <c r="J8" s="8" t="str">
        <f>IFERROR(VLOOKUP(E8,[1]characters!$A:$K,11,FALSE),"")</f>
        <v/>
      </c>
      <c r="K8" s="8" t="str">
        <f>IFERROR(VLOOKUP(E8,[1]characters!$A:$M,13,FALSE),"")</f>
        <v/>
      </c>
      <c r="L8" s="35"/>
      <c r="M8" s="37" t="str">
        <f>IF(ISBLANK(E8),"",IFERROR(VLOOKUP($E8,bug_conf_sheet!$A:$H,3,FALSE),VLOOKUP("other",bug_conf_sheet!$A:$H,3,FALSE)))</f>
        <v/>
      </c>
      <c r="N8" s="37" t="str">
        <f>IF(ISBLANK(E8),"",IFERROR(VLOOKUP($E8,bug_conf_sheet!$A:$H,4,FALSE),VLOOKUP("other",bug_conf_sheet!$A:$H,4,FALSE)))</f>
        <v/>
      </c>
      <c r="O8" s="37" t="str">
        <f>IF(ISBLANK(E8),"",IFERROR(VLOOKUP($E8,bug_conf_sheet!$A:$H,5,FALSE),VLOOKUP("other",bug_conf_sheet!$A:$H,5,FALSE)))</f>
        <v/>
      </c>
      <c r="P8" s="37" t="str">
        <f>IF(ISBLANK(E8),"",IFERROR(VLOOKUP($E8,bug_conf_sheet!$A:$H,6,FALSE),VLOOKUP("other",bug_conf_sheet!$A:$H,6,FALSE)))</f>
        <v/>
      </c>
      <c r="Q8" s="37" t="str">
        <f>IF(ISBLANK(E8),"",IFERROR(VLOOKUP($E8,bug_conf_sheet!$A:$H,7,FALSE),VLOOKUP("other",bug_conf_sheet!$A:$H,7,FALSE)))</f>
        <v/>
      </c>
      <c r="R8" s="37" t="str">
        <f>IF(ISBLANK(E8),"",IFERROR(VLOOKUP($E8,bug_conf_sheet!$A:$H,8,FALSE),VLOOKUP("other",bug_conf_sheet!$A:$H,8,FALSE)))</f>
        <v/>
      </c>
    </row>
    <row r="9" spans="1:18" ht="21" customHeight="1">
      <c r="B9" s="2"/>
      <c r="C9" s="8" t="str">
        <f t="shared" si="0"/>
        <v/>
      </c>
      <c r="E9" s="16"/>
      <c r="F9" s="8" t="str">
        <f>IFERROR(VLOOKUP(E9,[1]characters!$A:$C,3,FALSE),"")</f>
        <v/>
      </c>
      <c r="G9" s="8" t="str">
        <f>IFERROR(VLOOKUP(E9,[1]characters!$A:$J,10,FALSE),"")</f>
        <v/>
      </c>
      <c r="H9" s="8" t="str">
        <f>IFERROR(VLOOKUP(E9,[1]characters!$A:$I,9,FALSE),"")</f>
        <v/>
      </c>
      <c r="I9" s="8" t="str">
        <f>IFERROR(VLOOKUP(E9,[1]characters!$A:$H,8,FALSE),"")</f>
        <v/>
      </c>
      <c r="J9" s="8" t="str">
        <f>IFERROR(VLOOKUP(E9,[1]characters!$A:$K,11,FALSE),"")</f>
        <v/>
      </c>
      <c r="K9" s="8" t="str">
        <f>IFERROR(VLOOKUP(E9,[1]characters!$A:$M,13,FALSE),"")</f>
        <v/>
      </c>
      <c r="L9" s="35"/>
      <c r="M9" s="37" t="str">
        <f>IF(ISBLANK(E9),"",IFERROR(VLOOKUP($E9,bug_conf_sheet!$A:$H,3,FALSE),VLOOKUP("other",bug_conf_sheet!$A:$H,3,FALSE)))</f>
        <v/>
      </c>
      <c r="N9" s="37" t="str">
        <f>IF(ISBLANK(E9),"",IFERROR(VLOOKUP($E9,bug_conf_sheet!$A:$H,4,FALSE),VLOOKUP("other",bug_conf_sheet!$A:$H,4,FALSE)))</f>
        <v/>
      </c>
      <c r="O9" s="37" t="str">
        <f>IF(ISBLANK(E9),"",IFERROR(VLOOKUP($E9,bug_conf_sheet!$A:$H,5,FALSE),VLOOKUP("other",bug_conf_sheet!$A:$H,5,FALSE)))</f>
        <v/>
      </c>
      <c r="P9" s="37" t="str">
        <f>IF(ISBLANK(E9),"",IFERROR(VLOOKUP($E9,bug_conf_sheet!$A:$H,6,FALSE),VLOOKUP("other",bug_conf_sheet!$A:$H,6,FALSE)))</f>
        <v/>
      </c>
      <c r="Q9" s="37" t="str">
        <f>IF(ISBLANK(E9),"",IFERROR(VLOOKUP($E9,bug_conf_sheet!$A:$H,7,FALSE),VLOOKUP("other",bug_conf_sheet!$A:$H,7,FALSE)))</f>
        <v/>
      </c>
      <c r="R9" s="37" t="str">
        <f>IF(ISBLANK(E9),"",IFERROR(VLOOKUP($E9,bug_conf_sheet!$A:$H,8,FALSE),VLOOKUP("other",bug_conf_sheet!$A:$H,8,FALSE)))</f>
        <v/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9"/>
  <sheetViews>
    <sheetView showGridLines="0" tabSelected="1" workbookViewId="0">
      <pane ySplit="1" topLeftCell="A2" activePane="bottomLeft" state="frozen"/>
      <selection activeCell="M24" sqref="M24"/>
      <selection pane="bottomLeft" activeCell="K11" sqref="K11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1911</v>
      </c>
      <c r="C2" s="1">
        <v>19111</v>
      </c>
      <c r="D2" s="1" t="s">
        <v>212</v>
      </c>
      <c r="E2" s="1">
        <v>334</v>
      </c>
      <c r="F2" s="1">
        <v>1</v>
      </c>
      <c r="G2" s="1">
        <v>1</v>
      </c>
      <c r="H2" s="1" t="s">
        <v>213</v>
      </c>
      <c r="I2" s="1" t="s">
        <v>215</v>
      </c>
      <c r="J2" s="1" t="s">
        <v>223</v>
      </c>
      <c r="K2" s="153" t="s">
        <v>224</v>
      </c>
    </row>
    <row r="3" spans="1:11" ht="21" customHeight="1">
      <c r="B3" s="1">
        <v>1911</v>
      </c>
      <c r="C3" s="1">
        <v>19112</v>
      </c>
      <c r="D3" s="1" t="s">
        <v>212</v>
      </c>
      <c r="E3" s="1">
        <v>338</v>
      </c>
      <c r="F3" s="1">
        <v>1</v>
      </c>
      <c r="G3" s="1">
        <v>1</v>
      </c>
      <c r="H3" s="1" t="s">
        <v>214</v>
      </c>
      <c r="I3" s="1" t="s">
        <v>216</v>
      </c>
      <c r="J3" s="1" t="s">
        <v>223</v>
      </c>
      <c r="K3" s="153" t="s">
        <v>225</v>
      </c>
    </row>
    <row r="4" spans="1:11" ht="21" customHeight="1">
      <c r="B4" s="1">
        <v>1911</v>
      </c>
      <c r="C4" s="1">
        <v>19113</v>
      </c>
      <c r="D4" s="1" t="s">
        <v>212</v>
      </c>
      <c r="E4" s="1">
        <v>342</v>
      </c>
      <c r="F4" s="1">
        <v>1</v>
      </c>
      <c r="G4" s="1">
        <v>1</v>
      </c>
      <c r="H4" s="1" t="s">
        <v>214</v>
      </c>
      <c r="I4" s="1" t="s">
        <v>217</v>
      </c>
      <c r="J4" s="1" t="s">
        <v>223</v>
      </c>
      <c r="K4" s="153" t="s">
        <v>226</v>
      </c>
    </row>
    <row r="5" spans="1:11" ht="21" customHeight="1">
      <c r="B5" s="1">
        <v>1911</v>
      </c>
      <c r="C5" s="1">
        <v>19114</v>
      </c>
      <c r="D5" s="1" t="s">
        <v>212</v>
      </c>
      <c r="E5" s="1">
        <v>346</v>
      </c>
      <c r="F5" s="1">
        <v>1</v>
      </c>
      <c r="G5" s="1">
        <v>1</v>
      </c>
      <c r="H5" s="1" t="s">
        <v>214</v>
      </c>
      <c r="I5" s="1" t="s">
        <v>218</v>
      </c>
      <c r="J5" s="1" t="s">
        <v>223</v>
      </c>
      <c r="K5" s="153" t="s">
        <v>227</v>
      </c>
    </row>
    <row r="6" spans="1:11" ht="21" customHeight="1">
      <c r="B6" s="1">
        <v>1910</v>
      </c>
      <c r="C6" s="1">
        <v>19101</v>
      </c>
      <c r="D6" s="1" t="s">
        <v>212</v>
      </c>
      <c r="E6" s="1">
        <v>334</v>
      </c>
      <c r="F6" s="1">
        <v>10</v>
      </c>
      <c r="G6" s="1">
        <v>1</v>
      </c>
      <c r="H6" s="1" t="s">
        <v>214</v>
      </c>
      <c r="I6" s="1" t="s">
        <v>219</v>
      </c>
      <c r="J6" s="1" t="s">
        <v>228</v>
      </c>
      <c r="K6" s="153" t="s">
        <v>229</v>
      </c>
    </row>
    <row r="7" spans="1:11" ht="21" customHeight="1">
      <c r="B7" s="1">
        <v>1910</v>
      </c>
      <c r="C7" s="1">
        <v>19102</v>
      </c>
      <c r="D7" s="1" t="s">
        <v>212</v>
      </c>
      <c r="E7" s="1">
        <v>338</v>
      </c>
      <c r="F7" s="1">
        <v>10</v>
      </c>
      <c r="G7" s="1">
        <v>1</v>
      </c>
      <c r="H7" s="1" t="s">
        <v>214</v>
      </c>
      <c r="I7" s="1" t="s">
        <v>220</v>
      </c>
      <c r="J7" s="1" t="s">
        <v>228</v>
      </c>
      <c r="K7" s="153" t="s">
        <v>230</v>
      </c>
    </row>
    <row r="8" spans="1:11" ht="21" customHeight="1">
      <c r="B8" s="1">
        <v>1910</v>
      </c>
      <c r="C8" s="1">
        <v>19103</v>
      </c>
      <c r="D8" s="1" t="s">
        <v>212</v>
      </c>
      <c r="E8" s="1">
        <v>342</v>
      </c>
      <c r="F8" s="1">
        <v>10</v>
      </c>
      <c r="G8" s="1">
        <v>1</v>
      </c>
      <c r="H8" s="1" t="s">
        <v>214</v>
      </c>
      <c r="I8" s="1" t="s">
        <v>221</v>
      </c>
      <c r="J8" s="1" t="s">
        <v>228</v>
      </c>
      <c r="K8" s="153" t="s">
        <v>231</v>
      </c>
    </row>
    <row r="9" spans="1:11" ht="21" customHeight="1">
      <c r="B9" s="1">
        <v>1910</v>
      </c>
      <c r="C9" s="1">
        <v>19104</v>
      </c>
      <c r="D9" s="1" t="s">
        <v>212</v>
      </c>
      <c r="E9" s="1">
        <v>346</v>
      </c>
      <c r="F9" s="1">
        <v>10</v>
      </c>
      <c r="G9" s="1">
        <v>1</v>
      </c>
      <c r="H9" s="1" t="s">
        <v>214</v>
      </c>
      <c r="I9" s="1" t="s">
        <v>222</v>
      </c>
      <c r="J9" s="1" t="s">
        <v>228</v>
      </c>
      <c r="K9" s="153" t="s">
        <v>232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25" sqref="B2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1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1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1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1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1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1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1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1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1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C19" sqref="C19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191</v>
      </c>
    </row>
    <row r="5" spans="1:8">
      <c r="A5" s="41" t="s">
        <v>75</v>
      </c>
      <c r="B5" s="42" t="str">
        <f>$A$3 &amp; "1"</f>
        <v>1911</v>
      </c>
      <c r="D5" s="41" t="s">
        <v>78</v>
      </c>
      <c r="E5" s="42" t="str">
        <f>$A$3 &amp; "0"</f>
        <v>1910</v>
      </c>
      <c r="G5" s="41" t="s">
        <v>79</v>
      </c>
      <c r="H5" s="42" t="str">
        <f>$A$3 &amp; "3"</f>
        <v>1913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0</v>
      </c>
      <c r="B13" s="44"/>
      <c r="D13" s="46">
        <f>COUNTIFS(gacha_select_tables!$N:$N,"&gt;1", gacha_select_tables!$B:$B,E5)</f>
        <v>0</v>
      </c>
      <c r="E13" s="44"/>
      <c r="G13" s="46">
        <f>COUNTIF(gacha_settle_tables!$M:$M,"&gt;1")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0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2016-02-22T08:45:02Z</dcterms:modified>
</cp:coreProperties>
</file>